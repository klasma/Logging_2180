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45294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45294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45294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45294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45294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47377-2019</t>
        </is>
      </c>
      <c r="B7" s="1" t="n">
        <v>43721</v>
      </c>
      <c r="C7" s="1" t="n">
        <v>45294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öst AB</t>
        </is>
      </c>
      <c r="G7" t="n">
        <v>21.7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Brunklöver
Kolflarnlav
Svävflugedagsvärmare
Violettkantad guldvinge</t>
        </is>
      </c>
      <c r="S7">
        <f>HYPERLINK("https://klasma.github.io/Logging_2180/artfynd/A 47377-2019 artfynd.xlsx", "A 47377-2019")</f>
        <v/>
      </c>
      <c r="T7">
        <f>HYPERLINK("https://klasma.github.io/Logging_2180/kartor/A 47377-2019 karta.png", "A 47377-2019")</f>
        <v/>
      </c>
      <c r="V7">
        <f>HYPERLINK("https://klasma.github.io/Logging_2180/klagomål/A 47377-2019 FSC-klagomål.docx", "A 47377-2019")</f>
        <v/>
      </c>
      <c r="W7">
        <f>HYPERLINK("https://klasma.github.io/Logging_2180/klagomålsmail/A 47377-2019 FSC-klagomål mail.docx", "A 47377-2019")</f>
        <v/>
      </c>
      <c r="X7">
        <f>HYPERLINK("https://klasma.github.io/Logging_2180/tillsyn/A 47377-2019 tillsynsbegäran.docx", "A 47377-2019")</f>
        <v/>
      </c>
      <c r="Y7">
        <f>HYPERLINK("https://klasma.github.io/Logging_2180/tillsynsmail/A 47377-2019 tillsynsbegäran mail.docx", "A 47377-2019")</f>
        <v/>
      </c>
    </row>
    <row r="8" ht="15" customHeight="1">
      <c r="A8" t="inlineStr">
        <is>
          <t>A 59800-2023</t>
        </is>
      </c>
      <c r="B8" s="1" t="n">
        <v>45257</v>
      </c>
      <c r="C8" s="1" t="n">
        <v>45294</v>
      </c>
      <c r="D8" t="inlineStr">
        <is>
          <t>GÄVLEBORGS LÄN</t>
        </is>
      </c>
      <c r="E8" t="inlineStr">
        <is>
          <t>GÄVLE</t>
        </is>
      </c>
      <c r="G8" t="n">
        <v>6.3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Motaggsvamp
Ullticka
Dropptaggsvamp
Skarp dropptaggsvamp</t>
        </is>
      </c>
      <c r="S8">
        <f>HYPERLINK("https://klasma.github.io/Logging_2180/artfynd/A 59800-2023 artfynd.xlsx", "A 59800-2023")</f>
        <v/>
      </c>
      <c r="T8">
        <f>HYPERLINK("https://klasma.github.io/Logging_2180/kartor/A 59800-2023 karta.png", "A 59800-2023")</f>
        <v/>
      </c>
      <c r="V8">
        <f>HYPERLINK("https://klasma.github.io/Logging_2180/klagomål/A 59800-2023 FSC-klagomål.docx", "A 59800-2023")</f>
        <v/>
      </c>
      <c r="W8">
        <f>HYPERLINK("https://klasma.github.io/Logging_2180/klagomålsmail/A 59800-2023 FSC-klagomål mail.docx", "A 59800-2023")</f>
        <v/>
      </c>
      <c r="X8">
        <f>HYPERLINK("https://klasma.github.io/Logging_2180/tillsyn/A 59800-2023 tillsynsbegäran.docx", "A 59800-2023")</f>
        <v/>
      </c>
      <c r="Y8">
        <f>HYPERLINK("https://klasma.github.io/Logging_2180/tillsynsmail/A 59800-2023 tillsynsbegäran mail.docx", "A 59800-2023")</f>
        <v/>
      </c>
    </row>
    <row r="9" ht="15" customHeight="1">
      <c r="A9" t="inlineStr">
        <is>
          <t>A 67390-2019</t>
        </is>
      </c>
      <c r="B9" s="1" t="n">
        <v>43812</v>
      </c>
      <c r="C9" s="1" t="n">
        <v>45294</v>
      </c>
      <c r="D9" t="inlineStr">
        <is>
          <t>GÄVLEBORGS LÄN</t>
        </is>
      </c>
      <c r="E9" t="inlineStr">
        <is>
          <t>GÄVLE</t>
        </is>
      </c>
      <c r="F9" t="inlineStr">
        <is>
          <t>Kommuner</t>
        </is>
      </c>
      <c r="G9" t="n">
        <v>7.8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Grön sköldmossa
Mörk husmossa
Skogshakmossa</t>
        </is>
      </c>
      <c r="S9">
        <f>HYPERLINK("https://klasma.github.io/Logging_2180/artfynd/A 67390-2019 artfynd.xlsx", "A 67390-2019")</f>
        <v/>
      </c>
      <c r="T9">
        <f>HYPERLINK("https://klasma.github.io/Logging_2180/kartor/A 67390-2019 karta.png", "A 67390-2019")</f>
        <v/>
      </c>
      <c r="V9">
        <f>HYPERLINK("https://klasma.github.io/Logging_2180/klagomål/A 67390-2019 FSC-klagomål.docx", "A 67390-2019")</f>
        <v/>
      </c>
      <c r="W9">
        <f>HYPERLINK("https://klasma.github.io/Logging_2180/klagomålsmail/A 67390-2019 FSC-klagomål mail.docx", "A 67390-2019")</f>
        <v/>
      </c>
      <c r="X9">
        <f>HYPERLINK("https://klasma.github.io/Logging_2180/tillsyn/A 67390-2019 tillsynsbegäran.docx", "A 67390-2019")</f>
        <v/>
      </c>
      <c r="Y9">
        <f>HYPERLINK("https://klasma.github.io/Logging_2180/tillsynsmail/A 67390-2019 tillsynsbegäran mail.docx", "A 67390-2019")</f>
        <v/>
      </c>
    </row>
    <row r="10" ht="15" customHeight="1">
      <c r="A10" t="inlineStr">
        <is>
          <t>A 32677-2023</t>
        </is>
      </c>
      <c r="B10" s="1" t="n">
        <v>45121</v>
      </c>
      <c r="C10" s="1" t="n">
        <v>45294</v>
      </c>
      <c r="D10" t="inlineStr">
        <is>
          <t>GÄVLEBORGS LÄN</t>
        </is>
      </c>
      <c r="E10" t="inlineStr">
        <is>
          <t>GÄVLE</t>
        </is>
      </c>
      <c r="G10" t="n">
        <v>20.7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Glesgröe
Spädstarr
Blåsippa</t>
        </is>
      </c>
      <c r="S10">
        <f>HYPERLINK("https://klasma.github.io/Logging_2180/artfynd/A 32677-2023 artfynd.xlsx", "A 32677-2023")</f>
        <v/>
      </c>
      <c r="T10">
        <f>HYPERLINK("https://klasma.github.io/Logging_2180/kartor/A 32677-2023 karta.png", "A 32677-2023")</f>
        <v/>
      </c>
      <c r="V10">
        <f>HYPERLINK("https://klasma.github.io/Logging_2180/klagomål/A 32677-2023 FSC-klagomål.docx", "A 32677-2023")</f>
        <v/>
      </c>
      <c r="W10">
        <f>HYPERLINK("https://klasma.github.io/Logging_2180/klagomålsmail/A 32677-2023 FSC-klagomål mail.docx", "A 32677-2023")</f>
        <v/>
      </c>
      <c r="X10">
        <f>HYPERLINK("https://klasma.github.io/Logging_2180/tillsyn/A 32677-2023 tillsynsbegäran.docx", "A 32677-2023")</f>
        <v/>
      </c>
      <c r="Y10">
        <f>HYPERLINK("https://klasma.github.io/Logging_2180/tillsynsmail/A 32677-2023 tillsynsbegäran mail.docx", "A 32677-2023")</f>
        <v/>
      </c>
    </row>
    <row r="11" ht="15" customHeight="1">
      <c r="A11" t="inlineStr">
        <is>
          <t>A 64533-2023</t>
        </is>
      </c>
      <c r="B11" s="1" t="n">
        <v>45281</v>
      </c>
      <c r="C11" s="1" t="n">
        <v>45294</v>
      </c>
      <c r="D11" t="inlineStr">
        <is>
          <t>GÄVLEBORGS LÄN</t>
        </is>
      </c>
      <c r="E11" t="inlineStr">
        <is>
          <t>GÄVLE</t>
        </is>
      </c>
      <c r="G11" t="n">
        <v>1.1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Asppraktbagge
Aspvedgnagare
Jättesvampmal</t>
        </is>
      </c>
      <c r="S11">
        <f>HYPERLINK("https://klasma.github.io/Logging_2180/artfynd/A 64533-2023 artfynd.xlsx", "A 64533-2023")</f>
        <v/>
      </c>
      <c r="T11">
        <f>HYPERLINK("https://klasma.github.io/Logging_2180/kartor/A 64533-2023 karta.png", "A 64533-2023")</f>
        <v/>
      </c>
      <c r="V11">
        <f>HYPERLINK("https://klasma.github.io/Logging_2180/klagomål/A 64533-2023 FSC-klagomål.docx", "A 64533-2023")</f>
        <v/>
      </c>
      <c r="W11">
        <f>HYPERLINK("https://klasma.github.io/Logging_2180/klagomålsmail/A 64533-2023 FSC-klagomål mail.docx", "A 64533-2023")</f>
        <v/>
      </c>
      <c r="X11">
        <f>HYPERLINK("https://klasma.github.io/Logging_2180/tillsyn/A 64533-2023 tillsynsbegäran.docx", "A 64533-2023")</f>
        <v/>
      </c>
      <c r="Y11">
        <f>HYPERLINK("https://klasma.github.io/Logging_2180/tillsynsmail/A 64533-2023 tillsynsbegäran mail.docx", "A 64533-2023")</f>
        <v/>
      </c>
    </row>
    <row r="12" ht="15" customHeight="1">
      <c r="A12" t="inlineStr">
        <is>
          <t>A 13261-2021</t>
        </is>
      </c>
      <c r="B12" s="1" t="n">
        <v>44272</v>
      </c>
      <c r="C12" s="1" t="n">
        <v>45294</v>
      </c>
      <c r="D12" t="inlineStr">
        <is>
          <t>GÄVLEBORGS LÄN</t>
        </is>
      </c>
      <c r="E12" t="inlineStr">
        <is>
          <t>GÄVLE</t>
        </is>
      </c>
      <c r="G12" t="n">
        <v>4.7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Blåsippa</t>
        </is>
      </c>
      <c r="S12">
        <f>HYPERLINK("https://klasma.github.io/Logging_2180/artfynd/A 13261-2021 artfynd.xlsx", "A 13261-2021")</f>
        <v/>
      </c>
      <c r="T12">
        <f>HYPERLINK("https://klasma.github.io/Logging_2180/kartor/A 13261-2021 karta.png", "A 13261-2021")</f>
        <v/>
      </c>
      <c r="V12">
        <f>HYPERLINK("https://klasma.github.io/Logging_2180/klagomål/A 13261-2021 FSC-klagomål.docx", "A 13261-2021")</f>
        <v/>
      </c>
      <c r="W12">
        <f>HYPERLINK("https://klasma.github.io/Logging_2180/klagomålsmail/A 13261-2021 FSC-klagomål mail.docx", "A 13261-2021")</f>
        <v/>
      </c>
      <c r="X12">
        <f>HYPERLINK("https://klasma.github.io/Logging_2180/tillsyn/A 13261-2021 tillsynsbegäran.docx", "A 13261-2021")</f>
        <v/>
      </c>
      <c r="Y12">
        <f>HYPERLINK("https://klasma.github.io/Logging_2180/tillsynsmail/A 13261-2021 tillsynsbegäran mail.docx", "A 13261-2021")</f>
        <v/>
      </c>
    </row>
    <row r="13" ht="15" customHeight="1">
      <c r="A13" t="inlineStr">
        <is>
          <t>A 20198-2021</t>
        </is>
      </c>
      <c r="B13" s="1" t="n">
        <v>44314</v>
      </c>
      <c r="C13" s="1" t="n">
        <v>45294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4.5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Anisspindling
Skogsknipprot</t>
        </is>
      </c>
      <c r="S13">
        <f>HYPERLINK("https://klasma.github.io/Logging_2180/artfynd/A 20198-2021 artfynd.xlsx", "A 20198-2021")</f>
        <v/>
      </c>
      <c r="T13">
        <f>HYPERLINK("https://klasma.github.io/Logging_2180/kartor/A 20198-2021 karta.png", "A 20198-2021")</f>
        <v/>
      </c>
      <c r="V13">
        <f>HYPERLINK("https://klasma.github.io/Logging_2180/klagomål/A 20198-2021 FSC-klagomål.docx", "A 20198-2021")</f>
        <v/>
      </c>
      <c r="W13">
        <f>HYPERLINK("https://klasma.github.io/Logging_2180/klagomålsmail/A 20198-2021 FSC-klagomål mail.docx", "A 20198-2021")</f>
        <v/>
      </c>
      <c r="X13">
        <f>HYPERLINK("https://klasma.github.io/Logging_2180/tillsyn/A 20198-2021 tillsynsbegäran.docx", "A 20198-2021")</f>
        <v/>
      </c>
      <c r="Y13">
        <f>HYPERLINK("https://klasma.github.io/Logging_2180/tillsynsmail/A 20198-2021 tillsynsbegäran mail.docx", "A 20198-2021")</f>
        <v/>
      </c>
    </row>
    <row r="14" ht="15" customHeight="1">
      <c r="A14" t="inlineStr">
        <is>
          <t>A 22073-2021</t>
        </is>
      </c>
      <c r="B14" s="1" t="n">
        <v>44323</v>
      </c>
      <c r="C14" s="1" t="n">
        <v>45294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0.5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Blå kärrhök
Havsörn</t>
        </is>
      </c>
      <c r="S14">
        <f>HYPERLINK("https://klasma.github.io/Logging_2180/artfynd/A 22073-2021 artfynd.xlsx", "A 22073-2021")</f>
        <v/>
      </c>
      <c r="T14">
        <f>HYPERLINK("https://klasma.github.io/Logging_2180/kartor/A 22073-2021 karta.png", "A 22073-2021")</f>
        <v/>
      </c>
      <c r="V14">
        <f>HYPERLINK("https://klasma.github.io/Logging_2180/klagomål/A 22073-2021 FSC-klagomål.docx", "A 22073-2021")</f>
        <v/>
      </c>
      <c r="W14">
        <f>HYPERLINK("https://klasma.github.io/Logging_2180/klagomålsmail/A 22073-2021 FSC-klagomål mail.docx", "A 22073-2021")</f>
        <v/>
      </c>
      <c r="X14">
        <f>HYPERLINK("https://klasma.github.io/Logging_2180/tillsyn/A 22073-2021 tillsynsbegäran.docx", "A 22073-2021")</f>
        <v/>
      </c>
      <c r="Y14">
        <f>HYPERLINK("https://klasma.github.io/Logging_2180/tillsynsmail/A 22073-2021 tillsynsbegäran mail.docx", "A 22073-2021")</f>
        <v/>
      </c>
    </row>
    <row r="15" ht="15" customHeight="1">
      <c r="A15" t="inlineStr">
        <is>
          <t>A 15365-2023</t>
        </is>
      </c>
      <c r="B15" s="1" t="n">
        <v>45019</v>
      </c>
      <c r="C15" s="1" t="n">
        <v>45294</v>
      </c>
      <c r="D15" t="inlineStr">
        <is>
          <t>GÄVLEBORGS LÄN</t>
        </is>
      </c>
      <c r="E15" t="inlineStr">
        <is>
          <t>GÄVLE</t>
        </is>
      </c>
      <c r="G15" t="n">
        <v>55.2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Kopparödla</t>
        </is>
      </c>
      <c r="S15">
        <f>HYPERLINK("https://klasma.github.io/Logging_2180/artfynd/A 15365-2023 artfynd.xlsx", "A 15365-2023")</f>
        <v/>
      </c>
      <c r="T15">
        <f>HYPERLINK("https://klasma.github.io/Logging_2180/kartor/A 15365-2023 karta.png", "A 15365-2023")</f>
        <v/>
      </c>
      <c r="U15">
        <f>HYPERLINK("https://klasma.github.io/Logging_2180/knärot/A 15365-2023 karta knärot.png", "A 15365-2023")</f>
        <v/>
      </c>
      <c r="V15">
        <f>HYPERLINK("https://klasma.github.io/Logging_2180/klagomål/A 15365-2023 FSC-klagomål.docx", "A 15365-2023")</f>
        <v/>
      </c>
      <c r="W15">
        <f>HYPERLINK("https://klasma.github.io/Logging_2180/klagomålsmail/A 15365-2023 FSC-klagomål mail.docx", "A 15365-2023")</f>
        <v/>
      </c>
      <c r="X15">
        <f>HYPERLINK("https://klasma.github.io/Logging_2180/tillsyn/A 15365-2023 tillsynsbegäran.docx", "A 15365-2023")</f>
        <v/>
      </c>
      <c r="Y15">
        <f>HYPERLINK("https://klasma.github.io/Logging_2180/tillsynsmail/A 15365-2023 tillsynsbegäran mail.docx", "A 15365-2023")</f>
        <v/>
      </c>
    </row>
    <row r="16" ht="15" customHeight="1">
      <c r="A16" t="inlineStr">
        <is>
          <t>A 16499-2023</t>
        </is>
      </c>
      <c r="B16" s="1" t="n">
        <v>45029</v>
      </c>
      <c r="C16" s="1" t="n">
        <v>45294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41.8</v>
      </c>
      <c r="H16" t="n">
        <v>0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Bredgentiana
Granbräken</t>
        </is>
      </c>
      <c r="S16">
        <f>HYPERLINK("https://klasma.github.io/Logging_2180/artfynd/A 16499-2023 artfynd.xlsx", "A 16499-2023")</f>
        <v/>
      </c>
      <c r="T16">
        <f>HYPERLINK("https://klasma.github.io/Logging_2180/kartor/A 16499-2023 karta.png", "A 16499-2023")</f>
        <v/>
      </c>
      <c r="V16">
        <f>HYPERLINK("https://klasma.github.io/Logging_2180/klagomål/A 16499-2023 FSC-klagomål.docx", "A 16499-2023")</f>
        <v/>
      </c>
      <c r="W16">
        <f>HYPERLINK("https://klasma.github.io/Logging_2180/klagomålsmail/A 16499-2023 FSC-klagomål mail.docx", "A 16499-2023")</f>
        <v/>
      </c>
      <c r="X16">
        <f>HYPERLINK("https://klasma.github.io/Logging_2180/tillsyn/A 16499-2023 tillsynsbegäran.docx", "A 16499-2023")</f>
        <v/>
      </c>
      <c r="Y16">
        <f>HYPERLINK("https://klasma.github.io/Logging_2180/tillsynsmail/A 16499-2023 tillsynsbegäran mail.docx", "A 16499-2023")</f>
        <v/>
      </c>
    </row>
    <row r="17" ht="15" customHeight="1">
      <c r="A17" t="inlineStr">
        <is>
          <t>A 18332-2023</t>
        </is>
      </c>
      <c r="B17" s="1" t="n">
        <v>45041</v>
      </c>
      <c r="C17" s="1" t="n">
        <v>45294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16.1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Ryl
Skogsklocka</t>
        </is>
      </c>
      <c r="S17">
        <f>HYPERLINK("https://klasma.github.io/Logging_2180/artfynd/A 18332-2023 artfynd.xlsx", "A 18332-2023")</f>
        <v/>
      </c>
      <c r="T17">
        <f>HYPERLINK("https://klasma.github.io/Logging_2180/kartor/A 18332-2023 karta.png", "A 18332-2023")</f>
        <v/>
      </c>
      <c r="V17">
        <f>HYPERLINK("https://klasma.github.io/Logging_2180/klagomål/A 18332-2023 FSC-klagomål.docx", "A 18332-2023")</f>
        <v/>
      </c>
      <c r="W17">
        <f>HYPERLINK("https://klasma.github.io/Logging_2180/klagomålsmail/A 18332-2023 FSC-klagomål mail.docx", "A 18332-2023")</f>
        <v/>
      </c>
      <c r="X17">
        <f>HYPERLINK("https://klasma.github.io/Logging_2180/tillsyn/A 18332-2023 tillsynsbegäran.docx", "A 18332-2023")</f>
        <v/>
      </c>
      <c r="Y17">
        <f>HYPERLINK("https://klasma.github.io/Logging_2180/tillsynsmail/A 18332-2023 tillsynsbegäran mail.docx", "A 18332-2023")</f>
        <v/>
      </c>
    </row>
    <row r="18" ht="15" customHeight="1">
      <c r="A18" t="inlineStr">
        <is>
          <t>A 31541-2023</t>
        </is>
      </c>
      <c r="B18" s="1" t="n">
        <v>45117</v>
      </c>
      <c r="C18" s="1" t="n">
        <v>45294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8.300000000000001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Vårärt
Mattlummer</t>
        </is>
      </c>
      <c r="S18">
        <f>HYPERLINK("https://klasma.github.io/Logging_2180/artfynd/A 31541-2023 artfynd.xlsx", "A 31541-2023")</f>
        <v/>
      </c>
      <c r="T18">
        <f>HYPERLINK("https://klasma.github.io/Logging_2180/kartor/A 31541-2023 karta.png", "A 31541-2023")</f>
        <v/>
      </c>
      <c r="V18">
        <f>HYPERLINK("https://klasma.github.io/Logging_2180/klagomål/A 31541-2023 FSC-klagomål.docx", "A 31541-2023")</f>
        <v/>
      </c>
      <c r="W18">
        <f>HYPERLINK("https://klasma.github.io/Logging_2180/klagomålsmail/A 31541-2023 FSC-klagomål mail.docx", "A 31541-2023")</f>
        <v/>
      </c>
      <c r="X18">
        <f>HYPERLINK("https://klasma.github.io/Logging_2180/tillsyn/A 31541-2023 tillsynsbegäran.docx", "A 31541-2023")</f>
        <v/>
      </c>
      <c r="Y18">
        <f>HYPERLINK("https://klasma.github.io/Logging_2180/tillsynsmail/A 31541-2023 tillsynsbegäran mail.docx", "A 31541-2023")</f>
        <v/>
      </c>
    </row>
    <row r="19" ht="15" customHeight="1">
      <c r="A19" t="inlineStr">
        <is>
          <t>A 64567-2023</t>
        </is>
      </c>
      <c r="B19" s="1" t="n">
        <v>45281</v>
      </c>
      <c r="C19" s="1" t="n">
        <v>45294</v>
      </c>
      <c r="D19" t="inlineStr">
        <is>
          <t>GÄVLEBORGS LÄN</t>
        </is>
      </c>
      <c r="E19" t="inlineStr">
        <is>
          <t>GÄVLE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Jättesvampmal</t>
        </is>
      </c>
      <c r="S19">
        <f>HYPERLINK("https://klasma.github.io/Logging_2180/artfynd/A 64567-2023 artfynd.xlsx", "A 64567-2023")</f>
        <v/>
      </c>
      <c r="T19">
        <f>HYPERLINK("https://klasma.github.io/Logging_2180/kartor/A 64567-2023 karta.png", "A 64567-2023")</f>
        <v/>
      </c>
      <c r="V19">
        <f>HYPERLINK("https://klasma.github.io/Logging_2180/klagomål/A 64567-2023 FSC-klagomål.docx", "A 64567-2023")</f>
        <v/>
      </c>
      <c r="W19">
        <f>HYPERLINK("https://klasma.github.io/Logging_2180/klagomålsmail/A 64567-2023 FSC-klagomål mail.docx", "A 64567-2023")</f>
        <v/>
      </c>
      <c r="X19">
        <f>HYPERLINK("https://klasma.github.io/Logging_2180/tillsyn/A 64567-2023 tillsynsbegäran.docx", "A 64567-2023")</f>
        <v/>
      </c>
      <c r="Y19">
        <f>HYPERLINK("https://klasma.github.io/Logging_2180/tillsynsmail/A 64567-2023 tillsynsbegäran mail.docx", "A 64567-2023")</f>
        <v/>
      </c>
    </row>
    <row r="20" ht="15" customHeight="1">
      <c r="A20" t="inlineStr">
        <is>
          <t>A 22616-2019</t>
        </is>
      </c>
      <c r="B20" s="1" t="n">
        <v>43588</v>
      </c>
      <c r="C20" s="1" t="n">
        <v>45294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Sotnätfjäril</t>
        </is>
      </c>
      <c r="S20">
        <f>HYPERLINK("https://klasma.github.io/Logging_2180/artfynd/A 22616-2019 artfynd.xlsx", "A 22616-2019")</f>
        <v/>
      </c>
      <c r="T20">
        <f>HYPERLINK("https://klasma.github.io/Logging_2180/kartor/A 22616-2019 karta.png", "A 22616-2019")</f>
        <v/>
      </c>
      <c r="V20">
        <f>HYPERLINK("https://klasma.github.io/Logging_2180/klagomål/A 22616-2019 FSC-klagomål.docx", "A 22616-2019")</f>
        <v/>
      </c>
      <c r="W20">
        <f>HYPERLINK("https://klasma.github.io/Logging_2180/klagomålsmail/A 22616-2019 FSC-klagomål mail.docx", "A 22616-2019")</f>
        <v/>
      </c>
      <c r="X20">
        <f>HYPERLINK("https://klasma.github.io/Logging_2180/tillsyn/A 22616-2019 tillsynsbegäran.docx", "A 22616-2019")</f>
        <v/>
      </c>
      <c r="Y20">
        <f>HYPERLINK("https://klasma.github.io/Logging_2180/tillsynsmail/A 22616-2019 tillsynsbegäran mail.docx", "A 22616-2019")</f>
        <v/>
      </c>
    </row>
    <row r="21" ht="15" customHeight="1">
      <c r="A21" t="inlineStr">
        <is>
          <t>A 58168-2020</t>
        </is>
      </c>
      <c r="B21" s="1" t="n">
        <v>44144</v>
      </c>
      <c r="C21" s="1" t="n">
        <v>45294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3.7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HYPERLINK("https://klasma.github.io/Logging_2180/artfynd/A 58168-2020 artfynd.xlsx", "A 58168-2020")</f>
        <v/>
      </c>
      <c r="T21">
        <f>HYPERLINK("https://klasma.github.io/Logging_2180/kartor/A 58168-2020 karta.png", "A 58168-2020")</f>
        <v/>
      </c>
      <c r="U21">
        <f>HYPERLINK("https://klasma.github.io/Logging_2180/knärot/A 58168-2020 karta knärot.png", "A 58168-2020")</f>
        <v/>
      </c>
      <c r="V21">
        <f>HYPERLINK("https://klasma.github.io/Logging_2180/klagomål/A 58168-2020 FSC-klagomål.docx", "A 58168-2020")</f>
        <v/>
      </c>
      <c r="W21">
        <f>HYPERLINK("https://klasma.github.io/Logging_2180/klagomålsmail/A 58168-2020 FSC-klagomål mail.docx", "A 58168-2020")</f>
        <v/>
      </c>
      <c r="X21">
        <f>HYPERLINK("https://klasma.github.io/Logging_2180/tillsyn/A 58168-2020 tillsynsbegäran.docx", "A 58168-2020")</f>
        <v/>
      </c>
      <c r="Y21">
        <f>HYPERLINK("https://klasma.github.io/Logging_2180/tillsynsmail/A 58168-2020 tillsynsbegäran mail.docx", "A 58168-2020")</f>
        <v/>
      </c>
    </row>
    <row r="22" ht="15" customHeight="1">
      <c r="A22" t="inlineStr">
        <is>
          <t>A 62316-2020</t>
        </is>
      </c>
      <c r="B22" s="1" t="n">
        <v>44160</v>
      </c>
      <c r="C22" s="1" t="n">
        <v>45294</v>
      </c>
      <c r="D22" t="inlineStr">
        <is>
          <t>GÄVLEBORGS LÄN</t>
        </is>
      </c>
      <c r="E22" t="inlineStr">
        <is>
          <t>GÄVLE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HYPERLINK("https://klasma.github.io/Logging_2180/artfynd/A 62316-2020 artfynd.xlsx", "A 62316-2020")</f>
        <v/>
      </c>
      <c r="T22">
        <f>HYPERLINK("https://klasma.github.io/Logging_2180/kartor/A 62316-2020 karta.png", "A 62316-2020")</f>
        <v/>
      </c>
      <c r="V22">
        <f>HYPERLINK("https://klasma.github.io/Logging_2180/klagomål/A 62316-2020 FSC-klagomål.docx", "A 62316-2020")</f>
        <v/>
      </c>
      <c r="W22">
        <f>HYPERLINK("https://klasma.github.io/Logging_2180/klagomålsmail/A 62316-2020 FSC-klagomål mail.docx", "A 62316-2020")</f>
        <v/>
      </c>
      <c r="X22">
        <f>HYPERLINK("https://klasma.github.io/Logging_2180/tillsyn/A 62316-2020 tillsynsbegäran.docx", "A 62316-2020")</f>
        <v/>
      </c>
      <c r="Y22">
        <f>HYPERLINK("https://klasma.github.io/Logging_2180/tillsynsmail/A 62316-2020 tillsynsbegäran mail.docx", "A 62316-2020")</f>
        <v/>
      </c>
    </row>
    <row r="23" ht="15" customHeight="1">
      <c r="A23" t="inlineStr">
        <is>
          <t>A 14569-2021</t>
        </is>
      </c>
      <c r="B23" s="1" t="n">
        <v>44279</v>
      </c>
      <c r="C23" s="1" t="n">
        <v>45294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HYPERLINK("https://klasma.github.io/Logging_2180/artfynd/A 14569-2021 artfynd.xlsx", "A 14569-2021")</f>
        <v/>
      </c>
      <c r="T23">
        <f>HYPERLINK("https://klasma.github.io/Logging_2180/kartor/A 14569-2021 karta.png", "A 14569-2021")</f>
        <v/>
      </c>
      <c r="V23">
        <f>HYPERLINK("https://klasma.github.io/Logging_2180/klagomål/A 14569-2021 FSC-klagomål.docx", "A 14569-2021")</f>
        <v/>
      </c>
      <c r="W23">
        <f>HYPERLINK("https://klasma.github.io/Logging_2180/klagomålsmail/A 14569-2021 FSC-klagomål mail.docx", "A 14569-2021")</f>
        <v/>
      </c>
      <c r="X23">
        <f>HYPERLINK("https://klasma.github.io/Logging_2180/tillsyn/A 14569-2021 tillsynsbegäran.docx", "A 14569-2021")</f>
        <v/>
      </c>
      <c r="Y23">
        <f>HYPERLINK("https://klasma.github.io/Logging_2180/tillsynsmail/A 14569-2021 tillsynsbegäran mail.docx", "A 14569-2021")</f>
        <v/>
      </c>
    </row>
    <row r="24" ht="15" customHeight="1">
      <c r="A24" t="inlineStr">
        <is>
          <t>A 59225-2021</t>
        </is>
      </c>
      <c r="B24" s="1" t="n">
        <v>44490</v>
      </c>
      <c r="C24" s="1" t="n">
        <v>45294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öst AB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HYPERLINK("https://klasma.github.io/Logging_2180/artfynd/A 59225-2021 artfynd.xlsx", "A 59225-2021")</f>
        <v/>
      </c>
      <c r="T24">
        <f>HYPERLINK("https://klasma.github.io/Logging_2180/kartor/A 59225-2021 karta.png", "A 59225-2021")</f>
        <v/>
      </c>
      <c r="V24">
        <f>HYPERLINK("https://klasma.github.io/Logging_2180/klagomål/A 59225-2021 FSC-klagomål.docx", "A 59225-2021")</f>
        <v/>
      </c>
      <c r="W24">
        <f>HYPERLINK("https://klasma.github.io/Logging_2180/klagomålsmail/A 59225-2021 FSC-klagomål mail.docx", "A 59225-2021")</f>
        <v/>
      </c>
      <c r="X24">
        <f>HYPERLINK("https://klasma.github.io/Logging_2180/tillsyn/A 59225-2021 tillsynsbegäran.docx", "A 59225-2021")</f>
        <v/>
      </c>
      <c r="Y24">
        <f>HYPERLINK("https://klasma.github.io/Logging_2180/tillsynsmail/A 59225-2021 tillsynsbegäran mail.docx", "A 59225-2021")</f>
        <v/>
      </c>
    </row>
    <row r="25" ht="15" customHeight="1">
      <c r="A25" t="inlineStr">
        <is>
          <t>A 66495-2021</t>
        </is>
      </c>
      <c r="B25" s="1" t="n">
        <v>44519</v>
      </c>
      <c r="C25" s="1" t="n">
        <v>45294</v>
      </c>
      <c r="D25" t="inlineStr">
        <is>
          <t>GÄVLEBORGS LÄN</t>
        </is>
      </c>
      <c r="E25" t="inlineStr">
        <is>
          <t>GÄVLE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HYPERLINK("https://klasma.github.io/Logging_2180/artfynd/A 66495-2021 artfynd.xlsx", "A 66495-2021")</f>
        <v/>
      </c>
      <c r="T25">
        <f>HYPERLINK("https://klasma.github.io/Logging_2180/kartor/A 66495-2021 karta.png", "A 66495-2021")</f>
        <v/>
      </c>
      <c r="V25">
        <f>HYPERLINK("https://klasma.github.io/Logging_2180/klagomål/A 66495-2021 FSC-klagomål.docx", "A 66495-2021")</f>
        <v/>
      </c>
      <c r="W25">
        <f>HYPERLINK("https://klasma.github.io/Logging_2180/klagomålsmail/A 66495-2021 FSC-klagomål mail.docx", "A 66495-2021")</f>
        <v/>
      </c>
      <c r="X25">
        <f>HYPERLINK("https://klasma.github.io/Logging_2180/tillsyn/A 66495-2021 tillsynsbegäran.docx", "A 66495-2021")</f>
        <v/>
      </c>
      <c r="Y25">
        <f>HYPERLINK("https://klasma.github.io/Logging_2180/tillsynsmail/A 66495-2021 tillsynsbegäran mail.docx", "A 66495-2021")</f>
        <v/>
      </c>
    </row>
    <row r="26" ht="15" customHeight="1">
      <c r="A26" t="inlineStr">
        <is>
          <t>A 6779-2022</t>
        </is>
      </c>
      <c r="B26" s="1" t="n">
        <v>44602</v>
      </c>
      <c r="C26" s="1" t="n">
        <v>45294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HYPERLINK("https://klasma.github.io/Logging_2180/artfynd/A 6779-2022 artfynd.xlsx", "A 6779-2022")</f>
        <v/>
      </c>
      <c r="T26">
        <f>HYPERLINK("https://klasma.github.io/Logging_2180/kartor/A 6779-2022 karta.png", "A 6779-2022")</f>
        <v/>
      </c>
      <c r="V26">
        <f>HYPERLINK("https://klasma.github.io/Logging_2180/klagomål/A 6779-2022 FSC-klagomål.docx", "A 6779-2022")</f>
        <v/>
      </c>
      <c r="W26">
        <f>HYPERLINK("https://klasma.github.io/Logging_2180/klagomålsmail/A 6779-2022 FSC-klagomål mail.docx", "A 6779-2022")</f>
        <v/>
      </c>
      <c r="X26">
        <f>HYPERLINK("https://klasma.github.io/Logging_2180/tillsyn/A 6779-2022 tillsynsbegäran.docx", "A 6779-2022")</f>
        <v/>
      </c>
      <c r="Y26">
        <f>HYPERLINK("https://klasma.github.io/Logging_2180/tillsynsmail/A 6779-2022 tillsynsbegäran mail.docx", "A 6779-2022")</f>
        <v/>
      </c>
    </row>
    <row r="27" ht="15" customHeight="1">
      <c r="A27" t="inlineStr">
        <is>
          <t>A 15102-2022</t>
        </is>
      </c>
      <c r="B27" s="1" t="n">
        <v>44658</v>
      </c>
      <c r="C27" s="1" t="n">
        <v>45294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Sumpviol</t>
        </is>
      </c>
      <c r="S27">
        <f>HYPERLINK("https://klasma.github.io/Logging_2180/artfynd/A 15102-2022 artfynd.xlsx", "A 15102-2022")</f>
        <v/>
      </c>
      <c r="T27">
        <f>HYPERLINK("https://klasma.github.io/Logging_2180/kartor/A 15102-2022 karta.png", "A 15102-2022")</f>
        <v/>
      </c>
      <c r="V27">
        <f>HYPERLINK("https://klasma.github.io/Logging_2180/klagomål/A 15102-2022 FSC-klagomål.docx", "A 15102-2022")</f>
        <v/>
      </c>
      <c r="W27">
        <f>HYPERLINK("https://klasma.github.io/Logging_2180/klagomålsmail/A 15102-2022 FSC-klagomål mail.docx", "A 15102-2022")</f>
        <v/>
      </c>
      <c r="X27">
        <f>HYPERLINK("https://klasma.github.io/Logging_2180/tillsyn/A 15102-2022 tillsynsbegäran.docx", "A 15102-2022")</f>
        <v/>
      </c>
      <c r="Y27">
        <f>HYPERLINK("https://klasma.github.io/Logging_2180/tillsynsmail/A 15102-2022 tillsynsbegäran mail.docx", "A 15102-2022")</f>
        <v/>
      </c>
    </row>
    <row r="28" ht="15" customHeight="1">
      <c r="A28" t="inlineStr">
        <is>
          <t>A 23511-2022</t>
        </is>
      </c>
      <c r="B28" s="1" t="n">
        <v>44721</v>
      </c>
      <c r="C28" s="1" t="n">
        <v>45294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7.9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Grantaggsvamp</t>
        </is>
      </c>
      <c r="S28">
        <f>HYPERLINK("https://klasma.github.io/Logging_2180/artfynd/A 23511-2022 artfynd.xlsx", "A 23511-2022")</f>
        <v/>
      </c>
      <c r="T28">
        <f>HYPERLINK("https://klasma.github.io/Logging_2180/kartor/A 23511-2022 karta.png", "A 23511-2022")</f>
        <v/>
      </c>
      <c r="V28">
        <f>HYPERLINK("https://klasma.github.io/Logging_2180/klagomål/A 23511-2022 FSC-klagomål.docx", "A 23511-2022")</f>
        <v/>
      </c>
      <c r="W28">
        <f>HYPERLINK("https://klasma.github.io/Logging_2180/klagomålsmail/A 23511-2022 FSC-klagomål mail.docx", "A 23511-2022")</f>
        <v/>
      </c>
      <c r="X28">
        <f>HYPERLINK("https://klasma.github.io/Logging_2180/tillsyn/A 23511-2022 tillsynsbegäran.docx", "A 23511-2022")</f>
        <v/>
      </c>
      <c r="Y28">
        <f>HYPERLINK("https://klasma.github.io/Logging_2180/tillsynsmail/A 23511-2022 tillsynsbegäran mail.docx", "A 23511-2022")</f>
        <v/>
      </c>
    </row>
    <row r="29" ht="15" customHeight="1">
      <c r="A29" t="inlineStr">
        <is>
          <t>A 33812-2022</t>
        </is>
      </c>
      <c r="B29" s="1" t="n">
        <v>44790</v>
      </c>
      <c r="C29" s="1" t="n">
        <v>45294</v>
      </c>
      <c r="D29" t="inlineStr">
        <is>
          <t>GÄVLEBORGS LÄN</t>
        </is>
      </c>
      <c r="E29" t="inlineStr">
        <is>
          <t>GÄVLE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HYPERLINK("https://klasma.github.io/Logging_2180/artfynd/A 33812-2022 artfynd.xlsx", "A 33812-2022")</f>
        <v/>
      </c>
      <c r="T29">
        <f>HYPERLINK("https://klasma.github.io/Logging_2180/kartor/A 33812-2022 karta.png", "A 33812-2022")</f>
        <v/>
      </c>
      <c r="V29">
        <f>HYPERLINK("https://klasma.github.io/Logging_2180/klagomål/A 33812-2022 FSC-klagomål.docx", "A 33812-2022")</f>
        <v/>
      </c>
      <c r="W29">
        <f>HYPERLINK("https://klasma.github.io/Logging_2180/klagomålsmail/A 33812-2022 FSC-klagomål mail.docx", "A 33812-2022")</f>
        <v/>
      </c>
      <c r="X29">
        <f>HYPERLINK("https://klasma.github.io/Logging_2180/tillsyn/A 33812-2022 tillsynsbegäran.docx", "A 33812-2022")</f>
        <v/>
      </c>
      <c r="Y29">
        <f>HYPERLINK("https://klasma.github.io/Logging_2180/tillsynsmail/A 33812-2022 tillsynsbegäran mail.docx", "A 33812-2022")</f>
        <v/>
      </c>
    </row>
    <row r="30" ht="15" customHeight="1">
      <c r="A30" t="inlineStr">
        <is>
          <t>A 37927-2022</t>
        </is>
      </c>
      <c r="B30" s="1" t="n">
        <v>44811</v>
      </c>
      <c r="C30" s="1" t="n">
        <v>45294</v>
      </c>
      <c r="D30" t="inlineStr">
        <is>
          <t>GÄVLEBORGS LÄN</t>
        </is>
      </c>
      <c r="E30" t="inlineStr">
        <is>
          <t>GÄVLE</t>
        </is>
      </c>
      <c r="G30" t="n">
        <v>1.6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HYPERLINK("https://klasma.github.io/Logging_2180/artfynd/A 37927-2022 artfynd.xlsx", "A 37927-2022")</f>
        <v/>
      </c>
      <c r="T30">
        <f>HYPERLINK("https://klasma.github.io/Logging_2180/kartor/A 37927-2022 karta.png", "A 37927-2022")</f>
        <v/>
      </c>
      <c r="U30">
        <f>HYPERLINK("https://klasma.github.io/Logging_2180/knärot/A 37927-2022 karta knärot.png", "A 37927-2022")</f>
        <v/>
      </c>
      <c r="V30">
        <f>HYPERLINK("https://klasma.github.io/Logging_2180/klagomål/A 37927-2022 FSC-klagomål.docx", "A 37927-2022")</f>
        <v/>
      </c>
      <c r="W30">
        <f>HYPERLINK("https://klasma.github.io/Logging_2180/klagomålsmail/A 37927-2022 FSC-klagomål mail.docx", "A 37927-2022")</f>
        <v/>
      </c>
      <c r="X30">
        <f>HYPERLINK("https://klasma.github.io/Logging_2180/tillsyn/A 37927-2022 tillsynsbegäran.docx", "A 37927-2022")</f>
        <v/>
      </c>
      <c r="Y30">
        <f>HYPERLINK("https://klasma.github.io/Logging_2180/tillsynsmail/A 37927-2022 tillsynsbegäran mail.docx", "A 37927-2022")</f>
        <v/>
      </c>
    </row>
    <row r="31" ht="15" customHeight="1">
      <c r="A31" t="inlineStr">
        <is>
          <t>A 45241-2022</t>
        </is>
      </c>
      <c r="B31" s="1" t="n">
        <v>44840</v>
      </c>
      <c r="C31" s="1" t="n">
        <v>45294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45241-2022 artfynd.xlsx", "A 45241-2022")</f>
        <v/>
      </c>
      <c r="T31">
        <f>HYPERLINK("https://klasma.github.io/Logging_2180/kartor/A 45241-2022 karta.png", "A 45241-2022")</f>
        <v/>
      </c>
      <c r="V31">
        <f>HYPERLINK("https://klasma.github.io/Logging_2180/klagomål/A 45241-2022 FSC-klagomål.docx", "A 45241-2022")</f>
        <v/>
      </c>
      <c r="W31">
        <f>HYPERLINK("https://klasma.github.io/Logging_2180/klagomålsmail/A 45241-2022 FSC-klagomål mail.docx", "A 45241-2022")</f>
        <v/>
      </c>
      <c r="X31">
        <f>HYPERLINK("https://klasma.github.io/Logging_2180/tillsyn/A 45241-2022 tillsynsbegäran.docx", "A 45241-2022")</f>
        <v/>
      </c>
      <c r="Y31">
        <f>HYPERLINK("https://klasma.github.io/Logging_2180/tillsynsmail/A 45241-2022 tillsynsbegäran mail.docx", "A 45241-2022")</f>
        <v/>
      </c>
    </row>
    <row r="32" ht="15" customHeight="1">
      <c r="A32" t="inlineStr">
        <is>
          <t>A 8622-2023</t>
        </is>
      </c>
      <c r="B32" s="1" t="n">
        <v>44977</v>
      </c>
      <c r="C32" s="1" t="n">
        <v>45294</v>
      </c>
      <c r="D32" t="inlineStr">
        <is>
          <t>GÄVLEBORGS LÄN</t>
        </is>
      </c>
      <c r="E32" t="inlineStr">
        <is>
          <t>GÄVLE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HYPERLINK("https://klasma.github.io/Logging_2180/artfynd/A 8622-2023 artfynd.xlsx", "A 8622-2023")</f>
        <v/>
      </c>
      <c r="T32">
        <f>HYPERLINK("https://klasma.github.io/Logging_2180/kartor/A 8622-2023 karta.png", "A 8622-2023")</f>
        <v/>
      </c>
      <c r="U32">
        <f>HYPERLINK("https://klasma.github.io/Logging_2180/knärot/A 8622-2023 karta knärot.png", "A 8622-2023")</f>
        <v/>
      </c>
      <c r="V32">
        <f>HYPERLINK("https://klasma.github.io/Logging_2180/klagomål/A 8622-2023 FSC-klagomål.docx", "A 8622-2023")</f>
        <v/>
      </c>
      <c r="W32">
        <f>HYPERLINK("https://klasma.github.io/Logging_2180/klagomålsmail/A 8622-2023 FSC-klagomål mail.docx", "A 8622-2023")</f>
        <v/>
      </c>
      <c r="X32">
        <f>HYPERLINK("https://klasma.github.io/Logging_2180/tillsyn/A 8622-2023 tillsynsbegäran.docx", "A 8622-2023")</f>
        <v/>
      </c>
      <c r="Y32">
        <f>HYPERLINK("https://klasma.github.io/Logging_2180/tillsynsmail/A 8622-2023 tillsynsbegäran mail.docx", "A 8622-2023")</f>
        <v/>
      </c>
    </row>
    <row r="33" ht="15" customHeight="1">
      <c r="A33" t="inlineStr">
        <is>
          <t>A 20232-2023</t>
        </is>
      </c>
      <c r="B33" s="1" t="n">
        <v>45055</v>
      </c>
      <c r="C33" s="1" t="n">
        <v>45294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12.7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Stor låsbräken</t>
        </is>
      </c>
      <c r="S33">
        <f>HYPERLINK("https://klasma.github.io/Logging_2180/artfynd/A 20232-2023 artfynd.xlsx", "A 20232-2023")</f>
        <v/>
      </c>
      <c r="T33">
        <f>HYPERLINK("https://klasma.github.io/Logging_2180/kartor/A 20232-2023 karta.png", "A 20232-2023")</f>
        <v/>
      </c>
      <c r="V33">
        <f>HYPERLINK("https://klasma.github.io/Logging_2180/klagomål/A 20232-2023 FSC-klagomål.docx", "A 20232-2023")</f>
        <v/>
      </c>
      <c r="W33">
        <f>HYPERLINK("https://klasma.github.io/Logging_2180/klagomålsmail/A 20232-2023 FSC-klagomål mail.docx", "A 20232-2023")</f>
        <v/>
      </c>
      <c r="X33">
        <f>HYPERLINK("https://klasma.github.io/Logging_2180/tillsyn/A 20232-2023 tillsynsbegäran.docx", "A 20232-2023")</f>
        <v/>
      </c>
      <c r="Y33">
        <f>HYPERLINK("https://klasma.github.io/Logging_2180/tillsynsmail/A 20232-2023 tillsynsbegäran mail.docx", "A 20232-2023")</f>
        <v/>
      </c>
    </row>
    <row r="34" ht="15" customHeight="1">
      <c r="A34" t="inlineStr">
        <is>
          <t>A 32254-2023</t>
        </is>
      </c>
      <c r="B34" s="1" t="n">
        <v>45120</v>
      </c>
      <c r="C34" s="1" t="n">
        <v>45294</v>
      </c>
      <c r="D34" t="inlineStr">
        <is>
          <t>GÄVLEBORGS LÄN</t>
        </is>
      </c>
      <c r="E34" t="inlineStr">
        <is>
          <t>GÄVLE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HYPERLINK("https://klasma.github.io/Logging_2180/artfynd/A 32254-2023 artfynd.xlsx", "A 32254-2023")</f>
        <v/>
      </c>
      <c r="T34">
        <f>HYPERLINK("https://klasma.github.io/Logging_2180/kartor/A 32254-2023 karta.png", "A 32254-2023")</f>
        <v/>
      </c>
      <c r="V34">
        <f>HYPERLINK("https://klasma.github.io/Logging_2180/klagomål/A 32254-2023 FSC-klagomål.docx", "A 32254-2023")</f>
        <v/>
      </c>
      <c r="W34">
        <f>HYPERLINK("https://klasma.github.io/Logging_2180/klagomålsmail/A 32254-2023 FSC-klagomål mail.docx", "A 32254-2023")</f>
        <v/>
      </c>
      <c r="X34">
        <f>HYPERLINK("https://klasma.github.io/Logging_2180/tillsyn/A 32254-2023 tillsynsbegäran.docx", "A 32254-2023")</f>
        <v/>
      </c>
      <c r="Y34">
        <f>HYPERLINK("https://klasma.github.io/Logging_2180/tillsynsmail/A 32254-2023 tillsynsbegäran mail.docx", "A 32254-2023")</f>
        <v/>
      </c>
    </row>
    <row r="35" ht="15" customHeight="1">
      <c r="A35" t="inlineStr">
        <is>
          <t>A 51550-2023</t>
        </is>
      </c>
      <c r="B35" s="1" t="n">
        <v>45222</v>
      </c>
      <c r="C35" s="1" t="n">
        <v>45294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16.4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HYPERLINK("https://klasma.github.io/Logging_2180/artfynd/A 51550-2023 artfynd.xlsx", "A 51550-2023")</f>
        <v/>
      </c>
      <c r="T35">
        <f>HYPERLINK("https://klasma.github.io/Logging_2180/kartor/A 51550-2023 karta.png", "A 51550-2023")</f>
        <v/>
      </c>
      <c r="V35">
        <f>HYPERLINK("https://klasma.github.io/Logging_2180/klagomål/A 51550-2023 FSC-klagomål.docx", "A 51550-2023")</f>
        <v/>
      </c>
      <c r="W35">
        <f>HYPERLINK("https://klasma.github.io/Logging_2180/klagomålsmail/A 51550-2023 FSC-klagomål mail.docx", "A 51550-2023")</f>
        <v/>
      </c>
      <c r="X35">
        <f>HYPERLINK("https://klasma.github.io/Logging_2180/tillsyn/A 51550-2023 tillsynsbegäran.docx", "A 51550-2023")</f>
        <v/>
      </c>
      <c r="Y35">
        <f>HYPERLINK("https://klasma.github.io/Logging_2180/tillsynsmail/A 51550-2023 tillsynsbegäran mail.docx", "A 51550-2023")</f>
        <v/>
      </c>
    </row>
    <row r="36" ht="15" customHeight="1">
      <c r="A36" t="inlineStr">
        <is>
          <t>A 56368-2023</t>
        </is>
      </c>
      <c r="B36" s="1" t="n">
        <v>45243</v>
      </c>
      <c r="C36" s="1" t="n">
        <v>45294</v>
      </c>
      <c r="D36" t="inlineStr">
        <is>
          <t>GÄVLEBORGS LÄN</t>
        </is>
      </c>
      <c r="E36" t="inlineStr">
        <is>
          <t>GÄVLE</t>
        </is>
      </c>
      <c r="G36" t="n">
        <v>10.8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56368-2023 artfynd.xlsx", "A 56368-2023")</f>
        <v/>
      </c>
      <c r="T36">
        <f>HYPERLINK("https://klasma.github.io/Logging_2180/kartor/A 56368-2023 karta.png", "A 56368-2023")</f>
        <v/>
      </c>
      <c r="U36">
        <f>HYPERLINK("https://klasma.github.io/Logging_2180/knärot/A 56368-2023 karta knärot.png", "A 56368-2023")</f>
        <v/>
      </c>
      <c r="V36">
        <f>HYPERLINK("https://klasma.github.io/Logging_2180/klagomål/A 56368-2023 FSC-klagomål.docx", "A 56368-2023")</f>
        <v/>
      </c>
      <c r="W36">
        <f>HYPERLINK("https://klasma.github.io/Logging_2180/klagomålsmail/A 56368-2023 FSC-klagomål mail.docx", "A 56368-2023")</f>
        <v/>
      </c>
      <c r="X36">
        <f>HYPERLINK("https://klasma.github.io/Logging_2180/tillsyn/A 56368-2023 tillsynsbegäran.docx", "A 56368-2023")</f>
        <v/>
      </c>
      <c r="Y36">
        <f>HYPERLINK("https://klasma.github.io/Logging_2180/tillsynsmail/A 56368-2023 tillsynsbegäran mail.docx", "A 56368-2023")</f>
        <v/>
      </c>
    </row>
    <row r="37" ht="15" customHeight="1">
      <c r="A37" t="inlineStr">
        <is>
          <t>A 36861-2018</t>
        </is>
      </c>
      <c r="B37" s="1" t="n">
        <v>43332</v>
      </c>
      <c r="C37" s="1" t="n">
        <v>45294</v>
      </c>
      <c r="D37" t="inlineStr">
        <is>
          <t>GÄVLEBORGS LÄN</t>
        </is>
      </c>
      <c r="E37" t="inlineStr">
        <is>
          <t>GÄVLE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41117-2018</t>
        </is>
      </c>
      <c r="B38" s="1" t="n">
        <v>43348</v>
      </c>
      <c r="C38" s="1" t="n">
        <v>45294</v>
      </c>
      <c r="D38" t="inlineStr">
        <is>
          <t>GÄVLEBORGS LÄN</t>
        </is>
      </c>
      <c r="E38" t="inlineStr">
        <is>
          <t>GÄVLE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44238-2018</t>
        </is>
      </c>
      <c r="B39" s="1" t="n">
        <v>43360</v>
      </c>
      <c r="C39" s="1" t="n">
        <v>45294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59762-2018</t>
        </is>
      </c>
      <c r="B40" s="1" t="n">
        <v>43382</v>
      </c>
      <c r="C40" s="1" t="n">
        <v>45294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57113-2018</t>
        </is>
      </c>
      <c r="B41" s="1" t="n">
        <v>43403</v>
      </c>
      <c r="C41" s="1" t="n">
        <v>45294</v>
      </c>
      <c r="D41" t="inlineStr">
        <is>
          <t>GÄVLEBORGS LÄN</t>
        </is>
      </c>
      <c r="E41" t="inlineStr">
        <is>
          <t>GÄVLE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59123-2018</t>
        </is>
      </c>
      <c r="B42" s="1" t="n">
        <v>43411</v>
      </c>
      <c r="C42" s="1" t="n">
        <v>45294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59115-2018</t>
        </is>
      </c>
      <c r="B43" s="1" t="n">
        <v>43411</v>
      </c>
      <c r="C43" s="1" t="n">
        <v>45294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58965-2018</t>
        </is>
      </c>
      <c r="B44" s="1" t="n">
        <v>43413</v>
      </c>
      <c r="C44" s="1" t="n">
        <v>45294</v>
      </c>
      <c r="D44" t="inlineStr">
        <is>
          <t>GÄVLEBORGS LÄN</t>
        </is>
      </c>
      <c r="E44" t="inlineStr">
        <is>
          <t>GÄVLE</t>
        </is>
      </c>
      <c r="F44" t="inlineStr">
        <is>
          <t>Övriga statliga verk och myndigheter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59397-2018</t>
        </is>
      </c>
      <c r="B45" s="1" t="n">
        <v>43418</v>
      </c>
      <c r="C45" s="1" t="n">
        <v>45294</v>
      </c>
      <c r="D45" t="inlineStr">
        <is>
          <t>GÄVLEBORGS LÄN</t>
        </is>
      </c>
      <c r="E45" t="inlineStr">
        <is>
          <t>GÄVLE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63067-2018</t>
        </is>
      </c>
      <c r="B46" s="1" t="n">
        <v>43418</v>
      </c>
      <c r="C46" s="1" t="n">
        <v>45294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64795-2018</t>
        </is>
      </c>
      <c r="B47" s="1" t="n">
        <v>43423</v>
      </c>
      <c r="C47" s="1" t="n">
        <v>45294</v>
      </c>
      <c r="D47" t="inlineStr">
        <is>
          <t>GÄVLEBORGS LÄN</t>
        </is>
      </c>
      <c r="E47" t="inlineStr">
        <is>
          <t>GÄVLE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61617-2018</t>
        </is>
      </c>
      <c r="B48" s="1" t="n">
        <v>43424</v>
      </c>
      <c r="C48" s="1" t="n">
        <v>45294</v>
      </c>
      <c r="D48" t="inlineStr">
        <is>
          <t>GÄVLEBORGS LÄN</t>
        </is>
      </c>
      <c r="E48" t="inlineStr">
        <is>
          <t>GÄVLE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62909-2018</t>
        </is>
      </c>
      <c r="B49" s="1" t="n">
        <v>43426</v>
      </c>
      <c r="C49" s="1" t="n">
        <v>45294</v>
      </c>
      <c r="D49" t="inlineStr">
        <is>
          <t>GÄVLEBORGS LÄN</t>
        </is>
      </c>
      <c r="E49" t="inlineStr">
        <is>
          <t>GÄVLE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64168-2018</t>
        </is>
      </c>
      <c r="B50" s="1" t="n">
        <v>43430</v>
      </c>
      <c r="C50" s="1" t="n">
        <v>45294</v>
      </c>
      <c r="D50" t="inlineStr">
        <is>
          <t>GÄVLEBORGS LÄN</t>
        </is>
      </c>
      <c r="E50" t="inlineStr">
        <is>
          <t>GÄVLE</t>
        </is>
      </c>
      <c r="G50" t="n">
        <v>10.2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63980-2018</t>
        </is>
      </c>
      <c r="B51" s="1" t="n">
        <v>43430</v>
      </c>
      <c r="C51" s="1" t="n">
        <v>45294</v>
      </c>
      <c r="D51" t="inlineStr">
        <is>
          <t>GÄVLEBORGS LÄN</t>
        </is>
      </c>
      <c r="E51" t="inlineStr">
        <is>
          <t>GÄVLE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64539-2018</t>
        </is>
      </c>
      <c r="B52" s="1" t="n">
        <v>43431</v>
      </c>
      <c r="C52" s="1" t="n">
        <v>45294</v>
      </c>
      <c r="D52" t="inlineStr">
        <is>
          <t>GÄVLEBORGS LÄN</t>
        </is>
      </c>
      <c r="E52" t="inlineStr">
        <is>
          <t>GÄVLE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67764-2018</t>
        </is>
      </c>
      <c r="B53" s="1" t="n">
        <v>43440</v>
      </c>
      <c r="C53" s="1" t="n">
        <v>45294</v>
      </c>
      <c r="D53" t="inlineStr">
        <is>
          <t>GÄVLEBORGS LÄN</t>
        </is>
      </c>
      <c r="E53" t="inlineStr">
        <is>
          <t>GÄVLE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69772-2018</t>
        </is>
      </c>
      <c r="B54" s="1" t="n">
        <v>43447</v>
      </c>
      <c r="C54" s="1" t="n">
        <v>45294</v>
      </c>
      <c r="D54" t="inlineStr">
        <is>
          <t>GÄVLEBORGS LÄN</t>
        </is>
      </c>
      <c r="E54" t="inlineStr">
        <is>
          <t>GÄVLE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69719-2018</t>
        </is>
      </c>
      <c r="B55" s="1" t="n">
        <v>43447</v>
      </c>
      <c r="C55" s="1" t="n">
        <v>45294</v>
      </c>
      <c r="D55" t="inlineStr">
        <is>
          <t>GÄVLEBORGS LÄN</t>
        </is>
      </c>
      <c r="E55" t="inlineStr">
        <is>
          <t>GÄVLE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69726-2018</t>
        </is>
      </c>
      <c r="B56" s="1" t="n">
        <v>43447</v>
      </c>
      <c r="C56" s="1" t="n">
        <v>45294</v>
      </c>
      <c r="D56" t="inlineStr">
        <is>
          <t>GÄVLEBORGS LÄN</t>
        </is>
      </c>
      <c r="E56" t="inlineStr">
        <is>
          <t>GÄVLE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69851-2018</t>
        </is>
      </c>
      <c r="B57" s="1" t="n">
        <v>43447</v>
      </c>
      <c r="C57" s="1" t="n">
        <v>45294</v>
      </c>
      <c r="D57" t="inlineStr">
        <is>
          <t>GÄVLEBORGS LÄN</t>
        </is>
      </c>
      <c r="E57" t="inlineStr">
        <is>
          <t>GÄVLE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69846-2018</t>
        </is>
      </c>
      <c r="B58" s="1" t="n">
        <v>43447</v>
      </c>
      <c r="C58" s="1" t="n">
        <v>45294</v>
      </c>
      <c r="D58" t="inlineStr">
        <is>
          <t>GÄVLEBORGS LÄN</t>
        </is>
      </c>
      <c r="E58" t="inlineStr">
        <is>
          <t>GÄVLE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69840-2018</t>
        </is>
      </c>
      <c r="B59" s="1" t="n">
        <v>43447</v>
      </c>
      <c r="C59" s="1" t="n">
        <v>45294</v>
      </c>
      <c r="D59" t="inlineStr">
        <is>
          <t>GÄVLEBORGS LÄN</t>
        </is>
      </c>
      <c r="E59" t="inlineStr">
        <is>
          <t>GÄVLE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71498-2018</t>
        </is>
      </c>
      <c r="B60" s="1" t="n">
        <v>43453</v>
      </c>
      <c r="C60" s="1" t="n">
        <v>45294</v>
      </c>
      <c r="D60" t="inlineStr">
        <is>
          <t>GÄVLEBORGS LÄN</t>
        </is>
      </c>
      <c r="E60" t="inlineStr">
        <is>
          <t>GÄVLE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71527-2018</t>
        </is>
      </c>
      <c r="B61" s="1" t="n">
        <v>43454</v>
      </c>
      <c r="C61" s="1" t="n">
        <v>45294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1447-2019</t>
        </is>
      </c>
      <c r="B62" s="1" t="n">
        <v>43473</v>
      </c>
      <c r="C62" s="1" t="n">
        <v>45294</v>
      </c>
      <c r="D62" t="inlineStr">
        <is>
          <t>GÄVLEBORGS LÄN</t>
        </is>
      </c>
      <c r="E62" t="inlineStr">
        <is>
          <t>GÄVLE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2512-2019</t>
        </is>
      </c>
      <c r="B63" s="1" t="n">
        <v>43476</v>
      </c>
      <c r="C63" s="1" t="n">
        <v>45294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2644-2019</t>
        </is>
      </c>
      <c r="B64" s="1" t="n">
        <v>43478</v>
      </c>
      <c r="C64" s="1" t="n">
        <v>45294</v>
      </c>
      <c r="D64" t="inlineStr">
        <is>
          <t>GÄVLEBORGS LÄN</t>
        </is>
      </c>
      <c r="E64" t="inlineStr">
        <is>
          <t>GÄVLE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2840-2019</t>
        </is>
      </c>
      <c r="B65" s="1" t="n">
        <v>43479</v>
      </c>
      <c r="C65" s="1" t="n">
        <v>45294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3356-2019</t>
        </is>
      </c>
      <c r="B66" s="1" t="n">
        <v>43480</v>
      </c>
      <c r="C66" s="1" t="n">
        <v>45294</v>
      </c>
      <c r="D66" t="inlineStr">
        <is>
          <t>GÄVLEBORGS LÄN</t>
        </is>
      </c>
      <c r="E66" t="inlineStr">
        <is>
          <t>GÄVLE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3508-2019</t>
        </is>
      </c>
      <c r="B67" s="1" t="n">
        <v>43481</v>
      </c>
      <c r="C67" s="1" t="n">
        <v>45294</v>
      </c>
      <c r="D67" t="inlineStr">
        <is>
          <t>GÄVLEBORGS LÄN</t>
        </is>
      </c>
      <c r="E67" t="inlineStr">
        <is>
          <t>GÄVLE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4019-2019</t>
        </is>
      </c>
      <c r="B68" s="1" t="n">
        <v>43482</v>
      </c>
      <c r="C68" s="1" t="n">
        <v>45294</v>
      </c>
      <c r="D68" t="inlineStr">
        <is>
          <t>GÄVLEBORGS LÄN</t>
        </is>
      </c>
      <c r="E68" t="inlineStr">
        <is>
          <t>GÄVLE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6191-2019</t>
        </is>
      </c>
      <c r="B69" s="1" t="n">
        <v>43486</v>
      </c>
      <c r="C69" s="1" t="n">
        <v>45294</v>
      </c>
      <c r="D69" t="inlineStr">
        <is>
          <t>GÄVLEBORGS LÄN</t>
        </is>
      </c>
      <c r="E69" t="inlineStr">
        <is>
          <t>GÄVLE</t>
        </is>
      </c>
      <c r="G69" t="n">
        <v>9.4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6234-2019</t>
        </is>
      </c>
      <c r="B70" s="1" t="n">
        <v>43486</v>
      </c>
      <c r="C70" s="1" t="n">
        <v>45294</v>
      </c>
      <c r="D70" t="inlineStr">
        <is>
          <t>GÄVLEBORGS LÄN</t>
        </is>
      </c>
      <c r="E70" t="inlineStr">
        <is>
          <t>GÄVLE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6215-2019</t>
        </is>
      </c>
      <c r="B71" s="1" t="n">
        <v>43486</v>
      </c>
      <c r="C71" s="1" t="n">
        <v>45294</v>
      </c>
      <c r="D71" t="inlineStr">
        <is>
          <t>GÄVLEBORGS LÄN</t>
        </is>
      </c>
      <c r="E71" t="inlineStr">
        <is>
          <t>GÄVLE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5641-2019</t>
        </is>
      </c>
      <c r="B72" s="1" t="n">
        <v>43489</v>
      </c>
      <c r="C72" s="1" t="n">
        <v>45294</v>
      </c>
      <c r="D72" t="inlineStr">
        <is>
          <t>GÄVLEBORGS LÄN</t>
        </is>
      </c>
      <c r="E72" t="inlineStr">
        <is>
          <t>GÄVLE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5608-2019</t>
        </is>
      </c>
      <c r="B73" s="1" t="n">
        <v>43489</v>
      </c>
      <c r="C73" s="1" t="n">
        <v>45294</v>
      </c>
      <c r="D73" t="inlineStr">
        <is>
          <t>GÄVLEBORGS LÄN</t>
        </is>
      </c>
      <c r="E73" t="inlineStr">
        <is>
          <t>GÄVLE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5581-2019</t>
        </is>
      </c>
      <c r="B74" s="1" t="n">
        <v>43489</v>
      </c>
      <c r="C74" s="1" t="n">
        <v>45294</v>
      </c>
      <c r="D74" t="inlineStr">
        <is>
          <t>GÄVLEBORGS LÄN</t>
        </is>
      </c>
      <c r="E74" t="inlineStr">
        <is>
          <t>GÄVLE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5634-2019</t>
        </is>
      </c>
      <c r="B75" s="1" t="n">
        <v>43489</v>
      </c>
      <c r="C75" s="1" t="n">
        <v>45294</v>
      </c>
      <c r="D75" t="inlineStr">
        <is>
          <t>GÄVLEBORGS LÄN</t>
        </is>
      </c>
      <c r="E75" t="inlineStr">
        <is>
          <t>GÄVLE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7684-2019</t>
        </is>
      </c>
      <c r="B76" s="1" t="n">
        <v>43493</v>
      </c>
      <c r="C76" s="1" t="n">
        <v>45294</v>
      </c>
      <c r="D76" t="inlineStr">
        <is>
          <t>GÄVLEBORGS LÄN</t>
        </is>
      </c>
      <c r="E76" t="inlineStr">
        <is>
          <t>GÄVLE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6864-2019</t>
        </is>
      </c>
      <c r="B77" s="1" t="n">
        <v>43495</v>
      </c>
      <c r="C77" s="1" t="n">
        <v>45294</v>
      </c>
      <c r="D77" t="inlineStr">
        <is>
          <t>GÄVLEBORGS LÄN</t>
        </is>
      </c>
      <c r="E77" t="inlineStr">
        <is>
          <t>GÄVLE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8310-2019</t>
        </is>
      </c>
      <c r="B78" s="1" t="n">
        <v>43502</v>
      </c>
      <c r="C78" s="1" t="n">
        <v>45294</v>
      </c>
      <c r="D78" t="inlineStr">
        <is>
          <t>GÄVLEBORGS LÄN</t>
        </is>
      </c>
      <c r="E78" t="inlineStr">
        <is>
          <t>GÄVLE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9639-2019</t>
        </is>
      </c>
      <c r="B79" s="1" t="n">
        <v>43508</v>
      </c>
      <c r="C79" s="1" t="n">
        <v>45294</v>
      </c>
      <c r="D79" t="inlineStr">
        <is>
          <t>GÄVLEBORGS LÄN</t>
        </is>
      </c>
      <c r="E79" t="inlineStr">
        <is>
          <t>GÄVLE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9852-2019</t>
        </is>
      </c>
      <c r="B80" s="1" t="n">
        <v>43509</v>
      </c>
      <c r="C80" s="1" t="n">
        <v>45294</v>
      </c>
      <c r="D80" t="inlineStr">
        <is>
          <t>GÄVLEBORGS LÄN</t>
        </is>
      </c>
      <c r="E80" t="inlineStr">
        <is>
          <t>GÄVLE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10030-2019</t>
        </is>
      </c>
      <c r="B81" s="1" t="n">
        <v>43510</v>
      </c>
      <c r="C81" s="1" t="n">
        <v>45294</v>
      </c>
      <c r="D81" t="inlineStr">
        <is>
          <t>GÄVLEBORGS LÄN</t>
        </is>
      </c>
      <c r="E81" t="inlineStr">
        <is>
          <t>GÄVLE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10316-2019</t>
        </is>
      </c>
      <c r="B82" s="1" t="n">
        <v>43511</v>
      </c>
      <c r="C82" s="1" t="n">
        <v>45294</v>
      </c>
      <c r="D82" t="inlineStr">
        <is>
          <t>GÄVLEBORGS LÄN</t>
        </is>
      </c>
      <c r="E82" t="inlineStr">
        <is>
          <t>GÄVLE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13562-2019</t>
        </is>
      </c>
      <c r="B83" s="1" t="n">
        <v>43530</v>
      </c>
      <c r="C83" s="1" t="n">
        <v>45294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14923-2019</t>
        </is>
      </c>
      <c r="B84" s="1" t="n">
        <v>43537</v>
      </c>
      <c r="C84" s="1" t="n">
        <v>45294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18398-2019</t>
        </is>
      </c>
      <c r="B85" s="1" t="n">
        <v>43559</v>
      </c>
      <c r="C85" s="1" t="n">
        <v>45294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18473-2019</t>
        </is>
      </c>
      <c r="B86" s="1" t="n">
        <v>43559</v>
      </c>
      <c r="C86" s="1" t="n">
        <v>45294</v>
      </c>
      <c r="D86" t="inlineStr">
        <is>
          <t>GÄVLEBORGS LÄN</t>
        </is>
      </c>
      <c r="E86" t="inlineStr">
        <is>
          <t>GÄVLE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19418-2019</t>
        </is>
      </c>
      <c r="B87" s="1" t="n">
        <v>43565</v>
      </c>
      <c r="C87" s="1" t="n">
        <v>45294</v>
      </c>
      <c r="D87" t="inlineStr">
        <is>
          <t>GÄVLEBORGS LÄN</t>
        </is>
      </c>
      <c r="E87" t="inlineStr">
        <is>
          <t>GÄVLE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19856-2019</t>
        </is>
      </c>
      <c r="B88" s="1" t="n">
        <v>43567</v>
      </c>
      <c r="C88" s="1" t="n">
        <v>45294</v>
      </c>
      <c r="D88" t="inlineStr">
        <is>
          <t>GÄVLEBORGS LÄN</t>
        </is>
      </c>
      <c r="E88" t="inlineStr">
        <is>
          <t>GÄVLE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19891-2019</t>
        </is>
      </c>
      <c r="B89" s="1" t="n">
        <v>43567</v>
      </c>
      <c r="C89" s="1" t="n">
        <v>45294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20858-2019</t>
        </is>
      </c>
      <c r="B90" s="1" t="n">
        <v>43578</v>
      </c>
      <c r="C90" s="1" t="n">
        <v>45294</v>
      </c>
      <c r="D90" t="inlineStr">
        <is>
          <t>GÄVLEBORGS LÄN</t>
        </is>
      </c>
      <c r="E90" t="inlineStr">
        <is>
          <t>GÄVLE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20872-2019</t>
        </is>
      </c>
      <c r="B91" s="1" t="n">
        <v>43578</v>
      </c>
      <c r="C91" s="1" t="n">
        <v>45294</v>
      </c>
      <c r="D91" t="inlineStr">
        <is>
          <t>GÄVLEBORGS LÄN</t>
        </is>
      </c>
      <c r="E91" t="inlineStr">
        <is>
          <t>GÄVLE</t>
        </is>
      </c>
      <c r="G91" t="n">
        <v>9.699999999999999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21347-2019</t>
        </is>
      </c>
      <c r="B92" s="1" t="n">
        <v>43579</v>
      </c>
      <c r="C92" s="1" t="n">
        <v>45294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22617-2019</t>
        </is>
      </c>
      <c r="B93" s="1" t="n">
        <v>43588</v>
      </c>
      <c r="C93" s="1" t="n">
        <v>45294</v>
      </c>
      <c r="D93" t="inlineStr">
        <is>
          <t>GÄVLEBORGS LÄN</t>
        </is>
      </c>
      <c r="E93" t="inlineStr">
        <is>
          <t>GÄVLE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22611-2019</t>
        </is>
      </c>
      <c r="B94" s="1" t="n">
        <v>43588</v>
      </c>
      <c r="C94" s="1" t="n">
        <v>45294</v>
      </c>
      <c r="D94" t="inlineStr">
        <is>
          <t>GÄVLEBORGS LÄN</t>
        </is>
      </c>
      <c r="E94" t="inlineStr">
        <is>
          <t>GÄVLE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22609-2019</t>
        </is>
      </c>
      <c r="B95" s="1" t="n">
        <v>43588</v>
      </c>
      <c r="C95" s="1" t="n">
        <v>45294</v>
      </c>
      <c r="D95" t="inlineStr">
        <is>
          <t>GÄVLEBORGS LÄN</t>
        </is>
      </c>
      <c r="E95" t="inlineStr">
        <is>
          <t>GÄVLE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24677-2019</t>
        </is>
      </c>
      <c r="B96" s="1" t="n">
        <v>43601</v>
      </c>
      <c r="C96" s="1" t="n">
        <v>45294</v>
      </c>
      <c r="D96" t="inlineStr">
        <is>
          <t>GÄVLEBORGS LÄN</t>
        </is>
      </c>
      <c r="E96" t="inlineStr">
        <is>
          <t>GÄVLE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25306-2019</t>
        </is>
      </c>
      <c r="B97" s="1" t="n">
        <v>43605</v>
      </c>
      <c r="C97" s="1" t="n">
        <v>45294</v>
      </c>
      <c r="D97" t="inlineStr">
        <is>
          <t>GÄVLEBORGS LÄN</t>
        </is>
      </c>
      <c r="E97" t="inlineStr">
        <is>
          <t>GÄVLE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26464-2019</t>
        </is>
      </c>
      <c r="B98" s="1" t="n">
        <v>43612</v>
      </c>
      <c r="C98" s="1" t="n">
        <v>45294</v>
      </c>
      <c r="D98" t="inlineStr">
        <is>
          <t>GÄVLEBORGS LÄN</t>
        </is>
      </c>
      <c r="E98" t="inlineStr">
        <is>
          <t>GÄVLE</t>
        </is>
      </c>
      <c r="F98" t="inlineStr">
        <is>
          <t>Bergvik skog öst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27118-2019</t>
        </is>
      </c>
      <c r="B99" s="1" t="n">
        <v>43614</v>
      </c>
      <c r="C99" s="1" t="n">
        <v>45294</v>
      </c>
      <c r="D99" t="inlineStr">
        <is>
          <t>GÄVLEBORGS LÄN</t>
        </is>
      </c>
      <c r="E99" t="inlineStr">
        <is>
          <t>GÄVLE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28316-2019</t>
        </is>
      </c>
      <c r="B100" s="1" t="n">
        <v>43623</v>
      </c>
      <c r="C100" s="1" t="n">
        <v>45294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28559-2019</t>
        </is>
      </c>
      <c r="B101" s="1" t="n">
        <v>43626</v>
      </c>
      <c r="C101" s="1" t="n">
        <v>45294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väst AB</t>
        </is>
      </c>
      <c r="G101" t="n">
        <v>19.7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30581-2019</t>
        </is>
      </c>
      <c r="B102" s="1" t="n">
        <v>43635</v>
      </c>
      <c r="C102" s="1" t="n">
        <v>45294</v>
      </c>
      <c r="D102" t="inlineStr">
        <is>
          <t>GÄVLEBORGS LÄN</t>
        </is>
      </c>
      <c r="E102" t="inlineStr">
        <is>
          <t>GÄVLE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30567-2019</t>
        </is>
      </c>
      <c r="B103" s="1" t="n">
        <v>43635</v>
      </c>
      <c r="C103" s="1" t="n">
        <v>45294</v>
      </c>
      <c r="D103" t="inlineStr">
        <is>
          <t>GÄVLEBORGS LÄN</t>
        </is>
      </c>
      <c r="E103" t="inlineStr">
        <is>
          <t>GÄVLE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30821-2019</t>
        </is>
      </c>
      <c r="B104" s="1" t="n">
        <v>43636</v>
      </c>
      <c r="C104" s="1" t="n">
        <v>45294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33228-2019</t>
        </is>
      </c>
      <c r="B105" s="1" t="n">
        <v>43650</v>
      </c>
      <c r="C105" s="1" t="n">
        <v>45294</v>
      </c>
      <c r="D105" t="inlineStr">
        <is>
          <t>GÄVLEBORGS LÄN</t>
        </is>
      </c>
      <c r="E105" t="inlineStr">
        <is>
          <t>GÄVLE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33580-2019</t>
        </is>
      </c>
      <c r="B106" s="1" t="n">
        <v>43651</v>
      </c>
      <c r="C106" s="1" t="n">
        <v>45294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35208-2019</t>
        </is>
      </c>
      <c r="B107" s="1" t="n">
        <v>43662</v>
      </c>
      <c r="C107" s="1" t="n">
        <v>45294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41483-2019</t>
        </is>
      </c>
      <c r="B108" s="1" t="n">
        <v>43696</v>
      </c>
      <c r="C108" s="1" t="n">
        <v>45294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40440-2019</t>
        </is>
      </c>
      <c r="B109" s="1" t="n">
        <v>43696</v>
      </c>
      <c r="C109" s="1" t="n">
        <v>45294</v>
      </c>
      <c r="D109" t="inlineStr">
        <is>
          <t>GÄVLEBORGS LÄN</t>
        </is>
      </c>
      <c r="E109" t="inlineStr">
        <is>
          <t>GÄVLE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41223-2019</t>
        </is>
      </c>
      <c r="B110" s="1" t="n">
        <v>43698</v>
      </c>
      <c r="C110" s="1" t="n">
        <v>45294</v>
      </c>
      <c r="D110" t="inlineStr">
        <is>
          <t>GÄVLEBORGS LÄN</t>
        </is>
      </c>
      <c r="E110" t="inlineStr">
        <is>
          <t>GÄVLE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41977-2019</t>
        </is>
      </c>
      <c r="B111" s="1" t="n">
        <v>43700</v>
      </c>
      <c r="C111" s="1" t="n">
        <v>45294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43287-2019</t>
        </is>
      </c>
      <c r="B112" s="1" t="n">
        <v>43706</v>
      </c>
      <c r="C112" s="1" t="n">
        <v>45294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43610-2019</t>
        </is>
      </c>
      <c r="B113" s="1" t="n">
        <v>43707</v>
      </c>
      <c r="C113" s="1" t="n">
        <v>45294</v>
      </c>
      <c r="D113" t="inlineStr">
        <is>
          <t>GÄVLEBORGS LÄN</t>
        </is>
      </c>
      <c r="E113" t="inlineStr">
        <is>
          <t>GÄVLE</t>
        </is>
      </c>
      <c r="F113" t="inlineStr">
        <is>
          <t>Kyrkan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45358-2019</t>
        </is>
      </c>
      <c r="B114" s="1" t="n">
        <v>43714</v>
      </c>
      <c r="C114" s="1" t="n">
        <v>45294</v>
      </c>
      <c r="D114" t="inlineStr">
        <is>
          <t>GÄVLEBORGS LÄN</t>
        </is>
      </c>
      <c r="E114" t="inlineStr">
        <is>
          <t>GÄVLE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46014-2019</t>
        </is>
      </c>
      <c r="B115" s="1" t="n">
        <v>43718</v>
      </c>
      <c r="C115" s="1" t="n">
        <v>45294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46444-2019</t>
        </is>
      </c>
      <c r="B116" s="1" t="n">
        <v>43719</v>
      </c>
      <c r="C116" s="1" t="n">
        <v>45294</v>
      </c>
      <c r="D116" t="inlineStr">
        <is>
          <t>GÄVLEBORGS LÄN</t>
        </is>
      </c>
      <c r="E116" t="inlineStr">
        <is>
          <t>GÄVLE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46442-2019</t>
        </is>
      </c>
      <c r="B117" s="1" t="n">
        <v>43719</v>
      </c>
      <c r="C117" s="1" t="n">
        <v>45294</v>
      </c>
      <c r="D117" t="inlineStr">
        <is>
          <t>GÄVLEBORGS LÄN</t>
        </is>
      </c>
      <c r="E117" t="inlineStr">
        <is>
          <t>GÄVLE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47378-2019</t>
        </is>
      </c>
      <c r="B118" s="1" t="n">
        <v>43721</v>
      </c>
      <c r="C118" s="1" t="n">
        <v>45294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48641-2019</t>
        </is>
      </c>
      <c r="B119" s="1" t="n">
        <v>43728</v>
      </c>
      <c r="C119" s="1" t="n">
        <v>45294</v>
      </c>
      <c r="D119" t="inlineStr">
        <is>
          <t>GÄVLEBORGS LÄN</t>
        </is>
      </c>
      <c r="E119" t="inlineStr">
        <is>
          <t>GÄVLE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48642-2019</t>
        </is>
      </c>
      <c r="B120" s="1" t="n">
        <v>43728</v>
      </c>
      <c r="C120" s="1" t="n">
        <v>45294</v>
      </c>
      <c r="D120" t="inlineStr">
        <is>
          <t>GÄVLEBORGS LÄN</t>
        </is>
      </c>
      <c r="E120" t="inlineStr">
        <is>
          <t>GÄVLE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48647-2019</t>
        </is>
      </c>
      <c r="B121" s="1" t="n">
        <v>43728</v>
      </c>
      <c r="C121" s="1" t="n">
        <v>45294</v>
      </c>
      <c r="D121" t="inlineStr">
        <is>
          <t>GÄVLEBORGS LÄN</t>
        </is>
      </c>
      <c r="E121" t="inlineStr">
        <is>
          <t>GÄVLE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49573-2019</t>
        </is>
      </c>
      <c r="B122" s="1" t="n">
        <v>43732</v>
      </c>
      <c r="C122" s="1" t="n">
        <v>45294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50333-2019</t>
        </is>
      </c>
      <c r="B123" s="1" t="n">
        <v>43735</v>
      </c>
      <c r="C123" s="1" t="n">
        <v>45294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52743-2019</t>
        </is>
      </c>
      <c r="B124" s="1" t="n">
        <v>43746</v>
      </c>
      <c r="C124" s="1" t="n">
        <v>45294</v>
      </c>
      <c r="D124" t="inlineStr">
        <is>
          <t>GÄVLEBORGS LÄN</t>
        </is>
      </c>
      <c r="E124" t="inlineStr">
        <is>
          <t>GÄVLE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54773-2019</t>
        </is>
      </c>
      <c r="B125" s="1" t="n">
        <v>43755</v>
      </c>
      <c r="C125" s="1" t="n">
        <v>45294</v>
      </c>
      <c r="D125" t="inlineStr">
        <is>
          <t>GÄVLEBORGS LÄN</t>
        </is>
      </c>
      <c r="E125" t="inlineStr">
        <is>
          <t>GÄVLE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55857-2019</t>
        </is>
      </c>
      <c r="B126" s="1" t="n">
        <v>43759</v>
      </c>
      <c r="C126" s="1" t="n">
        <v>45294</v>
      </c>
      <c r="D126" t="inlineStr">
        <is>
          <t>GÄVLEBORGS LÄN</t>
        </is>
      </c>
      <c r="E126" t="inlineStr">
        <is>
          <t>GÄVLE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55774-2019</t>
        </is>
      </c>
      <c r="B127" s="1" t="n">
        <v>43761</v>
      </c>
      <c r="C127" s="1" t="n">
        <v>45294</v>
      </c>
      <c r="D127" t="inlineStr">
        <is>
          <t>GÄVLEBORGS LÄN</t>
        </is>
      </c>
      <c r="E127" t="inlineStr">
        <is>
          <t>GÄVLE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55742-2019</t>
        </is>
      </c>
      <c r="B128" s="1" t="n">
        <v>43761</v>
      </c>
      <c r="C128" s="1" t="n">
        <v>45294</v>
      </c>
      <c r="D128" t="inlineStr">
        <is>
          <t>GÄVLEBORGS LÄN</t>
        </is>
      </c>
      <c r="E128" t="inlineStr">
        <is>
          <t>GÄVLE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56670-2019</t>
        </is>
      </c>
      <c r="B129" s="1" t="n">
        <v>43763</v>
      </c>
      <c r="C129" s="1" t="n">
        <v>45294</v>
      </c>
      <c r="D129" t="inlineStr">
        <is>
          <t>GÄVLEBORGS LÄN</t>
        </is>
      </c>
      <c r="E129" t="inlineStr">
        <is>
          <t>GÄVLE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57453-2019</t>
        </is>
      </c>
      <c r="B130" s="1" t="n">
        <v>43767</v>
      </c>
      <c r="C130" s="1" t="n">
        <v>45294</v>
      </c>
      <c r="D130" t="inlineStr">
        <is>
          <t>GÄVLEBORGS LÄN</t>
        </is>
      </c>
      <c r="E130" t="inlineStr">
        <is>
          <t>GÄVLE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58287-2019</t>
        </is>
      </c>
      <c r="B131" s="1" t="n">
        <v>43770</v>
      </c>
      <c r="C131" s="1" t="n">
        <v>45294</v>
      </c>
      <c r="D131" t="inlineStr">
        <is>
          <t>GÄVLEBORGS LÄN</t>
        </is>
      </c>
      <c r="E131" t="inlineStr">
        <is>
          <t>GÄVLE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58296-2019</t>
        </is>
      </c>
      <c r="B132" s="1" t="n">
        <v>43770</v>
      </c>
      <c r="C132" s="1" t="n">
        <v>45294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59734-2019</t>
        </is>
      </c>
      <c r="B133" s="1" t="n">
        <v>43776</v>
      </c>
      <c r="C133" s="1" t="n">
        <v>45294</v>
      </c>
      <c r="D133" t="inlineStr">
        <is>
          <t>GÄVLEBORGS LÄN</t>
        </is>
      </c>
      <c r="E133" t="inlineStr">
        <is>
          <t>GÄVLE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59926-2019</t>
        </is>
      </c>
      <c r="B134" s="1" t="n">
        <v>43777</v>
      </c>
      <c r="C134" s="1" t="n">
        <v>45294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59907-2019</t>
        </is>
      </c>
      <c r="B135" s="1" t="n">
        <v>43777</v>
      </c>
      <c r="C135" s="1" t="n">
        <v>45294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61392-2019</t>
        </is>
      </c>
      <c r="B136" s="1" t="n">
        <v>43783</v>
      </c>
      <c r="C136" s="1" t="n">
        <v>45294</v>
      </c>
      <c r="D136" t="inlineStr">
        <is>
          <t>GÄVLEBORGS LÄN</t>
        </is>
      </c>
      <c r="E136" t="inlineStr">
        <is>
          <t>GÄVLE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62250-2019</t>
        </is>
      </c>
      <c r="B137" s="1" t="n">
        <v>43788</v>
      </c>
      <c r="C137" s="1" t="n">
        <v>45294</v>
      </c>
      <c r="D137" t="inlineStr">
        <is>
          <t>GÄVLEBORGS LÄN</t>
        </is>
      </c>
      <c r="E137" t="inlineStr">
        <is>
          <t>GÄVLE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62841-2019</t>
        </is>
      </c>
      <c r="B138" s="1" t="n">
        <v>43790</v>
      </c>
      <c r="C138" s="1" t="n">
        <v>45294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väst AB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63469-2019</t>
        </is>
      </c>
      <c r="B139" s="1" t="n">
        <v>43794</v>
      </c>
      <c r="C139" s="1" t="n">
        <v>45294</v>
      </c>
      <c r="D139" t="inlineStr">
        <is>
          <t>GÄVLEBORGS LÄN</t>
        </is>
      </c>
      <c r="E139" t="inlineStr">
        <is>
          <t>GÄVLE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66206-2019</t>
        </is>
      </c>
      <c r="B140" s="1" t="n">
        <v>43808</v>
      </c>
      <c r="C140" s="1" t="n">
        <v>45294</v>
      </c>
      <c r="D140" t="inlineStr">
        <is>
          <t>GÄVLEBORGS LÄN</t>
        </is>
      </c>
      <c r="E140" t="inlineStr">
        <is>
          <t>GÄVLE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66410-2019</t>
        </is>
      </c>
      <c r="B141" s="1" t="n">
        <v>43809</v>
      </c>
      <c r="C141" s="1" t="n">
        <v>45294</v>
      </c>
      <c r="D141" t="inlineStr">
        <is>
          <t>GÄVLEBORGS LÄN</t>
        </is>
      </c>
      <c r="E141" t="inlineStr">
        <is>
          <t>GÄVLE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67138-2019</t>
        </is>
      </c>
      <c r="B142" s="1" t="n">
        <v>43811</v>
      </c>
      <c r="C142" s="1" t="n">
        <v>45294</v>
      </c>
      <c r="D142" t="inlineStr">
        <is>
          <t>GÄVLEBORGS LÄN</t>
        </is>
      </c>
      <c r="E142" t="inlineStr">
        <is>
          <t>GÄVLE</t>
        </is>
      </c>
      <c r="G142" t="n">
        <v>10.5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67417-2019</t>
        </is>
      </c>
      <c r="B143" s="1" t="n">
        <v>43812</v>
      </c>
      <c r="C143" s="1" t="n">
        <v>45294</v>
      </c>
      <c r="D143" t="inlineStr">
        <is>
          <t>GÄVLEBORGS LÄN</t>
        </is>
      </c>
      <c r="E143" t="inlineStr">
        <is>
          <t>GÄVLE</t>
        </is>
      </c>
      <c r="F143" t="inlineStr">
        <is>
          <t>Kommuner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67418-2019</t>
        </is>
      </c>
      <c r="B144" s="1" t="n">
        <v>43812</v>
      </c>
      <c r="C144" s="1" t="n">
        <v>45294</v>
      </c>
      <c r="D144" t="inlineStr">
        <is>
          <t>GÄVLEBORGS LÄN</t>
        </is>
      </c>
      <c r="E144" t="inlineStr">
        <is>
          <t>GÄVLE</t>
        </is>
      </c>
      <c r="F144" t="inlineStr">
        <is>
          <t>Kommuner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68436-2019</t>
        </is>
      </c>
      <c r="B145" s="1" t="n">
        <v>43818</v>
      </c>
      <c r="C145" s="1" t="n">
        <v>45294</v>
      </c>
      <c r="D145" t="inlineStr">
        <is>
          <t>GÄVLEBORGS LÄN</t>
        </is>
      </c>
      <c r="E145" t="inlineStr">
        <is>
          <t>GÄVLE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68555-2019</t>
        </is>
      </c>
      <c r="B146" s="1" t="n">
        <v>43818</v>
      </c>
      <c r="C146" s="1" t="n">
        <v>45294</v>
      </c>
      <c r="D146" t="inlineStr">
        <is>
          <t>GÄVLEBORGS LÄN</t>
        </is>
      </c>
      <c r="E146" t="inlineStr">
        <is>
          <t>GÄVLE</t>
        </is>
      </c>
      <c r="F146" t="inlineStr">
        <is>
          <t>Övriga statliga verk och myndigheter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743-2020</t>
        </is>
      </c>
      <c r="B147" s="1" t="n">
        <v>43838</v>
      </c>
      <c r="C147" s="1" t="n">
        <v>45294</v>
      </c>
      <c r="D147" t="inlineStr">
        <is>
          <t>GÄVLEBORGS LÄN</t>
        </is>
      </c>
      <c r="E147" t="inlineStr">
        <is>
          <t>GÄVLE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2786-2020</t>
        </is>
      </c>
      <c r="B148" s="1" t="n">
        <v>43850</v>
      </c>
      <c r="C148" s="1" t="n">
        <v>45294</v>
      </c>
      <c r="D148" t="inlineStr">
        <is>
          <t>GÄVLEBORGS LÄN</t>
        </is>
      </c>
      <c r="E148" t="inlineStr">
        <is>
          <t>GÄVLE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3383-2020</t>
        </is>
      </c>
      <c r="B149" s="1" t="n">
        <v>43852</v>
      </c>
      <c r="C149" s="1" t="n">
        <v>45294</v>
      </c>
      <c r="D149" t="inlineStr">
        <is>
          <t>GÄVLEBORGS LÄN</t>
        </is>
      </c>
      <c r="E149" t="inlineStr">
        <is>
          <t>GÄVLE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3854-2020</t>
        </is>
      </c>
      <c r="B150" s="1" t="n">
        <v>43854</v>
      </c>
      <c r="C150" s="1" t="n">
        <v>45294</v>
      </c>
      <c r="D150" t="inlineStr">
        <is>
          <t>GÄVLEBORGS LÄN</t>
        </is>
      </c>
      <c r="E150" t="inlineStr">
        <is>
          <t>GÄVLE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3975-2020</t>
        </is>
      </c>
      <c r="B151" s="1" t="n">
        <v>43854</v>
      </c>
      <c r="C151" s="1" t="n">
        <v>45294</v>
      </c>
      <c r="D151" t="inlineStr">
        <is>
          <t>GÄVLEBORGS LÄN</t>
        </is>
      </c>
      <c r="E151" t="inlineStr">
        <is>
          <t>GÄVLE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3974-2020</t>
        </is>
      </c>
      <c r="B152" s="1" t="n">
        <v>43854</v>
      </c>
      <c r="C152" s="1" t="n">
        <v>45294</v>
      </c>
      <c r="D152" t="inlineStr">
        <is>
          <t>GÄVLEBORGS LÄN</t>
        </is>
      </c>
      <c r="E152" t="inlineStr">
        <is>
          <t>GÄVLE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3976-2020</t>
        </is>
      </c>
      <c r="B153" s="1" t="n">
        <v>43855</v>
      </c>
      <c r="C153" s="1" t="n">
        <v>45294</v>
      </c>
      <c r="D153" t="inlineStr">
        <is>
          <t>GÄVLEBORGS LÄN</t>
        </is>
      </c>
      <c r="E153" t="inlineStr">
        <is>
          <t>GÄVLE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6046-2020</t>
        </is>
      </c>
      <c r="B154" s="1" t="n">
        <v>43865</v>
      </c>
      <c r="C154" s="1" t="n">
        <v>45294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väst AB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7240-2020</t>
        </is>
      </c>
      <c r="B155" s="1" t="n">
        <v>43871</v>
      </c>
      <c r="C155" s="1" t="n">
        <v>45294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7725-2020</t>
        </is>
      </c>
      <c r="B156" s="1" t="n">
        <v>43872</v>
      </c>
      <c r="C156" s="1" t="n">
        <v>45294</v>
      </c>
      <c r="D156" t="inlineStr">
        <is>
          <t>GÄVLEBORGS LÄN</t>
        </is>
      </c>
      <c r="E156" t="inlineStr">
        <is>
          <t>GÄVLE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7982-2020</t>
        </is>
      </c>
      <c r="B157" s="1" t="n">
        <v>43873</v>
      </c>
      <c r="C157" s="1" t="n">
        <v>45294</v>
      </c>
      <c r="D157" t="inlineStr">
        <is>
          <t>GÄVLEBORGS LÄN</t>
        </is>
      </c>
      <c r="E157" t="inlineStr">
        <is>
          <t>GÄVLE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7989-2020</t>
        </is>
      </c>
      <c r="B158" s="1" t="n">
        <v>43873</v>
      </c>
      <c r="C158" s="1" t="n">
        <v>45294</v>
      </c>
      <c r="D158" t="inlineStr">
        <is>
          <t>GÄVLEBORGS LÄN</t>
        </is>
      </c>
      <c r="E158" t="inlineStr">
        <is>
          <t>GÄVLE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7841-2020</t>
        </is>
      </c>
      <c r="B159" s="1" t="n">
        <v>43873</v>
      </c>
      <c r="C159" s="1" t="n">
        <v>45294</v>
      </c>
      <c r="D159" t="inlineStr">
        <is>
          <t>GÄVLEBORGS LÄN</t>
        </is>
      </c>
      <c r="E159" t="inlineStr">
        <is>
          <t>GÄVLE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9218-2020</t>
        </is>
      </c>
      <c r="B160" s="1" t="n">
        <v>43879</v>
      </c>
      <c r="C160" s="1" t="n">
        <v>45294</v>
      </c>
      <c r="D160" t="inlineStr">
        <is>
          <t>GÄVLEBORGS LÄN</t>
        </is>
      </c>
      <c r="E160" t="inlineStr">
        <is>
          <t>GÄVLE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9138-2020</t>
        </is>
      </c>
      <c r="B161" s="1" t="n">
        <v>43879</v>
      </c>
      <c r="C161" s="1" t="n">
        <v>45294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10833-2020</t>
        </is>
      </c>
      <c r="B162" s="1" t="n">
        <v>43888</v>
      </c>
      <c r="C162" s="1" t="n">
        <v>45294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11121-2020</t>
        </is>
      </c>
      <c r="B163" s="1" t="n">
        <v>43889</v>
      </c>
      <c r="C163" s="1" t="n">
        <v>45294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12268-2020</t>
        </is>
      </c>
      <c r="B164" s="1" t="n">
        <v>43895</v>
      </c>
      <c r="C164" s="1" t="n">
        <v>45294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12513-2020</t>
        </is>
      </c>
      <c r="B165" s="1" t="n">
        <v>43896</v>
      </c>
      <c r="C165" s="1" t="n">
        <v>45294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14242-2020</t>
        </is>
      </c>
      <c r="B166" s="1" t="n">
        <v>43901</v>
      </c>
      <c r="C166" s="1" t="n">
        <v>45294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13978-2020</t>
        </is>
      </c>
      <c r="B167" s="1" t="n">
        <v>43906</v>
      </c>
      <c r="C167" s="1" t="n">
        <v>45294</v>
      </c>
      <c r="D167" t="inlineStr">
        <is>
          <t>GÄVLEBORGS LÄN</t>
        </is>
      </c>
      <c r="E167" t="inlineStr">
        <is>
          <t>GÄVLE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18035-2020</t>
        </is>
      </c>
      <c r="B168" s="1" t="n">
        <v>43927</v>
      </c>
      <c r="C168" s="1" t="n">
        <v>45294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19054-2020</t>
        </is>
      </c>
      <c r="B169" s="1" t="n">
        <v>43936</v>
      </c>
      <c r="C169" s="1" t="n">
        <v>45294</v>
      </c>
      <c r="D169" t="inlineStr">
        <is>
          <t>GÄVLEBORGS LÄN</t>
        </is>
      </c>
      <c r="E169" t="inlineStr">
        <is>
          <t>GÄVLE</t>
        </is>
      </c>
      <c r="G169" t="n">
        <v>13.1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19873-2020</t>
        </is>
      </c>
      <c r="B170" s="1" t="n">
        <v>43942</v>
      </c>
      <c r="C170" s="1" t="n">
        <v>45294</v>
      </c>
      <c r="D170" t="inlineStr">
        <is>
          <t>GÄVLEBORGS LÄN</t>
        </is>
      </c>
      <c r="E170" t="inlineStr">
        <is>
          <t>GÄVLE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21080-2020</t>
        </is>
      </c>
      <c r="B171" s="1" t="n">
        <v>43951</v>
      </c>
      <c r="C171" s="1" t="n">
        <v>45294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21379-2020</t>
        </is>
      </c>
      <c r="B172" s="1" t="n">
        <v>43955</v>
      </c>
      <c r="C172" s="1" t="n">
        <v>45294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21981-2020</t>
        </is>
      </c>
      <c r="B173" s="1" t="n">
        <v>43959</v>
      </c>
      <c r="C173" s="1" t="n">
        <v>45294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22385-2020</t>
        </is>
      </c>
      <c r="B174" s="1" t="n">
        <v>43962</v>
      </c>
      <c r="C174" s="1" t="n">
        <v>45294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24780-2020</t>
        </is>
      </c>
      <c r="B175" s="1" t="n">
        <v>43978</v>
      </c>
      <c r="C175" s="1" t="n">
        <v>45294</v>
      </c>
      <c r="D175" t="inlineStr">
        <is>
          <t>GÄVLEBORGS LÄN</t>
        </is>
      </c>
      <c r="E175" t="inlineStr">
        <is>
          <t>GÄVLE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25009-2020</t>
        </is>
      </c>
      <c r="B176" s="1" t="n">
        <v>43979</v>
      </c>
      <c r="C176" s="1" t="n">
        <v>45294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25220-2020</t>
        </is>
      </c>
      <c r="B177" s="1" t="n">
        <v>43980</v>
      </c>
      <c r="C177" s="1" t="n">
        <v>45294</v>
      </c>
      <c r="D177" t="inlineStr">
        <is>
          <t>GÄVLEBORGS LÄN</t>
        </is>
      </c>
      <c r="E177" t="inlineStr">
        <is>
          <t>GÄVLE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25532-2020</t>
        </is>
      </c>
      <c r="B178" s="1" t="n">
        <v>43983</v>
      </c>
      <c r="C178" s="1" t="n">
        <v>45294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26763-2020</t>
        </is>
      </c>
      <c r="B179" s="1" t="n">
        <v>43990</v>
      </c>
      <c r="C179" s="1" t="n">
        <v>45294</v>
      </c>
      <c r="D179" t="inlineStr">
        <is>
          <t>GÄVLEBORGS LÄN</t>
        </is>
      </c>
      <c r="E179" t="inlineStr">
        <is>
          <t>GÄVLE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26790-2020</t>
        </is>
      </c>
      <c r="B180" s="1" t="n">
        <v>43990</v>
      </c>
      <c r="C180" s="1" t="n">
        <v>45294</v>
      </c>
      <c r="D180" t="inlineStr">
        <is>
          <t>GÄVLEBORGS LÄN</t>
        </is>
      </c>
      <c r="E180" t="inlineStr">
        <is>
          <t>GÄVLE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26781-2020</t>
        </is>
      </c>
      <c r="B181" s="1" t="n">
        <v>43990</v>
      </c>
      <c r="C181" s="1" t="n">
        <v>45294</v>
      </c>
      <c r="D181" t="inlineStr">
        <is>
          <t>GÄVLEBORGS LÄN</t>
        </is>
      </c>
      <c r="E181" t="inlineStr">
        <is>
          <t>GÄVLE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28173-2020</t>
        </is>
      </c>
      <c r="B182" s="1" t="n">
        <v>43997</v>
      </c>
      <c r="C182" s="1" t="n">
        <v>45294</v>
      </c>
      <c r="D182" t="inlineStr">
        <is>
          <t>GÄVLEBORGS LÄN</t>
        </is>
      </c>
      <c r="E182" t="inlineStr">
        <is>
          <t>GÄVLE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28806-2020</t>
        </is>
      </c>
      <c r="B183" s="1" t="n">
        <v>44000</v>
      </c>
      <c r="C183" s="1" t="n">
        <v>45294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28825-2020</t>
        </is>
      </c>
      <c r="B184" s="1" t="n">
        <v>44000</v>
      </c>
      <c r="C184" s="1" t="n">
        <v>45294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29564-2020</t>
        </is>
      </c>
      <c r="B185" s="1" t="n">
        <v>44005</v>
      </c>
      <c r="C185" s="1" t="n">
        <v>45294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29940-2020</t>
        </is>
      </c>
      <c r="B186" s="1" t="n">
        <v>44006</v>
      </c>
      <c r="C186" s="1" t="n">
        <v>45294</v>
      </c>
      <c r="D186" t="inlineStr">
        <is>
          <t>GÄVLEBORGS LÄN</t>
        </is>
      </c>
      <c r="E186" t="inlineStr">
        <is>
          <t>GÄVLE</t>
        </is>
      </c>
      <c r="F186" t="inlineStr">
        <is>
          <t>Kommuner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30658-2020</t>
        </is>
      </c>
      <c r="B187" s="1" t="n">
        <v>44008</v>
      </c>
      <c r="C187" s="1" t="n">
        <v>45294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30851-2020</t>
        </is>
      </c>
      <c r="B188" s="1" t="n">
        <v>44011</v>
      </c>
      <c r="C188" s="1" t="n">
        <v>45294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31747-2020</t>
        </is>
      </c>
      <c r="B189" s="1" t="n">
        <v>44014</v>
      </c>
      <c r="C189" s="1" t="n">
        <v>45294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32223-2020</t>
        </is>
      </c>
      <c r="B190" s="1" t="n">
        <v>44015</v>
      </c>
      <c r="C190" s="1" t="n">
        <v>45294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32231-2020</t>
        </is>
      </c>
      <c r="B191" s="1" t="n">
        <v>44015</v>
      </c>
      <c r="C191" s="1" t="n">
        <v>45294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33351-2020</t>
        </is>
      </c>
      <c r="B192" s="1" t="n">
        <v>44022</v>
      </c>
      <c r="C192" s="1" t="n">
        <v>45294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33893-2020</t>
        </is>
      </c>
      <c r="B193" s="1" t="n">
        <v>44025</v>
      </c>
      <c r="C193" s="1" t="n">
        <v>45294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33755-2020</t>
        </is>
      </c>
      <c r="B194" s="1" t="n">
        <v>44026</v>
      </c>
      <c r="C194" s="1" t="n">
        <v>45294</v>
      </c>
      <c r="D194" t="inlineStr">
        <is>
          <t>GÄVLEBORGS LÄN</t>
        </is>
      </c>
      <c r="E194" t="inlineStr">
        <is>
          <t>GÄVLE</t>
        </is>
      </c>
      <c r="F194" t="inlineStr">
        <is>
          <t>Kommuner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35533-2020</t>
        </is>
      </c>
      <c r="B195" s="1" t="n">
        <v>44043</v>
      </c>
      <c r="C195" s="1" t="n">
        <v>45294</v>
      </c>
      <c r="D195" t="inlineStr">
        <is>
          <t>GÄVLEBORGS LÄN</t>
        </is>
      </c>
      <c r="E195" t="inlineStr">
        <is>
          <t>GÄVLE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37604-2020</t>
        </is>
      </c>
      <c r="B196" s="1" t="n">
        <v>44056</v>
      </c>
      <c r="C196" s="1" t="n">
        <v>45294</v>
      </c>
      <c r="D196" t="inlineStr">
        <is>
          <t>GÄVLEBORGS LÄN</t>
        </is>
      </c>
      <c r="E196" t="inlineStr">
        <is>
          <t>GÄVLE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37721-2020</t>
        </is>
      </c>
      <c r="B197" s="1" t="n">
        <v>44056</v>
      </c>
      <c r="C197" s="1" t="n">
        <v>45294</v>
      </c>
      <c r="D197" t="inlineStr">
        <is>
          <t>GÄVLEBORGS LÄN</t>
        </is>
      </c>
      <c r="E197" t="inlineStr">
        <is>
          <t>GÄVLE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37717-2020</t>
        </is>
      </c>
      <c r="B198" s="1" t="n">
        <v>44056</v>
      </c>
      <c r="C198" s="1" t="n">
        <v>45294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38300-2020</t>
        </is>
      </c>
      <c r="B199" s="1" t="n">
        <v>44060</v>
      </c>
      <c r="C199" s="1" t="n">
        <v>45294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38305-2020</t>
        </is>
      </c>
      <c r="B200" s="1" t="n">
        <v>44060</v>
      </c>
      <c r="C200" s="1" t="n">
        <v>45294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38926-2020</t>
        </is>
      </c>
      <c r="B201" s="1" t="n">
        <v>44062</v>
      </c>
      <c r="C201" s="1" t="n">
        <v>45294</v>
      </c>
      <c r="D201" t="inlineStr">
        <is>
          <t>GÄVLEBORGS LÄN</t>
        </is>
      </c>
      <c r="E201" t="inlineStr">
        <is>
          <t>GÄVLE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39798-2020</t>
        </is>
      </c>
      <c r="B202" s="1" t="n">
        <v>44067</v>
      </c>
      <c r="C202" s="1" t="n">
        <v>45294</v>
      </c>
      <c r="D202" t="inlineStr">
        <is>
          <t>GÄVLEBORGS LÄN</t>
        </is>
      </c>
      <c r="E202" t="inlineStr">
        <is>
          <t>GÄVLE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40087-2020</t>
        </is>
      </c>
      <c r="B203" s="1" t="n">
        <v>44068</v>
      </c>
      <c r="C203" s="1" t="n">
        <v>45294</v>
      </c>
      <c r="D203" t="inlineStr">
        <is>
          <t>GÄVLEBORGS LÄN</t>
        </is>
      </c>
      <c r="E203" t="inlineStr">
        <is>
          <t>GÄVLE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40340-2020</t>
        </is>
      </c>
      <c r="B204" s="1" t="n">
        <v>44068</v>
      </c>
      <c r="C204" s="1" t="n">
        <v>45294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40626-2020</t>
        </is>
      </c>
      <c r="B205" s="1" t="n">
        <v>44069</v>
      </c>
      <c r="C205" s="1" t="n">
        <v>45294</v>
      </c>
      <c r="D205" t="inlineStr">
        <is>
          <t>GÄVLEBORGS LÄN</t>
        </is>
      </c>
      <c r="E205" t="inlineStr">
        <is>
          <t>GÄVLE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42357-2020</t>
        </is>
      </c>
      <c r="B206" s="1" t="n">
        <v>44076</v>
      </c>
      <c r="C206" s="1" t="n">
        <v>45294</v>
      </c>
      <c r="D206" t="inlineStr">
        <is>
          <t>GÄVLEBORGS LÄN</t>
        </is>
      </c>
      <c r="E206" t="inlineStr">
        <is>
          <t>GÄVLE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42351-2020</t>
        </is>
      </c>
      <c r="B207" s="1" t="n">
        <v>44076</v>
      </c>
      <c r="C207" s="1" t="n">
        <v>45294</v>
      </c>
      <c r="D207" t="inlineStr">
        <is>
          <t>GÄVLEBORGS LÄN</t>
        </is>
      </c>
      <c r="E207" t="inlineStr">
        <is>
          <t>GÄVLE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42356-2020</t>
        </is>
      </c>
      <c r="B208" s="1" t="n">
        <v>44076</v>
      </c>
      <c r="C208" s="1" t="n">
        <v>45294</v>
      </c>
      <c r="D208" t="inlineStr">
        <is>
          <t>GÄVLEBORGS LÄN</t>
        </is>
      </c>
      <c r="E208" t="inlineStr">
        <is>
          <t>GÄVLE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42868-2020</t>
        </is>
      </c>
      <c r="B209" s="1" t="n">
        <v>44078</v>
      </c>
      <c r="C209" s="1" t="n">
        <v>45294</v>
      </c>
      <c r="D209" t="inlineStr">
        <is>
          <t>GÄVLEBORGS LÄN</t>
        </is>
      </c>
      <c r="E209" t="inlineStr">
        <is>
          <t>GÄVLE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43385-2020</t>
        </is>
      </c>
      <c r="B210" s="1" t="n">
        <v>44081</v>
      </c>
      <c r="C210" s="1" t="n">
        <v>45294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43185-2020</t>
        </is>
      </c>
      <c r="B211" s="1" t="n">
        <v>44081</v>
      </c>
      <c r="C211" s="1" t="n">
        <v>45294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44350-2020</t>
        </is>
      </c>
      <c r="B212" s="1" t="n">
        <v>44084</v>
      </c>
      <c r="C212" s="1" t="n">
        <v>45294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46455-2020</t>
        </is>
      </c>
      <c r="B213" s="1" t="n">
        <v>44095</v>
      </c>
      <c r="C213" s="1" t="n">
        <v>45294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46694-2020</t>
        </is>
      </c>
      <c r="B214" s="1" t="n">
        <v>44095</v>
      </c>
      <c r="C214" s="1" t="n">
        <v>45294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46708-2020</t>
        </is>
      </c>
      <c r="B215" s="1" t="n">
        <v>44095</v>
      </c>
      <c r="C215" s="1" t="n">
        <v>45294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46444-2020</t>
        </is>
      </c>
      <c r="B216" s="1" t="n">
        <v>44095</v>
      </c>
      <c r="C216" s="1" t="n">
        <v>45294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46898-2020</t>
        </is>
      </c>
      <c r="B217" s="1" t="n">
        <v>44096</v>
      </c>
      <c r="C217" s="1" t="n">
        <v>45294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46925-2020</t>
        </is>
      </c>
      <c r="B218" s="1" t="n">
        <v>44096</v>
      </c>
      <c r="C218" s="1" t="n">
        <v>45294</v>
      </c>
      <c r="D218" t="inlineStr">
        <is>
          <t>GÄVLEBORGS LÄN</t>
        </is>
      </c>
      <c r="E218" t="inlineStr">
        <is>
          <t>GÄVLE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47543-2020</t>
        </is>
      </c>
      <c r="B219" s="1" t="n">
        <v>44098</v>
      </c>
      <c r="C219" s="1" t="n">
        <v>45294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50216-2020</t>
        </is>
      </c>
      <c r="B220" s="1" t="n">
        <v>44109</v>
      </c>
      <c r="C220" s="1" t="n">
        <v>45294</v>
      </c>
      <c r="D220" t="inlineStr">
        <is>
          <t>GÄVLEBORGS LÄN</t>
        </is>
      </c>
      <c r="E220" t="inlineStr">
        <is>
          <t>GÄVLE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51121-2020</t>
        </is>
      </c>
      <c r="B221" s="1" t="n">
        <v>44112</v>
      </c>
      <c r="C221" s="1" t="n">
        <v>45294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51126-2020</t>
        </is>
      </c>
      <c r="B222" s="1" t="n">
        <v>44112</v>
      </c>
      <c r="C222" s="1" t="n">
        <v>45294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52790-2020</t>
        </is>
      </c>
      <c r="B223" s="1" t="n">
        <v>44118</v>
      </c>
      <c r="C223" s="1" t="n">
        <v>45294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53470-2020</t>
        </is>
      </c>
      <c r="B224" s="1" t="n">
        <v>44123</v>
      </c>
      <c r="C224" s="1" t="n">
        <v>45294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53517-2020</t>
        </is>
      </c>
      <c r="B225" s="1" t="n">
        <v>44124</v>
      </c>
      <c r="C225" s="1" t="n">
        <v>45294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54031-2020</t>
        </is>
      </c>
      <c r="B226" s="1" t="n">
        <v>44125</v>
      </c>
      <c r="C226" s="1" t="n">
        <v>45294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54053-2020</t>
        </is>
      </c>
      <c r="B227" s="1" t="n">
        <v>44125</v>
      </c>
      <c r="C227" s="1" t="n">
        <v>45294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54065-2020</t>
        </is>
      </c>
      <c r="B228" s="1" t="n">
        <v>44125</v>
      </c>
      <c r="C228" s="1" t="n">
        <v>45294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54249-2020</t>
        </is>
      </c>
      <c r="B229" s="1" t="n">
        <v>44126</v>
      </c>
      <c r="C229" s="1" t="n">
        <v>45294</v>
      </c>
      <c r="D229" t="inlineStr">
        <is>
          <t>GÄVLEBORGS LÄN</t>
        </is>
      </c>
      <c r="E229" t="inlineStr">
        <is>
          <t>GÄVLE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54294-2020</t>
        </is>
      </c>
      <c r="B230" s="1" t="n">
        <v>44126</v>
      </c>
      <c r="C230" s="1" t="n">
        <v>45294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54616-2020</t>
        </is>
      </c>
      <c r="B231" s="1" t="n">
        <v>44127</v>
      </c>
      <c r="C231" s="1" t="n">
        <v>45294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54624-2020</t>
        </is>
      </c>
      <c r="B232" s="1" t="n">
        <v>44127</v>
      </c>
      <c r="C232" s="1" t="n">
        <v>45294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54620-2020</t>
        </is>
      </c>
      <c r="B233" s="1" t="n">
        <v>44127</v>
      </c>
      <c r="C233" s="1" t="n">
        <v>45294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54638-2020</t>
        </is>
      </c>
      <c r="B234" s="1" t="n">
        <v>44127</v>
      </c>
      <c r="C234" s="1" t="n">
        <v>45294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56221-2020</t>
        </is>
      </c>
      <c r="B235" s="1" t="n">
        <v>44134</v>
      </c>
      <c r="C235" s="1" t="n">
        <v>45294</v>
      </c>
      <c r="D235" t="inlineStr">
        <is>
          <t>GÄVLEBORGS LÄN</t>
        </is>
      </c>
      <c r="E235" t="inlineStr">
        <is>
          <t>GÄVLE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57535-2020</t>
        </is>
      </c>
      <c r="B236" s="1" t="n">
        <v>44140</v>
      </c>
      <c r="C236" s="1" t="n">
        <v>45294</v>
      </c>
      <c r="D236" t="inlineStr">
        <is>
          <t>GÄVLEBORGS LÄN</t>
        </is>
      </c>
      <c r="E236" t="inlineStr">
        <is>
          <t>GÄVLE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57702-2020</t>
        </is>
      </c>
      <c r="B237" s="1" t="n">
        <v>44140</v>
      </c>
      <c r="C237" s="1" t="n">
        <v>45294</v>
      </c>
      <c r="D237" t="inlineStr">
        <is>
          <t>GÄVLEBORGS LÄN</t>
        </is>
      </c>
      <c r="E237" t="inlineStr">
        <is>
          <t>GÄVLE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57706-2020</t>
        </is>
      </c>
      <c r="B238" s="1" t="n">
        <v>44140</v>
      </c>
      <c r="C238" s="1" t="n">
        <v>45294</v>
      </c>
      <c r="D238" t="inlineStr">
        <is>
          <t>GÄVLEBORGS LÄN</t>
        </is>
      </c>
      <c r="E238" t="inlineStr">
        <is>
          <t>GÄVLE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58189-2020</t>
        </is>
      </c>
      <c r="B239" s="1" t="n">
        <v>44144</v>
      </c>
      <c r="C239" s="1" t="n">
        <v>45294</v>
      </c>
      <c r="D239" t="inlineStr">
        <is>
          <t>GÄVLEBORGS LÄN</t>
        </is>
      </c>
      <c r="E239" t="inlineStr">
        <is>
          <t>GÄVLE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58690-2020</t>
        </is>
      </c>
      <c r="B240" s="1" t="n">
        <v>44146</v>
      </c>
      <c r="C240" s="1" t="n">
        <v>45294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59072-2020</t>
        </is>
      </c>
      <c r="B241" s="1" t="n">
        <v>44147</v>
      </c>
      <c r="C241" s="1" t="n">
        <v>45294</v>
      </c>
      <c r="D241" t="inlineStr">
        <is>
          <t>GÄVLEBORGS LÄN</t>
        </is>
      </c>
      <c r="E241" t="inlineStr">
        <is>
          <t>GÄVLE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60249-2020</t>
        </is>
      </c>
      <c r="B242" s="1" t="n">
        <v>44152</v>
      </c>
      <c r="C242" s="1" t="n">
        <v>45294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60951-2020</t>
        </is>
      </c>
      <c r="B243" s="1" t="n">
        <v>44154</v>
      </c>
      <c r="C243" s="1" t="n">
        <v>45294</v>
      </c>
      <c r="D243" t="inlineStr">
        <is>
          <t>GÄVLEBORGS LÄN</t>
        </is>
      </c>
      <c r="E243" t="inlineStr">
        <is>
          <t>GÄVLE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60953-2020</t>
        </is>
      </c>
      <c r="B244" s="1" t="n">
        <v>44154</v>
      </c>
      <c r="C244" s="1" t="n">
        <v>45294</v>
      </c>
      <c r="D244" t="inlineStr">
        <is>
          <t>GÄVLEBORGS LÄN</t>
        </is>
      </c>
      <c r="E244" t="inlineStr">
        <is>
          <t>GÄVLE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61694-2020</t>
        </is>
      </c>
      <c r="B245" s="1" t="n">
        <v>44158</v>
      </c>
      <c r="C245" s="1" t="n">
        <v>45294</v>
      </c>
      <c r="D245" t="inlineStr">
        <is>
          <t>GÄVLEBORGS LÄN</t>
        </is>
      </c>
      <c r="E245" t="inlineStr">
        <is>
          <t>GÄVLE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61704-2020</t>
        </is>
      </c>
      <c r="B246" s="1" t="n">
        <v>44158</v>
      </c>
      <c r="C246" s="1" t="n">
        <v>45294</v>
      </c>
      <c r="D246" t="inlineStr">
        <is>
          <t>GÄVLEBORGS LÄN</t>
        </is>
      </c>
      <c r="E246" t="inlineStr">
        <is>
          <t>GÄVLE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62495-2020</t>
        </is>
      </c>
      <c r="B247" s="1" t="n">
        <v>44160</v>
      </c>
      <c r="C247" s="1" t="n">
        <v>45294</v>
      </c>
      <c r="D247" t="inlineStr">
        <is>
          <t>GÄVLEBORGS LÄN</t>
        </is>
      </c>
      <c r="E247" t="inlineStr">
        <is>
          <t>GÄVLE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62654-2020</t>
        </is>
      </c>
      <c r="B248" s="1" t="n">
        <v>44161</v>
      </c>
      <c r="C248" s="1" t="n">
        <v>45294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62986-2020</t>
        </is>
      </c>
      <c r="B249" s="1" t="n">
        <v>44162</v>
      </c>
      <c r="C249" s="1" t="n">
        <v>45294</v>
      </c>
      <c r="D249" t="inlineStr">
        <is>
          <t>GÄVLEBORGS LÄN</t>
        </is>
      </c>
      <c r="E249" t="inlineStr">
        <is>
          <t>GÄVLE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66006-2020</t>
        </is>
      </c>
      <c r="B250" s="1" t="n">
        <v>44175</v>
      </c>
      <c r="C250" s="1" t="n">
        <v>45294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66346-2020</t>
        </is>
      </c>
      <c r="B251" s="1" t="n">
        <v>44176</v>
      </c>
      <c r="C251" s="1" t="n">
        <v>45294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66343-2020</t>
        </is>
      </c>
      <c r="B252" s="1" t="n">
        <v>44176</v>
      </c>
      <c r="C252" s="1" t="n">
        <v>45294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69210-2020</t>
        </is>
      </c>
      <c r="B253" s="1" t="n">
        <v>44191</v>
      </c>
      <c r="C253" s="1" t="n">
        <v>45294</v>
      </c>
      <c r="D253" t="inlineStr">
        <is>
          <t>GÄVLEBORGS LÄN</t>
        </is>
      </c>
      <c r="E253" t="inlineStr">
        <is>
          <t>GÄVLE</t>
        </is>
      </c>
      <c r="F253" t="inlineStr">
        <is>
          <t>Kommuner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69206-2020</t>
        </is>
      </c>
      <c r="B254" s="1" t="n">
        <v>44191</v>
      </c>
      <c r="C254" s="1" t="n">
        <v>45294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69216-2020</t>
        </is>
      </c>
      <c r="B255" s="1" t="n">
        <v>44192</v>
      </c>
      <c r="C255" s="1" t="n">
        <v>45294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69254-2020</t>
        </is>
      </c>
      <c r="B256" s="1" t="n">
        <v>44192</v>
      </c>
      <c r="C256" s="1" t="n">
        <v>45294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69252-2020</t>
        </is>
      </c>
      <c r="B257" s="1" t="n">
        <v>44192</v>
      </c>
      <c r="C257" s="1" t="n">
        <v>45294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69215-2020</t>
        </is>
      </c>
      <c r="B258" s="1" t="n">
        <v>44192</v>
      </c>
      <c r="C258" s="1" t="n">
        <v>45294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69253-2020</t>
        </is>
      </c>
      <c r="B259" s="1" t="n">
        <v>44192</v>
      </c>
      <c r="C259" s="1" t="n">
        <v>45294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69219-2020</t>
        </is>
      </c>
      <c r="B260" s="1" t="n">
        <v>44192</v>
      </c>
      <c r="C260" s="1" t="n">
        <v>45294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69251-2020</t>
        </is>
      </c>
      <c r="B261" s="1" t="n">
        <v>44192</v>
      </c>
      <c r="C261" s="1" t="n">
        <v>45294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69255-2020</t>
        </is>
      </c>
      <c r="B262" s="1" t="n">
        <v>44192</v>
      </c>
      <c r="C262" s="1" t="n">
        <v>45294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45294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45294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45294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45294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45294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45294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45294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45294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45294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45294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45294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45294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45294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45294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45294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45294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45294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45294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45294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45294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45294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45294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45294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45294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45294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45294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45294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45294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45294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45294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45294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45294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45294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45294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45294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45294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45294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45294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45294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45294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45294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45294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45294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45294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45294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45294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45294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45294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45294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45294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45294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45294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45294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45294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45294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45294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45294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45294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45294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45294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45294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45294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45294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45294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45294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45294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45294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45294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45294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45294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45294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45294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45294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45294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45294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45294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45294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45294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36471-2021</t>
        </is>
      </c>
      <c r="B341" s="1" t="n">
        <v>44390</v>
      </c>
      <c r="C341" s="1" t="n">
        <v>45294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39374-2021</t>
        </is>
      </c>
      <c r="B342" s="1" t="n">
        <v>44414</v>
      </c>
      <c r="C342" s="1" t="n">
        <v>45294</v>
      </c>
      <c r="D342" t="inlineStr">
        <is>
          <t>GÄVLEBORGS LÄN</t>
        </is>
      </c>
      <c r="E342" t="inlineStr">
        <is>
          <t>GÄVLE</t>
        </is>
      </c>
      <c r="F342" t="inlineStr">
        <is>
          <t>Kyrkan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40023-2021</t>
        </is>
      </c>
      <c r="B343" s="1" t="n">
        <v>44418</v>
      </c>
      <c r="C343" s="1" t="n">
        <v>45294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40315-2021</t>
        </is>
      </c>
      <c r="B344" s="1" t="n">
        <v>44419</v>
      </c>
      <c r="C344" s="1" t="n">
        <v>45294</v>
      </c>
      <c r="D344" t="inlineStr">
        <is>
          <t>GÄVLEBORGS LÄN</t>
        </is>
      </c>
      <c r="E344" t="inlineStr">
        <is>
          <t>GÄVLE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40986-2021</t>
        </is>
      </c>
      <c r="B345" s="1" t="n">
        <v>44421</v>
      </c>
      <c r="C345" s="1" t="n">
        <v>45294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öst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42416-2021</t>
        </is>
      </c>
      <c r="B346" s="1" t="n">
        <v>44427</v>
      </c>
      <c r="C346" s="1" t="n">
        <v>45294</v>
      </c>
      <c r="D346" t="inlineStr">
        <is>
          <t>GÄVLEBORGS LÄN</t>
        </is>
      </c>
      <c r="E346" t="inlineStr">
        <is>
          <t>GÄVLE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44654-2021</t>
        </is>
      </c>
      <c r="B347" s="1" t="n">
        <v>44437</v>
      </c>
      <c r="C347" s="1" t="n">
        <v>45294</v>
      </c>
      <c r="D347" t="inlineStr">
        <is>
          <t>GÄVLEBORGS LÄN</t>
        </is>
      </c>
      <c r="E347" t="inlineStr">
        <is>
          <t>GÄVLE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44738-2021</t>
        </is>
      </c>
      <c r="B348" s="1" t="n">
        <v>44438</v>
      </c>
      <c r="C348" s="1" t="n">
        <v>45294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45134-2021</t>
        </is>
      </c>
      <c r="B349" s="1" t="n">
        <v>44439</v>
      </c>
      <c r="C349" s="1" t="n">
        <v>45294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46549-2021</t>
        </is>
      </c>
      <c r="B350" s="1" t="n">
        <v>44445</v>
      </c>
      <c r="C350" s="1" t="n">
        <v>45294</v>
      </c>
      <c r="D350" t="inlineStr">
        <is>
          <t>GÄVLEBORGS LÄN</t>
        </is>
      </c>
      <c r="E350" t="inlineStr">
        <is>
          <t>GÄVLE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46800-2021</t>
        </is>
      </c>
      <c r="B351" s="1" t="n">
        <v>44446</v>
      </c>
      <c r="C351" s="1" t="n">
        <v>45294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47739-2021</t>
        </is>
      </c>
      <c r="B352" s="1" t="n">
        <v>44448</v>
      </c>
      <c r="C352" s="1" t="n">
        <v>45294</v>
      </c>
      <c r="D352" t="inlineStr">
        <is>
          <t>GÄVLEBORGS LÄN</t>
        </is>
      </c>
      <c r="E352" t="inlineStr">
        <is>
          <t>GÄVLE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48881-2021</t>
        </is>
      </c>
      <c r="B353" s="1" t="n">
        <v>44452</v>
      </c>
      <c r="C353" s="1" t="n">
        <v>45294</v>
      </c>
      <c r="D353" t="inlineStr">
        <is>
          <t>GÄVLEBORGS LÄN</t>
        </is>
      </c>
      <c r="E353" t="inlineStr">
        <is>
          <t>GÄVLE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49811-2021</t>
        </is>
      </c>
      <c r="B354" s="1" t="n">
        <v>44455</v>
      </c>
      <c r="C354" s="1" t="n">
        <v>45294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49827-2021</t>
        </is>
      </c>
      <c r="B355" s="1" t="n">
        <v>44455</v>
      </c>
      <c r="C355" s="1" t="n">
        <v>45294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50389-2021</t>
        </is>
      </c>
      <c r="B356" s="1" t="n">
        <v>44459</v>
      </c>
      <c r="C356" s="1" t="n">
        <v>45294</v>
      </c>
      <c r="D356" t="inlineStr">
        <is>
          <t>GÄVLEBORGS LÄN</t>
        </is>
      </c>
      <c r="E356" t="inlineStr">
        <is>
          <t>GÄVLE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51249-2021</t>
        </is>
      </c>
      <c r="B357" s="1" t="n">
        <v>44461</v>
      </c>
      <c r="C357" s="1" t="n">
        <v>45294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51809-2021</t>
        </is>
      </c>
      <c r="B358" s="1" t="n">
        <v>44462</v>
      </c>
      <c r="C358" s="1" t="n">
        <v>45294</v>
      </c>
      <c r="D358" t="inlineStr">
        <is>
          <t>GÄVLEBORGS LÄN</t>
        </is>
      </c>
      <c r="E358" t="inlineStr">
        <is>
          <t>GÄVLE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52664-2021</t>
        </is>
      </c>
      <c r="B359" s="1" t="n">
        <v>44466</v>
      </c>
      <c r="C359" s="1" t="n">
        <v>45294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18.2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52495-2021</t>
        </is>
      </c>
      <c r="B360" s="1" t="n">
        <v>44466</v>
      </c>
      <c r="C360" s="1" t="n">
        <v>45294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53432-2021</t>
        </is>
      </c>
      <c r="B361" s="1" t="n">
        <v>44468</v>
      </c>
      <c r="C361" s="1" t="n">
        <v>45294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54834-2021</t>
        </is>
      </c>
      <c r="B362" s="1" t="n">
        <v>44473</v>
      </c>
      <c r="C362" s="1" t="n">
        <v>45294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58449-2021</t>
        </is>
      </c>
      <c r="B363" s="1" t="n">
        <v>44488</v>
      </c>
      <c r="C363" s="1" t="n">
        <v>45294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58445-2021</t>
        </is>
      </c>
      <c r="B364" s="1" t="n">
        <v>44488</v>
      </c>
      <c r="C364" s="1" t="n">
        <v>45294</v>
      </c>
      <c r="D364" t="inlineStr">
        <is>
          <t>GÄVLEBORGS LÄN</t>
        </is>
      </c>
      <c r="E364" t="inlineStr">
        <is>
          <t>GÄVLE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59061-2021</t>
        </is>
      </c>
      <c r="B365" s="1" t="n">
        <v>44490</v>
      </c>
      <c r="C365" s="1" t="n">
        <v>45294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59515-2021</t>
        </is>
      </c>
      <c r="B366" s="1" t="n">
        <v>44491</v>
      </c>
      <c r="C366" s="1" t="n">
        <v>45294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59582-2021</t>
        </is>
      </c>
      <c r="B367" s="1" t="n">
        <v>44491</v>
      </c>
      <c r="C367" s="1" t="n">
        <v>45294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59810-2021</t>
        </is>
      </c>
      <c r="B368" s="1" t="n">
        <v>44494</v>
      </c>
      <c r="C368" s="1" t="n">
        <v>45294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60476-2021</t>
        </is>
      </c>
      <c r="B369" s="1" t="n">
        <v>44496</v>
      </c>
      <c r="C369" s="1" t="n">
        <v>45294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61062-2021</t>
        </is>
      </c>
      <c r="B370" s="1" t="n">
        <v>44497</v>
      </c>
      <c r="C370" s="1" t="n">
        <v>45294</v>
      </c>
      <c r="D370" t="inlineStr">
        <is>
          <t>GÄVLEBORGS LÄN</t>
        </is>
      </c>
      <c r="E370" t="inlineStr">
        <is>
          <t>GÄVLE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61222-2021</t>
        </is>
      </c>
      <c r="B371" s="1" t="n">
        <v>44498</v>
      </c>
      <c r="C371" s="1" t="n">
        <v>45294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61351-2021</t>
        </is>
      </c>
      <c r="B372" s="1" t="n">
        <v>44498</v>
      </c>
      <c r="C372" s="1" t="n">
        <v>45294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61352-2021</t>
        </is>
      </c>
      <c r="B373" s="1" t="n">
        <v>44498</v>
      </c>
      <c r="C373" s="1" t="n">
        <v>45294</v>
      </c>
      <c r="D373" t="inlineStr">
        <is>
          <t>GÄVLEBORGS LÄN</t>
        </is>
      </c>
      <c r="E373" t="inlineStr">
        <is>
          <t>GÄVLE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62192-2021</t>
        </is>
      </c>
      <c r="B374" s="1" t="n">
        <v>44502</v>
      </c>
      <c r="C374" s="1" t="n">
        <v>45294</v>
      </c>
      <c r="D374" t="inlineStr">
        <is>
          <t>GÄVLEBORGS LÄN</t>
        </is>
      </c>
      <c r="E374" t="inlineStr">
        <is>
          <t>GÄVLE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65592-2021</t>
        </is>
      </c>
      <c r="B375" s="1" t="n">
        <v>44516</v>
      </c>
      <c r="C375" s="1" t="n">
        <v>45294</v>
      </c>
      <c r="D375" t="inlineStr">
        <is>
          <t>GÄVLEBORGS LÄN</t>
        </is>
      </c>
      <c r="E375" t="inlineStr">
        <is>
          <t>GÄVLE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65879-2021</t>
        </is>
      </c>
      <c r="B376" s="1" t="n">
        <v>44517</v>
      </c>
      <c r="C376" s="1" t="n">
        <v>45294</v>
      </c>
      <c r="D376" t="inlineStr">
        <is>
          <t>GÄVLEBORGS LÄN</t>
        </is>
      </c>
      <c r="E376" t="inlineStr">
        <is>
          <t>GÄVLE</t>
        </is>
      </c>
      <c r="F376" t="inlineStr">
        <is>
          <t>Kyrkan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66351-2021</t>
        </is>
      </c>
      <c r="B377" s="1" t="n">
        <v>44518</v>
      </c>
      <c r="C377" s="1" t="n">
        <v>45294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66494-2021</t>
        </is>
      </c>
      <c r="B378" s="1" t="n">
        <v>44519</v>
      </c>
      <c r="C378" s="1" t="n">
        <v>45294</v>
      </c>
      <c r="D378" t="inlineStr">
        <is>
          <t>GÄVLEBORGS LÄN</t>
        </is>
      </c>
      <c r="E378" t="inlineStr">
        <is>
          <t>GÄVLE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66493-2021</t>
        </is>
      </c>
      <c r="B379" s="1" t="n">
        <v>44519</v>
      </c>
      <c r="C379" s="1" t="n">
        <v>45294</v>
      </c>
      <c r="D379" t="inlineStr">
        <is>
          <t>GÄVLEBORGS LÄN</t>
        </is>
      </c>
      <c r="E379" t="inlineStr">
        <is>
          <t>GÄVLE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66491-2021</t>
        </is>
      </c>
      <c r="B380" s="1" t="n">
        <v>44519</v>
      </c>
      <c r="C380" s="1" t="n">
        <v>45294</v>
      </c>
      <c r="D380" t="inlineStr">
        <is>
          <t>GÄVLEBORGS LÄN</t>
        </is>
      </c>
      <c r="E380" t="inlineStr">
        <is>
          <t>GÄVLE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67334-2021</t>
        </is>
      </c>
      <c r="B381" s="1" t="n">
        <v>44523</v>
      </c>
      <c r="C381" s="1" t="n">
        <v>45294</v>
      </c>
      <c r="D381" t="inlineStr">
        <is>
          <t>GÄVLEBORGS LÄN</t>
        </is>
      </c>
      <c r="E381" t="inlineStr">
        <is>
          <t>GÄVLE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68119-2021</t>
        </is>
      </c>
      <c r="B382" s="1" t="n">
        <v>44526</v>
      </c>
      <c r="C382" s="1" t="n">
        <v>45294</v>
      </c>
      <c r="D382" t="inlineStr">
        <is>
          <t>GÄVLEBORGS LÄN</t>
        </is>
      </c>
      <c r="E382" t="inlineStr">
        <is>
          <t>GÄVLE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70043-2021</t>
        </is>
      </c>
      <c r="B383" s="1" t="n">
        <v>44533</v>
      </c>
      <c r="C383" s="1" t="n">
        <v>45294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71057-2021</t>
        </is>
      </c>
      <c r="B384" s="1" t="n">
        <v>44538</v>
      </c>
      <c r="C384" s="1" t="n">
        <v>45294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71249-2021</t>
        </is>
      </c>
      <c r="B385" s="1" t="n">
        <v>44539</v>
      </c>
      <c r="C385" s="1" t="n">
        <v>45294</v>
      </c>
      <c r="D385" t="inlineStr">
        <is>
          <t>GÄVLEBORGS LÄN</t>
        </is>
      </c>
      <c r="E385" t="inlineStr">
        <is>
          <t>GÄVLE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71215-2021</t>
        </is>
      </c>
      <c r="B386" s="1" t="n">
        <v>44539</v>
      </c>
      <c r="C386" s="1" t="n">
        <v>45294</v>
      </c>
      <c r="D386" t="inlineStr">
        <is>
          <t>GÄVLEBORGS LÄN</t>
        </is>
      </c>
      <c r="E386" t="inlineStr">
        <is>
          <t>GÄVLE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71710-2021</t>
        </is>
      </c>
      <c r="B387" s="1" t="n">
        <v>44543</v>
      </c>
      <c r="C387" s="1" t="n">
        <v>45294</v>
      </c>
      <c r="D387" t="inlineStr">
        <is>
          <t>GÄVLEBORGS LÄN</t>
        </is>
      </c>
      <c r="E387" t="inlineStr">
        <is>
          <t>GÄVLE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72391-2021</t>
        </is>
      </c>
      <c r="B388" s="1" t="n">
        <v>44545</v>
      </c>
      <c r="C388" s="1" t="n">
        <v>45294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72541-2021</t>
        </is>
      </c>
      <c r="B389" s="1" t="n">
        <v>44546</v>
      </c>
      <c r="C389" s="1" t="n">
        <v>45294</v>
      </c>
      <c r="D389" t="inlineStr">
        <is>
          <t>GÄVLEBORGS LÄN</t>
        </is>
      </c>
      <c r="E389" t="inlineStr">
        <is>
          <t>GÄVLE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72504-2021</t>
        </is>
      </c>
      <c r="B390" s="1" t="n">
        <v>44546</v>
      </c>
      <c r="C390" s="1" t="n">
        <v>45294</v>
      </c>
      <c r="D390" t="inlineStr">
        <is>
          <t>GÄVLEBORGS LÄN</t>
        </is>
      </c>
      <c r="E390" t="inlineStr">
        <is>
          <t>GÄVLE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72730-2021</t>
        </is>
      </c>
      <c r="B391" s="1" t="n">
        <v>44546</v>
      </c>
      <c r="C391" s="1" t="n">
        <v>45294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72734-2021</t>
        </is>
      </c>
      <c r="B392" s="1" t="n">
        <v>44546</v>
      </c>
      <c r="C392" s="1" t="n">
        <v>45294</v>
      </c>
      <c r="D392" t="inlineStr">
        <is>
          <t>GÄVLEBORGS LÄN</t>
        </is>
      </c>
      <c r="E392" t="inlineStr">
        <is>
          <t>GÄVLE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74101-2021</t>
        </is>
      </c>
      <c r="B393" s="1" t="n">
        <v>44557</v>
      </c>
      <c r="C393" s="1" t="n">
        <v>45294</v>
      </c>
      <c r="D393" t="inlineStr">
        <is>
          <t>GÄVLEBORGS LÄN</t>
        </is>
      </c>
      <c r="E393" t="inlineStr">
        <is>
          <t>GÄVLE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74469-2021</t>
        </is>
      </c>
      <c r="B394" s="1" t="n">
        <v>44560</v>
      </c>
      <c r="C394" s="1" t="n">
        <v>45294</v>
      </c>
      <c r="D394" t="inlineStr">
        <is>
          <t>GÄVLEBORGS LÄN</t>
        </is>
      </c>
      <c r="E394" t="inlineStr">
        <is>
          <t>GÄVLE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1031-2022</t>
        </is>
      </c>
      <c r="B395" s="1" t="n">
        <v>44571</v>
      </c>
      <c r="C395" s="1" t="n">
        <v>45294</v>
      </c>
      <c r="D395" t="inlineStr">
        <is>
          <t>GÄVLEBORGS LÄN</t>
        </is>
      </c>
      <c r="E395" t="inlineStr">
        <is>
          <t>GÄVLE</t>
        </is>
      </c>
      <c r="G395" t="n">
        <v>12.2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1634-2022</t>
        </is>
      </c>
      <c r="B396" s="1" t="n">
        <v>44573</v>
      </c>
      <c r="C396" s="1" t="n">
        <v>45294</v>
      </c>
      <c r="D396" t="inlineStr">
        <is>
          <t>GÄVLEBORGS LÄN</t>
        </is>
      </c>
      <c r="E396" t="inlineStr">
        <is>
          <t>GÄVLE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2546-2022</t>
        </is>
      </c>
      <c r="B397" s="1" t="n">
        <v>44579</v>
      </c>
      <c r="C397" s="1" t="n">
        <v>45294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2547-2022</t>
        </is>
      </c>
      <c r="B398" s="1" t="n">
        <v>44580</v>
      </c>
      <c r="C398" s="1" t="n">
        <v>45294</v>
      </c>
      <c r="D398" t="inlineStr">
        <is>
          <t>GÄVLEBORGS LÄN</t>
        </is>
      </c>
      <c r="E398" t="inlineStr">
        <is>
          <t>GÄVLE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3334-2022</t>
        </is>
      </c>
      <c r="B399" s="1" t="n">
        <v>44585</v>
      </c>
      <c r="C399" s="1" t="n">
        <v>45294</v>
      </c>
      <c r="D399" t="inlineStr">
        <is>
          <t>GÄVLEBORGS LÄN</t>
        </is>
      </c>
      <c r="E399" t="inlineStr">
        <is>
          <t>GÄVLE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3472-2022</t>
        </is>
      </c>
      <c r="B400" s="1" t="n">
        <v>44585</v>
      </c>
      <c r="C400" s="1" t="n">
        <v>45294</v>
      </c>
      <c r="D400" t="inlineStr">
        <is>
          <t>GÄVLEBORGS LÄN</t>
        </is>
      </c>
      <c r="E400" t="inlineStr">
        <is>
          <t>GÄVLE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3569-2022</t>
        </is>
      </c>
      <c r="B401" s="1" t="n">
        <v>44586</v>
      </c>
      <c r="C401" s="1" t="n">
        <v>45294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3639-2022</t>
        </is>
      </c>
      <c r="B402" s="1" t="n">
        <v>44586</v>
      </c>
      <c r="C402" s="1" t="n">
        <v>45294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3662-2022</t>
        </is>
      </c>
      <c r="B403" s="1" t="n">
        <v>44586</v>
      </c>
      <c r="C403" s="1" t="n">
        <v>45294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4152-2022</t>
        </is>
      </c>
      <c r="B404" s="1" t="n">
        <v>44588</v>
      </c>
      <c r="C404" s="1" t="n">
        <v>45294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4482-2022</t>
        </is>
      </c>
      <c r="B405" s="1" t="n">
        <v>44589</v>
      </c>
      <c r="C405" s="1" t="n">
        <v>45294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4349-2022</t>
        </is>
      </c>
      <c r="B406" s="1" t="n">
        <v>44589</v>
      </c>
      <c r="C406" s="1" t="n">
        <v>45294</v>
      </c>
      <c r="D406" t="inlineStr">
        <is>
          <t>GÄVLEBORGS LÄN</t>
        </is>
      </c>
      <c r="E406" t="inlineStr">
        <is>
          <t>GÄVLE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4935-2022</t>
        </is>
      </c>
      <c r="B407" s="1" t="n">
        <v>44593</v>
      </c>
      <c r="C407" s="1" t="n">
        <v>45294</v>
      </c>
      <c r="D407" t="inlineStr">
        <is>
          <t>GÄVLEBORGS LÄN</t>
        </is>
      </c>
      <c r="E407" t="inlineStr">
        <is>
          <t>GÄVLE</t>
        </is>
      </c>
      <c r="F407" t="inlineStr">
        <is>
          <t>Kyrkan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5149-2022</t>
        </is>
      </c>
      <c r="B408" s="1" t="n">
        <v>44594</v>
      </c>
      <c r="C408" s="1" t="n">
        <v>45294</v>
      </c>
      <c r="D408" t="inlineStr">
        <is>
          <t>GÄVLEBORGS LÄN</t>
        </is>
      </c>
      <c r="E408" t="inlineStr">
        <is>
          <t>GÄVLE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5975-2022</t>
        </is>
      </c>
      <c r="B409" s="1" t="n">
        <v>44599</v>
      </c>
      <c r="C409" s="1" t="n">
        <v>45294</v>
      </c>
      <c r="D409" t="inlineStr">
        <is>
          <t>GÄVLEBORGS LÄN</t>
        </is>
      </c>
      <c r="E409" t="inlineStr">
        <is>
          <t>GÄVLE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6001-2022</t>
        </is>
      </c>
      <c r="B410" s="1" t="n">
        <v>44599</v>
      </c>
      <c r="C410" s="1" t="n">
        <v>45294</v>
      </c>
      <c r="D410" t="inlineStr">
        <is>
          <t>GÄVLEBORGS LÄN</t>
        </is>
      </c>
      <c r="E410" t="inlineStr">
        <is>
          <t>GÄVLE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6025-2022</t>
        </is>
      </c>
      <c r="B411" s="1" t="n">
        <v>44599</v>
      </c>
      <c r="C411" s="1" t="n">
        <v>45294</v>
      </c>
      <c r="D411" t="inlineStr">
        <is>
          <t>GÄVLEBORGS LÄN</t>
        </is>
      </c>
      <c r="E411" t="inlineStr">
        <is>
          <t>GÄVLE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6331-2022</t>
        </is>
      </c>
      <c r="B412" s="1" t="n">
        <v>44600</v>
      </c>
      <c r="C412" s="1" t="n">
        <v>45294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7060-2022</t>
        </is>
      </c>
      <c r="B413" s="1" t="n">
        <v>44603</v>
      </c>
      <c r="C413" s="1" t="n">
        <v>45294</v>
      </c>
      <c r="D413" t="inlineStr">
        <is>
          <t>GÄVLEBORGS LÄN</t>
        </is>
      </c>
      <c r="E413" t="inlineStr">
        <is>
          <t>GÄVLE</t>
        </is>
      </c>
      <c r="G413" t="n">
        <v>10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7020-2022</t>
        </is>
      </c>
      <c r="B414" s="1" t="n">
        <v>44603</v>
      </c>
      <c r="C414" s="1" t="n">
        <v>45294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7277-2022</t>
        </is>
      </c>
      <c r="B415" s="1" t="n">
        <v>44606</v>
      </c>
      <c r="C415" s="1" t="n">
        <v>45294</v>
      </c>
      <c r="D415" t="inlineStr">
        <is>
          <t>GÄVLEBORGS LÄN</t>
        </is>
      </c>
      <c r="E415" t="inlineStr">
        <is>
          <t>GÄVLE</t>
        </is>
      </c>
      <c r="F415" t="inlineStr">
        <is>
          <t>Kyrkan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7305-2022</t>
        </is>
      </c>
      <c r="B416" s="1" t="n">
        <v>44606</v>
      </c>
      <c r="C416" s="1" t="n">
        <v>45294</v>
      </c>
      <c r="D416" t="inlineStr">
        <is>
          <t>GÄVLEBORGS LÄN</t>
        </is>
      </c>
      <c r="E416" t="inlineStr">
        <is>
          <t>GÄVLE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9235-2022</t>
        </is>
      </c>
      <c r="B417" s="1" t="n">
        <v>44616</v>
      </c>
      <c r="C417" s="1" t="n">
        <v>45294</v>
      </c>
      <c r="D417" t="inlineStr">
        <is>
          <t>GÄVLEBORGS LÄN</t>
        </is>
      </c>
      <c r="E417" t="inlineStr">
        <is>
          <t>GÄVLE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9307-2022</t>
        </is>
      </c>
      <c r="B418" s="1" t="n">
        <v>44616</v>
      </c>
      <c r="C418" s="1" t="n">
        <v>45294</v>
      </c>
      <c r="D418" t="inlineStr">
        <is>
          <t>GÄVLEBORGS LÄN</t>
        </is>
      </c>
      <c r="E418" t="inlineStr">
        <is>
          <t>GÄVLE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10952-2022</t>
        </is>
      </c>
      <c r="B419" s="1" t="n">
        <v>44628</v>
      </c>
      <c r="C419" s="1" t="n">
        <v>45294</v>
      </c>
      <c r="D419" t="inlineStr">
        <is>
          <t>GÄVLEBORGS LÄN</t>
        </is>
      </c>
      <c r="E419" t="inlineStr">
        <is>
          <t>GÄVLE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11189-2022</t>
        </is>
      </c>
      <c r="B420" s="1" t="n">
        <v>44629</v>
      </c>
      <c r="C420" s="1" t="n">
        <v>45294</v>
      </c>
      <c r="D420" t="inlineStr">
        <is>
          <t>GÄVLEBORGS LÄN</t>
        </is>
      </c>
      <c r="E420" t="inlineStr">
        <is>
          <t>GÄVLE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11182-2022</t>
        </is>
      </c>
      <c r="B421" s="1" t="n">
        <v>44629</v>
      </c>
      <c r="C421" s="1" t="n">
        <v>45294</v>
      </c>
      <c r="D421" t="inlineStr">
        <is>
          <t>GÄVLEBORGS LÄN</t>
        </is>
      </c>
      <c r="E421" t="inlineStr">
        <is>
          <t>GÄVLE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11185-2022</t>
        </is>
      </c>
      <c r="B422" s="1" t="n">
        <v>44629</v>
      </c>
      <c r="C422" s="1" t="n">
        <v>45294</v>
      </c>
      <c r="D422" t="inlineStr">
        <is>
          <t>GÄVLEBORGS LÄN</t>
        </is>
      </c>
      <c r="E422" t="inlineStr">
        <is>
          <t>GÄVLE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11235-2022</t>
        </is>
      </c>
      <c r="B423" s="1" t="n">
        <v>44629</v>
      </c>
      <c r="C423" s="1" t="n">
        <v>45294</v>
      </c>
      <c r="D423" t="inlineStr">
        <is>
          <t>GÄVLEBORGS LÄN</t>
        </is>
      </c>
      <c r="E423" t="inlineStr">
        <is>
          <t>GÄVLE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11188-2022</t>
        </is>
      </c>
      <c r="B424" s="1" t="n">
        <v>44629</v>
      </c>
      <c r="C424" s="1" t="n">
        <v>45294</v>
      </c>
      <c r="D424" t="inlineStr">
        <is>
          <t>GÄVLEBORGS LÄN</t>
        </is>
      </c>
      <c r="E424" t="inlineStr">
        <is>
          <t>GÄVLE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11237-2022</t>
        </is>
      </c>
      <c r="B425" s="1" t="n">
        <v>44629</v>
      </c>
      <c r="C425" s="1" t="n">
        <v>45294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11613-2022</t>
        </is>
      </c>
      <c r="B426" s="1" t="n">
        <v>44631</v>
      </c>
      <c r="C426" s="1" t="n">
        <v>45294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11817-2022</t>
        </is>
      </c>
      <c r="B427" s="1" t="n">
        <v>44634</v>
      </c>
      <c r="C427" s="1" t="n">
        <v>45294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11994-2022</t>
        </is>
      </c>
      <c r="B428" s="1" t="n">
        <v>44635</v>
      </c>
      <c r="C428" s="1" t="n">
        <v>45294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12095-2022</t>
        </is>
      </c>
      <c r="B429" s="1" t="n">
        <v>44636</v>
      </c>
      <c r="C429" s="1" t="n">
        <v>45294</v>
      </c>
      <c r="D429" t="inlineStr">
        <is>
          <t>GÄVLEBORGS LÄN</t>
        </is>
      </c>
      <c r="E429" t="inlineStr">
        <is>
          <t>GÄVLE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12127-2022</t>
        </is>
      </c>
      <c r="B430" s="1" t="n">
        <v>44636</v>
      </c>
      <c r="C430" s="1" t="n">
        <v>45294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12228-2022</t>
        </is>
      </c>
      <c r="B431" s="1" t="n">
        <v>44637</v>
      </c>
      <c r="C431" s="1" t="n">
        <v>45294</v>
      </c>
      <c r="D431" t="inlineStr">
        <is>
          <t>GÄVLEBORGS LÄN</t>
        </is>
      </c>
      <c r="E431" t="inlineStr">
        <is>
          <t>GÄVLE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12737-2022</t>
        </is>
      </c>
      <c r="B432" s="1" t="n">
        <v>44641</v>
      </c>
      <c r="C432" s="1" t="n">
        <v>45294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14173-2022</t>
        </is>
      </c>
      <c r="B433" s="1" t="n">
        <v>44651</v>
      </c>
      <c r="C433" s="1" t="n">
        <v>45294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14174-2022</t>
        </is>
      </c>
      <c r="B434" s="1" t="n">
        <v>44651</v>
      </c>
      <c r="C434" s="1" t="n">
        <v>45294</v>
      </c>
      <c r="D434" t="inlineStr">
        <is>
          <t>GÄVLEBORGS LÄN</t>
        </is>
      </c>
      <c r="E434" t="inlineStr">
        <is>
          <t>GÄVLE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14577-2022</t>
        </is>
      </c>
      <c r="B435" s="1" t="n">
        <v>44655</v>
      </c>
      <c r="C435" s="1" t="n">
        <v>45294</v>
      </c>
      <c r="D435" t="inlineStr">
        <is>
          <t>GÄVLEBORGS LÄN</t>
        </is>
      </c>
      <c r="E435" t="inlineStr">
        <is>
          <t>GÄVLE</t>
        </is>
      </c>
      <c r="F435" t="inlineStr">
        <is>
          <t>Kommuner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14750-2022</t>
        </is>
      </c>
      <c r="B436" s="1" t="n">
        <v>44656</v>
      </c>
      <c r="C436" s="1" t="n">
        <v>45294</v>
      </c>
      <c r="D436" t="inlineStr">
        <is>
          <t>GÄVLEBORGS LÄN</t>
        </is>
      </c>
      <c r="E436" t="inlineStr">
        <is>
          <t>GÄVLE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15101-2022</t>
        </is>
      </c>
      <c r="B437" s="1" t="n">
        <v>44658</v>
      </c>
      <c r="C437" s="1" t="n">
        <v>45294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15704-2022</t>
        </is>
      </c>
      <c r="B438" s="1" t="n">
        <v>44663</v>
      </c>
      <c r="C438" s="1" t="n">
        <v>45294</v>
      </c>
      <c r="D438" t="inlineStr">
        <is>
          <t>GÄVLEBORGS LÄN</t>
        </is>
      </c>
      <c r="E438" t="inlineStr">
        <is>
          <t>GÄVLE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15686-2022</t>
        </is>
      </c>
      <c r="B439" s="1" t="n">
        <v>44663</v>
      </c>
      <c r="C439" s="1" t="n">
        <v>45294</v>
      </c>
      <c r="D439" t="inlineStr">
        <is>
          <t>GÄVLEBORGS LÄN</t>
        </is>
      </c>
      <c r="E439" t="inlineStr">
        <is>
          <t>GÄVLE</t>
        </is>
      </c>
      <c r="F439" t="inlineStr">
        <is>
          <t>Kyrkan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15700-2022</t>
        </is>
      </c>
      <c r="B440" s="1" t="n">
        <v>44663</v>
      </c>
      <c r="C440" s="1" t="n">
        <v>45294</v>
      </c>
      <c r="D440" t="inlineStr">
        <is>
          <t>GÄVLEBORGS LÄN</t>
        </is>
      </c>
      <c r="E440" t="inlineStr">
        <is>
          <t>GÄVLE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16459-2022</t>
        </is>
      </c>
      <c r="B441" s="1" t="n">
        <v>44671</v>
      </c>
      <c r="C441" s="1" t="n">
        <v>45294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16469-2022</t>
        </is>
      </c>
      <c r="B442" s="1" t="n">
        <v>44671</v>
      </c>
      <c r="C442" s="1" t="n">
        <v>45294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16475-2022</t>
        </is>
      </c>
      <c r="B443" s="1" t="n">
        <v>44671</v>
      </c>
      <c r="C443" s="1" t="n">
        <v>45294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18168-2022</t>
        </is>
      </c>
      <c r="B444" s="1" t="n">
        <v>44684</v>
      </c>
      <c r="C444" s="1" t="n">
        <v>45294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väst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18148-2022</t>
        </is>
      </c>
      <c r="B445" s="1" t="n">
        <v>44684</v>
      </c>
      <c r="C445" s="1" t="n">
        <v>45294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väst AB</t>
        </is>
      </c>
      <c r="G445" t="n">
        <v>41.8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18162-2022</t>
        </is>
      </c>
      <c r="B446" s="1" t="n">
        <v>44684</v>
      </c>
      <c r="C446" s="1" t="n">
        <v>45294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18181-2022</t>
        </is>
      </c>
      <c r="B447" s="1" t="n">
        <v>44684</v>
      </c>
      <c r="C447" s="1" t="n">
        <v>45294</v>
      </c>
      <c r="D447" t="inlineStr">
        <is>
          <t>GÄVLEBORGS LÄN</t>
        </is>
      </c>
      <c r="E447" t="inlineStr">
        <is>
          <t>GÄVLE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19095-2022</t>
        </is>
      </c>
      <c r="B448" s="1" t="n">
        <v>44691</v>
      </c>
      <c r="C448" s="1" t="n">
        <v>45294</v>
      </c>
      <c r="D448" t="inlineStr">
        <is>
          <t>GÄVLEBORGS LÄN</t>
        </is>
      </c>
      <c r="E448" t="inlineStr">
        <is>
          <t>GÄVLE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19424-2022</t>
        </is>
      </c>
      <c r="B449" s="1" t="n">
        <v>44693</v>
      </c>
      <c r="C449" s="1" t="n">
        <v>45294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19555-2022</t>
        </is>
      </c>
      <c r="B450" s="1" t="n">
        <v>44693</v>
      </c>
      <c r="C450" s="1" t="n">
        <v>45294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19730-2022</t>
        </is>
      </c>
      <c r="B451" s="1" t="n">
        <v>44694</v>
      </c>
      <c r="C451" s="1" t="n">
        <v>45294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19712-2022</t>
        </is>
      </c>
      <c r="B452" s="1" t="n">
        <v>44694</v>
      </c>
      <c r="C452" s="1" t="n">
        <v>45294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20999-2022</t>
        </is>
      </c>
      <c r="B453" s="1" t="n">
        <v>44701</v>
      </c>
      <c r="C453" s="1" t="n">
        <v>45294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21437-2022</t>
        </is>
      </c>
      <c r="B454" s="1" t="n">
        <v>44706</v>
      </c>
      <c r="C454" s="1" t="n">
        <v>45294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21468-2022</t>
        </is>
      </c>
      <c r="B455" s="1" t="n">
        <v>44706</v>
      </c>
      <c r="C455" s="1" t="n">
        <v>45294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21795-2022</t>
        </is>
      </c>
      <c r="B456" s="1" t="n">
        <v>44708</v>
      </c>
      <c r="C456" s="1" t="n">
        <v>45294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22577-2022</t>
        </is>
      </c>
      <c r="B457" s="1" t="n">
        <v>44713</v>
      </c>
      <c r="C457" s="1" t="n">
        <v>45294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10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23400-2022</t>
        </is>
      </c>
      <c r="B458" s="1" t="n">
        <v>44720</v>
      </c>
      <c r="C458" s="1" t="n">
        <v>45294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25722-2022</t>
        </is>
      </c>
      <c r="B459" s="1" t="n">
        <v>44733</v>
      </c>
      <c r="C459" s="1" t="n">
        <v>45294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25768-2022</t>
        </is>
      </c>
      <c r="B460" s="1" t="n">
        <v>44733</v>
      </c>
      <c r="C460" s="1" t="n">
        <v>45294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25774-2022</t>
        </is>
      </c>
      <c r="B461" s="1" t="n">
        <v>44733</v>
      </c>
      <c r="C461" s="1" t="n">
        <v>45294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25938-2022</t>
        </is>
      </c>
      <c r="B462" s="1" t="n">
        <v>44734</v>
      </c>
      <c r="C462" s="1" t="n">
        <v>45294</v>
      </c>
      <c r="D462" t="inlineStr">
        <is>
          <t>GÄVLEBORGS LÄN</t>
        </is>
      </c>
      <c r="E462" t="inlineStr">
        <is>
          <t>GÄVLE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26249-2022</t>
        </is>
      </c>
      <c r="B463" s="1" t="n">
        <v>44735</v>
      </c>
      <c r="C463" s="1" t="n">
        <v>45294</v>
      </c>
      <c r="D463" t="inlineStr">
        <is>
          <t>GÄVLEBORGS LÄN</t>
        </is>
      </c>
      <c r="E463" t="inlineStr">
        <is>
          <t>GÄVLE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26157-2022</t>
        </is>
      </c>
      <c r="B464" s="1" t="n">
        <v>44735</v>
      </c>
      <c r="C464" s="1" t="n">
        <v>45294</v>
      </c>
      <c r="D464" t="inlineStr">
        <is>
          <t>GÄVLEBORGS LÄN</t>
        </is>
      </c>
      <c r="E464" t="inlineStr">
        <is>
          <t>GÄVLE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26336-2022</t>
        </is>
      </c>
      <c r="B465" s="1" t="n">
        <v>44735</v>
      </c>
      <c r="C465" s="1" t="n">
        <v>45294</v>
      </c>
      <c r="D465" t="inlineStr">
        <is>
          <t>GÄVLEBORGS LÄN</t>
        </is>
      </c>
      <c r="E465" t="inlineStr">
        <is>
          <t>GÄVLE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26334-2022</t>
        </is>
      </c>
      <c r="B466" s="1" t="n">
        <v>44735</v>
      </c>
      <c r="C466" s="1" t="n">
        <v>45294</v>
      </c>
      <c r="D466" t="inlineStr">
        <is>
          <t>GÄVLEBORGS LÄN</t>
        </is>
      </c>
      <c r="E466" t="inlineStr">
        <is>
          <t>GÄVLE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26349-2022</t>
        </is>
      </c>
      <c r="B467" s="1" t="n">
        <v>44735</v>
      </c>
      <c r="C467" s="1" t="n">
        <v>45294</v>
      </c>
      <c r="D467" t="inlineStr">
        <is>
          <t>GÄVLEBORGS LÄN</t>
        </is>
      </c>
      <c r="E467" t="inlineStr">
        <is>
          <t>GÄVLE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26564-2022</t>
        </is>
      </c>
      <c r="B468" s="1" t="n">
        <v>44739</v>
      </c>
      <c r="C468" s="1" t="n">
        <v>45294</v>
      </c>
      <c r="D468" t="inlineStr">
        <is>
          <t>GÄVLEBORGS LÄN</t>
        </is>
      </c>
      <c r="E468" t="inlineStr">
        <is>
          <t>GÄVLE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27182-2022</t>
        </is>
      </c>
      <c r="B469" s="1" t="n">
        <v>44741</v>
      </c>
      <c r="C469" s="1" t="n">
        <v>45294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27355-2022</t>
        </is>
      </c>
      <c r="B470" s="1" t="n">
        <v>44742</v>
      </c>
      <c r="C470" s="1" t="n">
        <v>45294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28757-2022</t>
        </is>
      </c>
      <c r="B471" s="1" t="n">
        <v>44749</v>
      </c>
      <c r="C471" s="1" t="n">
        <v>45294</v>
      </c>
      <c r="D471" t="inlineStr">
        <is>
          <t>GÄVLEBORGS LÄN</t>
        </is>
      </c>
      <c r="E471" t="inlineStr">
        <is>
          <t>GÄVLE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29197-2022</t>
        </is>
      </c>
      <c r="B472" s="1" t="n">
        <v>44750</v>
      </c>
      <c r="C472" s="1" t="n">
        <v>45294</v>
      </c>
      <c r="D472" t="inlineStr">
        <is>
          <t>GÄVLEBORGS LÄN</t>
        </is>
      </c>
      <c r="E472" t="inlineStr">
        <is>
          <t>GÄVLE</t>
        </is>
      </c>
      <c r="F472" t="inlineStr">
        <is>
          <t>Kommuner</t>
        </is>
      </c>
      <c r="G472" t="n">
        <v>92.59999999999999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29929-2022</t>
        </is>
      </c>
      <c r="B473" s="1" t="n">
        <v>44756</v>
      </c>
      <c r="C473" s="1" t="n">
        <v>45294</v>
      </c>
      <c r="D473" t="inlineStr">
        <is>
          <t>GÄVLEBORGS LÄN</t>
        </is>
      </c>
      <c r="E473" t="inlineStr">
        <is>
          <t>GÄVLE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29905-2022</t>
        </is>
      </c>
      <c r="B474" s="1" t="n">
        <v>44756</v>
      </c>
      <c r="C474" s="1" t="n">
        <v>45294</v>
      </c>
      <c r="D474" t="inlineStr">
        <is>
          <t>GÄVLEBORGS LÄN</t>
        </is>
      </c>
      <c r="E474" t="inlineStr">
        <is>
          <t>GÄVLE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29927-2022</t>
        </is>
      </c>
      <c r="B475" s="1" t="n">
        <v>44756</v>
      </c>
      <c r="C475" s="1" t="n">
        <v>45294</v>
      </c>
      <c r="D475" t="inlineStr">
        <is>
          <t>GÄVLEBORGS LÄN</t>
        </is>
      </c>
      <c r="E475" t="inlineStr">
        <is>
          <t>GÄVLE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29933-2022</t>
        </is>
      </c>
      <c r="B476" s="1" t="n">
        <v>44756</v>
      </c>
      <c r="C476" s="1" t="n">
        <v>45294</v>
      </c>
      <c r="D476" t="inlineStr">
        <is>
          <t>GÄVLEBORGS LÄN</t>
        </is>
      </c>
      <c r="E476" t="inlineStr">
        <is>
          <t>GÄVLE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29923-2022</t>
        </is>
      </c>
      <c r="B477" s="1" t="n">
        <v>44756</v>
      </c>
      <c r="C477" s="1" t="n">
        <v>45294</v>
      </c>
      <c r="D477" t="inlineStr">
        <is>
          <t>GÄVLEBORGS LÄN</t>
        </is>
      </c>
      <c r="E477" t="inlineStr">
        <is>
          <t>GÄVLE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30181-2022</t>
        </is>
      </c>
      <c r="B478" s="1" t="n">
        <v>44757</v>
      </c>
      <c r="C478" s="1" t="n">
        <v>45294</v>
      </c>
      <c r="D478" t="inlineStr">
        <is>
          <t>GÄVLEBORGS LÄN</t>
        </is>
      </c>
      <c r="E478" t="inlineStr">
        <is>
          <t>GÄVLE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30662-2022</t>
        </is>
      </c>
      <c r="B479" s="1" t="n">
        <v>44763</v>
      </c>
      <c r="C479" s="1" t="n">
        <v>45294</v>
      </c>
      <c r="D479" t="inlineStr">
        <is>
          <t>GÄVLEBORGS LÄN</t>
        </is>
      </c>
      <c r="E479" t="inlineStr">
        <is>
          <t>GÄVLE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30875-2022</t>
        </is>
      </c>
      <c r="B480" s="1" t="n">
        <v>44767</v>
      </c>
      <c r="C480" s="1" t="n">
        <v>45294</v>
      </c>
      <c r="D480" t="inlineStr">
        <is>
          <t>GÄVLEBORGS LÄN</t>
        </is>
      </c>
      <c r="E480" t="inlineStr">
        <is>
          <t>GÄVLE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31535-2022</t>
        </is>
      </c>
      <c r="B481" s="1" t="n">
        <v>44775</v>
      </c>
      <c r="C481" s="1" t="n">
        <v>45294</v>
      </c>
      <c r="D481" t="inlineStr">
        <is>
          <t>GÄVLEBORGS LÄN</t>
        </is>
      </c>
      <c r="E481" t="inlineStr">
        <is>
          <t>GÄVLE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31528-2022</t>
        </is>
      </c>
      <c r="B482" s="1" t="n">
        <v>44775</v>
      </c>
      <c r="C482" s="1" t="n">
        <v>45294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31531-2022</t>
        </is>
      </c>
      <c r="B483" s="1" t="n">
        <v>44775</v>
      </c>
      <c r="C483" s="1" t="n">
        <v>45294</v>
      </c>
      <c r="D483" t="inlineStr">
        <is>
          <t>GÄVLEBORGS LÄN</t>
        </is>
      </c>
      <c r="E483" t="inlineStr">
        <is>
          <t>GÄVLE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31773-2022</t>
        </is>
      </c>
      <c r="B484" s="1" t="n">
        <v>44776</v>
      </c>
      <c r="C484" s="1" t="n">
        <v>45294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32382-2022</t>
        </is>
      </c>
      <c r="B485" s="1" t="n">
        <v>44782</v>
      </c>
      <c r="C485" s="1" t="n">
        <v>45294</v>
      </c>
      <c r="D485" t="inlineStr">
        <is>
          <t>GÄVLEBORGS LÄN</t>
        </is>
      </c>
      <c r="E485" t="inlineStr">
        <is>
          <t>GÄVLE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33178-2022</t>
        </is>
      </c>
      <c r="B486" s="1" t="n">
        <v>44785</v>
      </c>
      <c r="C486" s="1" t="n">
        <v>45294</v>
      </c>
      <c r="D486" t="inlineStr">
        <is>
          <t>GÄVLEBORGS LÄN</t>
        </is>
      </c>
      <c r="E486" t="inlineStr">
        <is>
          <t>GÄVLE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33175-2022</t>
        </is>
      </c>
      <c r="B487" s="1" t="n">
        <v>44785</v>
      </c>
      <c r="C487" s="1" t="n">
        <v>45294</v>
      </c>
      <c r="D487" t="inlineStr">
        <is>
          <t>GÄVLEBORGS LÄN</t>
        </is>
      </c>
      <c r="E487" t="inlineStr">
        <is>
          <t>GÄVLE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33280-2022</t>
        </is>
      </c>
      <c r="B488" s="1" t="n">
        <v>44788</v>
      </c>
      <c r="C488" s="1" t="n">
        <v>45294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33880-2022</t>
        </is>
      </c>
      <c r="B489" s="1" t="n">
        <v>44790</v>
      </c>
      <c r="C489" s="1" t="n">
        <v>45294</v>
      </c>
      <c r="D489" t="inlineStr">
        <is>
          <t>GÄVLEBORGS LÄN</t>
        </is>
      </c>
      <c r="E489" t="inlineStr">
        <is>
          <t>GÄVLE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34706-2022</t>
        </is>
      </c>
      <c r="B490" s="1" t="n">
        <v>44795</v>
      </c>
      <c r="C490" s="1" t="n">
        <v>45294</v>
      </c>
      <c r="D490" t="inlineStr">
        <is>
          <t>GÄVLEBORGS LÄN</t>
        </is>
      </c>
      <c r="E490" t="inlineStr">
        <is>
          <t>GÄVLE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34871-2022</t>
        </is>
      </c>
      <c r="B491" s="1" t="n">
        <v>44796</v>
      </c>
      <c r="C491" s="1" t="n">
        <v>45294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35761-2022</t>
        </is>
      </c>
      <c r="B492" s="1" t="n">
        <v>44800</v>
      </c>
      <c r="C492" s="1" t="n">
        <v>45294</v>
      </c>
      <c r="D492" t="inlineStr">
        <is>
          <t>GÄVLEBORGS LÄN</t>
        </is>
      </c>
      <c r="E492" t="inlineStr">
        <is>
          <t>GÄVLE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35991-2022</t>
        </is>
      </c>
      <c r="B493" s="1" t="n">
        <v>44802</v>
      </c>
      <c r="C493" s="1" t="n">
        <v>45294</v>
      </c>
      <c r="D493" t="inlineStr">
        <is>
          <t>GÄVLEBORGS LÄN</t>
        </is>
      </c>
      <c r="E493" t="inlineStr">
        <is>
          <t>GÄVLE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36638-2022</t>
        </is>
      </c>
      <c r="B494" s="1" t="n">
        <v>44804</v>
      </c>
      <c r="C494" s="1" t="n">
        <v>45294</v>
      </c>
      <c r="D494" t="inlineStr">
        <is>
          <t>GÄVLEBORGS LÄN</t>
        </is>
      </c>
      <c r="E494" t="inlineStr">
        <is>
          <t>GÄVLE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36433-2022</t>
        </is>
      </c>
      <c r="B495" s="1" t="n">
        <v>44804</v>
      </c>
      <c r="C495" s="1" t="n">
        <v>45294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36768-2022</t>
        </is>
      </c>
      <c r="B496" s="1" t="n">
        <v>44805</v>
      </c>
      <c r="C496" s="1" t="n">
        <v>45294</v>
      </c>
      <c r="D496" t="inlineStr">
        <is>
          <t>GÄVLEBORGS LÄN</t>
        </is>
      </c>
      <c r="E496" t="inlineStr">
        <is>
          <t>GÄVLE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36895-2022</t>
        </is>
      </c>
      <c r="B497" s="1" t="n">
        <v>44805</v>
      </c>
      <c r="C497" s="1" t="n">
        <v>45294</v>
      </c>
      <c r="D497" t="inlineStr">
        <is>
          <t>GÄVLEBORGS LÄN</t>
        </is>
      </c>
      <c r="E497" t="inlineStr">
        <is>
          <t>GÄVLE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37775-2022</t>
        </is>
      </c>
      <c r="B498" s="1" t="n">
        <v>44810</v>
      </c>
      <c r="C498" s="1" t="n">
        <v>45294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37795-2022</t>
        </is>
      </c>
      <c r="B499" s="1" t="n">
        <v>44810</v>
      </c>
      <c r="C499" s="1" t="n">
        <v>45294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37801-2022</t>
        </is>
      </c>
      <c r="B500" s="1" t="n">
        <v>44810</v>
      </c>
      <c r="C500" s="1" t="n">
        <v>45294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25.5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38566-2022</t>
        </is>
      </c>
      <c r="B501" s="1" t="n">
        <v>44813</v>
      </c>
      <c r="C501" s="1" t="n">
        <v>45294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38447-2022</t>
        </is>
      </c>
      <c r="B502" s="1" t="n">
        <v>44813</v>
      </c>
      <c r="C502" s="1" t="n">
        <v>45294</v>
      </c>
      <c r="D502" t="inlineStr">
        <is>
          <t>GÄVLEBORGS LÄN</t>
        </is>
      </c>
      <c r="E502" t="inlineStr">
        <is>
          <t>GÄVLE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39107-2022</t>
        </is>
      </c>
      <c r="B503" s="1" t="n">
        <v>44817</v>
      </c>
      <c r="C503" s="1" t="n">
        <v>45294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39509-2022</t>
        </is>
      </c>
      <c r="B504" s="1" t="n">
        <v>44818</v>
      </c>
      <c r="C504" s="1" t="n">
        <v>45294</v>
      </c>
      <c r="D504" t="inlineStr">
        <is>
          <t>GÄVLEBORGS LÄN</t>
        </is>
      </c>
      <c r="E504" t="inlineStr">
        <is>
          <t>GÄVLE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40127-2022</t>
        </is>
      </c>
      <c r="B505" s="1" t="n">
        <v>44820</v>
      </c>
      <c r="C505" s="1" t="n">
        <v>45294</v>
      </c>
      <c r="D505" t="inlineStr">
        <is>
          <t>GÄVLEBORGS LÄN</t>
        </is>
      </c>
      <c r="E505" t="inlineStr">
        <is>
          <t>GÄVLE</t>
        </is>
      </c>
      <c r="F505" t="inlineStr">
        <is>
          <t>Övriga statliga verk och myndigheter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40494-2022</t>
        </is>
      </c>
      <c r="B506" s="1" t="n">
        <v>44823</v>
      </c>
      <c r="C506" s="1" t="n">
        <v>45294</v>
      </c>
      <c r="D506" t="inlineStr">
        <is>
          <t>GÄVLEBORGS LÄN</t>
        </is>
      </c>
      <c r="E506" t="inlineStr">
        <is>
          <t>GÄVLE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40498-2022</t>
        </is>
      </c>
      <c r="B507" s="1" t="n">
        <v>44823</v>
      </c>
      <c r="C507" s="1" t="n">
        <v>45294</v>
      </c>
      <c r="D507" t="inlineStr">
        <is>
          <t>GÄVLEBORGS LÄN</t>
        </is>
      </c>
      <c r="E507" t="inlineStr">
        <is>
          <t>GÄVLE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41041-2022</t>
        </is>
      </c>
      <c r="B508" s="1" t="n">
        <v>44824</v>
      </c>
      <c r="C508" s="1" t="n">
        <v>45294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41559-2022</t>
        </is>
      </c>
      <c r="B509" s="1" t="n">
        <v>44827</v>
      </c>
      <c r="C509" s="1" t="n">
        <v>45294</v>
      </c>
      <c r="D509" t="inlineStr">
        <is>
          <t>GÄVLEBORGS LÄN</t>
        </is>
      </c>
      <c r="E509" t="inlineStr">
        <is>
          <t>GÄVLE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42192-2022</t>
        </is>
      </c>
      <c r="B510" s="1" t="n">
        <v>44830</v>
      </c>
      <c r="C510" s="1" t="n">
        <v>45294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45223-2022</t>
        </is>
      </c>
      <c r="B511" s="1" t="n">
        <v>44840</v>
      </c>
      <c r="C511" s="1" t="n">
        <v>45294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45280-2022</t>
        </is>
      </c>
      <c r="B512" s="1" t="n">
        <v>44840</v>
      </c>
      <c r="C512" s="1" t="n">
        <v>45294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44938-2022</t>
        </is>
      </c>
      <c r="B513" s="1" t="n">
        <v>44841</v>
      </c>
      <c r="C513" s="1" t="n">
        <v>45294</v>
      </c>
      <c r="D513" t="inlineStr">
        <is>
          <t>GÄVLEBORGS LÄN</t>
        </is>
      </c>
      <c r="E513" t="inlineStr">
        <is>
          <t>GÄVLE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45592-2022</t>
        </is>
      </c>
      <c r="B514" s="1" t="n">
        <v>44845</v>
      </c>
      <c r="C514" s="1" t="n">
        <v>45294</v>
      </c>
      <c r="D514" t="inlineStr">
        <is>
          <t>GÄVLEBORGS LÄN</t>
        </is>
      </c>
      <c r="E514" t="inlineStr">
        <is>
          <t>GÄVLE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45626-2022</t>
        </is>
      </c>
      <c r="B515" s="1" t="n">
        <v>44845</v>
      </c>
      <c r="C515" s="1" t="n">
        <v>45294</v>
      </c>
      <c r="D515" t="inlineStr">
        <is>
          <t>GÄVLEBORGS LÄN</t>
        </is>
      </c>
      <c r="E515" t="inlineStr">
        <is>
          <t>GÄVLE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45686-2022</t>
        </is>
      </c>
      <c r="B516" s="1" t="n">
        <v>44846</v>
      </c>
      <c r="C516" s="1" t="n">
        <v>45294</v>
      </c>
      <c r="D516" t="inlineStr">
        <is>
          <t>GÄVLEBORGS LÄN</t>
        </is>
      </c>
      <c r="E516" t="inlineStr">
        <is>
          <t>GÄVLE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45628-2022</t>
        </is>
      </c>
      <c r="B517" s="1" t="n">
        <v>44845</v>
      </c>
      <c r="C517" s="1" t="n">
        <v>45294</v>
      </c>
      <c r="D517" t="inlineStr">
        <is>
          <t>GÄVLEBORGS LÄN</t>
        </is>
      </c>
      <c r="E517" t="inlineStr">
        <is>
          <t>GÄVLE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45872-2022</t>
        </is>
      </c>
      <c r="B518" s="1" t="n">
        <v>44846</v>
      </c>
      <c r="C518" s="1" t="n">
        <v>45294</v>
      </c>
      <c r="D518" t="inlineStr">
        <is>
          <t>GÄVLEBORGS LÄN</t>
        </is>
      </c>
      <c r="E518" t="inlineStr">
        <is>
          <t>GÄVLE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46382-2022</t>
        </is>
      </c>
      <c r="B519" s="1" t="n">
        <v>44848</v>
      </c>
      <c r="C519" s="1" t="n">
        <v>45294</v>
      </c>
      <c r="D519" t="inlineStr">
        <is>
          <t>GÄVLEBORGS LÄN</t>
        </is>
      </c>
      <c r="E519" t="inlineStr">
        <is>
          <t>GÄVLE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47454-2022</t>
        </is>
      </c>
      <c r="B520" s="1" t="n">
        <v>44853</v>
      </c>
      <c r="C520" s="1" t="n">
        <v>45294</v>
      </c>
      <c r="D520" t="inlineStr">
        <is>
          <t>GÄVLEBORGS LÄN</t>
        </is>
      </c>
      <c r="E520" t="inlineStr">
        <is>
          <t>GÄVLE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47458-2022</t>
        </is>
      </c>
      <c r="B521" s="1" t="n">
        <v>44853</v>
      </c>
      <c r="C521" s="1" t="n">
        <v>45294</v>
      </c>
      <c r="D521" t="inlineStr">
        <is>
          <t>GÄVLEBORGS LÄN</t>
        </is>
      </c>
      <c r="E521" t="inlineStr">
        <is>
          <t>GÄVLE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48677-2022</t>
        </is>
      </c>
      <c r="B522" s="1" t="n">
        <v>44859</v>
      </c>
      <c r="C522" s="1" t="n">
        <v>45294</v>
      </c>
      <c r="D522" t="inlineStr">
        <is>
          <t>GÄVLEBORGS LÄN</t>
        </is>
      </c>
      <c r="E522" t="inlineStr">
        <is>
          <t>GÄVLE</t>
        </is>
      </c>
      <c r="F522" t="inlineStr">
        <is>
          <t>Kyrkan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49771-2022</t>
        </is>
      </c>
      <c r="B523" s="1" t="n">
        <v>44862</v>
      </c>
      <c r="C523" s="1" t="n">
        <v>45294</v>
      </c>
      <c r="D523" t="inlineStr">
        <is>
          <t>GÄVLEBORGS LÄN</t>
        </is>
      </c>
      <c r="E523" t="inlineStr">
        <is>
          <t>GÄVLE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50271-2022</t>
        </is>
      </c>
      <c r="B524" s="1" t="n">
        <v>44865</v>
      </c>
      <c r="C524" s="1" t="n">
        <v>45294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50272-2022</t>
        </is>
      </c>
      <c r="B525" s="1" t="n">
        <v>44865</v>
      </c>
      <c r="C525" s="1" t="n">
        <v>45294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50871-2022</t>
        </is>
      </c>
      <c r="B526" s="1" t="n">
        <v>44867</v>
      </c>
      <c r="C526" s="1" t="n">
        <v>45294</v>
      </c>
      <c r="D526" t="inlineStr">
        <is>
          <t>GÄVLEBORGS LÄN</t>
        </is>
      </c>
      <c r="E526" t="inlineStr">
        <is>
          <t>GÄVLE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50778-2022</t>
        </is>
      </c>
      <c r="B527" s="1" t="n">
        <v>44867</v>
      </c>
      <c r="C527" s="1" t="n">
        <v>45294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51076-2022</t>
        </is>
      </c>
      <c r="B528" s="1" t="n">
        <v>44868</v>
      </c>
      <c r="C528" s="1" t="n">
        <v>45294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51381-2022</t>
        </is>
      </c>
      <c r="B529" s="1" t="n">
        <v>44869</v>
      </c>
      <c r="C529" s="1" t="n">
        <v>45294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52394-2022</t>
        </is>
      </c>
      <c r="B530" s="1" t="n">
        <v>44874</v>
      </c>
      <c r="C530" s="1" t="n">
        <v>45294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52401-2022</t>
        </is>
      </c>
      <c r="B531" s="1" t="n">
        <v>44874</v>
      </c>
      <c r="C531" s="1" t="n">
        <v>45294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52387-2022</t>
        </is>
      </c>
      <c r="B532" s="1" t="n">
        <v>44874</v>
      </c>
      <c r="C532" s="1" t="n">
        <v>45294</v>
      </c>
      <c r="D532" t="inlineStr">
        <is>
          <t>GÄVLEBORGS LÄN</t>
        </is>
      </c>
      <c r="E532" t="inlineStr">
        <is>
          <t>GÄVLE</t>
        </is>
      </c>
      <c r="F532" t="inlineStr">
        <is>
          <t>Kommuner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53082-2022</t>
        </is>
      </c>
      <c r="B533" s="1" t="n">
        <v>44876</v>
      </c>
      <c r="C533" s="1" t="n">
        <v>45294</v>
      </c>
      <c r="D533" t="inlineStr">
        <is>
          <t>GÄVLEBORGS LÄN</t>
        </is>
      </c>
      <c r="E533" t="inlineStr">
        <is>
          <t>GÄVLE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53049-2022</t>
        </is>
      </c>
      <c r="B534" s="1" t="n">
        <v>44876</v>
      </c>
      <c r="C534" s="1" t="n">
        <v>45294</v>
      </c>
      <c r="D534" t="inlineStr">
        <is>
          <t>GÄVLEBORGS LÄN</t>
        </is>
      </c>
      <c r="E534" t="inlineStr">
        <is>
          <t>GÄVLE</t>
        </is>
      </c>
      <c r="F534" t="inlineStr">
        <is>
          <t>Kommuner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54092-2022</t>
        </is>
      </c>
      <c r="B535" s="1" t="n">
        <v>44881</v>
      </c>
      <c r="C535" s="1" t="n">
        <v>45294</v>
      </c>
      <c r="D535" t="inlineStr">
        <is>
          <t>GÄVLEBORGS LÄN</t>
        </is>
      </c>
      <c r="E535" t="inlineStr">
        <is>
          <t>GÄVLE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54390-2022</t>
        </is>
      </c>
      <c r="B536" s="1" t="n">
        <v>44882</v>
      </c>
      <c r="C536" s="1" t="n">
        <v>45294</v>
      </c>
      <c r="D536" t="inlineStr">
        <is>
          <t>GÄVLEBORGS LÄN</t>
        </is>
      </c>
      <c r="E536" t="inlineStr">
        <is>
          <t>GÄVLE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54393-2022</t>
        </is>
      </c>
      <c r="B537" s="1" t="n">
        <v>44882</v>
      </c>
      <c r="C537" s="1" t="n">
        <v>45294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54382-2022</t>
        </is>
      </c>
      <c r="B538" s="1" t="n">
        <v>44882</v>
      </c>
      <c r="C538" s="1" t="n">
        <v>45294</v>
      </c>
      <c r="D538" t="inlineStr">
        <is>
          <t>GÄVLEBORGS LÄN</t>
        </is>
      </c>
      <c r="E538" t="inlineStr">
        <is>
          <t>GÄVLE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54388-2022</t>
        </is>
      </c>
      <c r="B539" s="1" t="n">
        <v>44882</v>
      </c>
      <c r="C539" s="1" t="n">
        <v>45294</v>
      </c>
      <c r="D539" t="inlineStr">
        <is>
          <t>GÄVLEBORGS LÄN</t>
        </is>
      </c>
      <c r="E539" t="inlineStr">
        <is>
          <t>GÄVLE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54387-2022</t>
        </is>
      </c>
      <c r="B540" s="1" t="n">
        <v>44882</v>
      </c>
      <c r="C540" s="1" t="n">
        <v>45294</v>
      </c>
      <c r="D540" t="inlineStr">
        <is>
          <t>GÄVLEBORGS LÄN</t>
        </is>
      </c>
      <c r="E540" t="inlineStr">
        <is>
          <t>GÄVLE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62766-2022</t>
        </is>
      </c>
      <c r="B541" s="1" t="n">
        <v>44885</v>
      </c>
      <c r="C541" s="1" t="n">
        <v>45294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55189-2022</t>
        </is>
      </c>
      <c r="B542" s="1" t="n">
        <v>44886</v>
      </c>
      <c r="C542" s="1" t="n">
        <v>45294</v>
      </c>
      <c r="D542" t="inlineStr">
        <is>
          <t>GÄVLEBORGS LÄN</t>
        </is>
      </c>
      <c r="E542" t="inlineStr">
        <is>
          <t>GÄVLE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55205-2022</t>
        </is>
      </c>
      <c r="B543" s="1" t="n">
        <v>44886</v>
      </c>
      <c r="C543" s="1" t="n">
        <v>45294</v>
      </c>
      <c r="D543" t="inlineStr">
        <is>
          <t>GÄVLEBORGS LÄN</t>
        </is>
      </c>
      <c r="E543" t="inlineStr">
        <is>
          <t>GÄVLE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56538-2022</t>
        </is>
      </c>
      <c r="B544" s="1" t="n">
        <v>44887</v>
      </c>
      <c r="C544" s="1" t="n">
        <v>45294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56874-2022</t>
        </is>
      </c>
      <c r="B545" s="1" t="n">
        <v>44888</v>
      </c>
      <c r="C545" s="1" t="n">
        <v>45294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väst AB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55989-2022</t>
        </is>
      </c>
      <c r="B546" s="1" t="n">
        <v>44889</v>
      </c>
      <c r="C546" s="1" t="n">
        <v>45294</v>
      </c>
      <c r="D546" t="inlineStr">
        <is>
          <t>GÄVLEBORGS LÄN</t>
        </is>
      </c>
      <c r="E546" t="inlineStr">
        <is>
          <t>GÄVLE</t>
        </is>
      </c>
      <c r="F546" t="inlineStr">
        <is>
          <t>Kyrkan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55976-2022</t>
        </is>
      </c>
      <c r="B547" s="1" t="n">
        <v>44889</v>
      </c>
      <c r="C547" s="1" t="n">
        <v>45294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55996-2022</t>
        </is>
      </c>
      <c r="B548" s="1" t="n">
        <v>44889</v>
      </c>
      <c r="C548" s="1" t="n">
        <v>45294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57040-2022</t>
        </is>
      </c>
      <c r="B549" s="1" t="n">
        <v>44895</v>
      </c>
      <c r="C549" s="1" t="n">
        <v>45294</v>
      </c>
      <c r="D549" t="inlineStr">
        <is>
          <t>GÄVLEBORGS LÄN</t>
        </is>
      </c>
      <c r="E549" t="inlineStr">
        <is>
          <t>GÄVLE</t>
        </is>
      </c>
      <c r="F549" t="inlineStr">
        <is>
          <t>Kyrkan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57179-2022</t>
        </is>
      </c>
      <c r="B550" s="1" t="n">
        <v>44895</v>
      </c>
      <c r="C550" s="1" t="n">
        <v>45294</v>
      </c>
      <c r="D550" t="inlineStr">
        <is>
          <t>GÄVLEBORGS LÄN</t>
        </is>
      </c>
      <c r="E550" t="inlineStr">
        <is>
          <t>GÄVLE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57343-2022</t>
        </is>
      </c>
      <c r="B551" s="1" t="n">
        <v>44896</v>
      </c>
      <c r="C551" s="1" t="n">
        <v>45294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8.699999999999999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57345-2022</t>
        </is>
      </c>
      <c r="B552" s="1" t="n">
        <v>44896</v>
      </c>
      <c r="C552" s="1" t="n">
        <v>45294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57681-2022</t>
        </is>
      </c>
      <c r="B553" s="1" t="n">
        <v>44897</v>
      </c>
      <c r="C553" s="1" t="n">
        <v>45294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59261-2022</t>
        </is>
      </c>
      <c r="B554" s="1" t="n">
        <v>44904</v>
      </c>
      <c r="C554" s="1" t="n">
        <v>45294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59259-2022</t>
        </is>
      </c>
      <c r="B555" s="1" t="n">
        <v>44904</v>
      </c>
      <c r="C555" s="1" t="n">
        <v>45294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59313-2022</t>
        </is>
      </c>
      <c r="B556" s="1" t="n">
        <v>44904</v>
      </c>
      <c r="C556" s="1" t="n">
        <v>45294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59322-2022</t>
        </is>
      </c>
      <c r="B557" s="1" t="n">
        <v>44904</v>
      </c>
      <c r="C557" s="1" t="n">
        <v>45294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59546-2022</t>
        </is>
      </c>
      <c r="B558" s="1" t="n">
        <v>44907</v>
      </c>
      <c r="C558" s="1" t="n">
        <v>45294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60371-2022</t>
        </is>
      </c>
      <c r="B559" s="1" t="n">
        <v>44910</v>
      </c>
      <c r="C559" s="1" t="n">
        <v>45294</v>
      </c>
      <c r="D559" t="inlineStr">
        <is>
          <t>GÄVLEBORGS LÄN</t>
        </is>
      </c>
      <c r="E559" t="inlineStr">
        <is>
          <t>GÄVLE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60396-2022</t>
        </is>
      </c>
      <c r="B560" s="1" t="n">
        <v>44910</v>
      </c>
      <c r="C560" s="1" t="n">
        <v>45294</v>
      </c>
      <c r="D560" t="inlineStr">
        <is>
          <t>GÄVLEBORGS LÄN</t>
        </is>
      </c>
      <c r="E560" t="inlineStr">
        <is>
          <t>GÄVLE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60349-2022</t>
        </is>
      </c>
      <c r="B561" s="1" t="n">
        <v>44910</v>
      </c>
      <c r="C561" s="1" t="n">
        <v>45294</v>
      </c>
      <c r="D561" t="inlineStr">
        <is>
          <t>GÄVLEBORGS LÄN</t>
        </is>
      </c>
      <c r="E561" t="inlineStr">
        <is>
          <t>GÄVLE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60376-2022</t>
        </is>
      </c>
      <c r="B562" s="1" t="n">
        <v>44910</v>
      </c>
      <c r="C562" s="1" t="n">
        <v>45294</v>
      </c>
      <c r="D562" t="inlineStr">
        <is>
          <t>GÄVLEBORGS LÄN</t>
        </is>
      </c>
      <c r="E562" t="inlineStr">
        <is>
          <t>GÄVLE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60442-2022</t>
        </is>
      </c>
      <c r="B563" s="1" t="n">
        <v>44911</v>
      </c>
      <c r="C563" s="1" t="n">
        <v>45294</v>
      </c>
      <c r="D563" t="inlineStr">
        <is>
          <t>GÄVLEBORGS LÄN</t>
        </is>
      </c>
      <c r="E563" t="inlineStr">
        <is>
          <t>GÄVLE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61512-2022</t>
        </is>
      </c>
      <c r="B564" s="1" t="n">
        <v>44916</v>
      </c>
      <c r="C564" s="1" t="n">
        <v>45294</v>
      </c>
      <c r="D564" t="inlineStr">
        <is>
          <t>GÄVLEBORGS LÄN</t>
        </is>
      </c>
      <c r="E564" t="inlineStr">
        <is>
          <t>GÄVLE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62130-2022</t>
        </is>
      </c>
      <c r="B565" s="1" t="n">
        <v>44922</v>
      </c>
      <c r="C565" s="1" t="n">
        <v>45294</v>
      </c>
      <c r="D565" t="inlineStr">
        <is>
          <t>GÄVLEBORGS LÄN</t>
        </is>
      </c>
      <c r="E565" t="inlineStr">
        <is>
          <t>GÄVLE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62255-2022</t>
        </is>
      </c>
      <c r="B566" s="1" t="n">
        <v>44922</v>
      </c>
      <c r="C566" s="1" t="n">
        <v>45294</v>
      </c>
      <c r="D566" t="inlineStr">
        <is>
          <t>GÄVLEBORGS LÄN</t>
        </is>
      </c>
      <c r="E566" t="inlineStr">
        <is>
          <t>GÄVLE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62128-2022</t>
        </is>
      </c>
      <c r="B567" s="1" t="n">
        <v>44922</v>
      </c>
      <c r="C567" s="1" t="n">
        <v>45294</v>
      </c>
      <c r="D567" t="inlineStr">
        <is>
          <t>GÄVLEBORGS LÄN</t>
        </is>
      </c>
      <c r="E567" t="inlineStr">
        <is>
          <t>GÄVLE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11-2023</t>
        </is>
      </c>
      <c r="B568" s="1" t="n">
        <v>44927</v>
      </c>
      <c r="C568" s="1" t="n">
        <v>45294</v>
      </c>
      <c r="D568" t="inlineStr">
        <is>
          <t>GÄVLEBORGS LÄN</t>
        </is>
      </c>
      <c r="E568" t="inlineStr">
        <is>
          <t>GÄVLE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138-2023</t>
        </is>
      </c>
      <c r="B569" s="1" t="n">
        <v>44928</v>
      </c>
      <c r="C569" s="1" t="n">
        <v>45294</v>
      </c>
      <c r="D569" t="inlineStr">
        <is>
          <t>GÄVLEBORGS LÄN</t>
        </is>
      </c>
      <c r="E569" t="inlineStr">
        <is>
          <t>GÄVLE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1007-2023</t>
        </is>
      </c>
      <c r="B570" s="1" t="n">
        <v>44935</v>
      </c>
      <c r="C570" s="1" t="n">
        <v>45294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väst AB</t>
        </is>
      </c>
      <c r="G570" t="n">
        <v>19.3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989-2023</t>
        </is>
      </c>
      <c r="B571" s="1" t="n">
        <v>44935</v>
      </c>
      <c r="C571" s="1" t="n">
        <v>45294</v>
      </c>
      <c r="D571" t="inlineStr">
        <is>
          <t>GÄVLEBORGS LÄN</t>
        </is>
      </c>
      <c r="E571" t="inlineStr">
        <is>
          <t>GÄVLE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1019-2023</t>
        </is>
      </c>
      <c r="B572" s="1" t="n">
        <v>44935</v>
      </c>
      <c r="C572" s="1" t="n">
        <v>45294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väst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1238-2023</t>
        </is>
      </c>
      <c r="B573" s="1" t="n">
        <v>44936</v>
      </c>
      <c r="C573" s="1" t="n">
        <v>45294</v>
      </c>
      <c r="D573" t="inlineStr">
        <is>
          <t>GÄVLEBORGS LÄN</t>
        </is>
      </c>
      <c r="E573" t="inlineStr">
        <is>
          <t>GÄVLE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1244-2023</t>
        </is>
      </c>
      <c r="B574" s="1" t="n">
        <v>44936</v>
      </c>
      <c r="C574" s="1" t="n">
        <v>45294</v>
      </c>
      <c r="D574" t="inlineStr">
        <is>
          <t>GÄVLEBORGS LÄN</t>
        </is>
      </c>
      <c r="E574" t="inlineStr">
        <is>
          <t>GÄVLE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1441-2023</t>
        </is>
      </c>
      <c r="B575" s="1" t="n">
        <v>44937</v>
      </c>
      <c r="C575" s="1" t="n">
        <v>45294</v>
      </c>
      <c r="D575" t="inlineStr">
        <is>
          <t>GÄVLEBORGS LÄN</t>
        </is>
      </c>
      <c r="E575" t="inlineStr">
        <is>
          <t>GÄVLE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1436-2023</t>
        </is>
      </c>
      <c r="B576" s="1" t="n">
        <v>44937</v>
      </c>
      <c r="C576" s="1" t="n">
        <v>45294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2247-2023</t>
        </is>
      </c>
      <c r="B577" s="1" t="n">
        <v>44942</v>
      </c>
      <c r="C577" s="1" t="n">
        <v>45294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2400-2023</t>
        </is>
      </c>
      <c r="B578" s="1" t="n">
        <v>44942</v>
      </c>
      <c r="C578" s="1" t="n">
        <v>45294</v>
      </c>
      <c r="D578" t="inlineStr">
        <is>
          <t>GÄVLEBORGS LÄN</t>
        </is>
      </c>
      <c r="E578" t="inlineStr">
        <is>
          <t>GÄVLE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2425-2023</t>
        </is>
      </c>
      <c r="B579" s="1" t="n">
        <v>44943</v>
      </c>
      <c r="C579" s="1" t="n">
        <v>45294</v>
      </c>
      <c r="D579" t="inlineStr">
        <is>
          <t>GÄVLEBORGS LÄN</t>
        </is>
      </c>
      <c r="E579" t="inlineStr">
        <is>
          <t>GÄVLE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2696-2023</t>
        </is>
      </c>
      <c r="B580" s="1" t="n">
        <v>44944</v>
      </c>
      <c r="C580" s="1" t="n">
        <v>45294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3063-2023</t>
        </is>
      </c>
      <c r="B581" s="1" t="n">
        <v>44946</v>
      </c>
      <c r="C581" s="1" t="n">
        <v>45294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3715-2023</t>
        </is>
      </c>
      <c r="B582" s="1" t="n">
        <v>44951</v>
      </c>
      <c r="C582" s="1" t="n">
        <v>45294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3714-2023</t>
        </is>
      </c>
      <c r="B583" s="1" t="n">
        <v>44951</v>
      </c>
      <c r="C583" s="1" t="n">
        <v>45294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3712-2023</t>
        </is>
      </c>
      <c r="B584" s="1" t="n">
        <v>44951</v>
      </c>
      <c r="C584" s="1" t="n">
        <v>45294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3891-2023</t>
        </is>
      </c>
      <c r="B585" s="1" t="n">
        <v>44951</v>
      </c>
      <c r="C585" s="1" t="n">
        <v>45294</v>
      </c>
      <c r="D585" t="inlineStr">
        <is>
          <t>GÄVLEBORGS LÄN</t>
        </is>
      </c>
      <c r="E585" t="inlineStr">
        <is>
          <t>GÄVLE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5407-2023</t>
        </is>
      </c>
      <c r="B586" s="1" t="n">
        <v>44959</v>
      </c>
      <c r="C586" s="1" t="n">
        <v>45294</v>
      </c>
      <c r="D586" t="inlineStr">
        <is>
          <t>GÄVLEBORGS LÄN</t>
        </is>
      </c>
      <c r="E586" t="inlineStr">
        <is>
          <t>GÄVLE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5219-2023</t>
        </is>
      </c>
      <c r="B587" s="1" t="n">
        <v>44959</v>
      </c>
      <c r="C587" s="1" t="n">
        <v>45294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5233-2023</t>
        </is>
      </c>
      <c r="B588" s="1" t="n">
        <v>44959</v>
      </c>
      <c r="C588" s="1" t="n">
        <v>45294</v>
      </c>
      <c r="D588" t="inlineStr">
        <is>
          <t>GÄVLEBORGS LÄN</t>
        </is>
      </c>
      <c r="E588" t="inlineStr">
        <is>
          <t>GÄVLE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5241-2023</t>
        </is>
      </c>
      <c r="B589" s="1" t="n">
        <v>44959</v>
      </c>
      <c r="C589" s="1" t="n">
        <v>45294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5287-2023</t>
        </is>
      </c>
      <c r="B590" s="1" t="n">
        <v>44959</v>
      </c>
      <c r="C590" s="1" t="n">
        <v>45294</v>
      </c>
      <c r="D590" t="inlineStr">
        <is>
          <t>GÄVLEBORGS LÄN</t>
        </is>
      </c>
      <c r="E590" t="inlineStr">
        <is>
          <t>GÄVLE</t>
        </is>
      </c>
      <c r="F590" t="inlineStr">
        <is>
          <t>Kyrkan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5399-2023</t>
        </is>
      </c>
      <c r="B591" s="1" t="n">
        <v>44959</v>
      </c>
      <c r="C591" s="1" t="n">
        <v>45294</v>
      </c>
      <c r="D591" t="inlineStr">
        <is>
          <t>GÄVLEBORGS LÄN</t>
        </is>
      </c>
      <c r="E591" t="inlineStr">
        <is>
          <t>GÄVLE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5409-2023</t>
        </is>
      </c>
      <c r="B592" s="1" t="n">
        <v>44959</v>
      </c>
      <c r="C592" s="1" t="n">
        <v>45294</v>
      </c>
      <c r="D592" t="inlineStr">
        <is>
          <t>GÄVLEBORGS LÄN</t>
        </is>
      </c>
      <c r="E592" t="inlineStr">
        <is>
          <t>GÄVLE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5414-2023</t>
        </is>
      </c>
      <c r="B593" s="1" t="n">
        <v>44959</v>
      </c>
      <c r="C593" s="1" t="n">
        <v>45294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5211-2023</t>
        </is>
      </c>
      <c r="B594" s="1" t="n">
        <v>44959</v>
      </c>
      <c r="C594" s="1" t="n">
        <v>45294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5234-2023</t>
        </is>
      </c>
      <c r="B595" s="1" t="n">
        <v>44959</v>
      </c>
      <c r="C595" s="1" t="n">
        <v>45294</v>
      </c>
      <c r="D595" t="inlineStr">
        <is>
          <t>GÄVLEBORGS LÄN</t>
        </is>
      </c>
      <c r="E595" t="inlineStr">
        <is>
          <t>GÄVLE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5400-2023</t>
        </is>
      </c>
      <c r="B596" s="1" t="n">
        <v>44959</v>
      </c>
      <c r="C596" s="1" t="n">
        <v>45294</v>
      </c>
      <c r="D596" t="inlineStr">
        <is>
          <t>GÄVLEBORGS LÄN</t>
        </is>
      </c>
      <c r="E596" t="inlineStr">
        <is>
          <t>GÄVLE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5415-2023</t>
        </is>
      </c>
      <c r="B597" s="1" t="n">
        <v>44959</v>
      </c>
      <c r="C597" s="1" t="n">
        <v>45294</v>
      </c>
      <c r="D597" t="inlineStr">
        <is>
          <t>GÄVLEBORGS LÄN</t>
        </is>
      </c>
      <c r="E597" t="inlineStr">
        <is>
          <t>GÄVLE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5412-2023</t>
        </is>
      </c>
      <c r="B598" s="1" t="n">
        <v>44959</v>
      </c>
      <c r="C598" s="1" t="n">
        <v>45294</v>
      </c>
      <c r="D598" t="inlineStr">
        <is>
          <t>GÄVLEBORGS LÄN</t>
        </is>
      </c>
      <c r="E598" t="inlineStr">
        <is>
          <t>GÄVLE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5408-2023</t>
        </is>
      </c>
      <c r="B599" s="1" t="n">
        <v>44959</v>
      </c>
      <c r="C599" s="1" t="n">
        <v>45294</v>
      </c>
      <c r="D599" t="inlineStr">
        <is>
          <t>GÄVLEBORGS LÄN</t>
        </is>
      </c>
      <c r="E599" t="inlineStr">
        <is>
          <t>GÄVLE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5413-2023</t>
        </is>
      </c>
      <c r="B600" s="1" t="n">
        <v>44959</v>
      </c>
      <c r="C600" s="1" t="n">
        <v>45294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5462-2023</t>
        </is>
      </c>
      <c r="B601" s="1" t="n">
        <v>44960</v>
      </c>
      <c r="C601" s="1" t="n">
        <v>45294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5727-2023</t>
        </is>
      </c>
      <c r="B602" s="1" t="n">
        <v>44962</v>
      </c>
      <c r="C602" s="1" t="n">
        <v>45294</v>
      </c>
      <c r="D602" t="inlineStr">
        <is>
          <t>GÄVLEBORGS LÄN</t>
        </is>
      </c>
      <c r="E602" t="inlineStr">
        <is>
          <t>GÄVLE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5728-2023</t>
        </is>
      </c>
      <c r="B603" s="1" t="n">
        <v>44962</v>
      </c>
      <c r="C603" s="1" t="n">
        <v>45294</v>
      </c>
      <c r="D603" t="inlineStr">
        <is>
          <t>GÄVLEBORGS LÄN</t>
        </is>
      </c>
      <c r="E603" t="inlineStr">
        <is>
          <t>GÄVLE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6935-2023</t>
        </is>
      </c>
      <c r="B604" s="1" t="n">
        <v>44967</v>
      </c>
      <c r="C604" s="1" t="n">
        <v>45294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6972-2023</t>
        </is>
      </c>
      <c r="B605" s="1" t="n">
        <v>44967</v>
      </c>
      <c r="C605" s="1" t="n">
        <v>45294</v>
      </c>
      <c r="D605" t="inlineStr">
        <is>
          <t>GÄVLEBORGS LÄN</t>
        </is>
      </c>
      <c r="E605" t="inlineStr">
        <is>
          <t>GÄVLE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7161-2023</t>
        </is>
      </c>
      <c r="B606" s="1" t="n">
        <v>44970</v>
      </c>
      <c r="C606" s="1" t="n">
        <v>45294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7410-2023</t>
        </is>
      </c>
      <c r="B607" s="1" t="n">
        <v>44971</v>
      </c>
      <c r="C607" s="1" t="n">
        <v>45294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7575-2023</t>
        </is>
      </c>
      <c r="B608" s="1" t="n">
        <v>44972</v>
      </c>
      <c r="C608" s="1" t="n">
        <v>45294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7792-2023</t>
        </is>
      </c>
      <c r="B609" s="1" t="n">
        <v>44973</v>
      </c>
      <c r="C609" s="1" t="n">
        <v>45294</v>
      </c>
      <c r="D609" t="inlineStr">
        <is>
          <t>GÄVLEBORGS LÄN</t>
        </is>
      </c>
      <c r="E609" t="inlineStr">
        <is>
          <t>GÄVLE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7998-2023</t>
        </is>
      </c>
      <c r="B610" s="1" t="n">
        <v>44973</v>
      </c>
      <c r="C610" s="1" t="n">
        <v>45294</v>
      </c>
      <c r="D610" t="inlineStr">
        <is>
          <t>GÄVLEBORGS LÄN</t>
        </is>
      </c>
      <c r="E610" t="inlineStr">
        <is>
          <t>GÄVLE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8902-2023</t>
        </is>
      </c>
      <c r="B611" s="1" t="n">
        <v>44979</v>
      </c>
      <c r="C611" s="1" t="n">
        <v>45294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8904-2023</t>
        </is>
      </c>
      <c r="B612" s="1" t="n">
        <v>44979</v>
      </c>
      <c r="C612" s="1" t="n">
        <v>45294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9883-2023</t>
        </is>
      </c>
      <c r="B613" s="1" t="n">
        <v>44985</v>
      </c>
      <c r="C613" s="1" t="n">
        <v>45294</v>
      </c>
      <c r="D613" t="inlineStr">
        <is>
          <t>GÄVLEBORGS LÄN</t>
        </is>
      </c>
      <c r="E613" t="inlineStr">
        <is>
          <t>GÄVLE</t>
        </is>
      </c>
      <c r="G613" t="n">
        <v>11.7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10018-2023</t>
        </is>
      </c>
      <c r="B614" s="1" t="n">
        <v>44985</v>
      </c>
      <c r="C614" s="1" t="n">
        <v>45294</v>
      </c>
      <c r="D614" t="inlineStr">
        <is>
          <t>GÄVLEBORGS LÄN</t>
        </is>
      </c>
      <c r="E614" t="inlineStr">
        <is>
          <t>GÄVLE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10165-2023</t>
        </is>
      </c>
      <c r="B615" s="1" t="n">
        <v>44986</v>
      </c>
      <c r="C615" s="1" t="n">
        <v>45294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10577-2023</t>
        </is>
      </c>
      <c r="B616" s="1" t="n">
        <v>44988</v>
      </c>
      <c r="C616" s="1" t="n">
        <v>45294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10942-2023</t>
        </is>
      </c>
      <c r="B617" s="1" t="n">
        <v>44991</v>
      </c>
      <c r="C617" s="1" t="n">
        <v>45294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10986-2023</t>
        </is>
      </c>
      <c r="B618" s="1" t="n">
        <v>44991</v>
      </c>
      <c r="C618" s="1" t="n">
        <v>45294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11081-2023</t>
        </is>
      </c>
      <c r="B619" s="1" t="n">
        <v>44992</v>
      </c>
      <c r="C619" s="1" t="n">
        <v>45294</v>
      </c>
      <c r="D619" t="inlineStr">
        <is>
          <t>GÄVLEBORGS LÄN</t>
        </is>
      </c>
      <c r="E619" t="inlineStr">
        <is>
          <t>GÄVLE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11652-2023</t>
        </is>
      </c>
      <c r="B620" s="1" t="n">
        <v>44994</v>
      </c>
      <c r="C620" s="1" t="n">
        <v>45294</v>
      </c>
      <c r="D620" t="inlineStr">
        <is>
          <t>GÄVLEBORGS LÄN</t>
        </is>
      </c>
      <c r="E620" t="inlineStr">
        <is>
          <t>GÄVLE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12047-2023</t>
        </is>
      </c>
      <c r="B621" s="1" t="n">
        <v>44995</v>
      </c>
      <c r="C621" s="1" t="n">
        <v>45294</v>
      </c>
      <c r="D621" t="inlineStr">
        <is>
          <t>GÄVLEBORGS LÄN</t>
        </is>
      </c>
      <c r="E621" t="inlineStr">
        <is>
          <t>GÄVLE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12381-2023</t>
        </is>
      </c>
      <c r="B622" s="1" t="n">
        <v>44999</v>
      </c>
      <c r="C622" s="1" t="n">
        <v>45294</v>
      </c>
      <c r="D622" t="inlineStr">
        <is>
          <t>GÄVLEBORGS LÄN</t>
        </is>
      </c>
      <c r="E622" t="inlineStr">
        <is>
          <t>GÄVLE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13500-2023</t>
        </is>
      </c>
      <c r="B623" s="1" t="n">
        <v>45006</v>
      </c>
      <c r="C623" s="1" t="n">
        <v>45294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14155-2023</t>
        </is>
      </c>
      <c r="B624" s="1" t="n">
        <v>45009</v>
      </c>
      <c r="C624" s="1" t="n">
        <v>45294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14411-2023</t>
        </is>
      </c>
      <c r="B625" s="1" t="n">
        <v>45012</v>
      </c>
      <c r="C625" s="1" t="n">
        <v>45294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13.6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14426-2023</t>
        </is>
      </c>
      <c r="B626" s="1" t="n">
        <v>45012</v>
      </c>
      <c r="C626" s="1" t="n">
        <v>45294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14807-2023</t>
        </is>
      </c>
      <c r="B627" s="1" t="n">
        <v>45014</v>
      </c>
      <c r="C627" s="1" t="n">
        <v>45294</v>
      </c>
      <c r="D627" t="inlineStr">
        <is>
          <t>GÄVLEBORGS LÄN</t>
        </is>
      </c>
      <c r="E627" t="inlineStr">
        <is>
          <t>GÄVLE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14850-2023</t>
        </is>
      </c>
      <c r="B628" s="1" t="n">
        <v>45014</v>
      </c>
      <c r="C628" s="1" t="n">
        <v>45294</v>
      </c>
      <c r="D628" t="inlineStr">
        <is>
          <t>GÄVLEBORGS LÄN</t>
        </is>
      </c>
      <c r="E628" t="inlineStr">
        <is>
          <t>GÄVLE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14792-2023</t>
        </is>
      </c>
      <c r="B629" s="1" t="n">
        <v>45014</v>
      </c>
      <c r="C629" s="1" t="n">
        <v>45294</v>
      </c>
      <c r="D629" t="inlineStr">
        <is>
          <t>GÄVLEBORGS LÄN</t>
        </is>
      </c>
      <c r="E629" t="inlineStr">
        <is>
          <t>GÄVLE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14801-2023</t>
        </is>
      </c>
      <c r="B630" s="1" t="n">
        <v>45014</v>
      </c>
      <c r="C630" s="1" t="n">
        <v>45294</v>
      </c>
      <c r="D630" t="inlineStr">
        <is>
          <t>GÄVLEBORGS LÄN</t>
        </is>
      </c>
      <c r="E630" t="inlineStr">
        <is>
          <t>GÄVLE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14957-2023</t>
        </is>
      </c>
      <c r="B631" s="1" t="n">
        <v>45015</v>
      </c>
      <c r="C631" s="1" t="n">
        <v>45294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14964-2023</t>
        </is>
      </c>
      <c r="B632" s="1" t="n">
        <v>45015</v>
      </c>
      <c r="C632" s="1" t="n">
        <v>45294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15001-2023</t>
        </is>
      </c>
      <c r="B633" s="1" t="n">
        <v>45015</v>
      </c>
      <c r="C633" s="1" t="n">
        <v>45294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14994-2023</t>
        </is>
      </c>
      <c r="B634" s="1" t="n">
        <v>45015</v>
      </c>
      <c r="C634" s="1" t="n">
        <v>45294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14989-2023</t>
        </is>
      </c>
      <c r="B635" s="1" t="n">
        <v>45015</v>
      </c>
      <c r="C635" s="1" t="n">
        <v>45294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15314-2023</t>
        </is>
      </c>
      <c r="B636" s="1" t="n">
        <v>45019</v>
      </c>
      <c r="C636" s="1" t="n">
        <v>45294</v>
      </c>
      <c r="D636" t="inlineStr">
        <is>
          <t>GÄVLEBORGS LÄN</t>
        </is>
      </c>
      <c r="E636" t="inlineStr">
        <is>
          <t>GÄVLE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15311-2023</t>
        </is>
      </c>
      <c r="B637" s="1" t="n">
        <v>45019</v>
      </c>
      <c r="C637" s="1" t="n">
        <v>45294</v>
      </c>
      <c r="D637" t="inlineStr">
        <is>
          <t>GÄVLEBORGS LÄN</t>
        </is>
      </c>
      <c r="E637" t="inlineStr">
        <is>
          <t>GÄVLE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15312-2023</t>
        </is>
      </c>
      <c r="B638" s="1" t="n">
        <v>45019</v>
      </c>
      <c r="C638" s="1" t="n">
        <v>45294</v>
      </c>
      <c r="D638" t="inlineStr">
        <is>
          <t>GÄVLEBORGS LÄN</t>
        </is>
      </c>
      <c r="E638" t="inlineStr">
        <is>
          <t>GÄVLE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15873-2023</t>
        </is>
      </c>
      <c r="B639" s="1" t="n">
        <v>45022</v>
      </c>
      <c r="C639" s="1" t="n">
        <v>45294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10.7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16247-2023</t>
        </is>
      </c>
      <c r="B640" s="1" t="n">
        <v>45022</v>
      </c>
      <c r="C640" s="1" t="n">
        <v>45294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31.7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16242-2023</t>
        </is>
      </c>
      <c r="B641" s="1" t="n">
        <v>45022</v>
      </c>
      <c r="C641" s="1" t="n">
        <v>45294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16254-2023</t>
        </is>
      </c>
      <c r="B642" s="1" t="n">
        <v>45022</v>
      </c>
      <c r="C642" s="1" t="n">
        <v>45294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39.2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16023-2023</t>
        </is>
      </c>
      <c r="B643" s="1" t="n">
        <v>45026</v>
      </c>
      <c r="C643" s="1" t="n">
        <v>45294</v>
      </c>
      <c r="D643" t="inlineStr">
        <is>
          <t>GÄVLEBORGS LÄN</t>
        </is>
      </c>
      <c r="E643" t="inlineStr">
        <is>
          <t>GÄVLE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16057-2023</t>
        </is>
      </c>
      <c r="B644" s="1" t="n">
        <v>45027</v>
      </c>
      <c r="C644" s="1" t="n">
        <v>45294</v>
      </c>
      <c r="D644" t="inlineStr">
        <is>
          <t>GÄVLEBORGS LÄN</t>
        </is>
      </c>
      <c r="E644" t="inlineStr">
        <is>
          <t>GÄVLE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16062-2023</t>
        </is>
      </c>
      <c r="B645" s="1" t="n">
        <v>45027</v>
      </c>
      <c r="C645" s="1" t="n">
        <v>45294</v>
      </c>
      <c r="D645" t="inlineStr">
        <is>
          <t>GÄVLEBORGS LÄN</t>
        </is>
      </c>
      <c r="E645" t="inlineStr">
        <is>
          <t>GÄVLE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16421-2023</t>
        </is>
      </c>
      <c r="B646" s="1" t="n">
        <v>45029</v>
      </c>
      <c r="C646" s="1" t="n">
        <v>45294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16432-2023</t>
        </is>
      </c>
      <c r="B647" s="1" t="n">
        <v>45029</v>
      </c>
      <c r="C647" s="1" t="n">
        <v>45294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16504-2023</t>
        </is>
      </c>
      <c r="B648" s="1" t="n">
        <v>45029</v>
      </c>
      <c r="C648" s="1" t="n">
        <v>45294</v>
      </c>
      <c r="D648" t="inlineStr">
        <is>
          <t>GÄVLEBORGS LÄN</t>
        </is>
      </c>
      <c r="E648" t="inlineStr">
        <is>
          <t>GÄVLE</t>
        </is>
      </c>
      <c r="F648" t="inlineStr">
        <is>
          <t>Kyrkan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16632-2023</t>
        </is>
      </c>
      <c r="B649" s="1" t="n">
        <v>45030</v>
      </c>
      <c r="C649" s="1" t="n">
        <v>45294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16624-2023</t>
        </is>
      </c>
      <c r="B650" s="1" t="n">
        <v>45030</v>
      </c>
      <c r="C650" s="1" t="n">
        <v>45294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väst AB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16663-2023</t>
        </is>
      </c>
      <c r="B651" s="1" t="n">
        <v>45030</v>
      </c>
      <c r="C651" s="1" t="n">
        <v>45294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17062-2023</t>
        </is>
      </c>
      <c r="B652" s="1" t="n">
        <v>45034</v>
      </c>
      <c r="C652" s="1" t="n">
        <v>45294</v>
      </c>
      <c r="D652" t="inlineStr">
        <is>
          <t>GÄVLEBORGS LÄN</t>
        </is>
      </c>
      <c r="E652" t="inlineStr">
        <is>
          <t>GÄVLE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17088-2023</t>
        </is>
      </c>
      <c r="B653" s="1" t="n">
        <v>45034</v>
      </c>
      <c r="C653" s="1" t="n">
        <v>45294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17057-2023</t>
        </is>
      </c>
      <c r="B654" s="1" t="n">
        <v>45034</v>
      </c>
      <c r="C654" s="1" t="n">
        <v>45294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17449-2023</t>
        </is>
      </c>
      <c r="B655" s="1" t="n">
        <v>45036</v>
      </c>
      <c r="C655" s="1" t="n">
        <v>45294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17570-2023</t>
        </is>
      </c>
      <c r="B656" s="1" t="n">
        <v>45036</v>
      </c>
      <c r="C656" s="1" t="n">
        <v>45294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17903-2023</t>
        </is>
      </c>
      <c r="B657" s="1" t="n">
        <v>45040</v>
      </c>
      <c r="C657" s="1" t="n">
        <v>45294</v>
      </c>
      <c r="D657" t="inlineStr">
        <is>
          <t>GÄVLEBORGS LÄN</t>
        </is>
      </c>
      <c r="E657" t="inlineStr">
        <is>
          <t>GÄVLE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17911-2023</t>
        </is>
      </c>
      <c r="B658" s="1" t="n">
        <v>45040</v>
      </c>
      <c r="C658" s="1" t="n">
        <v>45294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väst AB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18017-2023</t>
        </is>
      </c>
      <c r="B659" s="1" t="n">
        <v>45040</v>
      </c>
      <c r="C659" s="1" t="n">
        <v>45294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18849-2023</t>
        </is>
      </c>
      <c r="B660" s="1" t="n">
        <v>45044</v>
      </c>
      <c r="C660" s="1" t="n">
        <v>45294</v>
      </c>
      <c r="D660" t="inlineStr">
        <is>
          <t>GÄVLEBORGS LÄN</t>
        </is>
      </c>
      <c r="E660" t="inlineStr">
        <is>
          <t>GÄVLE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19874-2023</t>
        </is>
      </c>
      <c r="B661" s="1" t="n">
        <v>45054</v>
      </c>
      <c r="C661" s="1" t="n">
        <v>45294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19876-2023</t>
        </is>
      </c>
      <c r="B662" s="1" t="n">
        <v>45054</v>
      </c>
      <c r="C662" s="1" t="n">
        <v>45294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20361-2023</t>
        </is>
      </c>
      <c r="B663" s="1" t="n">
        <v>45056</v>
      </c>
      <c r="C663" s="1" t="n">
        <v>45294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21.2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20682-2023</t>
        </is>
      </c>
      <c r="B664" s="1" t="n">
        <v>45058</v>
      </c>
      <c r="C664" s="1" t="n">
        <v>45294</v>
      </c>
      <c r="D664" t="inlineStr">
        <is>
          <t>GÄVLEBORGS LÄN</t>
        </is>
      </c>
      <c r="E664" t="inlineStr">
        <is>
          <t>GÄVLE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22106-2023</t>
        </is>
      </c>
      <c r="B665" s="1" t="n">
        <v>45069</v>
      </c>
      <c r="C665" s="1" t="n">
        <v>45294</v>
      </c>
      <c r="D665" t="inlineStr">
        <is>
          <t>GÄVLEBORGS LÄN</t>
        </is>
      </c>
      <c r="E665" t="inlineStr">
        <is>
          <t>GÄVLE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22466-2023</t>
        </is>
      </c>
      <c r="B666" s="1" t="n">
        <v>45070</v>
      </c>
      <c r="C666" s="1" t="n">
        <v>45294</v>
      </c>
      <c r="D666" t="inlineStr">
        <is>
          <t>GÄVLEBORGS LÄN</t>
        </is>
      </c>
      <c r="E666" t="inlineStr">
        <is>
          <t>GÄVLE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22720-2023</t>
        </is>
      </c>
      <c r="B667" s="1" t="n">
        <v>45071</v>
      </c>
      <c r="C667" s="1" t="n">
        <v>45294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22724-2023</t>
        </is>
      </c>
      <c r="B668" s="1" t="n">
        <v>45071</v>
      </c>
      <c r="C668" s="1" t="n">
        <v>45294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22741-2023</t>
        </is>
      </c>
      <c r="B669" s="1" t="n">
        <v>45072</v>
      </c>
      <c r="C669" s="1" t="n">
        <v>45294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22777-2023</t>
        </is>
      </c>
      <c r="B670" s="1" t="n">
        <v>45072</v>
      </c>
      <c r="C670" s="1" t="n">
        <v>45294</v>
      </c>
      <c r="D670" t="inlineStr">
        <is>
          <t>GÄVLEBORGS LÄN</t>
        </is>
      </c>
      <c r="E670" t="inlineStr">
        <is>
          <t>GÄVLE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24138-2023</t>
        </is>
      </c>
      <c r="B671" s="1" t="n">
        <v>45079</v>
      </c>
      <c r="C671" s="1" t="n">
        <v>45294</v>
      </c>
      <c r="D671" t="inlineStr">
        <is>
          <t>GÄVLEBORGS LÄN</t>
        </is>
      </c>
      <c r="E671" t="inlineStr">
        <is>
          <t>GÄVLE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24480-2023</t>
        </is>
      </c>
      <c r="B672" s="1" t="n">
        <v>45082</v>
      </c>
      <c r="C672" s="1" t="n">
        <v>45294</v>
      </c>
      <c r="D672" t="inlineStr">
        <is>
          <t>GÄVLEBORGS LÄN</t>
        </is>
      </c>
      <c r="E672" t="inlineStr">
        <is>
          <t>GÄVLE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24478-2023</t>
        </is>
      </c>
      <c r="B673" s="1" t="n">
        <v>45082</v>
      </c>
      <c r="C673" s="1" t="n">
        <v>45294</v>
      </c>
      <c r="D673" t="inlineStr">
        <is>
          <t>GÄVLEBORGS LÄN</t>
        </is>
      </c>
      <c r="E673" t="inlineStr">
        <is>
          <t>GÄVLE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24720-2023</t>
        </is>
      </c>
      <c r="B674" s="1" t="n">
        <v>45084</v>
      </c>
      <c r="C674" s="1" t="n">
        <v>45294</v>
      </c>
      <c r="D674" t="inlineStr">
        <is>
          <t>GÄVLEBORGS LÄN</t>
        </is>
      </c>
      <c r="E674" t="inlineStr">
        <is>
          <t>GÄVLE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24724-2023</t>
        </is>
      </c>
      <c r="B675" s="1" t="n">
        <v>45084</v>
      </c>
      <c r="C675" s="1" t="n">
        <v>45294</v>
      </c>
      <c r="D675" t="inlineStr">
        <is>
          <t>GÄVLEBORGS LÄN</t>
        </is>
      </c>
      <c r="E675" t="inlineStr">
        <is>
          <t>GÄVLE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24618-2023</t>
        </is>
      </c>
      <c r="B676" s="1" t="n">
        <v>45084</v>
      </c>
      <c r="C676" s="1" t="n">
        <v>45294</v>
      </c>
      <c r="D676" t="inlineStr">
        <is>
          <t>GÄVLEBORGS LÄN</t>
        </is>
      </c>
      <c r="E676" t="inlineStr">
        <is>
          <t>GÄVLE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24919-2023</t>
        </is>
      </c>
      <c r="B677" s="1" t="n">
        <v>45085</v>
      </c>
      <c r="C677" s="1" t="n">
        <v>45294</v>
      </c>
      <c r="D677" t="inlineStr">
        <is>
          <t>GÄVLEBORGS LÄN</t>
        </is>
      </c>
      <c r="E677" t="inlineStr">
        <is>
          <t>GÄVLE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25071-2023</t>
        </is>
      </c>
      <c r="B678" s="1" t="n">
        <v>45086</v>
      </c>
      <c r="C678" s="1" t="n">
        <v>45294</v>
      </c>
      <c r="D678" t="inlineStr">
        <is>
          <t>GÄVLEBORGS LÄN</t>
        </is>
      </c>
      <c r="E678" t="inlineStr">
        <is>
          <t>GÄVLE</t>
        </is>
      </c>
      <c r="F678" t="inlineStr">
        <is>
          <t>Kyrkan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25185-2023</t>
        </is>
      </c>
      <c r="B679" s="1" t="n">
        <v>45086</v>
      </c>
      <c r="C679" s="1" t="n">
        <v>45294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25466-2023</t>
        </is>
      </c>
      <c r="B680" s="1" t="n">
        <v>45089</v>
      </c>
      <c r="C680" s="1" t="n">
        <v>45294</v>
      </c>
      <c r="D680" t="inlineStr">
        <is>
          <t>GÄVLEBORGS LÄN</t>
        </is>
      </c>
      <c r="E680" t="inlineStr">
        <is>
          <t>GÄVLE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25532-2023</t>
        </is>
      </c>
      <c r="B681" s="1" t="n">
        <v>45089</v>
      </c>
      <c r="C681" s="1" t="n">
        <v>45294</v>
      </c>
      <c r="D681" t="inlineStr">
        <is>
          <t>GÄVLEBORGS LÄN</t>
        </is>
      </c>
      <c r="E681" t="inlineStr">
        <is>
          <t>GÄVLE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25607-2023</t>
        </is>
      </c>
      <c r="B682" s="1" t="n">
        <v>45089</v>
      </c>
      <c r="C682" s="1" t="n">
        <v>45294</v>
      </c>
      <c r="D682" t="inlineStr">
        <is>
          <t>GÄVLEBORGS LÄN</t>
        </is>
      </c>
      <c r="E682" t="inlineStr">
        <is>
          <t>GÄVLE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25645-2023</t>
        </is>
      </c>
      <c r="B683" s="1" t="n">
        <v>45089</v>
      </c>
      <c r="C683" s="1" t="n">
        <v>45294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25646-2023</t>
        </is>
      </c>
      <c r="B684" s="1" t="n">
        <v>45089</v>
      </c>
      <c r="C684" s="1" t="n">
        <v>45294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25650-2023</t>
        </is>
      </c>
      <c r="B685" s="1" t="n">
        <v>45089</v>
      </c>
      <c r="C685" s="1" t="n">
        <v>45294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25812-2023</t>
        </is>
      </c>
      <c r="B686" s="1" t="n">
        <v>45090</v>
      </c>
      <c r="C686" s="1" t="n">
        <v>45294</v>
      </c>
      <c r="D686" t="inlineStr">
        <is>
          <t>GÄVLEBORGS LÄN</t>
        </is>
      </c>
      <c r="E686" t="inlineStr">
        <is>
          <t>GÄVLE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25810-2023</t>
        </is>
      </c>
      <c r="B687" s="1" t="n">
        <v>45090</v>
      </c>
      <c r="C687" s="1" t="n">
        <v>45294</v>
      </c>
      <c r="D687" t="inlineStr">
        <is>
          <t>GÄVLEBORGS LÄN</t>
        </is>
      </c>
      <c r="E687" t="inlineStr">
        <is>
          <t>GÄVLE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25814-2023</t>
        </is>
      </c>
      <c r="B688" s="1" t="n">
        <v>45090</v>
      </c>
      <c r="C688" s="1" t="n">
        <v>45294</v>
      </c>
      <c r="D688" t="inlineStr">
        <is>
          <t>GÄVLEBORGS LÄN</t>
        </is>
      </c>
      <c r="E688" t="inlineStr">
        <is>
          <t>GÄVLE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27089-2023</t>
        </is>
      </c>
      <c r="B689" s="1" t="n">
        <v>45096</v>
      </c>
      <c r="C689" s="1" t="n">
        <v>45294</v>
      </c>
      <c r="D689" t="inlineStr">
        <is>
          <t>GÄVLEBORGS LÄN</t>
        </is>
      </c>
      <c r="E689" t="inlineStr">
        <is>
          <t>GÄVLE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27742-2023</t>
        </is>
      </c>
      <c r="B690" s="1" t="n">
        <v>45098</v>
      </c>
      <c r="C690" s="1" t="n">
        <v>45294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28675-2023</t>
        </is>
      </c>
      <c r="B691" s="1" t="n">
        <v>45103</v>
      </c>
      <c r="C691" s="1" t="n">
        <v>45294</v>
      </c>
      <c r="D691" t="inlineStr">
        <is>
          <t>GÄVLEBORGS LÄN</t>
        </is>
      </c>
      <c r="E691" t="inlineStr">
        <is>
          <t>GÄVLE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28797-2023</t>
        </is>
      </c>
      <c r="B692" s="1" t="n">
        <v>45104</v>
      </c>
      <c r="C692" s="1" t="n">
        <v>45294</v>
      </c>
      <c r="D692" t="inlineStr">
        <is>
          <t>GÄVLEBORGS LÄN</t>
        </is>
      </c>
      <c r="E692" t="inlineStr">
        <is>
          <t>GÄVLE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28812-2023</t>
        </is>
      </c>
      <c r="B693" s="1" t="n">
        <v>45104</v>
      </c>
      <c r="C693" s="1" t="n">
        <v>45294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17.4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29014-2023</t>
        </is>
      </c>
      <c r="B694" s="1" t="n">
        <v>45104</v>
      </c>
      <c r="C694" s="1" t="n">
        <v>45294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28905-2023</t>
        </is>
      </c>
      <c r="B695" s="1" t="n">
        <v>45104</v>
      </c>
      <c r="C695" s="1" t="n">
        <v>45294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29016-2023</t>
        </is>
      </c>
      <c r="B696" s="1" t="n">
        <v>45104</v>
      </c>
      <c r="C696" s="1" t="n">
        <v>45294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31866-2023</t>
        </is>
      </c>
      <c r="B697" s="1" t="n">
        <v>45106</v>
      </c>
      <c r="C697" s="1" t="n">
        <v>45294</v>
      </c>
      <c r="D697" t="inlineStr">
        <is>
          <t>GÄVLEBORGS LÄN</t>
        </is>
      </c>
      <c r="E697" t="inlineStr">
        <is>
          <t>GÄVLE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29821-2023</t>
        </is>
      </c>
      <c r="B698" s="1" t="n">
        <v>45107</v>
      </c>
      <c r="C698" s="1" t="n">
        <v>45294</v>
      </c>
      <c r="D698" t="inlineStr">
        <is>
          <t>GÄVLEBORGS LÄN</t>
        </is>
      </c>
      <c r="E698" t="inlineStr">
        <is>
          <t>GÄVLE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29699-2023</t>
        </is>
      </c>
      <c r="B699" s="1" t="n">
        <v>45107</v>
      </c>
      <c r="C699" s="1" t="n">
        <v>45294</v>
      </c>
      <c r="D699" t="inlineStr">
        <is>
          <t>GÄVLEBORGS LÄN</t>
        </is>
      </c>
      <c r="E699" t="inlineStr">
        <is>
          <t>GÄVLE</t>
        </is>
      </c>
      <c r="F699" t="inlineStr">
        <is>
          <t>Kyrkan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29840-2023</t>
        </is>
      </c>
      <c r="B700" s="1" t="n">
        <v>45107</v>
      </c>
      <c r="C700" s="1" t="n">
        <v>45294</v>
      </c>
      <c r="D700" t="inlineStr">
        <is>
          <t>GÄVLEBORGS LÄN</t>
        </is>
      </c>
      <c r="E700" t="inlineStr">
        <is>
          <t>GÄVLE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29862-2023</t>
        </is>
      </c>
      <c r="B701" s="1" t="n">
        <v>45107</v>
      </c>
      <c r="C701" s="1" t="n">
        <v>45294</v>
      </c>
      <c r="D701" t="inlineStr">
        <is>
          <t>GÄVLEBORGS LÄN</t>
        </is>
      </c>
      <c r="E701" t="inlineStr">
        <is>
          <t>GÄVLE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31011-2023</t>
        </is>
      </c>
      <c r="B702" s="1" t="n">
        <v>45113</v>
      </c>
      <c r="C702" s="1" t="n">
        <v>45294</v>
      </c>
      <c r="D702" t="inlineStr">
        <is>
          <t>GÄVLEBORGS LÄN</t>
        </is>
      </c>
      <c r="E702" t="inlineStr">
        <is>
          <t>GÄVLE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31062-2023</t>
        </is>
      </c>
      <c r="B703" s="1" t="n">
        <v>45113</v>
      </c>
      <c r="C703" s="1" t="n">
        <v>45294</v>
      </c>
      <c r="D703" t="inlineStr">
        <is>
          <t>GÄVLEBORGS LÄN</t>
        </is>
      </c>
      <c r="E703" t="inlineStr">
        <is>
          <t>GÄVLE</t>
        </is>
      </c>
      <c r="F703" t="inlineStr">
        <is>
          <t>Kommuner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31544-2023</t>
        </is>
      </c>
      <c r="B704" s="1" t="n">
        <v>45117</v>
      </c>
      <c r="C704" s="1" t="n">
        <v>45294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32255-2023</t>
        </is>
      </c>
      <c r="B705" s="1" t="n">
        <v>45120</v>
      </c>
      <c r="C705" s="1" t="n">
        <v>45294</v>
      </c>
      <c r="D705" t="inlineStr">
        <is>
          <t>GÄVLEBORGS LÄN</t>
        </is>
      </c>
      <c r="E705" t="inlineStr">
        <is>
          <t>GÄVLE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32353-2023</t>
        </is>
      </c>
      <c r="B706" s="1" t="n">
        <v>45120</v>
      </c>
      <c r="C706" s="1" t="n">
        <v>45294</v>
      </c>
      <c r="D706" t="inlineStr">
        <is>
          <t>GÄVLEBORGS LÄN</t>
        </is>
      </c>
      <c r="E706" t="inlineStr">
        <is>
          <t>GÄVLE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33015-2023</t>
        </is>
      </c>
      <c r="B707" s="1" t="n">
        <v>45125</v>
      </c>
      <c r="C707" s="1" t="n">
        <v>45294</v>
      </c>
      <c r="D707" t="inlineStr">
        <is>
          <t>GÄVLEBORGS LÄN</t>
        </is>
      </c>
      <c r="E707" t="inlineStr">
        <is>
          <t>GÄVLE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33786-2023</t>
        </is>
      </c>
      <c r="B708" s="1" t="n">
        <v>45133</v>
      </c>
      <c r="C708" s="1" t="n">
        <v>45294</v>
      </c>
      <c r="D708" t="inlineStr">
        <is>
          <t>GÄVLEBORGS LÄN</t>
        </is>
      </c>
      <c r="E708" t="inlineStr">
        <is>
          <t>GÄVLE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33784-2023</t>
        </is>
      </c>
      <c r="B709" s="1" t="n">
        <v>45133</v>
      </c>
      <c r="C709" s="1" t="n">
        <v>45294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33790-2023</t>
        </is>
      </c>
      <c r="B710" s="1" t="n">
        <v>45133</v>
      </c>
      <c r="C710" s="1" t="n">
        <v>45294</v>
      </c>
      <c r="D710" t="inlineStr">
        <is>
          <t>GÄVLEBORGS LÄN</t>
        </is>
      </c>
      <c r="E710" t="inlineStr">
        <is>
          <t>GÄVLE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34235-2023</t>
        </is>
      </c>
      <c r="B711" s="1" t="n">
        <v>45138</v>
      </c>
      <c r="C711" s="1" t="n">
        <v>45294</v>
      </c>
      <c r="D711" t="inlineStr">
        <is>
          <t>GÄVLEBORGS LÄN</t>
        </is>
      </c>
      <c r="E711" t="inlineStr">
        <is>
          <t>GÄVLE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34233-2023</t>
        </is>
      </c>
      <c r="B712" s="1" t="n">
        <v>45138</v>
      </c>
      <c r="C712" s="1" t="n">
        <v>45294</v>
      </c>
      <c r="D712" t="inlineStr">
        <is>
          <t>GÄVLEBORGS LÄN</t>
        </is>
      </c>
      <c r="E712" t="inlineStr">
        <is>
          <t>GÄVLE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34790-2023</t>
        </is>
      </c>
      <c r="B713" s="1" t="n">
        <v>45141</v>
      </c>
      <c r="C713" s="1" t="n">
        <v>45294</v>
      </c>
      <c r="D713" t="inlineStr">
        <is>
          <t>GÄVLEBORGS LÄN</t>
        </is>
      </c>
      <c r="E713" t="inlineStr">
        <is>
          <t>GÄVLE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34786-2023</t>
        </is>
      </c>
      <c r="B714" s="1" t="n">
        <v>45141</v>
      </c>
      <c r="C714" s="1" t="n">
        <v>45294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35440-2023</t>
        </is>
      </c>
      <c r="B715" s="1" t="n">
        <v>45146</v>
      </c>
      <c r="C715" s="1" t="n">
        <v>45294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35445-2023</t>
        </is>
      </c>
      <c r="B716" s="1" t="n">
        <v>45146</v>
      </c>
      <c r="C716" s="1" t="n">
        <v>45294</v>
      </c>
      <c r="D716" t="inlineStr">
        <is>
          <t>GÄVLEBORGS LÄN</t>
        </is>
      </c>
      <c r="E716" t="inlineStr">
        <is>
          <t>GÄVLE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36320-2023</t>
        </is>
      </c>
      <c r="B717" s="1" t="n">
        <v>45152</v>
      </c>
      <c r="C717" s="1" t="n">
        <v>45294</v>
      </c>
      <c r="D717" t="inlineStr">
        <is>
          <t>GÄVLEBORGS LÄN</t>
        </is>
      </c>
      <c r="E717" t="inlineStr">
        <is>
          <t>GÄVLE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36353-2023</t>
        </is>
      </c>
      <c r="B718" s="1" t="n">
        <v>45152</v>
      </c>
      <c r="C718" s="1" t="n">
        <v>45294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37341-2023</t>
        </is>
      </c>
      <c r="B719" s="1" t="n">
        <v>45156</v>
      </c>
      <c r="C719" s="1" t="n">
        <v>45294</v>
      </c>
      <c r="D719" t="inlineStr">
        <is>
          <t>GÄVLEBORGS LÄN</t>
        </is>
      </c>
      <c r="E719" t="inlineStr">
        <is>
          <t>GÄVLE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37362-2023</t>
        </is>
      </c>
      <c r="B720" s="1" t="n">
        <v>45156</v>
      </c>
      <c r="C720" s="1" t="n">
        <v>45294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37534-2023</t>
        </is>
      </c>
      <c r="B721" s="1" t="n">
        <v>45159</v>
      </c>
      <c r="C721" s="1" t="n">
        <v>45294</v>
      </c>
      <c r="D721" t="inlineStr">
        <is>
          <t>GÄVLEBORGS LÄN</t>
        </is>
      </c>
      <c r="E721" t="inlineStr">
        <is>
          <t>GÄVLE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37538-2023</t>
        </is>
      </c>
      <c r="B722" s="1" t="n">
        <v>45159</v>
      </c>
      <c r="C722" s="1" t="n">
        <v>45294</v>
      </c>
      <c r="D722" t="inlineStr">
        <is>
          <t>GÄVLEBORGS LÄN</t>
        </is>
      </c>
      <c r="E722" t="inlineStr">
        <is>
          <t>GÄVLE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37592-2023</t>
        </is>
      </c>
      <c r="B723" s="1" t="n">
        <v>45159</v>
      </c>
      <c r="C723" s="1" t="n">
        <v>45294</v>
      </c>
      <c r="D723" t="inlineStr">
        <is>
          <t>GÄVLEBORGS LÄN</t>
        </is>
      </c>
      <c r="E723" t="inlineStr">
        <is>
          <t>GÄVLE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37728-2023</t>
        </is>
      </c>
      <c r="B724" s="1" t="n">
        <v>45159</v>
      </c>
      <c r="C724" s="1" t="n">
        <v>45294</v>
      </c>
      <c r="D724" t="inlineStr">
        <is>
          <t>GÄVLEBORGS LÄN</t>
        </is>
      </c>
      <c r="E724" t="inlineStr">
        <is>
          <t>GÄVLE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38235-2023</t>
        </is>
      </c>
      <c r="B725" s="1" t="n">
        <v>45161</v>
      </c>
      <c r="C725" s="1" t="n">
        <v>45294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38255-2023</t>
        </is>
      </c>
      <c r="B726" s="1" t="n">
        <v>45161</v>
      </c>
      <c r="C726" s="1" t="n">
        <v>45294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väst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38495-2023</t>
        </is>
      </c>
      <c r="B727" s="1" t="n">
        <v>45162</v>
      </c>
      <c r="C727" s="1" t="n">
        <v>45294</v>
      </c>
      <c r="D727" t="inlineStr">
        <is>
          <t>GÄVLEBORGS LÄN</t>
        </is>
      </c>
      <c r="E727" t="inlineStr">
        <is>
          <t>GÄVLE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38558-2023</t>
        </is>
      </c>
      <c r="B728" s="1" t="n">
        <v>45162</v>
      </c>
      <c r="C728" s="1" t="n">
        <v>45294</v>
      </c>
      <c r="D728" t="inlineStr">
        <is>
          <t>GÄVLEBORGS LÄN</t>
        </is>
      </c>
      <c r="E728" t="inlineStr">
        <is>
          <t>GÄVLE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39931-2023</t>
        </is>
      </c>
      <c r="B729" s="1" t="n">
        <v>45168</v>
      </c>
      <c r="C729" s="1" t="n">
        <v>45294</v>
      </c>
      <c r="D729" t="inlineStr">
        <is>
          <t>GÄVLEBORGS LÄN</t>
        </is>
      </c>
      <c r="E729" t="inlineStr">
        <is>
          <t>GÄVLE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40091-2023</t>
        </is>
      </c>
      <c r="B730" s="1" t="n">
        <v>45169</v>
      </c>
      <c r="C730" s="1" t="n">
        <v>45294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40116-2023</t>
        </is>
      </c>
      <c r="B731" s="1" t="n">
        <v>45169</v>
      </c>
      <c r="C731" s="1" t="n">
        <v>45294</v>
      </c>
      <c r="D731" t="inlineStr">
        <is>
          <t>GÄVLEBORGS LÄN</t>
        </is>
      </c>
      <c r="E731" t="inlineStr">
        <is>
          <t>GÄVLE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40092-2023</t>
        </is>
      </c>
      <c r="B732" s="1" t="n">
        <v>45169</v>
      </c>
      <c r="C732" s="1" t="n">
        <v>45294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40268-2023</t>
        </is>
      </c>
      <c r="B733" s="1" t="n">
        <v>45169</v>
      </c>
      <c r="C733" s="1" t="n">
        <v>45294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41712-2023</t>
        </is>
      </c>
      <c r="B734" s="1" t="n">
        <v>45176</v>
      </c>
      <c r="C734" s="1" t="n">
        <v>45294</v>
      </c>
      <c r="D734" t="inlineStr">
        <is>
          <t>GÄVLEBORGS LÄN</t>
        </is>
      </c>
      <c r="E734" t="inlineStr">
        <is>
          <t>GÄVLE</t>
        </is>
      </c>
      <c r="G734" t="n">
        <v>7.8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41842-2023</t>
        </is>
      </c>
      <c r="B735" s="1" t="n">
        <v>45176</v>
      </c>
      <c r="C735" s="1" t="n">
        <v>45294</v>
      </c>
      <c r="D735" t="inlineStr">
        <is>
          <t>GÄVLEBORGS LÄN</t>
        </is>
      </c>
      <c r="E735" t="inlineStr">
        <is>
          <t>GÄVLE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41708-2023</t>
        </is>
      </c>
      <c r="B736" s="1" t="n">
        <v>45176</v>
      </c>
      <c r="C736" s="1" t="n">
        <v>45294</v>
      </c>
      <c r="D736" t="inlineStr">
        <is>
          <t>GÄVLEBORGS LÄN</t>
        </is>
      </c>
      <c r="E736" t="inlineStr">
        <is>
          <t>GÄVLE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41844-2023</t>
        </is>
      </c>
      <c r="B737" s="1" t="n">
        <v>45176</v>
      </c>
      <c r="C737" s="1" t="n">
        <v>45294</v>
      </c>
      <c r="D737" t="inlineStr">
        <is>
          <t>GÄVLEBORGS LÄN</t>
        </is>
      </c>
      <c r="E737" t="inlineStr">
        <is>
          <t>GÄVLE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42934-2023</t>
        </is>
      </c>
      <c r="B738" s="1" t="n">
        <v>45182</v>
      </c>
      <c r="C738" s="1" t="n">
        <v>45294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42876-2023</t>
        </is>
      </c>
      <c r="B739" s="1" t="n">
        <v>45182</v>
      </c>
      <c r="C739" s="1" t="n">
        <v>45294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22.7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43553-2023</t>
        </is>
      </c>
      <c r="B740" s="1" t="n">
        <v>45184</v>
      </c>
      <c r="C740" s="1" t="n">
        <v>45294</v>
      </c>
      <c r="D740" t="inlineStr">
        <is>
          <t>GÄVLEBORGS LÄN</t>
        </is>
      </c>
      <c r="E740" t="inlineStr">
        <is>
          <t>GÄVLE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43556-2023</t>
        </is>
      </c>
      <c r="B741" s="1" t="n">
        <v>45184</v>
      </c>
      <c r="C741" s="1" t="n">
        <v>45294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44063-2023</t>
        </is>
      </c>
      <c r="B742" s="1" t="n">
        <v>45188</v>
      </c>
      <c r="C742" s="1" t="n">
        <v>45294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36.7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45356-2023</t>
        </is>
      </c>
      <c r="B743" s="1" t="n">
        <v>45192</v>
      </c>
      <c r="C743" s="1" t="n">
        <v>45294</v>
      </c>
      <c r="D743" t="inlineStr">
        <is>
          <t>GÄVLEBORGS LÄN</t>
        </is>
      </c>
      <c r="E743" t="inlineStr">
        <is>
          <t>GÄVLE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45360-2023</t>
        </is>
      </c>
      <c r="B744" s="1" t="n">
        <v>45192</v>
      </c>
      <c r="C744" s="1" t="n">
        <v>45294</v>
      </c>
      <c r="D744" t="inlineStr">
        <is>
          <t>GÄVLEBORGS LÄN</t>
        </is>
      </c>
      <c r="E744" t="inlineStr">
        <is>
          <t>GÄVLE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45569-2023</t>
        </is>
      </c>
      <c r="B745" s="1" t="n">
        <v>45194</v>
      </c>
      <c r="C745" s="1" t="n">
        <v>45294</v>
      </c>
      <c r="D745" t="inlineStr">
        <is>
          <t>GÄVLEBORGS LÄN</t>
        </is>
      </c>
      <c r="E745" t="inlineStr">
        <is>
          <t>GÄVLE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45559-2023</t>
        </is>
      </c>
      <c r="B746" s="1" t="n">
        <v>45194</v>
      </c>
      <c r="C746" s="1" t="n">
        <v>45294</v>
      </c>
      <c r="D746" t="inlineStr">
        <is>
          <t>GÄVLEBORGS LÄN</t>
        </is>
      </c>
      <c r="E746" t="inlineStr">
        <is>
          <t>GÄVLE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45770-2023</t>
        </is>
      </c>
      <c r="B747" s="1" t="n">
        <v>45195</v>
      </c>
      <c r="C747" s="1" t="n">
        <v>45294</v>
      </c>
      <c r="D747" t="inlineStr">
        <is>
          <t>GÄVLEBORGS LÄN</t>
        </is>
      </c>
      <c r="E747" t="inlineStr">
        <is>
          <t>GÄVLE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45745-2023</t>
        </is>
      </c>
      <c r="B748" s="1" t="n">
        <v>45195</v>
      </c>
      <c r="C748" s="1" t="n">
        <v>45294</v>
      </c>
      <c r="D748" t="inlineStr">
        <is>
          <t>GÄVLEBORGS LÄN</t>
        </is>
      </c>
      <c r="E748" t="inlineStr">
        <is>
          <t>GÄVLE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45750-2023</t>
        </is>
      </c>
      <c r="B749" s="1" t="n">
        <v>45195</v>
      </c>
      <c r="C749" s="1" t="n">
        <v>45294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46031-2023</t>
        </is>
      </c>
      <c r="B750" s="1" t="n">
        <v>45196</v>
      </c>
      <c r="C750" s="1" t="n">
        <v>45294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26.8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46532-2023</t>
        </is>
      </c>
      <c r="B751" s="1" t="n">
        <v>45197</v>
      </c>
      <c r="C751" s="1" t="n">
        <v>45294</v>
      </c>
      <c r="D751" t="inlineStr">
        <is>
          <t>GÄVLEBORGS LÄN</t>
        </is>
      </c>
      <c r="E751" t="inlineStr">
        <is>
          <t>GÄVLE</t>
        </is>
      </c>
      <c r="G751" t="n">
        <v>6.4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46627-2023</t>
        </is>
      </c>
      <c r="B752" s="1" t="n">
        <v>45198</v>
      </c>
      <c r="C752" s="1" t="n">
        <v>45294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47742-2023</t>
        </is>
      </c>
      <c r="B753" s="1" t="n">
        <v>45203</v>
      </c>
      <c r="C753" s="1" t="n">
        <v>45294</v>
      </c>
      <c r="D753" t="inlineStr">
        <is>
          <t>GÄVLEBORGS LÄN</t>
        </is>
      </c>
      <c r="E753" t="inlineStr">
        <is>
          <t>GÄVLE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47746-2023</t>
        </is>
      </c>
      <c r="B754" s="1" t="n">
        <v>45203</v>
      </c>
      <c r="C754" s="1" t="n">
        <v>45294</v>
      </c>
      <c r="D754" t="inlineStr">
        <is>
          <t>GÄVLEBORGS LÄN</t>
        </is>
      </c>
      <c r="E754" t="inlineStr">
        <is>
          <t>GÄVLE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47743-2023</t>
        </is>
      </c>
      <c r="B755" s="1" t="n">
        <v>45203</v>
      </c>
      <c r="C755" s="1" t="n">
        <v>45294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47747-2023</t>
        </is>
      </c>
      <c r="B756" s="1" t="n">
        <v>45203</v>
      </c>
      <c r="C756" s="1" t="n">
        <v>45294</v>
      </c>
      <c r="D756" t="inlineStr">
        <is>
          <t>GÄVLEBORGS LÄN</t>
        </is>
      </c>
      <c r="E756" t="inlineStr">
        <is>
          <t>GÄVLE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47739-2023</t>
        </is>
      </c>
      <c r="B757" s="1" t="n">
        <v>45203</v>
      </c>
      <c r="C757" s="1" t="n">
        <v>45294</v>
      </c>
      <c r="D757" t="inlineStr">
        <is>
          <t>GÄVLEBORGS LÄN</t>
        </is>
      </c>
      <c r="E757" t="inlineStr">
        <is>
          <t>GÄVLE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47970-2023</t>
        </is>
      </c>
      <c r="B758" s="1" t="n">
        <v>45204</v>
      </c>
      <c r="C758" s="1" t="n">
        <v>45294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48012-2023</t>
        </is>
      </c>
      <c r="B759" s="1" t="n">
        <v>45204</v>
      </c>
      <c r="C759" s="1" t="n">
        <v>45294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48280-2023</t>
        </is>
      </c>
      <c r="B760" s="1" t="n">
        <v>45205</v>
      </c>
      <c r="C760" s="1" t="n">
        <v>45294</v>
      </c>
      <c r="D760" t="inlineStr">
        <is>
          <t>GÄVLEBORGS LÄN</t>
        </is>
      </c>
      <c r="E760" t="inlineStr">
        <is>
          <t>GÄVLE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48519-2023</t>
        </is>
      </c>
      <c r="B761" s="1" t="n">
        <v>45208</v>
      </c>
      <c r="C761" s="1" t="n">
        <v>45294</v>
      </c>
      <c r="D761" t="inlineStr">
        <is>
          <t>GÄVLEBORGS LÄN</t>
        </is>
      </c>
      <c r="E761" t="inlineStr">
        <is>
          <t>GÄVLE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48818-2023</t>
        </is>
      </c>
      <c r="B762" s="1" t="n">
        <v>45209</v>
      </c>
      <c r="C762" s="1" t="n">
        <v>45294</v>
      </c>
      <c r="D762" t="inlineStr">
        <is>
          <t>GÄVLEBORGS LÄN</t>
        </is>
      </c>
      <c r="E762" t="inlineStr">
        <is>
          <t>GÄVLE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48861-2023</t>
        </is>
      </c>
      <c r="B763" s="1" t="n">
        <v>45209</v>
      </c>
      <c r="C763" s="1" t="n">
        <v>45294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48871-2023</t>
        </is>
      </c>
      <c r="B764" s="1" t="n">
        <v>45209</v>
      </c>
      <c r="C764" s="1" t="n">
        <v>45294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49414-2023</t>
        </is>
      </c>
      <c r="B765" s="1" t="n">
        <v>45211</v>
      </c>
      <c r="C765" s="1" t="n">
        <v>45294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49836-2023</t>
        </is>
      </c>
      <c r="B766" s="1" t="n">
        <v>45212</v>
      </c>
      <c r="C766" s="1" t="n">
        <v>45294</v>
      </c>
      <c r="D766" t="inlineStr">
        <is>
          <t>GÄVLEBORGS LÄN</t>
        </is>
      </c>
      <c r="E766" t="inlineStr">
        <is>
          <t>GÄVLE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49824-2023</t>
        </is>
      </c>
      <c r="B767" s="1" t="n">
        <v>45212</v>
      </c>
      <c r="C767" s="1" t="n">
        <v>45294</v>
      </c>
      <c r="D767" t="inlineStr">
        <is>
          <t>GÄVLEBORGS LÄN</t>
        </is>
      </c>
      <c r="E767" t="inlineStr">
        <is>
          <t>GÄVLE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49832-2023</t>
        </is>
      </c>
      <c r="B768" s="1" t="n">
        <v>45212</v>
      </c>
      <c r="C768" s="1" t="n">
        <v>45294</v>
      </c>
      <c r="D768" t="inlineStr">
        <is>
          <t>GÄVLEBORGS LÄN</t>
        </is>
      </c>
      <c r="E768" t="inlineStr">
        <is>
          <t>GÄVLE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50575-2023</t>
        </is>
      </c>
      <c r="B769" s="1" t="n">
        <v>45217</v>
      </c>
      <c r="C769" s="1" t="n">
        <v>45294</v>
      </c>
      <c r="D769" t="inlineStr">
        <is>
          <t>GÄVLEBORGS LÄN</t>
        </is>
      </c>
      <c r="E769" t="inlineStr">
        <is>
          <t>GÄVLE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50582-2023</t>
        </is>
      </c>
      <c r="B770" s="1" t="n">
        <v>45217</v>
      </c>
      <c r="C770" s="1" t="n">
        <v>45294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50569-2023</t>
        </is>
      </c>
      <c r="B771" s="1" t="n">
        <v>45217</v>
      </c>
      <c r="C771" s="1" t="n">
        <v>45294</v>
      </c>
      <c r="D771" t="inlineStr">
        <is>
          <t>GÄVLEBORGS LÄN</t>
        </is>
      </c>
      <c r="E771" t="inlineStr">
        <is>
          <t>GÄVLE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50907-2023</t>
        </is>
      </c>
      <c r="B772" s="1" t="n">
        <v>45218</v>
      </c>
      <c r="C772" s="1" t="n">
        <v>45294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18.1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51071-2023</t>
        </is>
      </c>
      <c r="B773" s="1" t="n">
        <v>45218</v>
      </c>
      <c r="C773" s="1" t="n">
        <v>45294</v>
      </c>
      <c r="D773" t="inlineStr">
        <is>
          <t>GÄVLEBORGS LÄN</t>
        </is>
      </c>
      <c r="E773" t="inlineStr">
        <is>
          <t>GÄVLE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50980-2023</t>
        </is>
      </c>
      <c r="B774" s="1" t="n">
        <v>45218</v>
      </c>
      <c r="C774" s="1" t="n">
        <v>45294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51265-2023</t>
        </is>
      </c>
      <c r="B775" s="1" t="n">
        <v>45219</v>
      </c>
      <c r="C775" s="1" t="n">
        <v>45294</v>
      </c>
      <c r="D775" t="inlineStr">
        <is>
          <t>GÄVLEBORGS LÄN</t>
        </is>
      </c>
      <c r="E775" t="inlineStr">
        <is>
          <t>GÄVLE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51249-2023</t>
        </is>
      </c>
      <c r="B776" s="1" t="n">
        <v>45219</v>
      </c>
      <c r="C776" s="1" t="n">
        <v>45294</v>
      </c>
      <c r="D776" t="inlineStr">
        <is>
          <t>GÄVLEBORGS LÄN</t>
        </is>
      </c>
      <c r="E776" t="inlineStr">
        <is>
          <t>GÄVLE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51454-2023</t>
        </is>
      </c>
      <c r="B777" s="1" t="n">
        <v>45220</v>
      </c>
      <c r="C777" s="1" t="n">
        <v>45294</v>
      </c>
      <c r="D777" t="inlineStr">
        <is>
          <t>GÄVLEBORGS LÄN</t>
        </is>
      </c>
      <c r="E777" t="inlineStr">
        <is>
          <t>GÄVLE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51838-2023</t>
        </is>
      </c>
      <c r="B778" s="1" t="n">
        <v>45223</v>
      </c>
      <c r="C778" s="1" t="n">
        <v>45294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51876-2023</t>
        </is>
      </c>
      <c r="B779" s="1" t="n">
        <v>45223</v>
      </c>
      <c r="C779" s="1" t="n">
        <v>45294</v>
      </c>
      <c r="D779" t="inlineStr">
        <is>
          <t>GÄVLEBORGS LÄN</t>
        </is>
      </c>
      <c r="E779" t="inlineStr">
        <is>
          <t>GÄVLE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52170-2023</t>
        </is>
      </c>
      <c r="B780" s="1" t="n">
        <v>45224</v>
      </c>
      <c r="C780" s="1" t="n">
        <v>45294</v>
      </c>
      <c r="D780" t="inlineStr">
        <is>
          <t>GÄVLEBORGS LÄN</t>
        </is>
      </c>
      <c r="E780" t="inlineStr">
        <is>
          <t>GÄVLE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53270-2023</t>
        </is>
      </c>
      <c r="B781" s="1" t="n">
        <v>45229</v>
      </c>
      <c r="C781" s="1" t="n">
        <v>45294</v>
      </c>
      <c r="D781" t="inlineStr">
        <is>
          <t>GÄVLEBORGS LÄN</t>
        </is>
      </c>
      <c r="E781" t="inlineStr">
        <is>
          <t>GÄVLE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53198-2023</t>
        </is>
      </c>
      <c r="B782" s="1" t="n">
        <v>45229</v>
      </c>
      <c r="C782" s="1" t="n">
        <v>45294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55473-2023</t>
        </is>
      </c>
      <c r="B783" s="1" t="n">
        <v>45231</v>
      </c>
      <c r="C783" s="1" t="n">
        <v>45294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54119-2023</t>
        </is>
      </c>
      <c r="B784" s="1" t="n">
        <v>45232</v>
      </c>
      <c r="C784" s="1" t="n">
        <v>45294</v>
      </c>
      <c r="D784" t="inlineStr">
        <is>
          <t>GÄVLEBORGS LÄN</t>
        </is>
      </c>
      <c r="E784" t="inlineStr">
        <is>
          <t>GÄVLE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54147-2023</t>
        </is>
      </c>
      <c r="B785" s="1" t="n">
        <v>45232</v>
      </c>
      <c r="C785" s="1" t="n">
        <v>45294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54202-2023</t>
        </is>
      </c>
      <c r="B786" s="1" t="n">
        <v>45232</v>
      </c>
      <c r="C786" s="1" t="n">
        <v>45294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54207-2023</t>
        </is>
      </c>
      <c r="B787" s="1" t="n">
        <v>45232</v>
      </c>
      <c r="C787" s="1" t="n">
        <v>45294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54126-2023</t>
        </is>
      </c>
      <c r="B788" s="1" t="n">
        <v>45232</v>
      </c>
      <c r="C788" s="1" t="n">
        <v>45294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54157-2023</t>
        </is>
      </c>
      <c r="B789" s="1" t="n">
        <v>45232</v>
      </c>
      <c r="C789" s="1" t="n">
        <v>45294</v>
      </c>
      <c r="D789" t="inlineStr">
        <is>
          <t>GÄVLEBORGS LÄN</t>
        </is>
      </c>
      <c r="E789" t="inlineStr">
        <is>
          <t>GÄVLE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54183-2023</t>
        </is>
      </c>
      <c r="B790" s="1" t="n">
        <v>45232</v>
      </c>
      <c r="C790" s="1" t="n">
        <v>45294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54268-2023</t>
        </is>
      </c>
      <c r="B791" s="1" t="n">
        <v>45232</v>
      </c>
      <c r="C791" s="1" t="n">
        <v>45294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55571-2023</t>
        </is>
      </c>
      <c r="B792" s="1" t="n">
        <v>45238</v>
      </c>
      <c r="C792" s="1" t="n">
        <v>45294</v>
      </c>
      <c r="D792" t="inlineStr">
        <is>
          <t>GÄVLEBORGS LÄN</t>
        </is>
      </c>
      <c r="E792" t="inlineStr">
        <is>
          <t>GÄVLE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55854-2023</t>
        </is>
      </c>
      <c r="B793" s="1" t="n">
        <v>45239</v>
      </c>
      <c r="C793" s="1" t="n">
        <v>45294</v>
      </c>
      <c r="D793" t="inlineStr">
        <is>
          <t>GÄVLEBORGS LÄN</t>
        </is>
      </c>
      <c r="E793" t="inlineStr">
        <is>
          <t>GÄVLE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56138-2023</t>
        </is>
      </c>
      <c r="B794" s="1" t="n">
        <v>45240</v>
      </c>
      <c r="C794" s="1" t="n">
        <v>45294</v>
      </c>
      <c r="D794" t="inlineStr">
        <is>
          <t>GÄVLEBORGS LÄN</t>
        </is>
      </c>
      <c r="E794" t="inlineStr">
        <is>
          <t>GÄVLE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56446-2023</t>
        </is>
      </c>
      <c r="B795" s="1" t="n">
        <v>45243</v>
      </c>
      <c r="C795" s="1" t="n">
        <v>45294</v>
      </c>
      <c r="D795" t="inlineStr">
        <is>
          <t>GÄVLEBORGS LÄN</t>
        </is>
      </c>
      <c r="E795" t="inlineStr">
        <is>
          <t>GÄVLE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56457-2023</t>
        </is>
      </c>
      <c r="B796" s="1" t="n">
        <v>45243</v>
      </c>
      <c r="C796" s="1" t="n">
        <v>45294</v>
      </c>
      <c r="D796" t="inlineStr">
        <is>
          <t>GÄVLEBORGS LÄN</t>
        </is>
      </c>
      <c r="E796" t="inlineStr">
        <is>
          <t>GÄVLE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56487-2023</t>
        </is>
      </c>
      <c r="B797" s="1" t="n">
        <v>45243</v>
      </c>
      <c r="C797" s="1" t="n">
        <v>45294</v>
      </c>
      <c r="D797" t="inlineStr">
        <is>
          <t>GÄVLEBORGS LÄN</t>
        </is>
      </c>
      <c r="E797" t="inlineStr">
        <is>
          <t>GÄVLE</t>
        </is>
      </c>
      <c r="G797" t="n">
        <v>8.699999999999999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56456-2023</t>
        </is>
      </c>
      <c r="B798" s="1" t="n">
        <v>45243</v>
      </c>
      <c r="C798" s="1" t="n">
        <v>45294</v>
      </c>
      <c r="D798" t="inlineStr">
        <is>
          <t>GÄVLEBORGS LÄN</t>
        </is>
      </c>
      <c r="E798" t="inlineStr">
        <is>
          <t>GÄVLE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56462-2023</t>
        </is>
      </c>
      <c r="B799" s="1" t="n">
        <v>45243</v>
      </c>
      <c r="C799" s="1" t="n">
        <v>45294</v>
      </c>
      <c r="D799" t="inlineStr">
        <is>
          <t>GÄVLEBORGS LÄN</t>
        </is>
      </c>
      <c r="E799" t="inlineStr">
        <is>
          <t>GÄVLE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56447-2023</t>
        </is>
      </c>
      <c r="B800" s="1" t="n">
        <v>45243</v>
      </c>
      <c r="C800" s="1" t="n">
        <v>45294</v>
      </c>
      <c r="D800" t="inlineStr">
        <is>
          <t>GÄVLEBORGS LÄN</t>
        </is>
      </c>
      <c r="E800" t="inlineStr">
        <is>
          <t>GÄVLE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57156-2023</t>
        </is>
      </c>
      <c r="B801" s="1" t="n">
        <v>45245</v>
      </c>
      <c r="C801" s="1" t="n">
        <v>45294</v>
      </c>
      <c r="D801" t="inlineStr">
        <is>
          <t>GÄVLEBORGS LÄN</t>
        </is>
      </c>
      <c r="E801" t="inlineStr">
        <is>
          <t>GÄVLE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57161-2023</t>
        </is>
      </c>
      <c r="B802" s="1" t="n">
        <v>45245</v>
      </c>
      <c r="C802" s="1" t="n">
        <v>45294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57171-2023</t>
        </is>
      </c>
      <c r="B803" s="1" t="n">
        <v>45245</v>
      </c>
      <c r="C803" s="1" t="n">
        <v>45294</v>
      </c>
      <c r="D803" t="inlineStr">
        <is>
          <t>GÄVLEBORGS LÄN</t>
        </is>
      </c>
      <c r="E803" t="inlineStr">
        <is>
          <t>GÄVLE</t>
        </is>
      </c>
      <c r="F803" t="inlineStr">
        <is>
          <t>Kyrkan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57341-2023</t>
        </is>
      </c>
      <c r="B804" s="1" t="n">
        <v>45245</v>
      </c>
      <c r="C804" s="1" t="n">
        <v>45294</v>
      </c>
      <c r="D804" t="inlineStr">
        <is>
          <t>GÄVLEBORGS LÄN</t>
        </is>
      </c>
      <c r="E804" t="inlineStr">
        <is>
          <t>GÄVLE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57177-2023</t>
        </is>
      </c>
      <c r="B805" s="1" t="n">
        <v>45245</v>
      </c>
      <c r="C805" s="1" t="n">
        <v>45294</v>
      </c>
      <c r="D805" t="inlineStr">
        <is>
          <t>GÄVLEBORGS LÄN</t>
        </is>
      </c>
      <c r="E805" t="inlineStr">
        <is>
          <t>GÄVLE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57184-2023</t>
        </is>
      </c>
      <c r="B806" s="1" t="n">
        <v>45245</v>
      </c>
      <c r="C806" s="1" t="n">
        <v>45294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57122-2023</t>
        </is>
      </c>
      <c r="B807" s="1" t="n">
        <v>45245</v>
      </c>
      <c r="C807" s="1" t="n">
        <v>45294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57166-2023</t>
        </is>
      </c>
      <c r="B808" s="1" t="n">
        <v>45245</v>
      </c>
      <c r="C808" s="1" t="n">
        <v>45294</v>
      </c>
      <c r="D808" t="inlineStr">
        <is>
          <t>GÄVLEBORGS LÄN</t>
        </is>
      </c>
      <c r="E808" t="inlineStr">
        <is>
          <t>GÄVLE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57168-2023</t>
        </is>
      </c>
      <c r="B809" s="1" t="n">
        <v>45245</v>
      </c>
      <c r="C809" s="1" t="n">
        <v>45294</v>
      </c>
      <c r="D809" t="inlineStr">
        <is>
          <t>GÄVLEBORGS LÄN</t>
        </is>
      </c>
      <c r="E809" t="inlineStr">
        <is>
          <t>GÄVLE</t>
        </is>
      </c>
      <c r="F809" t="inlineStr">
        <is>
          <t>Kyrkan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57857-2023</t>
        </is>
      </c>
      <c r="B810" s="1" t="n">
        <v>45247</v>
      </c>
      <c r="C810" s="1" t="n">
        <v>45294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58153-2023</t>
        </is>
      </c>
      <c r="B811" s="1" t="n">
        <v>45250</v>
      </c>
      <c r="C811" s="1" t="n">
        <v>45294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12.6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58867-2023</t>
        </is>
      </c>
      <c r="B812" s="1" t="n">
        <v>45252</v>
      </c>
      <c r="C812" s="1" t="n">
        <v>45294</v>
      </c>
      <c r="D812" t="inlineStr">
        <is>
          <t>GÄVLEBORGS LÄN</t>
        </is>
      </c>
      <c r="E812" t="inlineStr">
        <is>
          <t>GÄVLE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59044-2023</t>
        </is>
      </c>
      <c r="B813" s="1" t="n">
        <v>45252</v>
      </c>
      <c r="C813" s="1" t="n">
        <v>45294</v>
      </c>
      <c r="D813" t="inlineStr">
        <is>
          <t>GÄVLEBORGS LÄN</t>
        </is>
      </c>
      <c r="E813" t="inlineStr">
        <is>
          <t>GÄVLE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59196-2023</t>
        </is>
      </c>
      <c r="B814" s="1" t="n">
        <v>45253</v>
      </c>
      <c r="C814" s="1" t="n">
        <v>45294</v>
      </c>
      <c r="D814" t="inlineStr">
        <is>
          <t>GÄVLEBORGS LÄN</t>
        </is>
      </c>
      <c r="E814" t="inlineStr">
        <is>
          <t>GÄVLE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59359-2023</t>
        </is>
      </c>
      <c r="B815" s="1" t="n">
        <v>45253</v>
      </c>
      <c r="C815" s="1" t="n">
        <v>45294</v>
      </c>
      <c r="D815" t="inlineStr">
        <is>
          <t>GÄVLEBORGS LÄN</t>
        </is>
      </c>
      <c r="E815" t="inlineStr">
        <is>
          <t>GÄVLE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59363-2023</t>
        </is>
      </c>
      <c r="B816" s="1" t="n">
        <v>45253</v>
      </c>
      <c r="C816" s="1" t="n">
        <v>45294</v>
      </c>
      <c r="D816" t="inlineStr">
        <is>
          <t>GÄVLEBORGS LÄN</t>
        </is>
      </c>
      <c r="E816" t="inlineStr">
        <is>
          <t>GÄVLE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59672-2023</t>
        </is>
      </c>
      <c r="B817" s="1" t="n">
        <v>45255</v>
      </c>
      <c r="C817" s="1" t="n">
        <v>45294</v>
      </c>
      <c r="D817" t="inlineStr">
        <is>
          <t>GÄVLEBORGS LÄN</t>
        </is>
      </c>
      <c r="E817" t="inlineStr">
        <is>
          <t>GÄVLE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59806-2023</t>
        </is>
      </c>
      <c r="B818" s="1" t="n">
        <v>45257</v>
      </c>
      <c r="C818" s="1" t="n">
        <v>45294</v>
      </c>
      <c r="D818" t="inlineStr">
        <is>
          <t>GÄVLEBORGS LÄN</t>
        </is>
      </c>
      <c r="E818" t="inlineStr">
        <is>
          <t>GÄVLE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59812-2023</t>
        </is>
      </c>
      <c r="B819" s="1" t="n">
        <v>45257</v>
      </c>
      <c r="C819" s="1" t="n">
        <v>45294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59816-2023</t>
        </is>
      </c>
      <c r="B820" s="1" t="n">
        <v>45257</v>
      </c>
      <c r="C820" s="1" t="n">
        <v>45294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väst AB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59861-2023</t>
        </is>
      </c>
      <c r="B821" s="1" t="n">
        <v>45257</v>
      </c>
      <c r="C821" s="1" t="n">
        <v>45294</v>
      </c>
      <c r="D821" t="inlineStr">
        <is>
          <t>GÄVLEBORGS LÄN</t>
        </is>
      </c>
      <c r="E821" t="inlineStr">
        <is>
          <t>GÄVLE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59817-2023</t>
        </is>
      </c>
      <c r="B822" s="1" t="n">
        <v>45257</v>
      </c>
      <c r="C822" s="1" t="n">
        <v>45294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60502-2023</t>
        </is>
      </c>
      <c r="B823" s="1" t="n">
        <v>45259</v>
      </c>
      <c r="C823" s="1" t="n">
        <v>45294</v>
      </c>
      <c r="D823" t="inlineStr">
        <is>
          <t>GÄVLEBORGS LÄN</t>
        </is>
      </c>
      <c r="E823" t="inlineStr">
        <is>
          <t>GÄVLE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60885-2023</t>
        </is>
      </c>
      <c r="B824" s="1" t="n">
        <v>45261</v>
      </c>
      <c r="C824" s="1" t="n">
        <v>45294</v>
      </c>
      <c r="D824" t="inlineStr">
        <is>
          <t>GÄVLEBORGS LÄN</t>
        </is>
      </c>
      <c r="E824" t="inlineStr">
        <is>
          <t>GÄVLE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60879-2023</t>
        </is>
      </c>
      <c r="B825" s="1" t="n">
        <v>45261</v>
      </c>
      <c r="C825" s="1" t="n">
        <v>45294</v>
      </c>
      <c r="D825" t="inlineStr">
        <is>
          <t>GÄVLEBORGS LÄN</t>
        </is>
      </c>
      <c r="E825" t="inlineStr">
        <is>
          <t>GÄVLE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61340-2023</t>
        </is>
      </c>
      <c r="B826" s="1" t="n">
        <v>45264</v>
      </c>
      <c r="C826" s="1" t="n">
        <v>45294</v>
      </c>
      <c r="D826" t="inlineStr">
        <is>
          <t>GÄVLEBORGS LÄN</t>
        </is>
      </c>
      <c r="E826" t="inlineStr">
        <is>
          <t>GÄVLE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61390-2023</t>
        </is>
      </c>
      <c r="B827" s="1" t="n">
        <v>45264</v>
      </c>
      <c r="C827" s="1" t="n">
        <v>45294</v>
      </c>
      <c r="D827" t="inlineStr">
        <is>
          <t>GÄVLEBORGS LÄN</t>
        </is>
      </c>
      <c r="E827" t="inlineStr">
        <is>
          <t>GÄVLE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61231-2023</t>
        </is>
      </c>
      <c r="B828" s="1" t="n">
        <v>45264</v>
      </c>
      <c r="C828" s="1" t="n">
        <v>45294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61672-2023</t>
        </is>
      </c>
      <c r="B829" s="1" t="n">
        <v>45265</v>
      </c>
      <c r="C829" s="1" t="n">
        <v>45294</v>
      </c>
      <c r="D829" t="inlineStr">
        <is>
          <t>GÄVLEBORGS LÄN</t>
        </is>
      </c>
      <c r="E829" t="inlineStr">
        <is>
          <t>GÄVLE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61819-2023</t>
        </is>
      </c>
      <c r="B830" s="1" t="n">
        <v>45266</v>
      </c>
      <c r="C830" s="1" t="n">
        <v>45294</v>
      </c>
      <c r="D830" t="inlineStr">
        <is>
          <t>GÄVLEBORGS LÄN</t>
        </is>
      </c>
      <c r="E830" t="inlineStr">
        <is>
          <t>GÄVLE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61823-2023</t>
        </is>
      </c>
      <c r="B831" s="1" t="n">
        <v>45266</v>
      </c>
      <c r="C831" s="1" t="n">
        <v>45294</v>
      </c>
      <c r="D831" t="inlineStr">
        <is>
          <t>GÄVLEBORGS LÄN</t>
        </is>
      </c>
      <c r="E831" t="inlineStr">
        <is>
          <t>GÄVLE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61813-2023</t>
        </is>
      </c>
      <c r="B832" s="1" t="n">
        <v>45266</v>
      </c>
      <c r="C832" s="1" t="n">
        <v>45294</v>
      </c>
      <c r="D832" t="inlineStr">
        <is>
          <t>GÄVLEBORGS LÄN</t>
        </is>
      </c>
      <c r="E832" t="inlineStr">
        <is>
          <t>GÄVLE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61843-2023</t>
        </is>
      </c>
      <c r="B833" s="1" t="n">
        <v>45266</v>
      </c>
      <c r="C833" s="1" t="n">
        <v>45294</v>
      </c>
      <c r="D833" t="inlineStr">
        <is>
          <t>GÄVLEBORGS LÄN</t>
        </is>
      </c>
      <c r="E833" t="inlineStr">
        <is>
          <t>GÄVLE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61918-2023</t>
        </is>
      </c>
      <c r="B834" s="1" t="n">
        <v>45266</v>
      </c>
      <c r="C834" s="1" t="n">
        <v>45294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62041-2023</t>
        </is>
      </c>
      <c r="B835" s="1" t="n">
        <v>45266</v>
      </c>
      <c r="C835" s="1" t="n">
        <v>45294</v>
      </c>
      <c r="D835" t="inlineStr">
        <is>
          <t>GÄVLEBORGS LÄN</t>
        </is>
      </c>
      <c r="E835" t="inlineStr">
        <is>
          <t>GÄVLE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62063-2023</t>
        </is>
      </c>
      <c r="B836" s="1" t="n">
        <v>45266</v>
      </c>
      <c r="C836" s="1" t="n">
        <v>45294</v>
      </c>
      <c r="D836" t="inlineStr">
        <is>
          <t>GÄVLEBORGS LÄN</t>
        </is>
      </c>
      <c r="E836" t="inlineStr">
        <is>
          <t>GÄVLE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62216-2023</t>
        </is>
      </c>
      <c r="B837" s="1" t="n">
        <v>45267</v>
      </c>
      <c r="C837" s="1" t="n">
        <v>45294</v>
      </c>
      <c r="D837" t="inlineStr">
        <is>
          <t>GÄVLEBORGS LÄN</t>
        </is>
      </c>
      <c r="E837" t="inlineStr">
        <is>
          <t>GÄVLE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62215-2023</t>
        </is>
      </c>
      <c r="B838" s="1" t="n">
        <v>45267</v>
      </c>
      <c r="C838" s="1" t="n">
        <v>45294</v>
      </c>
      <c r="D838" t="inlineStr">
        <is>
          <t>GÄVLEBORGS LÄN</t>
        </is>
      </c>
      <c r="E838" t="inlineStr">
        <is>
          <t>GÄVLE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63036-2023</t>
        </is>
      </c>
      <c r="B839" s="1" t="n">
        <v>45272</v>
      </c>
      <c r="C839" s="1" t="n">
        <v>45294</v>
      </c>
      <c r="D839" t="inlineStr">
        <is>
          <t>GÄVLEBORGS LÄN</t>
        </is>
      </c>
      <c r="E839" t="inlineStr">
        <is>
          <t>GÄVLE</t>
        </is>
      </c>
      <c r="G839" t="n">
        <v>12.7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62983-2023</t>
        </is>
      </c>
      <c r="B840" s="1" t="n">
        <v>45272</v>
      </c>
      <c r="C840" s="1" t="n">
        <v>45294</v>
      </c>
      <c r="D840" t="inlineStr">
        <is>
          <t>GÄVLEBORGS LÄN</t>
        </is>
      </c>
      <c r="E840" t="inlineStr">
        <is>
          <t>GÄVLE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63845-2023</t>
        </is>
      </c>
      <c r="B841" s="1" t="n">
        <v>45278</v>
      </c>
      <c r="C841" s="1" t="n">
        <v>45294</v>
      </c>
      <c r="D841" t="inlineStr">
        <is>
          <t>GÄVLEBORGS LÄN</t>
        </is>
      </c>
      <c r="E841" t="inlineStr">
        <is>
          <t>GÄVLE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63870-2023</t>
        </is>
      </c>
      <c r="B842" s="1" t="n">
        <v>45278</v>
      </c>
      <c r="C842" s="1" t="n">
        <v>45294</v>
      </c>
      <c r="D842" t="inlineStr">
        <is>
          <t>GÄVLEBORGS LÄN</t>
        </is>
      </c>
      <c r="E842" t="inlineStr">
        <is>
          <t>GÄVLE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64095-2023</t>
        </is>
      </c>
      <c r="B843" s="1" t="n">
        <v>45279</v>
      </c>
      <c r="C843" s="1" t="n">
        <v>45294</v>
      </c>
      <c r="D843" t="inlineStr">
        <is>
          <t>GÄVLEBORGS LÄN</t>
        </is>
      </c>
      <c r="E843" t="inlineStr">
        <is>
          <t>GÄVLE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64871-2023</t>
        </is>
      </c>
      <c r="B844" s="1" t="n">
        <v>45282</v>
      </c>
      <c r="C844" s="1" t="n">
        <v>45294</v>
      </c>
      <c r="D844" t="inlineStr">
        <is>
          <t>GÄVLEBORGS LÄN</t>
        </is>
      </c>
      <c r="E844" t="inlineStr">
        <is>
          <t>GÄVLE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64875-2023</t>
        </is>
      </c>
      <c r="B845" s="1" t="n">
        <v>45282</v>
      </c>
      <c r="C845" s="1" t="n">
        <v>45294</v>
      </c>
      <c r="D845" t="inlineStr">
        <is>
          <t>GÄVLEBORGS LÄN</t>
        </is>
      </c>
      <c r="E845" t="inlineStr">
        <is>
          <t>GÄVLE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64873-2023</t>
        </is>
      </c>
      <c r="B846" s="1" t="n">
        <v>45282</v>
      </c>
      <c r="C846" s="1" t="n">
        <v>45294</v>
      </c>
      <c r="D846" t="inlineStr">
        <is>
          <t>GÄVLEBORGS LÄN</t>
        </is>
      </c>
      <c r="E846" t="inlineStr">
        <is>
          <t>GÄVLE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64921-2023</t>
        </is>
      </c>
      <c r="B847" s="1" t="n">
        <v>45282</v>
      </c>
      <c r="C847" s="1" t="n">
        <v>45294</v>
      </c>
      <c r="D847" t="inlineStr">
        <is>
          <t>GÄVLEBORGS LÄN</t>
        </is>
      </c>
      <c r="E847" t="inlineStr">
        <is>
          <t>GÄVLE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64878-2023</t>
        </is>
      </c>
      <c r="B848" s="1" t="n">
        <v>45282</v>
      </c>
      <c r="C848" s="1" t="n">
        <v>45294</v>
      </c>
      <c r="D848" t="inlineStr">
        <is>
          <t>GÄVLEBORGS LÄN</t>
        </is>
      </c>
      <c r="E848" t="inlineStr">
        <is>
          <t>GÄVLE</t>
        </is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64868-2023</t>
        </is>
      </c>
      <c r="B849" s="1" t="n">
        <v>45282</v>
      </c>
      <c r="C849" s="1" t="n">
        <v>45294</v>
      </c>
      <c r="D849" t="inlineStr">
        <is>
          <t>GÄVLEBORGS LÄN</t>
        </is>
      </c>
      <c r="E849" t="inlineStr">
        <is>
          <t>GÄVLE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21-2024</t>
        </is>
      </c>
      <c r="B850" s="1" t="n">
        <v>45293</v>
      </c>
      <c r="C850" s="1" t="n">
        <v>45294</v>
      </c>
      <c r="D850" t="inlineStr">
        <is>
          <t>GÄVLEBORGS LÄN</t>
        </is>
      </c>
      <c r="E850" t="inlineStr">
        <is>
          <t>GÄVLE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25-2024</t>
        </is>
      </c>
      <c r="B851" s="1" t="n">
        <v>45293</v>
      </c>
      <c r="C851" s="1" t="n">
        <v>45294</v>
      </c>
      <c r="D851" t="inlineStr">
        <is>
          <t>GÄVLEBORGS LÄN</t>
        </is>
      </c>
      <c r="E851" t="inlineStr">
        <is>
          <t>GÄVLE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16-2024</t>
        </is>
      </c>
      <c r="B852" s="1" t="n">
        <v>45293</v>
      </c>
      <c r="C852" s="1" t="n">
        <v>45294</v>
      </c>
      <c r="D852" t="inlineStr">
        <is>
          <t>GÄVLEBORGS LÄN</t>
        </is>
      </c>
      <c r="E852" t="inlineStr">
        <is>
          <t>GÄVLE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24-2024</t>
        </is>
      </c>
      <c r="B853" s="1" t="n">
        <v>45293</v>
      </c>
      <c r="C853" s="1" t="n">
        <v>45294</v>
      </c>
      <c r="D853" t="inlineStr">
        <is>
          <t>GÄVLEBORGS LÄN</t>
        </is>
      </c>
      <c r="E853" t="inlineStr">
        <is>
          <t>GÄVLE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18-2024</t>
        </is>
      </c>
      <c r="B854" s="1" t="n">
        <v>45293</v>
      </c>
      <c r="C854" s="1" t="n">
        <v>45294</v>
      </c>
      <c r="D854" t="inlineStr">
        <is>
          <t>GÄVLEBORGS LÄN</t>
        </is>
      </c>
      <c r="E854" t="inlineStr">
        <is>
          <t>GÄVLE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2024-01-03T10:02:44Z</dcterms:created>
  <dcterms:modified xmlns:dcterms="http://purl.org/dc/terms/" xmlns:xsi="http://www.w3.org/2001/XMLSchema-instance" xsi:type="dcterms:W3CDTF">2024-01-03T10:02:44Z</dcterms:modified>
</cp:coreProperties>
</file>