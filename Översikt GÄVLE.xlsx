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46265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46265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46265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46265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46265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46265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46265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46265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46265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46265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46265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46265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46265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46265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46265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46265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46265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46265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46265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46265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64567-2023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46265</v>
      </c>
      <c r="F33" t="inlineStr">
        <is>
          <t>GÄVLEBORGS LÄN</t>
        </is>
      </c>
      <c r="G33" t="inlineStr">
        <is>
          <t>GÄVLE</t>
        </is>
      </c>
      <c r="I33" t="n">
        <v>2.6</v>
      </c>
      <c r="J33" t="n">
        <v>0</v>
      </c>
      <c r="K33" t="n">
        <v>2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1</v>
      </c>
      <c r="V33" s="2" t="inlineStr">
        <is>
          <t>Ask
Brunfläckig pärlemorfjäril
Jättesvampmal
Strimspindling</t>
        </is>
      </c>
      <c r="W33">
        <f>HYPERLINK("https://klasma.github.io/Logging_2180/artfynd/A 64567-2023 artfynd.xlsx", "A 64567-2023")</f>
        <v/>
      </c>
      <c r="X33">
        <f>HYPERLINK("https://klasma.github.io/Logging_2180/kartor/A 64567-2023 karta.png", "A 64567-2023")</f>
        <v/>
      </c>
      <c r="Y33">
        <f>HYPERLINK("https://klasma.github.io/Logging_2180/kartor_geotiff/A 64567-2023 georefererad karta.tif", "A 64567-2023")</f>
        <v/>
      </c>
      <c r="AA33">
        <f>HYPERLINK("https://klasma.github.io/Logging_2180/klagomål/A 64567-2023 FSC-klagomål.docx", "A 64567-2023")</f>
        <v/>
      </c>
      <c r="AB33">
        <f>HYPERLINK("https://klasma.github.io/Logging_2180/klagomålsmail/A 64567-2023 FSC-klagomål mail.docx", "A 64567-2023")</f>
        <v/>
      </c>
      <c r="AC33">
        <f>HYPERLINK("https://klasma.github.io/Logging_2180/tillsyn/A 64567-2023 tillsynsbegäran.docx", "A 64567-2023")</f>
        <v/>
      </c>
      <c r="AD33">
        <f>HYPERLINK("https://klasma.github.io/Logging_2180/tillsynsmail/A 64567-2023 tillsynsbegäran mail.docx", "A 64567-2023")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46265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46265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46265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46265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46265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46265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46265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46265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46265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46265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25357-2026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46265</v>
      </c>
      <c r="F45" t="inlineStr">
        <is>
          <t>GÄVLEBORGS LÄN</t>
        </is>
      </c>
      <c r="G45" t="inlineStr">
        <is>
          <t>GÄVLE</t>
        </is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Pärluggla
Storspov
Sångsvan</t>
        </is>
      </c>
      <c r="W45">
        <f>HYPERLINK("https://klasma.github.io/Logging_2180/artfynd/A 25357-2026 artfynd.xlsx", "A 25357-2026")</f>
        <v/>
      </c>
      <c r="X45">
        <f>HYPERLINK("https://klasma.github.io/Logging_2180/kartor/A 25357-2026 karta.png", "A 25357-2026")</f>
        <v/>
      </c>
      <c r="Y45">
        <f>HYPERLINK("https://klasma.github.io/Logging_2180/kartor_geotiff/A 25357-2026 georefererad karta.tif", "A 25357-2026")</f>
        <v/>
      </c>
      <c r="AA45">
        <f>HYPERLINK("https://klasma.github.io/Logging_2180/klagomål/A 25357-2026 FSC-klagomål.docx", "A 25357-2026")</f>
        <v/>
      </c>
      <c r="AB45">
        <f>HYPERLINK("https://klasma.github.io/Logging_2180/klagomålsmail/A 25357-2026 FSC-klagomål mail.docx", "A 25357-2026")</f>
        <v/>
      </c>
      <c r="AC45">
        <f>HYPERLINK("https://klasma.github.io/Logging_2180/tillsyn/A 25357-2026 tillsynsbegäran.docx", "A 25357-2026")</f>
        <v/>
      </c>
      <c r="AD45">
        <f>HYPERLINK("https://klasma.github.io/Logging_2180/tillsynsmail/A 25357-2026 tillsynsbegäran mail.docx", "A 25357-2026")</f>
        <v/>
      </c>
      <c r="AE45">
        <f>HYPERLINK("https://klasma.github.io/Logging_2180/fåglar/A 25357-2026 prioriterade fågelarter.docx", "A 25357-2026")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46265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46265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46265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46265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46265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46265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46265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46265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60202-2025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45994</v>
      </c>
      <c r="E54" s="1" t="n">
        <v>46265</v>
      </c>
      <c r="F54" t="inlineStr">
        <is>
          <t>GÄVLEBORGS LÄN</t>
        </is>
      </c>
      <c r="G54" t="inlineStr">
        <is>
          <t>GÄVLE</t>
        </is>
      </c>
      <c r="I54" t="n">
        <v>4.3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Spillkråka</t>
        </is>
      </c>
      <c r="W54">
        <f>HYPERLINK("https://klasma.github.io/Logging_2180/artfynd/A 60202-2025 artfynd.xlsx", "A 60202-2025")</f>
        <v/>
      </c>
      <c r="X54">
        <f>HYPERLINK("https://klasma.github.io/Logging_2180/kartor/A 60202-2025 karta.png", "A 60202-2025")</f>
        <v/>
      </c>
      <c r="Y54">
        <f>HYPERLINK("https://klasma.github.io/Logging_2180/kartor_geotiff/A 60202-2025 georefererad karta.tif", "A 60202-2025")</f>
        <v/>
      </c>
      <c r="AA54">
        <f>HYPERLINK("https://klasma.github.io/Logging_2180/klagomål/A 60202-2025 FSC-klagomål.docx", "A 60202-2025")</f>
        <v/>
      </c>
      <c r="AB54">
        <f>HYPERLINK("https://klasma.github.io/Logging_2180/klagomålsmail/A 60202-2025 FSC-klagomål mail.docx", "A 60202-2025")</f>
        <v/>
      </c>
      <c r="AC54">
        <f>HYPERLINK("https://klasma.github.io/Logging_2180/tillsyn/A 60202-2025 tillsynsbegäran.docx", "A 60202-2025")</f>
        <v/>
      </c>
      <c r="AD54">
        <f>HYPERLINK("https://klasma.github.io/Logging_2180/tillsynsmail/A 60202-2025 tillsynsbegäran mail.docx", "A 60202-2025")</f>
        <v/>
      </c>
      <c r="AE54">
        <f>HYPERLINK("https://klasma.github.io/Logging_2180/fåglar/A 60202-2025 prioriterade fågelarter.docx", "A 60202-2025")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46265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46265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46265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46265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t="n">
        <v>0</v>
      </c>
      <c r="V58" s="2" t="inlineStr">
        <is>
          <t>Väddnätfjäril
Sotnätfjäril</t>
        </is>
      </c>
      <c r="W58">
        <f>HYPERLINK("https://klasma.github.io/Logging_2180/artfynd/A 14554-2026 artfynd.xlsx", "A 14554-2026")</f>
        <v/>
      </c>
      <c r="X58">
        <f>HYPERLINK("https://klasma.github.io/Logging_2180/kartor/A 14554-2026 karta.png", "A 14554-2026")</f>
        <v/>
      </c>
      <c r="Y58">
        <f>HYPERLINK("https://klasma.github.io/Logging_2180/kartor_geotiff/A 14554-2026 georefererad karta.tif", "A 14554-2026")</f>
        <v/>
      </c>
      <c r="AA58">
        <f>HYPERLINK("https://klasma.github.io/Logging_2180/klagomål/A 14554-2026 FSC-klagomål.docx", "A 14554-2026")</f>
        <v/>
      </c>
      <c r="AB58">
        <f>HYPERLINK("https://klasma.github.io/Logging_2180/klagomålsmail/A 14554-2026 FSC-klagomål mail.docx", "A 14554-2026")</f>
        <v/>
      </c>
      <c r="AC58">
        <f>HYPERLINK("https://klasma.github.io/Logging_2180/tillsyn/A 14554-2026 tillsynsbegäran.docx", "A 14554-2026")</f>
        <v/>
      </c>
      <c r="AD58">
        <f>HYPERLINK("https://klasma.github.io/Logging_2180/tillsynsmail/A 14554-2026 tillsynsbegäran mail.docx", "A 14554-2026")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46265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46265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46265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13727-2025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7.6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2</v>
      </c>
      <c r="V62" s="2" t="inlineStr">
        <is>
          <t>Ullticka
Järpe</t>
        </is>
      </c>
      <c r="W62">
        <f>HYPERLINK("https://klasma.github.io/Logging_2180/artfynd/A 13727-2025 artfynd.xlsx", "A 13727-2025")</f>
        <v/>
      </c>
      <c r="X62">
        <f>HYPERLINK("https://klasma.github.io/Logging_2180/kartor/A 13727-2025 karta.png", "A 13727-2025")</f>
        <v/>
      </c>
      <c r="Y62">
        <f>HYPERLINK("https://klasma.github.io/Logging_2180/kartor_geotiff/A 13727-2025 georefererad karta.tif", "A 13727-2025")</f>
        <v/>
      </c>
      <c r="AA62">
        <f>HYPERLINK("https://klasma.github.io/Logging_2180/klagomål/A 13727-2025 FSC-klagomål.docx", "A 13727-2025")</f>
        <v/>
      </c>
      <c r="AB62">
        <f>HYPERLINK("https://klasma.github.io/Logging_2180/klagomålsmail/A 13727-2025 FSC-klagomål mail.docx", "A 13727-2025")</f>
        <v/>
      </c>
      <c r="AC62">
        <f>HYPERLINK("https://klasma.github.io/Logging_2180/tillsyn/A 13727-2025 tillsynsbegäran.docx", "A 13727-2025")</f>
        <v/>
      </c>
      <c r="AD62">
        <f>HYPERLINK("https://klasma.github.io/Logging_2180/tillsynsmail/A 13727-2025 tillsynsbegäran mail.docx", "A 13727-2025")</f>
        <v/>
      </c>
      <c r="AE62">
        <f>HYPERLINK("https://klasma.github.io/Logging_2180/fåglar/A 13727-2025 prioriterade fågelarter.docx", "A 13727-2025")</f>
        <v/>
      </c>
    </row>
    <row r="63" ht="15" customHeight="1">
      <c r="A63" t="inlineStr">
        <is>
          <t>A 35989-2024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45533</v>
      </c>
      <c r="E63" s="1" t="n">
        <v>46265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3.1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Jättesvampmal</t>
        </is>
      </c>
      <c r="W63">
        <f>HYPERLINK("https://klasma.github.io/Logging_2180/artfynd/A 35989-2024 artfynd.xlsx", "A 35989-2024")</f>
        <v/>
      </c>
      <c r="X63">
        <f>HYPERLINK("https://klasma.github.io/Logging_2180/kartor/A 35989-2024 karta.png", "A 35989-2024")</f>
        <v/>
      </c>
      <c r="Y63">
        <f>HYPERLINK("https://klasma.github.io/Logging_2180/kartor_geotiff/A 35989-2024 georefererad karta.tif", "A 35989-2024")</f>
        <v/>
      </c>
      <c r="Z63">
        <f>HYPERLINK("https://klasma.github.io/Logging_2180/knärot/A 35989-2024 karta knärot.png", "A 35989-2024")</f>
        <v/>
      </c>
      <c r="AA63">
        <f>HYPERLINK("https://klasma.github.io/Logging_2180/klagomål/A 35989-2024 FSC-klagomål.docx", "A 35989-2024")</f>
        <v/>
      </c>
      <c r="AB63">
        <f>HYPERLINK("https://klasma.github.io/Logging_2180/klagomålsmail/A 35989-2024 FSC-klagomål mail.docx", "A 35989-2024")</f>
        <v/>
      </c>
      <c r="AC63">
        <f>HYPERLINK("https://klasma.github.io/Logging_2180/tillsyn/A 35989-2024 tillsynsbegäran.docx", "A 35989-2024")</f>
        <v/>
      </c>
      <c r="AD63">
        <f>HYPERLINK("https://klasma.github.io/Logging_2180/tillsynsmail/A 35989-2024 tillsynsbegäran mail.docx", "A 35989-2024")</f>
        <v/>
      </c>
    </row>
    <row r="64" ht="15" customHeight="1">
      <c r="A64" t="inlineStr">
        <is>
          <t>A 20323-2026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46265</v>
      </c>
      <c r="F64" t="inlineStr">
        <is>
          <t>GÄVLEBORGS LÄN</t>
        </is>
      </c>
      <c r="G64" t="inlineStr">
        <is>
          <t>GÄVLE</t>
        </is>
      </c>
      <c r="I64" t="n">
        <v>1.4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Grön sköldmossa
Tjäder</t>
        </is>
      </c>
      <c r="W64">
        <f>HYPERLINK("https://klasma.github.io/Logging_2180/artfynd/A 20323-2026 artfynd.xlsx", "A 20323-2026")</f>
        <v/>
      </c>
      <c r="X64">
        <f>HYPERLINK("https://klasma.github.io/Logging_2180/kartor/A 20323-2026 karta.png", "A 20323-2026")</f>
        <v/>
      </c>
      <c r="Y64">
        <f>HYPERLINK("https://klasma.github.io/Logging_2180/kartor_geotiff/A 20323-2026 georefererad karta.tif", "A 20323-2026")</f>
        <v/>
      </c>
      <c r="AA64">
        <f>HYPERLINK("https://klasma.github.io/Logging_2180/klagomål/A 20323-2026 FSC-klagomål.docx", "A 20323-2026")</f>
        <v/>
      </c>
      <c r="AB64">
        <f>HYPERLINK("https://klasma.github.io/Logging_2180/klagomålsmail/A 20323-2026 FSC-klagomål mail.docx", "A 20323-2026")</f>
        <v/>
      </c>
      <c r="AC64">
        <f>HYPERLINK("https://klasma.github.io/Logging_2180/tillsyn/A 20323-2026 tillsynsbegäran.docx", "A 20323-2026")</f>
        <v/>
      </c>
      <c r="AD64">
        <f>HYPERLINK("https://klasma.github.io/Logging_2180/tillsynsmail/A 20323-2026 tillsynsbegäran mail.docx", "A 20323-2026")</f>
        <v/>
      </c>
      <c r="AE64">
        <f>HYPERLINK("https://klasma.github.io/Logging_2180/fåglar/A 20323-2026 prioriterade fågelarter.docx", "A 20323-2026")</f>
        <v/>
      </c>
    </row>
    <row r="65" ht="15" customHeight="1">
      <c r="A65" t="inlineStr">
        <is>
          <t>A 29821-2023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46265</v>
      </c>
      <c r="F65" t="inlineStr">
        <is>
          <t>GÄVLEBORGS LÄN</t>
        </is>
      </c>
      <c r="G65" t="inlineStr">
        <is>
          <t>GÄVLE</t>
        </is>
      </c>
      <c r="I65" t="n">
        <v>5.3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Järnsparv
Svartvit flugsnappare</t>
        </is>
      </c>
      <c r="W65">
        <f>HYPERLINK("https://klasma.github.io/Logging_2180/artfynd/A 29821-2023 artfynd.xlsx", "A 29821-2023")</f>
        <v/>
      </c>
      <c r="X65">
        <f>HYPERLINK("https://klasma.github.io/Logging_2180/kartor/A 29821-2023 karta.png", "A 29821-2023")</f>
        <v/>
      </c>
      <c r="Y65">
        <f>HYPERLINK("https://klasma.github.io/Logging_2180/kartor_geotiff/A 29821-2023 georefererad karta.tif", "A 29821-2023")</f>
        <v/>
      </c>
      <c r="AA65">
        <f>HYPERLINK("https://klasma.github.io/Logging_2180/klagomål/A 29821-2023 FSC-klagomål.docx", "A 29821-2023")</f>
        <v/>
      </c>
      <c r="AB65">
        <f>HYPERLINK("https://klasma.github.io/Logging_2180/klagomålsmail/A 29821-2023 FSC-klagomål mail.docx", "A 29821-2023")</f>
        <v/>
      </c>
      <c r="AC65">
        <f>HYPERLINK("https://klasma.github.io/Logging_2180/tillsyn/A 29821-2023 tillsynsbegäran.docx", "A 29821-2023")</f>
        <v/>
      </c>
      <c r="AD65">
        <f>HYPERLINK("https://klasma.github.io/Logging_2180/tillsynsmail/A 29821-2023 tillsynsbegäran mail.docx", "A 29821-2023")</f>
        <v/>
      </c>
      <c r="AE65">
        <f>HYPERLINK("https://klasma.github.io/Logging_2180/fåglar/A 29821-2023 prioriterade fågelarter.docx", "A 29821-2023")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46265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46265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46265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64533-2023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46265</v>
      </c>
      <c r="F69" t="inlineStr">
        <is>
          <t>GÄVLEBORGS LÄN</t>
        </is>
      </c>
      <c r="G69" t="inlineStr">
        <is>
          <t>GÄVLE</t>
        </is>
      </c>
      <c r="I69" t="n">
        <v>1.1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Aspvedgnagare
Jättesvampmal</t>
        </is>
      </c>
      <c r="W69">
        <f>HYPERLINK("https://klasma.github.io/Logging_2180/artfynd/A 64533-2023 artfynd.xlsx", "A 64533-2023")</f>
        <v/>
      </c>
      <c r="X69">
        <f>HYPERLINK("https://klasma.github.io/Logging_2180/kartor/A 64533-2023 karta.png", "A 64533-2023")</f>
        <v/>
      </c>
      <c r="Y69">
        <f>HYPERLINK("https://klasma.github.io/Logging_2180/kartor_geotiff/A 64533-2023 georefererad karta.tif", "A 64533-2023")</f>
        <v/>
      </c>
      <c r="AA69">
        <f>HYPERLINK("https://klasma.github.io/Logging_2180/klagomål/A 64533-2023 FSC-klagomål.docx", "A 64533-2023")</f>
        <v/>
      </c>
      <c r="AB69">
        <f>HYPERLINK("https://klasma.github.io/Logging_2180/klagomålsmail/A 64533-2023 FSC-klagomål mail.docx", "A 64533-2023")</f>
        <v/>
      </c>
      <c r="AC69">
        <f>HYPERLINK("https://klasma.github.io/Logging_2180/tillsyn/A 64533-2023 tillsynsbegäran.docx", "A 64533-2023")</f>
        <v/>
      </c>
      <c r="AD69">
        <f>HYPERLINK("https://klasma.github.io/Logging_2180/tillsynsmail/A 64533-2023 tillsynsbegäran mail.docx", "A 64533-2023")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46265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46265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24310-2026 artfynd.xlsx", "A 24310-2026")</f>
        <v/>
      </c>
      <c r="X71">
        <f>HYPERLINK("https://klasma.github.io/Logging_2180/kartor/A 24310-2026 karta.png", "A 24310-2026")</f>
        <v/>
      </c>
      <c r="Y71">
        <f>HYPERLINK("https://klasma.github.io/Logging_2180/kartor_geotiff/A 24310-2026 georefererad karta.tif", "A 24310-2026")</f>
        <v/>
      </c>
      <c r="AA71">
        <f>HYPERLINK("https://klasma.github.io/Logging_2180/klagomål/A 24310-2026 FSC-klagomål.docx", "A 24310-2026")</f>
        <v/>
      </c>
      <c r="AB71">
        <f>HYPERLINK("https://klasma.github.io/Logging_2180/klagomålsmail/A 24310-2026 FSC-klagomål mail.docx", "A 24310-2026")</f>
        <v/>
      </c>
      <c r="AC71">
        <f>HYPERLINK("https://klasma.github.io/Logging_2180/tillsyn/A 24310-2026 tillsynsbegäran.docx", "A 24310-2026")</f>
        <v/>
      </c>
      <c r="AD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46265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24915-2026 artfynd.xlsx", "A 24915-2026")</f>
        <v/>
      </c>
      <c r="X72">
        <f>HYPERLINK("https://klasma.github.io/Logging_2180/kartor/A 24915-2026 karta.png", "A 24915-2026")</f>
        <v/>
      </c>
      <c r="Y72">
        <f>HYPERLINK("https://klasma.github.io/Logging_2180/kartor_geotiff/A 24915-2026 georefererad karta.tif", "A 24915-2026")</f>
        <v/>
      </c>
      <c r="AA72">
        <f>HYPERLINK("https://klasma.github.io/Logging_2180/klagomål/A 24915-2026 FSC-klagomål.docx", "A 24915-2026")</f>
        <v/>
      </c>
      <c r="AB72">
        <f>HYPERLINK("https://klasma.github.io/Logging_2180/klagomålsmail/A 24915-2026 FSC-klagomål mail.docx", "A 24915-2026")</f>
        <v/>
      </c>
      <c r="AC72">
        <f>HYPERLINK("https://klasma.github.io/Logging_2180/tillsyn/A 24915-2026 tillsynsbegäran.docx", "A 24915-2026")</f>
        <v/>
      </c>
      <c r="AD72">
        <f>HYPERLINK("https://klasma.github.io/Logging_2180/tillsynsmail/A 24915-2026 tillsynsbegäran mail.docx", "A 24915-2026")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46265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27045-2026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46265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3.1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5</v>
      </c>
      <c r="U74" t="n">
        <v>0</v>
      </c>
      <c r="V74" s="2" t="inlineStr">
        <is>
          <t>Höstlåsbräken
Månlåsbräken</t>
        </is>
      </c>
      <c r="W74">
        <f>HYPERLINK("https://klasma.github.io/Logging_2180/artfynd/A 27045-2026 artfynd.xlsx", "A 27045-2026")</f>
        <v/>
      </c>
      <c r="X74">
        <f>HYPERLINK("https://klasma.github.io/Logging_2180/kartor/A 27045-2026 karta.png", "A 27045-2026")</f>
        <v/>
      </c>
      <c r="Y74">
        <f>HYPERLINK("https://klasma.github.io/Logging_2180/kartor_geotiff/A 27045-2026 georefererad karta.tif", "A 27045-2026")</f>
        <v/>
      </c>
      <c r="AA74">
        <f>HYPERLINK("https://klasma.github.io/Logging_2180/klagomål/A 27045-2026 FSC-klagomål.docx", "A 27045-2026")</f>
        <v/>
      </c>
      <c r="AB74">
        <f>HYPERLINK("https://klasma.github.io/Logging_2180/klagomålsmail/A 27045-2026 FSC-klagomål mail.docx", "A 27045-2026")</f>
        <v/>
      </c>
      <c r="AC74">
        <f>HYPERLINK("https://klasma.github.io/Logging_2180/tillsyn/A 27045-2026 tillsynsbegäran.docx", "A 27045-2026")</f>
        <v/>
      </c>
      <c r="AD74">
        <f>HYPERLINK("https://klasma.github.io/Logging_2180/tillsynsmail/A 27045-2026 tillsynsbegäran mail.docx", "A 27045-2026")</f>
        <v/>
      </c>
    </row>
    <row r="75" ht="15" customHeight="1">
      <c r="A75" t="inlineStr">
        <is>
          <t>A 29634-2026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46265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Brunag
Strandlummer</t>
        </is>
      </c>
      <c r="W75">
        <f>HYPERLINK("https://klasma.github.io/Logging_2180/artfynd/A 29634-2026 artfynd.xlsx", "A 29634-2026")</f>
        <v/>
      </c>
      <c r="X75">
        <f>HYPERLINK("https://klasma.github.io/Logging_2180/kartor/A 29634-2026 karta.png", "A 29634-2026")</f>
        <v/>
      </c>
      <c r="Y75">
        <f>HYPERLINK("https://klasma.github.io/Logging_2180/kartor_geotiff/A 29634-2026 georefererad karta.tif", "A 29634-2026")</f>
        <v/>
      </c>
      <c r="AA75">
        <f>HYPERLINK("https://klasma.github.io/Logging_2180/klagomål/A 29634-2026 FSC-klagomål.docx", "A 29634-2026")</f>
        <v/>
      </c>
      <c r="AB75">
        <f>HYPERLINK("https://klasma.github.io/Logging_2180/klagomålsmail/A 29634-2026 FSC-klagomål mail.docx", "A 29634-2026")</f>
        <v/>
      </c>
      <c r="AC75">
        <f>HYPERLINK("https://klasma.github.io/Logging_2180/tillsyn/A 29634-2026 tillsynsbegäran.docx", "A 29634-2026")</f>
        <v/>
      </c>
      <c r="AD75">
        <f>HYPERLINK("https://klasma.github.io/Logging_2180/tillsynsmail/A 29634-2026 tillsynsbegäran mail.docx", "A 29634-2026")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46265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46265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46265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46265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46265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54252-2025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46265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HYPERLINK("https://klasma.github.io/Logging_2180/artfynd/A 54252-2025 artfynd.xlsx", "A 54252-2025")</f>
        <v/>
      </c>
      <c r="X81">
        <f>HYPERLINK("https://klasma.github.io/Logging_2180/kartor/A 54252-2025 karta.png", "A 54252-2025")</f>
        <v/>
      </c>
      <c r="Y81">
        <f>HYPERLINK("https://klasma.github.io/Logging_2180/kartor_geotiff/A 54252-2025 georefererad karta.tif", "A 54252-2025")</f>
        <v/>
      </c>
      <c r="AA81">
        <f>HYPERLINK("https://klasma.github.io/Logging_2180/klagomål/A 54252-2025 FSC-klagomål.docx", "A 54252-2025")</f>
        <v/>
      </c>
      <c r="AB81">
        <f>HYPERLINK("https://klasma.github.io/Logging_2180/klagomålsmail/A 54252-2025 FSC-klagomål mail.docx", "A 54252-2025")</f>
        <v/>
      </c>
      <c r="AC81">
        <f>HYPERLINK("https://klasma.github.io/Logging_2180/tillsyn/A 54252-2025 tillsynsbegäran.docx", "A 54252-2025")</f>
        <v/>
      </c>
      <c r="AD81">
        <f>HYPERLINK("https://klasma.github.io/Logging_2180/tillsynsmail/A 54252-2025 tillsynsbegäran mail.docx", "A 54252-2025")</f>
        <v/>
      </c>
    </row>
    <row r="82" ht="15" customHeight="1">
      <c r="A82" t="inlineStr">
        <is>
          <t>A 54963-2025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46265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7.9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HYPERLINK("https://klasma.github.io/Logging_2180/artfynd/A 54963-2025 artfynd.xlsx", "A 54963-2025")</f>
        <v/>
      </c>
      <c r="X82">
        <f>HYPERLINK("https://klasma.github.io/Logging_2180/kartor/A 54963-2025 karta.png", "A 54963-2025")</f>
        <v/>
      </c>
      <c r="Y82">
        <f>HYPERLINK("https://klasma.github.io/Logging_2180/kartor_geotiff/A 54963-2025 georefererad karta.tif", "A 54963-2025")</f>
        <v/>
      </c>
      <c r="AA82">
        <f>HYPERLINK("https://klasma.github.io/Logging_2180/klagomål/A 54963-2025 FSC-klagomål.docx", "A 54963-2025")</f>
        <v/>
      </c>
      <c r="AB82">
        <f>HYPERLINK("https://klasma.github.io/Logging_2180/klagomålsmail/A 54963-2025 FSC-klagomål mail.docx", "A 54963-2025")</f>
        <v/>
      </c>
      <c r="AC82">
        <f>HYPERLINK("https://klasma.github.io/Logging_2180/tillsyn/A 54963-2025 tillsynsbegäran.docx", "A 54963-2025")</f>
        <v/>
      </c>
      <c r="AD82">
        <f>HYPERLINK("https://klasma.github.io/Logging_2180/tillsynsmail/A 54963-2025 tillsynsbegäran mail.docx", "A 54963-2025")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46265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47642-2024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46265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8.199999999999999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Orre</t>
        </is>
      </c>
      <c r="W84">
        <f>HYPERLINK("https://klasma.github.io/Logging_2180/artfynd/A 47642-2024 artfynd.xlsx", "A 47642-2024")</f>
        <v/>
      </c>
      <c r="X84">
        <f>HYPERLINK("https://klasma.github.io/Logging_2180/kartor/A 47642-2024 karta.png", "A 47642-2024")</f>
        <v/>
      </c>
      <c r="Y84">
        <f>HYPERLINK("https://klasma.github.io/Logging_2180/kartor_geotiff/A 47642-2024 georefererad karta.tif", "A 47642-2024")</f>
        <v/>
      </c>
      <c r="AA84">
        <f>HYPERLINK("https://klasma.github.io/Logging_2180/klagomål/A 47642-2024 FSC-klagomål.docx", "A 47642-2024")</f>
        <v/>
      </c>
      <c r="AB84">
        <f>HYPERLINK("https://klasma.github.io/Logging_2180/klagomålsmail/A 47642-2024 FSC-klagomål mail.docx", "A 47642-2024")</f>
        <v/>
      </c>
      <c r="AC84">
        <f>HYPERLINK("https://klasma.github.io/Logging_2180/tillsyn/A 47642-2024 tillsynsbegäran.docx", "A 47642-2024")</f>
        <v/>
      </c>
      <c r="AD84">
        <f>HYPERLINK("https://klasma.github.io/Logging_2180/tillsynsmail/A 47642-2024 tillsynsbegäran mail.docx", "A 47642-2024")</f>
        <v/>
      </c>
      <c r="AE84">
        <f>HYPERLINK("https://klasma.github.io/Logging_2180/fåglar/A 47642-2024 prioriterade fågelarter.docx", "A 47642-2024")</f>
        <v/>
      </c>
    </row>
    <row r="85" ht="15" customHeight="1">
      <c r="A85" t="inlineStr">
        <is>
          <t>A 12338-2025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46265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6.8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Skogsklocka</t>
        </is>
      </c>
      <c r="W85">
        <f>HYPERLINK("https://klasma.github.io/Logging_2180/artfynd/A 12338-2025 artfynd.xlsx", "A 12338-2025")</f>
        <v/>
      </c>
      <c r="X85">
        <f>HYPERLINK("https://klasma.github.io/Logging_2180/kartor/A 12338-2025 karta.png", "A 12338-2025")</f>
        <v/>
      </c>
      <c r="Y85">
        <f>HYPERLINK("https://klasma.github.io/Logging_2180/kartor_geotiff/A 12338-2025 georefererad karta.tif", "A 12338-2025")</f>
        <v/>
      </c>
      <c r="AA85">
        <f>HYPERLINK("https://klasma.github.io/Logging_2180/klagomål/A 12338-2025 FSC-klagomål.docx", "A 12338-2025")</f>
        <v/>
      </c>
      <c r="AB85">
        <f>HYPERLINK("https://klasma.github.io/Logging_2180/klagomålsmail/A 12338-2025 FSC-klagomål mail.docx", "A 12338-2025")</f>
        <v/>
      </c>
      <c r="AC85">
        <f>HYPERLINK("https://klasma.github.io/Logging_2180/tillsyn/A 12338-2025 tillsynsbegäran.docx", "A 12338-2025")</f>
        <v/>
      </c>
      <c r="AD85">
        <f>HYPERLINK("https://klasma.github.io/Logging_2180/tillsynsmail/A 12338-2025 tillsynsbegäran mail.docx", "A 12338-2025")</f>
        <v/>
      </c>
    </row>
    <row r="86" ht="15" customHeight="1">
      <c r="A86" t="inlineStr">
        <is>
          <t>A 58204-2025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45984</v>
      </c>
      <c r="E86" s="1" t="n">
        <v>46265</v>
      </c>
      <c r="F86" t="inlineStr">
        <is>
          <t>GÄVLEBORGS LÄN</t>
        </is>
      </c>
      <c r="G86" t="inlineStr">
        <is>
          <t>GÄVLE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HYPERLINK("https://klasma.github.io/Logging_2180/artfynd/A 58204-2025 artfynd.xlsx", "A 58204-2025")</f>
        <v/>
      </c>
      <c r="X86">
        <f>HYPERLINK("https://klasma.github.io/Logging_2180/kartor/A 58204-2025 karta.png", "A 58204-2025")</f>
        <v/>
      </c>
      <c r="Y86">
        <f>HYPERLINK("https://klasma.github.io/Logging_2180/kartor_geotiff/A 58204-2025 georefererad karta.tif", "A 58204-2025")</f>
        <v/>
      </c>
      <c r="AA86">
        <f>HYPERLINK("https://klasma.github.io/Logging_2180/klagomål/A 58204-2025 FSC-klagomål.docx", "A 58204-2025")</f>
        <v/>
      </c>
      <c r="AB86">
        <f>HYPERLINK("https://klasma.github.io/Logging_2180/klagomålsmail/A 58204-2025 FSC-klagomål mail.docx", "A 58204-2025")</f>
        <v/>
      </c>
      <c r="AC86">
        <f>HYPERLINK("https://klasma.github.io/Logging_2180/tillsyn/A 58204-2025 tillsynsbegäran.docx", "A 58204-2025")</f>
        <v/>
      </c>
      <c r="AD86">
        <f>HYPERLINK("https://klasma.github.io/Logging_2180/tillsynsmail/A 58204-2025 tillsynsbegäran mail.docx", "A 58204-2025")</f>
        <v/>
      </c>
      <c r="AE86">
        <f>HYPERLINK("https://klasma.github.io/Logging_2180/fåglar/A 58204-2025 prioriterade fågelarter.docx", "A 58204-2025")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46265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46265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46265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HYPERLINK("https://klasma.github.io/Logging_2180/artfynd/A 63036-2023 artfynd.xlsx", "A 63036-2023")</f>
        <v/>
      </c>
      <c r="X89">
        <f>HYPERLINK("https://klasma.github.io/Logging_2180/kartor/A 63036-2023 karta.png", "A 63036-2023")</f>
        <v/>
      </c>
      <c r="Y89">
        <f>HYPERLINK("https://klasma.github.io/Logging_2180/kartor_geotiff/A 63036-2023 georefererad karta.tif", "A 63036-2023")</f>
        <v/>
      </c>
      <c r="AA89">
        <f>HYPERLINK("https://klasma.github.io/Logging_2180/klagomål/A 63036-2023 FSC-klagomål.docx", "A 63036-2023")</f>
        <v/>
      </c>
      <c r="AB89">
        <f>HYPERLINK("https://klasma.github.io/Logging_2180/klagomålsmail/A 63036-2023 FSC-klagomål mail.docx", "A 63036-2023")</f>
        <v/>
      </c>
      <c r="AC89">
        <f>HYPERLINK("https://klasma.github.io/Logging_2180/tillsyn/A 63036-2023 tillsynsbegäran.docx", "A 63036-2023")</f>
        <v/>
      </c>
      <c r="AD89">
        <f>HYPERLINK("https://klasma.github.io/Logging_2180/tillsynsmail/A 63036-2023 tillsynsbegäran mail.docx", "A 63036-2023")</f>
        <v/>
      </c>
    </row>
    <row r="90" ht="15" customHeight="1">
      <c r="A90" t="inlineStr">
        <is>
          <t>A 26157-2022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46265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HYPERLINK("https://klasma.github.io/Logging_2180/artfynd/A 26157-2022 artfynd.xlsx", "A 26157-2022")</f>
        <v/>
      </c>
      <c r="X90">
        <f>HYPERLINK("https://klasma.github.io/Logging_2180/kartor/A 26157-2022 karta.png", "A 26157-2022")</f>
        <v/>
      </c>
      <c r="Y90">
        <f>HYPERLINK("https://klasma.github.io/Logging_2180/kartor_geotiff/A 26157-2022 georefererad karta.tif", "A 26157-2022")</f>
        <v/>
      </c>
      <c r="AA90">
        <f>HYPERLINK("https://klasma.github.io/Logging_2180/klagomål/A 26157-2022 FSC-klagomål.docx", "A 26157-2022")</f>
        <v/>
      </c>
      <c r="AB90">
        <f>HYPERLINK("https://klasma.github.io/Logging_2180/klagomålsmail/A 26157-2022 FSC-klagomål mail.docx", "A 26157-2022")</f>
        <v/>
      </c>
      <c r="AC90">
        <f>HYPERLINK("https://klasma.github.io/Logging_2180/tillsyn/A 26157-2022 tillsynsbegäran.docx", "A 26157-2022")</f>
        <v/>
      </c>
      <c r="AD90">
        <f>HYPERLINK("https://klasma.github.io/Logging_2180/tillsynsmail/A 26157-2022 tillsynsbegäran mail.docx", "A 26157-2022")</f>
        <v/>
      </c>
    </row>
    <row r="91" ht="15" customHeight="1">
      <c r="A91" t="inlineStr">
        <is>
          <t>A 30302-2025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46265</v>
      </c>
      <c r="F91" t="inlineStr">
        <is>
          <t>GÄVLEBORGS LÄN</t>
        </is>
      </c>
      <c r="G91" t="inlineStr">
        <is>
          <t>GÄVLE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Fläcknycklar</t>
        </is>
      </c>
      <c r="W91">
        <f>HYPERLINK("https://klasma.github.io/Logging_2180/artfynd/A 30302-2025 artfynd.xlsx", "A 30302-2025")</f>
        <v/>
      </c>
      <c r="X91">
        <f>HYPERLINK("https://klasma.github.io/Logging_2180/kartor/A 30302-2025 karta.png", "A 30302-2025")</f>
        <v/>
      </c>
      <c r="Y91">
        <f>HYPERLINK("https://klasma.github.io/Logging_2180/kartor_geotiff/A 30302-2025 georefererad karta.tif", "A 30302-2025")</f>
        <v/>
      </c>
      <c r="AA91">
        <f>HYPERLINK("https://klasma.github.io/Logging_2180/klagomål/A 30302-2025 FSC-klagomål.docx", "A 30302-2025")</f>
        <v/>
      </c>
      <c r="AB91">
        <f>HYPERLINK("https://klasma.github.io/Logging_2180/klagomålsmail/A 30302-2025 FSC-klagomål mail.docx", "A 30302-2025")</f>
        <v/>
      </c>
      <c r="AC91">
        <f>HYPERLINK("https://klasma.github.io/Logging_2180/tillsyn/A 30302-2025 tillsynsbegäran.docx", "A 30302-2025")</f>
        <v/>
      </c>
      <c r="AD91">
        <f>HYPERLINK("https://klasma.github.io/Logging_2180/tillsynsmail/A 30302-2025 tillsynsbegäran mail.docx", "A 30302-2025")</f>
        <v/>
      </c>
    </row>
    <row r="92" ht="15" customHeight="1">
      <c r="A92" t="inlineStr">
        <is>
          <t>A 51508-2024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45604</v>
      </c>
      <c r="E92" s="1" t="n">
        <v>46265</v>
      </c>
      <c r="F92" t="inlineStr">
        <is>
          <t>GÄVLEBORGS LÄN</t>
        </is>
      </c>
      <c r="G92" t="inlineStr">
        <is>
          <t>GÄVLE</t>
        </is>
      </c>
      <c r="I92" t="n">
        <v>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Tibast</t>
        </is>
      </c>
      <c r="W92">
        <f>HYPERLINK("https://klasma.github.io/Logging_2180/artfynd/A 51508-2024 artfynd.xlsx", "A 51508-2024")</f>
        <v/>
      </c>
      <c r="X92">
        <f>HYPERLINK("https://klasma.github.io/Logging_2180/kartor/A 51508-2024 karta.png", "A 51508-2024")</f>
        <v/>
      </c>
      <c r="Y92">
        <f>HYPERLINK("https://klasma.github.io/Logging_2180/kartor_geotiff/A 51508-2024 georefererad karta.tif", "A 51508-2024")</f>
        <v/>
      </c>
      <c r="AA92">
        <f>HYPERLINK("https://klasma.github.io/Logging_2180/klagomål/A 51508-2024 FSC-klagomål.docx", "A 51508-2024")</f>
        <v/>
      </c>
      <c r="AB92">
        <f>HYPERLINK("https://klasma.github.io/Logging_2180/klagomålsmail/A 51508-2024 FSC-klagomål mail.docx", "A 51508-2024")</f>
        <v/>
      </c>
      <c r="AC92">
        <f>HYPERLINK("https://klasma.github.io/Logging_2180/tillsyn/A 51508-2024 tillsynsbegäran.docx", "A 51508-2024")</f>
        <v/>
      </c>
      <c r="AD92">
        <f>HYPERLINK("https://klasma.github.io/Logging_2180/tillsynsmail/A 51508-2024 tillsynsbegäran mail.docx", "A 51508-2024")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46265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46265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61056-2024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46265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5.3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Myggblomster</t>
        </is>
      </c>
      <c r="W95">
        <f>HYPERLINK("https://klasma.github.io/Logging_2180/artfynd/A 61056-2024 artfynd.xlsx", "A 61056-2024")</f>
        <v/>
      </c>
      <c r="X95">
        <f>HYPERLINK("https://klasma.github.io/Logging_2180/kartor/A 61056-2024 karta.png", "A 61056-2024")</f>
        <v/>
      </c>
      <c r="Y95">
        <f>HYPERLINK("https://klasma.github.io/Logging_2180/kartor_geotiff/A 61056-2024 georefererad karta.tif", "A 61056-2024")</f>
        <v/>
      </c>
      <c r="AA95">
        <f>HYPERLINK("https://klasma.github.io/Logging_2180/klagomål/A 61056-2024 FSC-klagomål.docx", "A 61056-2024")</f>
        <v/>
      </c>
      <c r="AB95">
        <f>HYPERLINK("https://klasma.github.io/Logging_2180/klagomålsmail/A 61056-2024 FSC-klagomål mail.docx", "A 61056-2024")</f>
        <v/>
      </c>
      <c r="AC95">
        <f>HYPERLINK("https://klasma.github.io/Logging_2180/tillsyn/A 61056-2024 tillsynsbegäran.docx", "A 61056-2024")</f>
        <v/>
      </c>
      <c r="AD95">
        <f>HYPERLINK("https://klasma.github.io/Logging_2180/tillsynsmail/A 61056-2024 tillsynsbegäran mail.docx", "A 61056-2024")</f>
        <v/>
      </c>
    </row>
    <row r="96" ht="15" customHeight="1">
      <c r="A96" t="inlineStr">
        <is>
          <t>A 12083-2025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46265</v>
      </c>
      <c r="F96" t="inlineStr">
        <is>
          <t>GÄVLEBORGS LÄN</t>
        </is>
      </c>
      <c r="G96" t="inlineStr">
        <is>
          <t>GÄVLE</t>
        </is>
      </c>
      <c r="I96" t="n">
        <v>6.3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Grönsiska</t>
        </is>
      </c>
      <c r="W96">
        <f>HYPERLINK("https://klasma.github.io/Logging_2180/artfynd/A 12083-2025 artfynd.xlsx", "A 12083-2025")</f>
        <v/>
      </c>
      <c r="X96">
        <f>HYPERLINK("https://klasma.github.io/Logging_2180/kartor/A 12083-2025 karta.png", "A 12083-2025")</f>
        <v/>
      </c>
      <c r="Y96">
        <f>HYPERLINK("https://klasma.github.io/Logging_2180/kartor_geotiff/A 12083-2025 georefererad karta.tif", "A 12083-2025")</f>
        <v/>
      </c>
      <c r="AA96">
        <f>HYPERLINK("https://klasma.github.io/Logging_2180/klagomål/A 12083-2025 FSC-klagomål.docx", "A 12083-2025")</f>
        <v/>
      </c>
      <c r="AB96">
        <f>HYPERLINK("https://klasma.github.io/Logging_2180/klagomålsmail/A 12083-2025 FSC-klagomål mail.docx", "A 12083-2025")</f>
        <v/>
      </c>
      <c r="AC96">
        <f>HYPERLINK("https://klasma.github.io/Logging_2180/tillsyn/A 12083-2025 tillsynsbegäran.docx", "A 12083-2025")</f>
        <v/>
      </c>
      <c r="AD96">
        <f>HYPERLINK("https://klasma.github.io/Logging_2180/tillsynsmail/A 12083-2025 tillsynsbegäran mail.docx", "A 12083-2025")</f>
        <v/>
      </c>
    </row>
    <row r="97" ht="15" customHeight="1">
      <c r="A97" t="inlineStr">
        <is>
          <t>A 11407-2025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46265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1.5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Myskmadra</t>
        </is>
      </c>
      <c r="W97">
        <f>HYPERLINK("https://klasma.github.io/Logging_2180/artfynd/A 11407-2025 artfynd.xlsx", "A 11407-2025")</f>
        <v/>
      </c>
      <c r="X97">
        <f>HYPERLINK("https://klasma.github.io/Logging_2180/kartor/A 11407-2025 karta.png", "A 11407-2025")</f>
        <v/>
      </c>
      <c r="Y97">
        <f>HYPERLINK("https://klasma.github.io/Logging_2180/kartor_geotiff/A 11407-2025 georefererad karta.tif", "A 11407-2025")</f>
        <v/>
      </c>
      <c r="AA97">
        <f>HYPERLINK("https://klasma.github.io/Logging_2180/klagomål/A 11407-2025 FSC-klagomål.docx", "A 11407-2025")</f>
        <v/>
      </c>
      <c r="AB97">
        <f>HYPERLINK("https://klasma.github.io/Logging_2180/klagomålsmail/A 11407-2025 FSC-klagomål mail.docx", "A 11407-2025")</f>
        <v/>
      </c>
      <c r="AC97">
        <f>HYPERLINK("https://klasma.github.io/Logging_2180/tillsyn/A 11407-2025 tillsynsbegäran.docx", "A 11407-2025")</f>
        <v/>
      </c>
      <c r="AD97">
        <f>HYPERLINK("https://klasma.github.io/Logging_2180/tillsynsmail/A 11407-2025 tillsynsbegäran mail.docx", "A 11407-2025")</f>
        <v/>
      </c>
    </row>
    <row r="98" ht="15" customHeight="1">
      <c r="A98" t="inlineStr">
        <is>
          <t>A 45241-2022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46265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22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HYPERLINK("https://klasma.github.io/Logging_2180/artfynd/A 45241-2022 artfynd.xlsx", "A 45241-2022")</f>
        <v/>
      </c>
      <c r="X98">
        <f>HYPERLINK("https://klasma.github.io/Logging_2180/kartor/A 45241-2022 karta.png", "A 45241-2022")</f>
        <v/>
      </c>
      <c r="Y98">
        <f>HYPERLINK("https://klasma.github.io/Logging_2180/kartor_geotiff/A 45241-2022 georefererad karta.tif", "A 45241-2022")</f>
        <v/>
      </c>
      <c r="AA98">
        <f>HYPERLINK("https://klasma.github.io/Logging_2180/klagomål/A 45241-2022 FSC-klagomål.docx", "A 45241-2022")</f>
        <v/>
      </c>
      <c r="AB98">
        <f>HYPERLINK("https://klasma.github.io/Logging_2180/klagomålsmail/A 45241-2022 FSC-klagomål mail.docx", "A 45241-2022")</f>
        <v/>
      </c>
      <c r="AC98">
        <f>HYPERLINK("https://klasma.github.io/Logging_2180/tillsyn/A 45241-2022 tillsynsbegäran.docx", "A 45241-2022")</f>
        <v/>
      </c>
      <c r="AD98">
        <f>HYPERLINK("https://klasma.github.io/Logging_2180/tillsynsmail/A 45241-2022 tillsynsbegäran mail.docx", "A 45241-2022")</f>
        <v/>
      </c>
    </row>
    <row r="99" ht="15" customHeight="1">
      <c r="A99" t="inlineStr">
        <is>
          <t>A 10333-2025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46265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Tjäder</t>
        </is>
      </c>
      <c r="W99">
        <f>HYPERLINK("https://klasma.github.io/Logging_2180/artfynd/A 10333-2025 artfynd.xlsx", "A 10333-2025")</f>
        <v/>
      </c>
      <c r="X99">
        <f>HYPERLINK("https://klasma.github.io/Logging_2180/kartor/A 10333-2025 karta.png", "A 10333-2025")</f>
        <v/>
      </c>
      <c r="Y99">
        <f>HYPERLINK("https://klasma.github.io/Logging_2180/kartor_geotiff/A 10333-2025 georefererad karta.tif", "A 10333-2025")</f>
        <v/>
      </c>
      <c r="AA99">
        <f>HYPERLINK("https://klasma.github.io/Logging_2180/klagomål/A 10333-2025 FSC-klagomål.docx", "A 10333-2025")</f>
        <v/>
      </c>
      <c r="AB99">
        <f>HYPERLINK("https://klasma.github.io/Logging_2180/klagomålsmail/A 10333-2025 FSC-klagomål mail.docx", "A 10333-2025")</f>
        <v/>
      </c>
      <c r="AC99">
        <f>HYPERLINK("https://klasma.github.io/Logging_2180/tillsyn/A 10333-2025 tillsynsbegäran.docx", "A 10333-2025")</f>
        <v/>
      </c>
      <c r="AD99">
        <f>HYPERLINK("https://klasma.github.io/Logging_2180/tillsynsmail/A 10333-2025 tillsynsbegäran mail.docx", "A 10333-2025")</f>
        <v/>
      </c>
      <c r="AE99">
        <f>HYPERLINK("https://klasma.github.io/Logging_2180/fåglar/A 10333-2025 prioriterade fågelarter.docx", "A 10333-2025")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46265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46265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50052-2025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45943</v>
      </c>
      <c r="E102" s="1" t="n">
        <v>46265</v>
      </c>
      <c r="F102" t="inlineStr">
        <is>
          <t>GÄVLEBORGS LÄN</t>
        </is>
      </c>
      <c r="G102" t="inlineStr">
        <is>
          <t>GÄVLE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3</v>
      </c>
      <c r="U102" t="n">
        <v>0</v>
      </c>
      <c r="V102" s="2" t="inlineStr">
        <is>
          <t>Mosippa</t>
        </is>
      </c>
      <c r="W102">
        <f>HYPERLINK("https://klasma.github.io/Logging_2180/artfynd/A 50052-2025 artfynd.xlsx", "A 50052-2025")</f>
        <v/>
      </c>
      <c r="X102">
        <f>HYPERLINK("https://klasma.github.io/Logging_2180/kartor/A 50052-2025 karta.png", "A 50052-2025")</f>
        <v/>
      </c>
      <c r="Y102">
        <f>HYPERLINK("https://klasma.github.io/Logging_2180/kartor_geotiff/A 50052-2025 georefererad karta.tif", "A 50052-2025")</f>
        <v/>
      </c>
      <c r="AA102">
        <f>HYPERLINK("https://klasma.github.io/Logging_2180/klagomål/A 50052-2025 FSC-klagomål.docx", "A 50052-2025")</f>
        <v/>
      </c>
      <c r="AB102">
        <f>HYPERLINK("https://klasma.github.io/Logging_2180/klagomålsmail/A 50052-2025 FSC-klagomål mail.docx", "A 50052-2025")</f>
        <v/>
      </c>
      <c r="AC102">
        <f>HYPERLINK("https://klasma.github.io/Logging_2180/tillsyn/A 50052-2025 tillsynsbegäran.docx", "A 50052-2025")</f>
        <v/>
      </c>
      <c r="AD102">
        <f>HYPERLINK("https://klasma.github.io/Logging_2180/tillsynsmail/A 50052-2025 tillsynsbegäran mail.docx", "A 50052-2025")</f>
        <v/>
      </c>
    </row>
    <row r="103" ht="15" customHeight="1">
      <c r="A103" t="inlineStr">
        <is>
          <t>A 21282-2024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46265</v>
      </c>
      <c r="F103" t="inlineStr">
        <is>
          <t>GÄVLEBORGS LÄN</t>
        </is>
      </c>
      <c r="G103" t="inlineStr">
        <is>
          <t>GÄVLE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1</v>
      </c>
      <c r="V103" s="2" t="inlineStr">
        <is>
          <t>Skogsklocka</t>
        </is>
      </c>
      <c r="W103">
        <f>HYPERLINK("https://klasma.github.io/Logging_2180/artfynd/A 21282-2024 artfynd.xlsx", "A 21282-2024")</f>
        <v/>
      </c>
      <c r="X103">
        <f>HYPERLINK("https://klasma.github.io/Logging_2180/kartor/A 21282-2024 karta.png", "A 21282-2024")</f>
        <v/>
      </c>
      <c r="Y103">
        <f>HYPERLINK("https://klasma.github.io/Logging_2180/kartor_geotiff/A 21282-2024 georefererad karta.tif", "A 21282-2024")</f>
        <v/>
      </c>
      <c r="AA103">
        <f>HYPERLINK("https://klasma.github.io/Logging_2180/klagomål/A 21282-2024 FSC-klagomål.docx", "A 21282-2024")</f>
        <v/>
      </c>
      <c r="AB103">
        <f>HYPERLINK("https://klasma.github.io/Logging_2180/klagomålsmail/A 21282-2024 FSC-klagomål mail.docx", "A 21282-2024")</f>
        <v/>
      </c>
      <c r="AC103">
        <f>HYPERLINK("https://klasma.github.io/Logging_2180/tillsyn/A 21282-2024 tillsynsbegäran.docx", "A 21282-2024")</f>
        <v/>
      </c>
      <c r="AD103">
        <f>HYPERLINK("https://klasma.github.io/Logging_2180/tillsynsmail/A 21282-2024 tillsynsbegäran mail.docx", "A 21282-2024")</f>
        <v/>
      </c>
    </row>
    <row r="104" ht="15" customHeight="1">
      <c r="A104" t="inlineStr">
        <is>
          <t>A 57932-2024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46265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48.7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HYPERLINK("https://klasma.github.io/Logging_2180/artfynd/A 57932-2024 artfynd.xlsx", "A 57932-2024")</f>
        <v/>
      </c>
      <c r="X104">
        <f>HYPERLINK("https://klasma.github.io/Logging_2180/kartor/A 57932-2024 karta.png", "A 57932-2024")</f>
        <v/>
      </c>
      <c r="Y104">
        <f>HYPERLINK("https://klasma.github.io/Logging_2180/kartor_geotiff/A 57932-2024 georefererad karta.tif", "A 57932-2024")</f>
        <v/>
      </c>
      <c r="AA104">
        <f>HYPERLINK("https://klasma.github.io/Logging_2180/klagomål/A 57932-2024 FSC-klagomål.docx", "A 57932-2024")</f>
        <v/>
      </c>
      <c r="AB104">
        <f>HYPERLINK("https://klasma.github.io/Logging_2180/klagomålsmail/A 57932-2024 FSC-klagomål mail.docx", "A 57932-2024")</f>
        <v/>
      </c>
      <c r="AC104">
        <f>HYPERLINK("https://klasma.github.io/Logging_2180/tillsyn/A 57932-2024 tillsynsbegäran.docx", "A 57932-2024")</f>
        <v/>
      </c>
      <c r="AD104">
        <f>HYPERLINK("https://klasma.github.io/Logging_2180/tillsynsmail/A 57932-2024 tillsynsbegäran mail.docx", "A 57932-2024")</f>
        <v/>
      </c>
      <c r="AE104">
        <f>HYPERLINK("https://klasma.github.io/Logging_2180/fåglar/A 57932-2024 prioriterade fågelarter.docx", "A 57932-2024")</f>
        <v/>
      </c>
    </row>
    <row r="105" ht="15" customHeight="1">
      <c r="A105" t="inlineStr">
        <is>
          <t>A 13684-2026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46265</v>
      </c>
      <c r="F105" t="inlineStr">
        <is>
          <t>GÄVLEBORGS LÄN</t>
        </is>
      </c>
      <c r="G105" t="inlineStr">
        <is>
          <t>GÄVLE</t>
        </is>
      </c>
      <c r="I105" t="n">
        <v>21.3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HYPERLINK("https://klasma.github.io/Logging_2180/artfynd/A 13684-2026 artfynd.xlsx", "A 13684-2026")</f>
        <v/>
      </c>
      <c r="X105">
        <f>HYPERLINK("https://klasma.github.io/Logging_2180/kartor/A 13684-2026 karta.png", "A 13684-2026")</f>
        <v/>
      </c>
      <c r="Y105">
        <f>HYPERLINK("https://klasma.github.io/Logging_2180/kartor_geotiff/A 13684-2026 georefererad karta.tif", "A 13684-2026")</f>
        <v/>
      </c>
      <c r="AA105">
        <f>HYPERLINK("https://klasma.github.io/Logging_2180/klagomål/A 13684-2026 FSC-klagomål.docx", "A 13684-2026")</f>
        <v/>
      </c>
      <c r="AB105">
        <f>HYPERLINK("https://klasma.github.io/Logging_2180/klagomålsmail/A 13684-2026 FSC-klagomål mail.docx", "A 13684-2026")</f>
        <v/>
      </c>
      <c r="AC105">
        <f>HYPERLINK("https://klasma.github.io/Logging_2180/tillsyn/A 13684-2026 tillsynsbegäran.docx", "A 13684-2026")</f>
        <v/>
      </c>
      <c r="AD105">
        <f>HYPERLINK("https://klasma.github.io/Logging_2180/tillsynsmail/A 13684-2026 tillsynsbegäran mail.docx", "A 13684-2026")</f>
        <v/>
      </c>
    </row>
    <row r="106" ht="15" customHeight="1">
      <c r="A106" t="inlineStr">
        <is>
          <t>A 17251-2026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46265</v>
      </c>
      <c r="F106" t="inlineStr">
        <is>
          <t>GÄVLEBORGS LÄN</t>
        </is>
      </c>
      <c r="G106" t="inlineStr">
        <is>
          <t>GÄVLE</t>
        </is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17251-2026 artfynd.xlsx", "A 17251-2026")</f>
        <v/>
      </c>
      <c r="X106">
        <f>HYPERLINK("https://klasma.github.io/Logging_2180/kartor/A 17251-2026 karta.png", "A 17251-2026")</f>
        <v/>
      </c>
      <c r="Y106">
        <f>HYPERLINK("https://klasma.github.io/Logging_2180/kartor_geotiff/A 17251-2026 georefererad karta.tif", "A 17251-2026")</f>
        <v/>
      </c>
      <c r="AA106">
        <f>HYPERLINK("https://klasma.github.io/Logging_2180/klagomål/A 17251-2026 FSC-klagomål.docx", "A 17251-2026")</f>
        <v/>
      </c>
      <c r="AB106">
        <f>HYPERLINK("https://klasma.github.io/Logging_2180/klagomålsmail/A 17251-2026 FSC-klagomål mail.docx", "A 17251-2026")</f>
        <v/>
      </c>
      <c r="AC106">
        <f>HYPERLINK("https://klasma.github.io/Logging_2180/tillsyn/A 17251-2026 tillsynsbegäran.docx", "A 17251-2026")</f>
        <v/>
      </c>
      <c r="AD106">
        <f>HYPERLINK("https://klasma.github.io/Logging_2180/tillsynsmail/A 17251-2026 tillsynsbegäran mail.docx", "A 17251-2026")</f>
        <v/>
      </c>
    </row>
    <row r="107" ht="15" customHeight="1">
      <c r="A107" t="inlineStr">
        <is>
          <t>A 19635-2026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46265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Skinnlav</t>
        </is>
      </c>
      <c r="W107">
        <f>HYPERLINK("https://klasma.github.io/Logging_2180/artfynd/A 19635-2026 artfynd.xlsx", "A 19635-2026")</f>
        <v/>
      </c>
      <c r="X107">
        <f>HYPERLINK("https://klasma.github.io/Logging_2180/kartor/A 19635-2026 karta.png", "A 19635-2026")</f>
        <v/>
      </c>
      <c r="Y107">
        <f>HYPERLINK("https://klasma.github.io/Logging_2180/kartor_geotiff/A 19635-2026 georefererad karta.tif", "A 19635-2026")</f>
        <v/>
      </c>
      <c r="AA107">
        <f>HYPERLINK("https://klasma.github.io/Logging_2180/klagomål/A 19635-2026 FSC-klagomål.docx", "A 19635-2026")</f>
        <v/>
      </c>
      <c r="AB107">
        <f>HYPERLINK("https://klasma.github.io/Logging_2180/klagomålsmail/A 19635-2026 FSC-klagomål mail.docx", "A 19635-2026")</f>
        <v/>
      </c>
      <c r="AC107">
        <f>HYPERLINK("https://klasma.github.io/Logging_2180/tillsyn/A 19635-2026 tillsynsbegäran.docx", "A 19635-2026")</f>
        <v/>
      </c>
      <c r="AD107">
        <f>HYPERLINK("https://klasma.github.io/Logging_2180/tillsynsmail/A 19635-2026 tillsynsbegäran mail.docx", "A 19635-2026")</f>
        <v/>
      </c>
    </row>
    <row r="108" ht="15" customHeight="1">
      <c r="A108" t="inlineStr">
        <is>
          <t>A 13396-2026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46265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HYPERLINK("https://klasma.github.io/Logging_2180/artfynd/A 13396-2026 artfynd.xlsx", "A 13396-2026")</f>
        <v/>
      </c>
      <c r="X108">
        <f>HYPERLINK("https://klasma.github.io/Logging_2180/kartor/A 13396-2026 karta.png", "A 13396-2026")</f>
        <v/>
      </c>
      <c r="Y108">
        <f>HYPERLINK("https://klasma.github.io/Logging_2180/kartor_geotiff/A 13396-2026 georefererad karta.tif", "A 13396-2026")</f>
        <v/>
      </c>
      <c r="AA108">
        <f>HYPERLINK("https://klasma.github.io/Logging_2180/klagomål/A 13396-2026 FSC-klagomål.docx", "A 13396-2026")</f>
        <v/>
      </c>
      <c r="AB108">
        <f>HYPERLINK("https://klasma.github.io/Logging_2180/klagomålsmail/A 13396-2026 FSC-klagomål mail.docx", "A 13396-2026")</f>
        <v/>
      </c>
      <c r="AC108">
        <f>HYPERLINK("https://klasma.github.io/Logging_2180/tillsyn/A 13396-2026 tillsynsbegäran.docx", "A 13396-2026")</f>
        <v/>
      </c>
      <c r="AD108">
        <f>HYPERLINK("https://klasma.github.io/Logging_2180/tillsynsmail/A 13396-2026 tillsynsbegäran mail.docx", "A 13396-2026")</f>
        <v/>
      </c>
    </row>
    <row r="109" ht="15" customHeight="1">
      <c r="A109" t="inlineStr">
        <is>
          <t>A 18216-2024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46265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Dofttaggsvamp</t>
        </is>
      </c>
      <c r="W109">
        <f>HYPERLINK("https://klasma.github.io/Logging_2180/artfynd/A 18216-2024 artfynd.xlsx", "A 18216-2024")</f>
        <v/>
      </c>
      <c r="X109">
        <f>HYPERLINK("https://klasma.github.io/Logging_2180/kartor/A 18216-2024 karta.png", "A 18216-2024")</f>
        <v/>
      </c>
      <c r="Y109">
        <f>HYPERLINK("https://klasma.github.io/Logging_2180/kartor_geotiff/A 18216-2024 georefererad karta.tif", "A 18216-2024")</f>
        <v/>
      </c>
      <c r="AA109">
        <f>HYPERLINK("https://klasma.github.io/Logging_2180/klagomål/A 18216-2024 FSC-klagomål.docx", "A 18216-2024")</f>
        <v/>
      </c>
      <c r="AB109">
        <f>HYPERLINK("https://klasma.github.io/Logging_2180/klagomålsmail/A 18216-2024 FSC-klagomål mail.docx", "A 18216-2024")</f>
        <v/>
      </c>
      <c r="AC109">
        <f>HYPERLINK("https://klasma.github.io/Logging_2180/tillsyn/A 18216-2024 tillsynsbegäran.docx", "A 18216-2024")</f>
        <v/>
      </c>
      <c r="AD109">
        <f>HYPERLINK("https://klasma.github.io/Logging_2180/tillsynsmail/A 18216-2024 tillsynsbegäran mail.docx", "A 18216-2024")</f>
        <v/>
      </c>
    </row>
    <row r="110" ht="15" customHeight="1">
      <c r="A110" t="inlineStr">
        <is>
          <t>A 33812-2022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44790</v>
      </c>
      <c r="E110" s="1" t="n">
        <v>46265</v>
      </c>
      <c r="F110" t="inlineStr">
        <is>
          <t>GÄVLEBORGS LÄN</t>
        </is>
      </c>
      <c r="G110" t="inlineStr">
        <is>
          <t>GÄVLE</t>
        </is>
      </c>
      <c r="I110" t="n">
        <v>2.1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Myskmadra</t>
        </is>
      </c>
      <c r="W110">
        <f>HYPERLINK("https://klasma.github.io/Logging_2180/artfynd/A 33812-2022 artfynd.xlsx", "A 33812-2022")</f>
        <v/>
      </c>
      <c r="X110">
        <f>HYPERLINK("https://klasma.github.io/Logging_2180/kartor/A 33812-2022 karta.png", "A 33812-2022")</f>
        <v/>
      </c>
      <c r="Y110">
        <f>HYPERLINK("https://klasma.github.io/Logging_2180/kartor_geotiff/A 33812-2022 georefererad karta.tif", "A 33812-2022")</f>
        <v/>
      </c>
      <c r="AA110">
        <f>HYPERLINK("https://klasma.github.io/Logging_2180/klagomål/A 33812-2022 FSC-klagomål.docx", "A 33812-2022")</f>
        <v/>
      </c>
      <c r="AB110">
        <f>HYPERLINK("https://klasma.github.io/Logging_2180/klagomålsmail/A 33812-2022 FSC-klagomål mail.docx", "A 33812-2022")</f>
        <v/>
      </c>
      <c r="AC110">
        <f>HYPERLINK("https://klasma.github.io/Logging_2180/tillsyn/A 33812-2022 tillsynsbegäran.docx", "A 33812-2022")</f>
        <v/>
      </c>
      <c r="AD110">
        <f>HYPERLINK("https://klasma.github.io/Logging_2180/tillsynsmail/A 33812-2022 tillsynsbegäran mail.docx", "A 33812-2022")</f>
        <v/>
      </c>
    </row>
    <row r="111" ht="15" customHeight="1">
      <c r="A111" t="inlineStr">
        <is>
          <t>A 37927-2022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46265</v>
      </c>
      <c r="F111" t="inlineStr">
        <is>
          <t>GÄVLEBORGS LÄN</t>
        </is>
      </c>
      <c r="G111" t="inlineStr">
        <is>
          <t>GÄVLE</t>
        </is>
      </c>
      <c r="I111" t="n">
        <v>1.6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10</v>
      </c>
      <c r="U111" t="n">
        <v>10</v>
      </c>
      <c r="V111" s="2" t="inlineStr">
        <is>
          <t>Knärot</t>
        </is>
      </c>
      <c r="W111">
        <f>HYPERLINK("https://klasma.github.io/Logging_2180/artfynd/A 37927-2022 artfynd.xlsx", "A 37927-2022")</f>
        <v/>
      </c>
      <c r="X111">
        <f>HYPERLINK("https://klasma.github.io/Logging_2180/kartor/A 37927-2022 karta.png", "A 37927-2022")</f>
        <v/>
      </c>
      <c r="Y111">
        <f>HYPERLINK("https://klasma.github.io/Logging_2180/kartor_geotiff/A 37927-2022 georefererad karta.tif", "A 37927-2022")</f>
        <v/>
      </c>
      <c r="Z111">
        <f>HYPERLINK("https://klasma.github.io/Logging_2180/knärot/A 37927-2022 karta knärot.png", "A 37927-2022")</f>
        <v/>
      </c>
      <c r="AA111">
        <f>HYPERLINK("https://klasma.github.io/Logging_2180/klagomål/A 37927-2022 FSC-klagomål.docx", "A 37927-2022")</f>
        <v/>
      </c>
      <c r="AB111">
        <f>HYPERLINK("https://klasma.github.io/Logging_2180/klagomålsmail/A 37927-2022 FSC-klagomål mail.docx", "A 37927-2022")</f>
        <v/>
      </c>
      <c r="AC111">
        <f>HYPERLINK("https://klasma.github.io/Logging_2180/tillsyn/A 37927-2022 tillsynsbegäran.docx", "A 37927-2022")</f>
        <v/>
      </c>
      <c r="AD111">
        <f>HYPERLINK("https://klasma.github.io/Logging_2180/tillsynsmail/A 37927-2022 tillsynsbegäran mail.docx", "A 37927-2022")</f>
        <v/>
      </c>
    </row>
    <row r="112" ht="15" customHeight="1">
      <c r="A112" t="inlineStr">
        <is>
          <t>A 14730-2026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46265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8.199999999999999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14730-2026 artfynd.xlsx", "A 14730-2026")</f>
        <v/>
      </c>
      <c r="X112">
        <f>HYPERLINK("https://klasma.github.io/Logging_2180/kartor/A 14730-2026 karta.png", "A 14730-2026")</f>
        <v/>
      </c>
      <c r="Y112">
        <f>HYPERLINK("https://klasma.github.io/Logging_2180/kartor_geotiff/A 14730-2026 georefererad karta.tif", "A 14730-2026")</f>
        <v/>
      </c>
      <c r="AA112">
        <f>HYPERLINK("https://klasma.github.io/Logging_2180/klagomål/A 14730-2026 FSC-klagomål.docx", "A 14730-2026")</f>
        <v/>
      </c>
      <c r="AB112">
        <f>HYPERLINK("https://klasma.github.io/Logging_2180/klagomålsmail/A 14730-2026 FSC-klagomål mail.docx", "A 14730-2026")</f>
        <v/>
      </c>
      <c r="AC112">
        <f>HYPERLINK("https://klasma.github.io/Logging_2180/tillsyn/A 14730-2026 tillsynsbegäran.docx", "A 14730-2026")</f>
        <v/>
      </c>
      <c r="AD112">
        <f>HYPERLINK("https://klasma.github.io/Logging_2180/tillsynsmail/A 14730-2026 tillsynsbegäran mail.docx", "A 14730-2026")</f>
        <v/>
      </c>
      <c r="AE112">
        <f>HYPERLINK("https://klasma.github.io/Logging_2180/fåglar/A 14730-2026 prioriterade fågelarter.docx", "A 14730-2026")</f>
        <v/>
      </c>
    </row>
    <row r="113" ht="15" customHeight="1">
      <c r="A113" t="inlineStr">
        <is>
          <t>A 14711-2026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46265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Blanksvart spiklav</t>
        </is>
      </c>
      <c r="W113">
        <f>HYPERLINK("https://klasma.github.io/Logging_2180/artfynd/A 14711-2026 artfynd.xlsx", "A 14711-2026")</f>
        <v/>
      </c>
      <c r="X113">
        <f>HYPERLINK("https://klasma.github.io/Logging_2180/kartor/A 14711-2026 karta.png", "A 14711-2026")</f>
        <v/>
      </c>
      <c r="Y113">
        <f>HYPERLINK("https://klasma.github.io/Logging_2180/kartor_geotiff/A 14711-2026 georefererad karta.tif", "A 14711-2026")</f>
        <v/>
      </c>
      <c r="AA113">
        <f>HYPERLINK("https://klasma.github.io/Logging_2180/klagomål/A 14711-2026 FSC-klagomål.docx", "A 14711-2026")</f>
        <v/>
      </c>
      <c r="AB113">
        <f>HYPERLINK("https://klasma.github.io/Logging_2180/klagomålsmail/A 14711-2026 FSC-klagomål mail.docx", "A 14711-2026")</f>
        <v/>
      </c>
      <c r="AC113">
        <f>HYPERLINK("https://klasma.github.io/Logging_2180/tillsyn/A 14711-2026 tillsynsbegäran.docx", "A 14711-2026")</f>
        <v/>
      </c>
      <c r="AD113">
        <f>HYPERLINK("https://klasma.github.io/Logging_2180/tillsynsmail/A 14711-2026 tillsynsbegäran mail.docx", "A 14711-2026")</f>
        <v/>
      </c>
    </row>
    <row r="114" ht="15" customHeight="1">
      <c r="A114" t="inlineStr">
        <is>
          <t>A 14714-2026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46265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Tjäder</t>
        </is>
      </c>
      <c r="W114">
        <f>HYPERLINK("https://klasma.github.io/Logging_2180/artfynd/A 14714-2026 artfynd.xlsx", "A 14714-2026")</f>
        <v/>
      </c>
      <c r="X114">
        <f>HYPERLINK("https://klasma.github.io/Logging_2180/kartor/A 14714-2026 karta.png", "A 14714-2026")</f>
        <v/>
      </c>
      <c r="Y114">
        <f>HYPERLINK("https://klasma.github.io/Logging_2180/kartor_geotiff/A 14714-2026 georefererad karta.tif", "A 14714-2026")</f>
        <v/>
      </c>
      <c r="AA114">
        <f>HYPERLINK("https://klasma.github.io/Logging_2180/klagomål/A 14714-2026 FSC-klagomål.docx", "A 14714-2026")</f>
        <v/>
      </c>
      <c r="AB114">
        <f>HYPERLINK("https://klasma.github.io/Logging_2180/klagomålsmail/A 14714-2026 FSC-klagomål mail.docx", "A 14714-2026")</f>
        <v/>
      </c>
      <c r="AC114">
        <f>HYPERLINK("https://klasma.github.io/Logging_2180/tillsyn/A 14714-2026 tillsynsbegäran.docx", "A 14714-2026")</f>
        <v/>
      </c>
      <c r="AD114">
        <f>HYPERLINK("https://klasma.github.io/Logging_2180/tillsynsmail/A 14714-2026 tillsynsbegäran mail.docx", "A 14714-2026")</f>
        <v/>
      </c>
      <c r="AE114">
        <f>HYPERLINK("https://klasma.github.io/Logging_2180/fåglar/A 14714-2026 prioriterade fågelarter.docx", "A 14714-2026")</f>
        <v/>
      </c>
    </row>
    <row r="115" ht="15" customHeight="1">
      <c r="A115" t="inlineStr">
        <is>
          <t>A 10064-2025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46265</v>
      </c>
      <c r="F115" t="inlineStr">
        <is>
          <t>GÄVLEBORGS LÄN</t>
        </is>
      </c>
      <c r="G115" t="inlineStr">
        <is>
          <t>GÄVLE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HYPERLINK("https://klasma.github.io/Logging_2180/artfynd/A 10064-2025 artfynd.xlsx", "A 10064-2025")</f>
        <v/>
      </c>
      <c r="X115">
        <f>HYPERLINK("https://klasma.github.io/Logging_2180/kartor/A 10064-2025 karta.png", "A 10064-2025")</f>
        <v/>
      </c>
      <c r="Y115">
        <f>HYPERLINK("https://klasma.github.io/Logging_2180/kartor_geotiff/A 10064-2025 georefererad karta.tif", "A 10064-2025")</f>
        <v/>
      </c>
      <c r="AA115">
        <f>HYPERLINK("https://klasma.github.io/Logging_2180/klagomål/A 10064-2025 FSC-klagomål.docx", "A 10064-2025")</f>
        <v/>
      </c>
      <c r="AB115">
        <f>HYPERLINK("https://klasma.github.io/Logging_2180/klagomålsmail/A 10064-2025 FSC-klagomål mail.docx", "A 10064-2025")</f>
        <v/>
      </c>
      <c r="AC115">
        <f>HYPERLINK("https://klasma.github.io/Logging_2180/tillsyn/A 10064-2025 tillsynsbegäran.docx", "A 10064-2025")</f>
        <v/>
      </c>
      <c r="AD115">
        <f>HYPERLINK("https://klasma.github.io/Logging_2180/tillsynsmail/A 10064-2025 tillsynsbegäran mail.docx", "A 10064-2025")</f>
        <v/>
      </c>
    </row>
    <row r="116" ht="15" customHeight="1">
      <c r="A116" t="inlineStr">
        <is>
          <t>A 12437-2024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45379</v>
      </c>
      <c r="E116" s="1" t="n">
        <v>46265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Mindre bastardsvärmare</t>
        </is>
      </c>
      <c r="W116">
        <f>HYPERLINK("https://klasma.github.io/Logging_2180/artfynd/A 12437-2024 artfynd.xlsx", "A 12437-2024")</f>
        <v/>
      </c>
      <c r="X116">
        <f>HYPERLINK("https://klasma.github.io/Logging_2180/kartor/A 12437-2024 karta.png", "A 12437-2024")</f>
        <v/>
      </c>
      <c r="Y116">
        <f>HYPERLINK("https://klasma.github.io/Logging_2180/kartor_geotiff/A 12437-2024 georefererad karta.tif", "A 12437-2024")</f>
        <v/>
      </c>
      <c r="AA116">
        <f>HYPERLINK("https://klasma.github.io/Logging_2180/klagomål/A 12437-2024 FSC-klagomål.docx", "A 12437-2024")</f>
        <v/>
      </c>
      <c r="AB116">
        <f>HYPERLINK("https://klasma.github.io/Logging_2180/klagomålsmail/A 12437-2024 FSC-klagomål mail.docx", "A 12437-2024")</f>
        <v/>
      </c>
      <c r="AC116">
        <f>HYPERLINK("https://klasma.github.io/Logging_2180/tillsyn/A 12437-2024 tillsynsbegäran.docx", "A 12437-2024")</f>
        <v/>
      </c>
      <c r="AD116">
        <f>HYPERLINK("https://klasma.github.io/Logging_2180/tillsynsmail/A 12437-2024 tillsynsbegäran mail.docx", "A 12437-2024")</f>
        <v/>
      </c>
    </row>
    <row r="117" ht="15" customHeight="1">
      <c r="A117" t="inlineStr">
        <is>
          <t>A 20734-2026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46265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20734-2026 artfynd.xlsx", "A 20734-2026")</f>
        <v/>
      </c>
      <c r="X117">
        <f>HYPERLINK("https://klasma.github.io/Logging_2180/kartor/A 20734-2026 karta.png", "A 20734-2026")</f>
        <v/>
      </c>
      <c r="Y117">
        <f>HYPERLINK("https://klasma.github.io/Logging_2180/kartor_geotiff/A 20734-2026 georefererad karta.tif", "A 20734-2026")</f>
        <v/>
      </c>
      <c r="AA117">
        <f>HYPERLINK("https://klasma.github.io/Logging_2180/klagomål/A 20734-2026 FSC-klagomål.docx", "A 20734-2026")</f>
        <v/>
      </c>
      <c r="AB117">
        <f>HYPERLINK("https://klasma.github.io/Logging_2180/klagomålsmail/A 20734-2026 FSC-klagomål mail.docx", "A 20734-2026")</f>
        <v/>
      </c>
      <c r="AC117">
        <f>HYPERLINK("https://klasma.github.io/Logging_2180/tillsyn/A 20734-2026 tillsynsbegäran.docx", "A 20734-2026")</f>
        <v/>
      </c>
      <c r="AD117">
        <f>HYPERLINK("https://klasma.github.io/Logging_2180/tillsynsmail/A 20734-2026 tillsynsbegäran mail.docx", "A 20734-2026")</f>
        <v/>
      </c>
    </row>
    <row r="118" ht="15" customHeight="1">
      <c r="A118" t="inlineStr">
        <is>
          <t>A 13269-2026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46093</v>
      </c>
      <c r="E118" s="1" t="n">
        <v>46265</v>
      </c>
      <c r="F118" t="inlineStr">
        <is>
          <t>GÄVLEBORGS LÄN</t>
        </is>
      </c>
      <c r="G118" t="inlineStr">
        <is>
          <t>GÄVLE</t>
        </is>
      </c>
      <c r="I118" t="n">
        <v>0.9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Havsörn</t>
        </is>
      </c>
      <c r="W118">
        <f>HYPERLINK("https://klasma.github.io/Logging_2180/artfynd/A 13269-2026 artfynd.xlsx", "A 13269-2026")</f>
        <v/>
      </c>
      <c r="X118">
        <f>HYPERLINK("https://klasma.github.io/Logging_2180/kartor/A 13269-2026 karta.png", "A 13269-2026")</f>
        <v/>
      </c>
      <c r="Y118">
        <f>HYPERLINK("https://klasma.github.io/Logging_2180/kartor_geotiff/A 13269-2026 georefererad karta.tif", "A 13269-2026")</f>
        <v/>
      </c>
      <c r="AA118">
        <f>HYPERLINK("https://klasma.github.io/Logging_2180/klagomål/A 13269-2026 FSC-klagomål.docx", "A 13269-2026")</f>
        <v/>
      </c>
      <c r="AB118">
        <f>HYPERLINK("https://klasma.github.io/Logging_2180/klagomålsmail/A 13269-2026 FSC-klagomål mail.docx", "A 13269-2026")</f>
        <v/>
      </c>
      <c r="AC118">
        <f>HYPERLINK("https://klasma.github.io/Logging_2180/tillsyn/A 13269-2026 tillsynsbegäran.docx", "A 13269-2026")</f>
        <v/>
      </c>
      <c r="AD118">
        <f>HYPERLINK("https://klasma.github.io/Logging_2180/tillsynsmail/A 13269-2026 tillsynsbegäran mail.docx", "A 13269-2026")</f>
        <v/>
      </c>
      <c r="AE118">
        <f>HYPERLINK("https://klasma.github.io/Logging_2180/fåglar/A 13269-2026 prioriterade fågelarter.docx", "A 13269-2026")</f>
        <v/>
      </c>
    </row>
    <row r="119" ht="15" customHeight="1">
      <c r="A119" t="inlineStr">
        <is>
          <t>A 14703-2026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46265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14703-2026 artfynd.xlsx", "A 14703-2026")</f>
        <v/>
      </c>
      <c r="X119">
        <f>HYPERLINK("https://klasma.github.io/Logging_2180/kartor/A 14703-2026 karta.png", "A 14703-2026")</f>
        <v/>
      </c>
      <c r="Y119">
        <f>HYPERLINK("https://klasma.github.io/Logging_2180/kartor_geotiff/A 14703-2026 georefererad karta.tif", "A 14703-2026")</f>
        <v/>
      </c>
      <c r="AA119">
        <f>HYPERLINK("https://klasma.github.io/Logging_2180/klagomål/A 14703-2026 FSC-klagomål.docx", "A 14703-2026")</f>
        <v/>
      </c>
      <c r="AB119">
        <f>HYPERLINK("https://klasma.github.io/Logging_2180/klagomålsmail/A 14703-2026 FSC-klagomål mail.docx", "A 14703-2026")</f>
        <v/>
      </c>
      <c r="AC119">
        <f>HYPERLINK("https://klasma.github.io/Logging_2180/tillsyn/A 14703-2026 tillsynsbegäran.docx", "A 14703-2026")</f>
        <v/>
      </c>
      <c r="AD119">
        <f>HYPERLINK("https://klasma.github.io/Logging_2180/tillsynsmail/A 14703-2026 tillsynsbegäran mail.docx", "A 14703-2026")</f>
        <v/>
      </c>
      <c r="AE119">
        <f>HYPERLINK("https://klasma.github.io/Logging_2180/fåglar/A 14703-2026 prioriterade fågelarter.docx", "A 14703-2026")</f>
        <v/>
      </c>
    </row>
    <row r="120" ht="15" customHeight="1">
      <c r="A120" t="inlineStr">
        <is>
          <t>A 35225-2024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46265</v>
      </c>
      <c r="F120" t="inlineStr">
        <is>
          <t>GÄVLEBORGS LÄN</t>
        </is>
      </c>
      <c r="G120" t="inlineStr">
        <is>
          <t>GÄVLE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HYPERLINK("https://klasma.github.io/Logging_2180/artfynd/A 35225-2024 artfynd.xlsx", "A 35225-2024")</f>
        <v/>
      </c>
      <c r="X120">
        <f>HYPERLINK("https://klasma.github.io/Logging_2180/kartor/A 35225-2024 karta.png", "A 35225-2024")</f>
        <v/>
      </c>
      <c r="Y120">
        <f>HYPERLINK("https://klasma.github.io/Logging_2180/kartor_geotiff/A 35225-2024 georefererad karta.tif", "A 35225-2024")</f>
        <v/>
      </c>
      <c r="AA120">
        <f>HYPERLINK("https://klasma.github.io/Logging_2180/klagomål/A 35225-2024 FSC-klagomål.docx", "A 35225-2024")</f>
        <v/>
      </c>
      <c r="AB120">
        <f>HYPERLINK("https://klasma.github.io/Logging_2180/klagomålsmail/A 35225-2024 FSC-klagomål mail.docx", "A 35225-2024")</f>
        <v/>
      </c>
      <c r="AC120">
        <f>HYPERLINK("https://klasma.github.io/Logging_2180/tillsyn/A 35225-2024 tillsynsbegäran.docx", "A 35225-2024")</f>
        <v/>
      </c>
      <c r="AD120">
        <f>HYPERLINK("https://klasma.github.io/Logging_2180/tillsynsmail/A 35225-2024 tillsynsbegäran mail.docx", "A 35225-2024")</f>
        <v/>
      </c>
    </row>
    <row r="121" ht="15" customHeight="1">
      <c r="A121" t="inlineStr">
        <is>
          <t>A 22052-2026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46265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22052-2026 artfynd.xlsx", "A 22052-2026")</f>
        <v/>
      </c>
      <c r="X121">
        <f>HYPERLINK("https://klasma.github.io/Logging_2180/kartor/A 22052-2026 karta.png", "A 22052-2026")</f>
        <v/>
      </c>
      <c r="Y121">
        <f>HYPERLINK("https://klasma.github.io/Logging_2180/kartor_geotiff/A 22052-2026 georefererad karta.tif", "A 22052-2026")</f>
        <v/>
      </c>
      <c r="AA121">
        <f>HYPERLINK("https://klasma.github.io/Logging_2180/klagomål/A 22052-2026 FSC-klagomål.docx", "A 22052-2026")</f>
        <v/>
      </c>
      <c r="AB121">
        <f>HYPERLINK("https://klasma.github.io/Logging_2180/klagomålsmail/A 22052-2026 FSC-klagomål mail.docx", "A 22052-2026")</f>
        <v/>
      </c>
      <c r="AC121">
        <f>HYPERLINK("https://klasma.github.io/Logging_2180/tillsyn/A 22052-2026 tillsynsbegäran.docx", "A 22052-2026")</f>
        <v/>
      </c>
      <c r="AD121">
        <f>HYPERLINK("https://klasma.github.io/Logging_2180/tillsynsmail/A 22052-2026 tillsynsbegäran mail.docx", "A 22052-2026")</f>
        <v/>
      </c>
    </row>
    <row r="122" ht="15" customHeight="1">
      <c r="A122" t="inlineStr">
        <is>
          <t>A 12381-2023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44999</v>
      </c>
      <c r="E122" s="1" t="n">
        <v>46265</v>
      </c>
      <c r="F122" t="inlineStr">
        <is>
          <t>GÄVLEBORGS LÄN</t>
        </is>
      </c>
      <c r="G122" t="inlineStr">
        <is>
          <t>GÄVLE</t>
        </is>
      </c>
      <c r="I122" t="n">
        <v>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Brunlångöra</t>
        </is>
      </c>
      <c r="W122">
        <f>HYPERLINK("https://klasma.github.io/Logging_2180/artfynd/A 12381-2023 artfynd.xlsx", "A 12381-2023")</f>
        <v/>
      </c>
      <c r="X122">
        <f>HYPERLINK("https://klasma.github.io/Logging_2180/kartor/A 12381-2023 karta.png", "A 12381-2023")</f>
        <v/>
      </c>
      <c r="Y122">
        <f>HYPERLINK("https://klasma.github.io/Logging_2180/kartor_geotiff/A 12381-2023 georefererad karta.tif", "A 12381-2023")</f>
        <v/>
      </c>
      <c r="AA122">
        <f>HYPERLINK("https://klasma.github.io/Logging_2180/klagomål/A 12381-2023 FSC-klagomål.docx", "A 12381-2023")</f>
        <v/>
      </c>
      <c r="AB122">
        <f>HYPERLINK("https://klasma.github.io/Logging_2180/klagomålsmail/A 12381-2023 FSC-klagomål mail.docx", "A 12381-2023")</f>
        <v/>
      </c>
      <c r="AC122">
        <f>HYPERLINK("https://klasma.github.io/Logging_2180/tillsyn/A 12381-2023 tillsynsbegäran.docx", "A 12381-2023")</f>
        <v/>
      </c>
      <c r="AD122">
        <f>HYPERLINK("https://klasma.github.io/Logging_2180/tillsynsmail/A 12381-2023 tillsynsbegäran mail.docx", "A 12381-2023")</f>
        <v/>
      </c>
    </row>
    <row r="123" ht="15" customHeight="1">
      <c r="A123" t="inlineStr">
        <is>
          <t>A 23003-2026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46265</v>
      </c>
      <c r="F123" t="inlineStr">
        <is>
          <t>GÄVLEBORGS LÄN</t>
        </is>
      </c>
      <c r="G123" t="inlineStr">
        <is>
          <t>GÄVLE</t>
        </is>
      </c>
      <c r="I123" t="n">
        <v>12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Tjäder</t>
        </is>
      </c>
      <c r="W123">
        <f>HYPERLINK("https://klasma.github.io/Logging_2180/artfynd/A 23003-2026 artfynd.xlsx", "A 23003-2026")</f>
        <v/>
      </c>
      <c r="X123">
        <f>HYPERLINK("https://klasma.github.io/Logging_2180/kartor/A 23003-2026 karta.png", "A 23003-2026")</f>
        <v/>
      </c>
      <c r="Y123">
        <f>HYPERLINK("https://klasma.github.io/Logging_2180/kartor_geotiff/A 23003-2026 georefererad karta.tif", "A 23003-2026")</f>
        <v/>
      </c>
      <c r="AA123">
        <f>HYPERLINK("https://klasma.github.io/Logging_2180/klagomål/A 23003-2026 FSC-klagomål.docx", "A 23003-2026")</f>
        <v/>
      </c>
      <c r="AB123">
        <f>HYPERLINK("https://klasma.github.io/Logging_2180/klagomålsmail/A 23003-2026 FSC-klagomål mail.docx", "A 23003-2026")</f>
        <v/>
      </c>
      <c r="AC123">
        <f>HYPERLINK("https://klasma.github.io/Logging_2180/tillsyn/A 23003-2026 tillsynsbegäran.docx", "A 23003-2026")</f>
        <v/>
      </c>
      <c r="AD123">
        <f>HYPERLINK("https://klasma.github.io/Logging_2180/tillsynsmail/A 23003-2026 tillsynsbegäran mail.docx", "A 23003-2026")</f>
        <v/>
      </c>
      <c r="AE123">
        <f>HYPERLINK("https://klasma.github.io/Logging_2180/fåglar/A 23003-2026 prioriterade fågelarter.docx", "A 23003-2026")</f>
        <v/>
      </c>
    </row>
    <row r="124" ht="15" customHeight="1">
      <c r="A124" t="inlineStr">
        <is>
          <t>A 22892-2026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46265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HYPERLINK("https://klasma.github.io/Logging_2180/artfynd/A 22892-2026 artfynd.xlsx", "A 22892-2026")</f>
        <v/>
      </c>
      <c r="X124">
        <f>HYPERLINK("https://klasma.github.io/Logging_2180/kartor/A 22892-2026 karta.png", "A 22892-2026")</f>
        <v/>
      </c>
      <c r="Y124">
        <f>HYPERLINK("https://klasma.github.io/Logging_2180/kartor_geotiff/A 22892-2026 georefererad karta.tif", "A 22892-2026")</f>
        <v/>
      </c>
      <c r="AA124">
        <f>HYPERLINK("https://klasma.github.io/Logging_2180/klagomål/A 22892-2026 FSC-klagomål.docx", "A 22892-2026")</f>
        <v/>
      </c>
      <c r="AB124">
        <f>HYPERLINK("https://klasma.github.io/Logging_2180/klagomålsmail/A 22892-2026 FSC-klagomål mail.docx", "A 22892-2026")</f>
        <v/>
      </c>
      <c r="AC124">
        <f>HYPERLINK("https://klasma.github.io/Logging_2180/tillsyn/A 22892-2026 tillsynsbegäran.docx", "A 22892-2026")</f>
        <v/>
      </c>
      <c r="AD124">
        <f>HYPERLINK("https://klasma.github.io/Logging_2180/tillsynsmail/A 22892-2026 tillsynsbegäran mail.docx", "A 22892-2026")</f>
        <v/>
      </c>
      <c r="AE124">
        <f>HYPERLINK("https://klasma.github.io/Logging_2180/fåglar/A 22892-2026 prioriterade fågelarter.docx", "A 22892-2026")</f>
        <v/>
      </c>
    </row>
    <row r="125" ht="15" customHeight="1">
      <c r="A125" t="inlineStr">
        <is>
          <t>A 27043-2026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46265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27043-2026 artfynd.xlsx", "A 27043-2026")</f>
        <v/>
      </c>
      <c r="X125">
        <f>HYPERLINK("https://klasma.github.io/Logging_2180/kartor/A 27043-2026 karta.png", "A 27043-2026")</f>
        <v/>
      </c>
      <c r="Y125">
        <f>HYPERLINK("https://klasma.github.io/Logging_2180/kartor_geotiff/A 27043-2026 georefererad karta.tif", "A 27043-2026")</f>
        <v/>
      </c>
      <c r="AA125">
        <f>HYPERLINK("https://klasma.github.io/Logging_2180/klagomål/A 27043-2026 FSC-klagomål.docx", "A 27043-2026")</f>
        <v/>
      </c>
      <c r="AB125">
        <f>HYPERLINK("https://klasma.github.io/Logging_2180/klagomålsmail/A 27043-2026 FSC-klagomål mail.docx", "A 27043-2026")</f>
        <v/>
      </c>
      <c r="AC125">
        <f>HYPERLINK("https://klasma.github.io/Logging_2180/tillsyn/A 27043-2026 tillsynsbegäran.docx", "A 27043-2026")</f>
        <v/>
      </c>
      <c r="AD125">
        <f>HYPERLINK("https://klasma.github.io/Logging_2180/tillsynsmail/A 27043-2026 tillsynsbegäran mail.docx", "A 27043-2026")</f>
        <v/>
      </c>
    </row>
    <row r="126" ht="15" customHeight="1">
      <c r="A126" t="inlineStr">
        <is>
          <t>A 26871-2026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46265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HYPERLINK("https://klasma.github.io/Logging_2180/artfynd/A 26871-2026 artfynd.xlsx", "A 26871-2026")</f>
        <v/>
      </c>
      <c r="X126">
        <f>HYPERLINK("https://klasma.github.io/Logging_2180/kartor/A 26871-2026 karta.png", "A 26871-2026")</f>
        <v/>
      </c>
      <c r="Y126">
        <f>HYPERLINK("https://klasma.github.io/Logging_2180/kartor_geotiff/A 26871-2026 georefererad karta.tif", "A 26871-2026")</f>
        <v/>
      </c>
      <c r="AA126">
        <f>HYPERLINK("https://klasma.github.io/Logging_2180/klagomål/A 26871-2026 FSC-klagomål.docx", "A 26871-2026")</f>
        <v/>
      </c>
      <c r="AB126">
        <f>HYPERLINK("https://klasma.github.io/Logging_2180/klagomålsmail/A 26871-2026 FSC-klagomål mail.docx", "A 26871-2026")</f>
        <v/>
      </c>
      <c r="AC126">
        <f>HYPERLINK("https://klasma.github.io/Logging_2180/tillsyn/A 26871-2026 tillsynsbegäran.docx", "A 26871-2026")</f>
        <v/>
      </c>
      <c r="AD126">
        <f>HYPERLINK("https://klasma.github.io/Logging_2180/tillsynsmail/A 26871-2026 tillsynsbegäran mail.docx", "A 26871-2026")</f>
        <v/>
      </c>
    </row>
    <row r="127" ht="15" customHeight="1">
      <c r="A127" t="inlineStr">
        <is>
          <t>A 27058-2026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46265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HYPERLINK("https://klasma.github.io/Logging_2180/artfynd/A 27058-2026 artfynd.xlsx", "A 27058-2026")</f>
        <v/>
      </c>
      <c r="X127">
        <f>HYPERLINK("https://klasma.github.io/Logging_2180/kartor/A 27058-2026 karta.png", "A 27058-2026")</f>
        <v/>
      </c>
      <c r="Y127">
        <f>HYPERLINK("https://klasma.github.io/Logging_2180/kartor_geotiff/A 27058-2026 georefererad karta.tif", "A 27058-2026")</f>
        <v/>
      </c>
      <c r="AA127">
        <f>HYPERLINK("https://klasma.github.io/Logging_2180/klagomål/A 27058-2026 FSC-klagomål.docx", "A 27058-2026")</f>
        <v/>
      </c>
      <c r="AB127">
        <f>HYPERLINK("https://klasma.github.io/Logging_2180/klagomålsmail/A 27058-2026 FSC-klagomål mail.docx", "A 27058-2026")</f>
        <v/>
      </c>
      <c r="AC127">
        <f>HYPERLINK("https://klasma.github.io/Logging_2180/tillsyn/A 27058-2026 tillsynsbegäran.docx", "A 27058-2026")</f>
        <v/>
      </c>
      <c r="AD127">
        <f>HYPERLINK("https://klasma.github.io/Logging_2180/tillsynsmail/A 27058-2026 tillsynsbegäran mail.docx", "A 27058-2026")</f>
        <v/>
      </c>
    </row>
    <row r="128" ht="15" customHeight="1">
      <c r="A128" t="inlineStr">
        <is>
          <t>A 27063-2026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46265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HYPERLINK("https://klasma.github.io/Logging_2180/artfynd/A 27063-2026 artfynd.xlsx", "A 27063-2026")</f>
        <v/>
      </c>
      <c r="X128">
        <f>HYPERLINK("https://klasma.github.io/Logging_2180/kartor/A 27063-2026 karta.png", "A 27063-2026")</f>
        <v/>
      </c>
      <c r="Y128">
        <f>HYPERLINK("https://klasma.github.io/Logging_2180/kartor_geotiff/A 27063-2026 georefererad karta.tif", "A 27063-2026")</f>
        <v/>
      </c>
      <c r="AA128">
        <f>HYPERLINK("https://klasma.github.io/Logging_2180/klagomål/A 27063-2026 FSC-klagomål.docx", "A 27063-2026")</f>
        <v/>
      </c>
      <c r="AB128">
        <f>HYPERLINK("https://klasma.github.io/Logging_2180/klagomålsmail/A 27063-2026 FSC-klagomål mail.docx", "A 27063-2026")</f>
        <v/>
      </c>
      <c r="AC128">
        <f>HYPERLINK("https://klasma.github.io/Logging_2180/tillsyn/A 27063-2026 tillsynsbegäran.docx", "A 27063-2026")</f>
        <v/>
      </c>
      <c r="AD128">
        <f>HYPERLINK("https://klasma.github.io/Logging_2180/tillsynsmail/A 27063-2026 tillsynsbegäran mail.docx", "A 27063-2026")</f>
        <v/>
      </c>
    </row>
    <row r="129" ht="15" customHeight="1">
      <c r="A129" t="inlineStr">
        <is>
          <t>A 28546-2026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46265</v>
      </c>
      <c r="F129" t="inlineStr">
        <is>
          <t>GÄVLEBORGS LÄN</t>
        </is>
      </c>
      <c r="G129" t="inlineStr">
        <is>
          <t>GÄVLE</t>
        </is>
      </c>
      <c r="H129" t="inlineStr">
        <is>
          <t>BillerudKorsnäs AB</t>
        </is>
      </c>
      <c r="I129" t="n">
        <v>2.6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Fiskgjuse</t>
        </is>
      </c>
      <c r="W129">
        <f>HYPERLINK("https://klasma.github.io/Logging_2180/artfynd/A 28546-2026 artfynd.xlsx", "A 28546-2026")</f>
        <v/>
      </c>
      <c r="X129">
        <f>HYPERLINK("https://klasma.github.io/Logging_2180/kartor/A 28546-2026 karta.png", "A 28546-2026")</f>
        <v/>
      </c>
      <c r="Y129">
        <f>HYPERLINK("https://klasma.github.io/Logging_2180/kartor_geotiff/A 28546-2026 georefererad karta.tif", "A 28546-2026")</f>
        <v/>
      </c>
      <c r="AA129">
        <f>HYPERLINK("https://klasma.github.io/Logging_2180/klagomål/A 28546-2026 FSC-klagomål.docx", "A 28546-2026")</f>
        <v/>
      </c>
      <c r="AB129">
        <f>HYPERLINK("https://klasma.github.io/Logging_2180/klagomålsmail/A 28546-2026 FSC-klagomål mail.docx", "A 28546-2026")</f>
        <v/>
      </c>
      <c r="AC129">
        <f>HYPERLINK("https://klasma.github.io/Logging_2180/tillsyn/A 28546-2026 tillsynsbegäran.docx", "A 28546-2026")</f>
        <v/>
      </c>
      <c r="AD129">
        <f>HYPERLINK("https://klasma.github.io/Logging_2180/tillsynsmail/A 28546-2026 tillsynsbegäran mail.docx", "A 28546-2026")</f>
        <v/>
      </c>
      <c r="AE129">
        <f>HYPERLINK("https://klasma.github.io/Logging_2180/fåglar/A 28546-2026 prioriterade fågelarter.docx", "A 28546-2026")</f>
        <v/>
      </c>
    </row>
    <row r="130" ht="15" customHeight="1">
      <c r="A130" t="inlineStr">
        <is>
          <t>A 33832-2026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46265</v>
      </c>
      <c r="F130" t="inlineStr">
        <is>
          <t>GÄVLEBORGS LÄN</t>
        </is>
      </c>
      <c r="G130" t="inlineStr">
        <is>
          <t>GÄVLE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HYPERLINK("https://klasma.github.io/Logging_2180/artfynd/A 33832-2026 artfynd.xlsx", "A 33832-2026")</f>
        <v/>
      </c>
      <c r="X130">
        <f>HYPERLINK("https://klasma.github.io/Logging_2180/kartor/A 33832-2026 karta.png", "A 33832-2026")</f>
        <v/>
      </c>
      <c r="Y130">
        <f>HYPERLINK("https://klasma.github.io/Logging_2180/kartor_geotiff/A 33832-2026 georefererad karta.tif", "A 33832-2026")</f>
        <v/>
      </c>
      <c r="AA130">
        <f>HYPERLINK("https://klasma.github.io/Logging_2180/klagomål/A 33832-2026 FSC-klagomål.docx", "A 33832-2026")</f>
        <v/>
      </c>
      <c r="AB130">
        <f>HYPERLINK("https://klasma.github.io/Logging_2180/klagomålsmail/A 33832-2026 FSC-klagomål mail.docx", "A 33832-2026")</f>
        <v/>
      </c>
      <c r="AC130">
        <f>HYPERLINK("https://klasma.github.io/Logging_2180/tillsyn/A 33832-2026 tillsynsbegäran.docx", "A 33832-2026")</f>
        <v/>
      </c>
      <c r="AD130">
        <f>HYPERLINK("https://klasma.github.io/Logging_2180/tillsynsmail/A 33832-2026 tillsynsbegäran mail.docx", "A 33832-2026")</f>
        <v/>
      </c>
    </row>
    <row r="131" ht="15" customHeight="1">
      <c r="A131" t="inlineStr">
        <is>
          <t>A 34086-2026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46252</v>
      </c>
      <c r="E131" s="1" t="n">
        <v>46265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6.1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Gullgröppa</t>
        </is>
      </c>
      <c r="W131">
        <f>HYPERLINK("https://klasma.github.io/Logging_2180/artfynd/A 34086-2026 artfynd.xlsx", "A 34086-2026")</f>
        <v/>
      </c>
      <c r="X131">
        <f>HYPERLINK("https://klasma.github.io/Logging_2180/kartor/A 34086-2026 karta.png", "A 34086-2026")</f>
        <v/>
      </c>
      <c r="Y131">
        <f>HYPERLINK("https://klasma.github.io/Logging_2180/kartor_geotiff/A 34086-2026 georefererad karta.tif", "A 34086-2026")</f>
        <v/>
      </c>
      <c r="AA131">
        <f>HYPERLINK("https://klasma.github.io/Logging_2180/klagomål/A 34086-2026 FSC-klagomål.docx", "A 34086-2026")</f>
        <v/>
      </c>
      <c r="AB131">
        <f>HYPERLINK("https://klasma.github.io/Logging_2180/klagomålsmail/A 34086-2026 FSC-klagomål mail.docx", "A 34086-2026")</f>
        <v/>
      </c>
      <c r="AC131">
        <f>HYPERLINK("https://klasma.github.io/Logging_2180/tillsyn/A 34086-2026 tillsynsbegäran.docx", "A 34086-2026")</f>
        <v/>
      </c>
      <c r="AD131">
        <f>HYPERLINK("https://klasma.github.io/Logging_2180/tillsynsmail/A 34086-2026 tillsynsbegäran mail.docx", "A 34086-2026")</f>
        <v/>
      </c>
    </row>
    <row r="132" ht="15" customHeight="1">
      <c r="A132" t="inlineStr">
        <is>
          <t>A 34589-2026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46255</v>
      </c>
      <c r="E132" s="1" t="n">
        <v>46265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15.3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Tibast</t>
        </is>
      </c>
      <c r="W132">
        <f>HYPERLINK("https://klasma.github.io/Logging_2180/artfynd/A 34589-2026 artfynd.xlsx", "A 34589-2026")</f>
        <v/>
      </c>
      <c r="X132">
        <f>HYPERLINK("https://klasma.github.io/Logging_2180/kartor/A 34589-2026 karta.png", "A 34589-2026")</f>
        <v/>
      </c>
      <c r="Y132">
        <f>HYPERLINK("https://klasma.github.io/Logging_2180/kartor_geotiff/A 34589-2026 georefererad karta.tif", "A 34589-2026")</f>
        <v/>
      </c>
      <c r="AA132">
        <f>HYPERLINK("https://klasma.github.io/Logging_2180/klagomål/A 34589-2026 FSC-klagomål.docx", "A 34589-2026")</f>
        <v/>
      </c>
      <c r="AB132">
        <f>HYPERLINK("https://klasma.github.io/Logging_2180/klagomålsmail/A 34589-2026 FSC-klagomål mail.docx", "A 34589-2026")</f>
        <v/>
      </c>
      <c r="AC132">
        <f>HYPERLINK("https://klasma.github.io/Logging_2180/tillsyn/A 34589-2026 tillsynsbegäran.docx", "A 34589-2026")</f>
        <v/>
      </c>
      <c r="AD132">
        <f>HYPERLINK("https://klasma.github.io/Logging_2180/tillsynsmail/A 34589-2026 tillsynsbegäran mail.docx", "A 34589-2026")</f>
        <v/>
      </c>
    </row>
    <row r="133" ht="15" customHeight="1">
      <c r="A133" t="inlineStr">
        <is>
          <t>A 34890-2026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46259</v>
      </c>
      <c r="E133" s="1" t="n">
        <v>46265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18.3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4</v>
      </c>
      <c r="U133" t="n">
        <v>0</v>
      </c>
      <c r="V133" s="2" t="inlineStr">
        <is>
          <t>Spillkråka</t>
        </is>
      </c>
      <c r="W133">
        <f>HYPERLINK("https://klasma.github.io/Logging_2180/artfynd/A 34890-2026 artfynd.xlsx", "A 34890-2026")</f>
        <v/>
      </c>
      <c r="X133">
        <f>HYPERLINK("https://klasma.github.io/Logging_2180/kartor/A 34890-2026 karta.png", "A 34890-2026")</f>
        <v/>
      </c>
      <c r="Y133">
        <f>HYPERLINK("https://klasma.github.io/Logging_2180/kartor_geotiff/A 34890-2026 georefererad karta.tif", "A 34890-2026")</f>
        <v/>
      </c>
      <c r="AA133">
        <f>HYPERLINK("https://klasma.github.io/Logging_2180/klagomål/A 34890-2026 FSC-klagomål.docx", "A 34890-2026")</f>
        <v/>
      </c>
      <c r="AB133">
        <f>HYPERLINK("https://klasma.github.io/Logging_2180/klagomålsmail/A 34890-2026 FSC-klagomål mail.docx", "A 34890-2026")</f>
        <v/>
      </c>
      <c r="AC133">
        <f>HYPERLINK("https://klasma.github.io/Logging_2180/tillsyn/A 34890-2026 tillsynsbegäran.docx", "A 34890-2026")</f>
        <v/>
      </c>
      <c r="AD133">
        <f>HYPERLINK("https://klasma.github.io/Logging_2180/tillsynsmail/A 34890-2026 tillsynsbegäran mail.docx", "A 34890-2026")</f>
        <v/>
      </c>
      <c r="AE133">
        <f>HYPERLINK("https://klasma.github.io/Logging_2180/fåglar/A 34890-2026 prioriterade fågelarter.docx", "A 34890-2026")</f>
        <v/>
      </c>
    </row>
    <row r="134" ht="15" customHeight="1">
      <c r="A134" t="inlineStr">
        <is>
          <t>A 31448-2026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46217</v>
      </c>
      <c r="E134" s="1" t="n">
        <v>46265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Mindre tåtelsmygare</t>
        </is>
      </c>
      <c r="W134">
        <f>HYPERLINK("https://klasma.github.io/Logging_2180/artfynd/A 31448-2026 artfynd.xlsx", "A 31448-2026")</f>
        <v/>
      </c>
      <c r="X134">
        <f>HYPERLINK("https://klasma.github.io/Logging_2180/kartor/A 31448-2026 karta.png", "A 31448-2026")</f>
        <v/>
      </c>
      <c r="Y134">
        <f>HYPERLINK("https://klasma.github.io/Logging_2180/kartor_geotiff/A 31448-2026 georefererad karta.tif", "A 31448-2026")</f>
        <v/>
      </c>
      <c r="AA134">
        <f>HYPERLINK("https://klasma.github.io/Logging_2180/klagomål/A 31448-2026 FSC-klagomål.docx", "A 31448-2026")</f>
        <v/>
      </c>
      <c r="AB134">
        <f>HYPERLINK("https://klasma.github.io/Logging_2180/klagomålsmail/A 31448-2026 FSC-klagomål mail.docx", "A 31448-2026")</f>
        <v/>
      </c>
      <c r="AC134">
        <f>HYPERLINK("https://klasma.github.io/Logging_2180/tillsyn/A 31448-2026 tillsynsbegäran.docx", "A 31448-2026")</f>
        <v/>
      </c>
      <c r="AD134">
        <f>HYPERLINK("https://klasma.github.io/Logging_2180/tillsynsmail/A 31448-2026 tillsynsbegäran mail.docx", "A 31448-2026")</f>
        <v/>
      </c>
    </row>
    <row r="135" ht="15" customHeight="1">
      <c r="A135" t="inlineStr">
        <is>
          <t>A 63288-2025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46265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5.3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Scharlakansskål</t>
        </is>
      </c>
      <c r="W135">
        <f>HYPERLINK("https://klasma.github.io/Logging_2180/artfynd/A 63288-2025 artfynd.xlsx", "A 63288-2025")</f>
        <v/>
      </c>
      <c r="X135">
        <f>HYPERLINK("https://klasma.github.io/Logging_2180/kartor/A 63288-2025 karta.png", "A 63288-2025")</f>
        <v/>
      </c>
      <c r="Y135">
        <f>HYPERLINK("https://klasma.github.io/Logging_2180/kartor_geotiff/A 63288-2025 georefererad karta.tif", "A 63288-2025")</f>
        <v/>
      </c>
      <c r="AA135">
        <f>HYPERLINK("https://klasma.github.io/Logging_2180/klagomål/A 63288-2025 FSC-klagomål.docx", "A 63288-2025")</f>
        <v/>
      </c>
      <c r="AB135">
        <f>HYPERLINK("https://klasma.github.io/Logging_2180/klagomålsmail/A 63288-2025 FSC-klagomål mail.docx", "A 63288-2025")</f>
        <v/>
      </c>
      <c r="AC135">
        <f>HYPERLINK("https://klasma.github.io/Logging_2180/tillsyn/A 63288-2025 tillsynsbegäran.docx", "A 63288-2025")</f>
        <v/>
      </c>
      <c r="AD135">
        <f>HYPERLINK("https://klasma.github.io/Logging_2180/tillsynsmail/A 63288-2025 tillsynsbegäran mail.docx", "A 63288-2025")</f>
        <v/>
      </c>
    </row>
    <row r="136" ht="15" customHeight="1">
      <c r="A136" t="inlineStr">
        <is>
          <t>S 399-2022</t>
        </is>
      </c>
      <c r="B136" t="inlineStr">
        <is>
          <t>samrådsanmälan</t>
        </is>
      </c>
      <c r="C136" t="inlineStr">
        <is>
          <t>Skogsgödsling</t>
        </is>
      </c>
      <c r="D136" s="1" t="n">
        <v>44585</v>
      </c>
      <c r="E136" s="1" t="n">
        <v>46265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44.4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HYPERLINK("https://klasma.github.io/Logging_2180/artfynd/S 399-2022 artfynd.xlsx", "S 399-2022")</f>
        <v/>
      </c>
      <c r="X136">
        <f>HYPERLINK("https://klasma.github.io/Logging_2180/kartor/S 399-2022 karta.png", "S 399-2022")</f>
        <v/>
      </c>
      <c r="Y136">
        <f>HYPERLINK("https://klasma.github.io/Logging_2180/kartor_geotiff/S 399-2022 georefererad karta.tif", "S 399-2022")</f>
        <v/>
      </c>
      <c r="AA136">
        <f>HYPERLINK("https://klasma.github.io/Logging_2180/klagomål/S 399-2022 FSC-klagomål.docx", "S 399-2022")</f>
        <v/>
      </c>
      <c r="AB136">
        <f>HYPERLINK("https://klasma.github.io/Logging_2180/klagomålsmail/S 399-2022 FSC-klagomål mail.docx", "S 399-2022")</f>
        <v/>
      </c>
      <c r="AC136">
        <f>HYPERLINK("https://klasma.github.io/Logging_2180/tillsyn/S 399-2022 tillsynsbegäran.docx", "S 399-2022")</f>
        <v/>
      </c>
      <c r="AD136">
        <f>HYPERLINK("https://klasma.github.io/Logging_2180/tillsynsmail/S 399-2022 tillsynsbegäran mail.docx", "S 399-2022")</f>
        <v/>
      </c>
    </row>
    <row r="137" ht="15" customHeight="1">
      <c r="A137" t="inlineStr">
        <is>
          <t>S 235-2025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45680</v>
      </c>
      <c r="E137" s="1" t="n">
        <v>46265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HYPERLINK("https://klasma.github.io/Logging_2180/artfynd/S 235-2025 artfynd.xlsx", "S 235-2025")</f>
        <v/>
      </c>
      <c r="X137">
        <f>HYPERLINK("https://klasma.github.io/Logging_2180/kartor/S 235-2025 karta.png", "S 235-2025")</f>
        <v/>
      </c>
      <c r="Y137">
        <f>HYPERLINK("https://klasma.github.io/Logging_2180/kartor_geotiff/S 235-2025 georefererad karta.tif", "S 235-2025")</f>
        <v/>
      </c>
      <c r="AA137">
        <f>HYPERLINK("https://klasma.github.io/Logging_2180/klagomål/S 235-2025 FSC-klagomål.docx", "S 235-2025")</f>
        <v/>
      </c>
      <c r="AB137">
        <f>HYPERLINK("https://klasma.github.io/Logging_2180/klagomålsmail/S 235-2025 FSC-klagomål mail.docx", "S 235-2025")</f>
        <v/>
      </c>
      <c r="AC137">
        <f>HYPERLINK("https://klasma.github.io/Logging_2180/tillsyn/S 235-2025 tillsynsbegäran.docx", "S 235-2025")</f>
        <v/>
      </c>
      <c r="AD137">
        <f>HYPERLINK("https://klasma.github.io/Logging_2180/tillsynsmail/S 235-2025 tillsynsbegäran mail.docx", "S 235-2025")</f>
        <v/>
      </c>
    </row>
    <row r="138" ht="15" customHeight="1">
      <c r="A138" t="inlineStr">
        <is>
          <t>S 3895-2024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45562</v>
      </c>
      <c r="E138" s="1" t="n">
        <v>46265</v>
      </c>
      <c r="F138" t="inlineStr">
        <is>
          <t>GÄVLEBORGS LÄN</t>
        </is>
      </c>
      <c r="G138" t="inlineStr">
        <is>
          <t>GÄVLE</t>
        </is>
      </c>
      <c r="I138" t="n">
        <v>14.3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16</v>
      </c>
      <c r="U138" t="n">
        <v>3</v>
      </c>
      <c r="V138" s="2" t="inlineStr">
        <is>
          <t>Väddnätfjäril</t>
        </is>
      </c>
      <c r="W138">
        <f>HYPERLINK("https://klasma.github.io/Logging_2180/artfynd/S 3895-2024 artfynd.xlsx", "S 3895-2024")</f>
        <v/>
      </c>
      <c r="X138">
        <f>HYPERLINK("https://klasma.github.io/Logging_2180/kartor/S 3895-2024 karta.png", "S 3895-2024")</f>
        <v/>
      </c>
      <c r="Y138">
        <f>HYPERLINK("https://klasma.github.io/Logging_2180/kartor_geotiff/S 3895-2024 georefererad karta.tif", "S 3895-2024")</f>
        <v/>
      </c>
      <c r="AA138">
        <f>HYPERLINK("https://klasma.github.io/Logging_2180/klagomål/S 3895-2024 FSC-klagomål.docx", "S 3895-2024")</f>
        <v/>
      </c>
      <c r="AB138">
        <f>HYPERLINK("https://klasma.github.io/Logging_2180/klagomålsmail/S 3895-2024 FSC-klagomål mail.docx", "S 3895-2024")</f>
        <v/>
      </c>
      <c r="AC138">
        <f>HYPERLINK("https://klasma.github.io/Logging_2180/tillsyn/S 3895-2024 tillsynsbegäran.docx", "S 3895-2024")</f>
        <v/>
      </c>
      <c r="AD138">
        <f>HYPERLINK("https://klasma.github.io/Logging_2180/tillsynsmail/S 3895-2024 tillsynsbegäran mail.docx", "S 3895-2024")</f>
        <v/>
      </c>
    </row>
    <row r="139" ht="15" customHeight="1">
      <c r="A139" t="inlineStr">
        <is>
          <t>S 952-2026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46113</v>
      </c>
      <c r="E139" s="1" t="n">
        <v>46265</v>
      </c>
      <c r="F139" t="inlineStr">
        <is>
          <t>GÄVLEBORGS LÄN</t>
        </is>
      </c>
      <c r="G139" t="inlineStr">
        <is>
          <t>GÄVLE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Mosippa</t>
        </is>
      </c>
      <c r="W139">
        <f>HYPERLINK("https://klasma.github.io/Logging_2180/artfynd/S 952-2026 artfynd.xlsx", "S 952-2026")</f>
        <v/>
      </c>
      <c r="X139">
        <f>HYPERLINK("https://klasma.github.io/Logging_2180/kartor/S 952-2026 karta.png", "S 952-2026")</f>
        <v/>
      </c>
      <c r="Y139">
        <f>HYPERLINK("https://klasma.github.io/Logging_2180/kartor_geotiff/S 952-2026 georefererad karta.tif", "S 952-2026")</f>
        <v/>
      </c>
      <c r="AA139">
        <f>HYPERLINK("https://klasma.github.io/Logging_2180/klagomål/S 952-2026 FSC-klagomål.docx", "S 952-2026")</f>
        <v/>
      </c>
      <c r="AB139">
        <f>HYPERLINK("https://klasma.github.io/Logging_2180/klagomålsmail/S 952-2026 FSC-klagomål mail.docx", "S 952-2026")</f>
        <v/>
      </c>
      <c r="AC139">
        <f>HYPERLINK("https://klasma.github.io/Logging_2180/tillsyn/S 952-2026 tillsynsbegäran.docx", "S 952-2026")</f>
        <v/>
      </c>
      <c r="AD139">
        <f>HYPERLINK("https://klasma.github.io/Logging_2180/tillsynsmail/S 952-2026 tillsynsbegäran mail.docx", "S 952-2026")</f>
        <v/>
      </c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46265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46265</v>
      </c>
      <c r="F141" t="inlineStr">
        <is>
          <t>GÄVLEBORGS LÄN</t>
        </is>
      </c>
      <c r="G141" t="inlineStr">
        <is>
          <t>GÄVLE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46265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46265</v>
      </c>
      <c r="F143" t="inlineStr">
        <is>
          <t>GÄVLEBORGS LÄN</t>
        </is>
      </c>
      <c r="G143" t="inlineStr">
        <is>
          <t>GÄVLE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46265</v>
      </c>
      <c r="F144" t="inlineStr">
        <is>
          <t>GÄVLEBORGS LÄN</t>
        </is>
      </c>
      <c r="G144" t="inlineStr">
        <is>
          <t>GÄVLE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44805</v>
      </c>
      <c r="E145" s="1" t="n">
        <v>46265</v>
      </c>
      <c r="F145" t="inlineStr">
        <is>
          <t>GÄVLEBORGS LÄN</t>
        </is>
      </c>
      <c r="G145" t="inlineStr">
        <is>
          <t>GÄVLE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46265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46265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46265</v>
      </c>
      <c r="F148" t="inlineStr">
        <is>
          <t>GÄVLEBORGS LÄN</t>
        </is>
      </c>
      <c r="G148" t="inlineStr">
        <is>
          <t>GÄVLE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44462</v>
      </c>
      <c r="E149" s="1" t="n">
        <v>46265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46265</v>
      </c>
      <c r="F150" t="inlineStr">
        <is>
          <t>GÄVLEBORGS LÄN</t>
        </is>
      </c>
      <c r="G150" t="inlineStr">
        <is>
          <t>GÄVLE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44663</v>
      </c>
      <c r="E151" s="1" t="n">
        <v>46265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46265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46265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44813</v>
      </c>
      <c r="E154" s="1" t="n">
        <v>46265</v>
      </c>
      <c r="F154" t="inlineStr">
        <is>
          <t>GÄVLEBORGS LÄN</t>
        </is>
      </c>
      <c r="G154" t="inlineStr">
        <is>
          <t>GÄVLE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46265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46265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44459</v>
      </c>
      <c r="E157" s="1" t="n">
        <v>46265</v>
      </c>
      <c r="F157" t="inlineStr">
        <is>
          <t>GÄVLEBORGS LÄN</t>
        </is>
      </c>
      <c r="G157" t="inlineStr">
        <is>
          <t>GÄVLE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44654-2021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44437</v>
      </c>
      <c r="E158" s="1" t="n">
        <v>46265</v>
      </c>
      <c r="F158" t="inlineStr">
        <is>
          <t>GÄVLEBORGS LÄN</t>
        </is>
      </c>
      <c r="G158" t="inlineStr">
        <is>
          <t>GÄVLE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46265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44735</v>
      </c>
      <c r="E160" s="1" t="n">
        <v>46265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46265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46265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46265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46265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46265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46265</v>
      </c>
      <c r="F166" t="inlineStr">
        <is>
          <t>GÄVLEBORGS LÄN</t>
        </is>
      </c>
      <c r="G166" t="inlineStr">
        <is>
          <t>GÄVLE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46265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46265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46265</v>
      </c>
      <c r="F169" t="inlineStr">
        <is>
          <t>GÄVLEBORGS LÄN</t>
        </is>
      </c>
      <c r="G169" t="inlineStr">
        <is>
          <t>GÄVLE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44599</v>
      </c>
      <c r="E170" s="1" t="n">
        <v>46265</v>
      </c>
      <c r="F170" t="inlineStr">
        <is>
          <t>GÄVLEBORGS LÄN</t>
        </is>
      </c>
      <c r="G170" t="inlineStr">
        <is>
          <t>GÄVLE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45134-2021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46265</v>
      </c>
      <c r="F171" t="inlineStr">
        <is>
          <t>GÄVLEBORGS LÄN</t>
        </is>
      </c>
      <c r="G171" t="inlineStr">
        <is>
          <t>GÄVLE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44448</v>
      </c>
      <c r="E172" s="1" t="n">
        <v>46265</v>
      </c>
      <c r="F172" t="inlineStr">
        <is>
          <t>GÄVLEBORGS LÄN</t>
        </is>
      </c>
      <c r="G172" t="inlineStr">
        <is>
          <t>GÄVLE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46265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46265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öst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46265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46265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46265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46265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46265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46265</v>
      </c>
      <c r="F180" t="inlineStr">
        <is>
          <t>GÄVLEBORGS LÄN</t>
        </is>
      </c>
      <c r="G180" t="inlineStr">
        <is>
          <t>GÄVLE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46265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46265</v>
      </c>
      <c r="F182" t="inlineStr">
        <is>
          <t>GÄVLEBORGS LÄN</t>
        </is>
      </c>
      <c r="G182" t="inlineStr">
        <is>
          <t>GÄVLE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46265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46265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44445</v>
      </c>
      <c r="E185" s="1" t="n">
        <v>46265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46265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45436</v>
      </c>
      <c r="E187" s="1" t="n">
        <v>46265</v>
      </c>
      <c r="F187" t="inlineStr">
        <is>
          <t>GÄVLEBORGS LÄN</t>
        </is>
      </c>
      <c r="G187" t="inlineStr">
        <is>
          <t>GÄVLE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45138</v>
      </c>
      <c r="E188" s="1" t="n">
        <v>46265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46265</v>
      </c>
      <c r="F189" t="inlineStr">
        <is>
          <t>GÄVLEBORGS LÄN</t>
        </is>
      </c>
      <c r="G189" t="inlineStr">
        <is>
          <t>GÄVLE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46265</v>
      </c>
      <c r="F190" t="inlineStr">
        <is>
          <t>GÄVLEBORGS LÄN</t>
        </is>
      </c>
      <c r="G190" t="inlineStr">
        <is>
          <t>GÄVLE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46265</v>
      </c>
      <c r="F191" t="inlineStr">
        <is>
          <t>GÄVLEBORGS LÄN</t>
        </is>
      </c>
      <c r="G191" t="inlineStr">
        <is>
          <t>GÄVLE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46265</v>
      </c>
      <c r="F192" t="inlineStr">
        <is>
          <t>GÄVLEBORGS LÄN</t>
        </is>
      </c>
      <c r="G192" t="inlineStr">
        <is>
          <t>GÄVLE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45953</v>
      </c>
      <c r="E193" s="1" t="n">
        <v>46265</v>
      </c>
      <c r="F193" t="inlineStr">
        <is>
          <t>GÄVLEBORGS LÄN</t>
        </is>
      </c>
      <c r="G193" t="inlineStr">
        <is>
          <t>GÄVLE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45252</v>
      </c>
      <c r="E194" s="1" t="n">
        <v>46265</v>
      </c>
      <c r="F194" t="inlineStr">
        <is>
          <t>GÄVLEBORGS LÄN</t>
        </is>
      </c>
      <c r="G194" t="inlineStr">
        <is>
          <t>GÄVLE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45933</v>
      </c>
      <c r="E195" s="1" t="n">
        <v>46265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46265</v>
      </c>
      <c r="F196" t="inlineStr">
        <is>
          <t>GÄVLEBORGS LÄN</t>
        </is>
      </c>
      <c r="G196" t="inlineStr">
        <is>
          <t>GÄVLE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45957</v>
      </c>
      <c r="E197" s="1" t="n">
        <v>46265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45957</v>
      </c>
      <c r="E198" s="1" t="n">
        <v>46265</v>
      </c>
      <c r="F198" t="inlineStr">
        <is>
          <t>GÄVLEBORGS LÄN</t>
        </is>
      </c>
      <c r="G198" t="inlineStr">
        <is>
          <t>GÄVLE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46265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52970-2025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45957</v>
      </c>
      <c r="E200" s="1" t="n">
        <v>46265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45702</v>
      </c>
      <c r="E201" s="1" t="n">
        <v>46265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44841</v>
      </c>
      <c r="E202" s="1" t="n">
        <v>46265</v>
      </c>
      <c r="F202" t="inlineStr">
        <is>
          <t>GÄVLEBORGS LÄN</t>
        </is>
      </c>
      <c r="G202" t="inlineStr">
        <is>
          <t>GÄVLE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46265</v>
      </c>
      <c r="F203" t="inlineStr">
        <is>
          <t>GÄVLEBORGS LÄN</t>
        </is>
      </c>
      <c r="G203" t="inlineStr">
        <is>
          <t>GÄVLE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46265</v>
      </c>
      <c r="F204" t="inlineStr">
        <is>
          <t>GÄVLEBORGS LÄN</t>
        </is>
      </c>
      <c r="G204" t="inlineStr">
        <is>
          <t>GÄVLE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46265</v>
      </c>
      <c r="F205" t="inlineStr">
        <is>
          <t>GÄVLEBORGS LÄN</t>
        </is>
      </c>
      <c r="G205" t="inlineStr">
        <is>
          <t>GÄVLE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46265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45719</v>
      </c>
      <c r="E207" s="1" t="n">
        <v>46265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öst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46265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öst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45454</v>
      </c>
      <c r="E209" s="1" t="n">
        <v>46265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46265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öst AB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46265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46265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46265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öst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46265</v>
      </c>
      <c r="F214" t="inlineStr">
        <is>
          <t>GÄVLEBORGS LÄN</t>
        </is>
      </c>
      <c r="G214" t="inlineStr">
        <is>
          <t>GÄVLE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45454</v>
      </c>
      <c r="E215" s="1" t="n">
        <v>46265</v>
      </c>
      <c r="F215" t="inlineStr">
        <is>
          <t>GÄVLEBORGS LÄN</t>
        </is>
      </c>
      <c r="G215" t="inlineStr">
        <is>
          <t>GÄVLE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46265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46265</v>
      </c>
      <c r="F217" t="inlineStr">
        <is>
          <t>GÄVLEBORGS LÄN</t>
        </is>
      </c>
      <c r="G217" t="inlineStr">
        <is>
          <t>GÄVLE</t>
        </is>
      </c>
      <c r="I217" t="n">
        <v>20.8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44498</v>
      </c>
      <c r="E218" s="1" t="n">
        <v>46265</v>
      </c>
      <c r="F218" t="inlineStr">
        <is>
          <t>GÄVLEBORGS LÄN</t>
        </is>
      </c>
      <c r="G218" t="inlineStr">
        <is>
          <t>GÄVLE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46265</v>
      </c>
      <c r="F219" t="inlineStr">
        <is>
          <t>GÄVLEBORGS LÄN</t>
        </is>
      </c>
      <c r="G219" t="inlineStr">
        <is>
          <t>GÄVLE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45660</v>
      </c>
      <c r="E220" s="1" t="n">
        <v>46265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46265</v>
      </c>
      <c r="F221" t="inlineStr">
        <is>
          <t>GÄVLEBORGS LÄN</t>
        </is>
      </c>
      <c r="G221" t="inlineStr">
        <is>
          <t>GÄVLE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46265</v>
      </c>
      <c r="F222" t="inlineStr">
        <is>
          <t>GÄVLEBORGS LÄN</t>
        </is>
      </c>
      <c r="G222" t="inlineStr">
        <is>
          <t>GÄVLE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46265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44823</v>
      </c>
      <c r="E224" s="1" t="n">
        <v>46265</v>
      </c>
      <c r="F224" t="inlineStr">
        <is>
          <t>GÄVLEBORGS LÄN</t>
        </is>
      </c>
      <c r="G224" t="inlineStr">
        <is>
          <t>GÄVLE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46265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46265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46265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45968</v>
      </c>
      <c r="E228" s="1" t="n">
        <v>46265</v>
      </c>
      <c r="F228" t="inlineStr">
        <is>
          <t>GÄVLEBORGS LÄN</t>
        </is>
      </c>
      <c r="G228" t="inlineStr">
        <is>
          <t>GÄVLE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45468</v>
      </c>
      <c r="E229" s="1" t="n">
        <v>46265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46265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46265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40297-2025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45895</v>
      </c>
      <c r="E232" s="1" t="n">
        <v>46265</v>
      </c>
      <c r="F232" t="inlineStr">
        <is>
          <t>GÄVLEBORGS LÄN</t>
        </is>
      </c>
      <c r="G232" t="inlineStr">
        <is>
          <t>GÄVLE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46265</v>
      </c>
      <c r="F233" t="inlineStr">
        <is>
          <t>GÄVLEBORGS LÄN</t>
        </is>
      </c>
      <c r="G233" t="inlineStr">
        <is>
          <t>GÄVLE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46265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46265</v>
      </c>
      <c r="F235" t="inlineStr">
        <is>
          <t>GÄVLEBORGS LÄN</t>
        </is>
      </c>
      <c r="G235" t="inlineStr">
        <is>
          <t>GÄVLE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46265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46265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46265</v>
      </c>
      <c r="F238" t="inlineStr">
        <is>
          <t>GÄVLEBORGS LÄN</t>
        </is>
      </c>
      <c r="G238" t="inlineStr">
        <is>
          <t>GÄVLE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46265</v>
      </c>
      <c r="F239" t="inlineStr">
        <is>
          <t>GÄVLEBORGS LÄN</t>
        </is>
      </c>
      <c r="G239" t="inlineStr">
        <is>
          <t>GÄVLE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46265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56271-2025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46265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56277-2025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46265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46265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46265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46265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46265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46265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46265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46265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56123-2025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46265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46265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46265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46265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46265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46265</v>
      </c>
      <c r="F255" t="inlineStr">
        <is>
          <t>GÄVLEBORGS LÄN</t>
        </is>
      </c>
      <c r="G255" t="inlineStr">
        <is>
          <t>GÄVLE</t>
        </is>
      </c>
      <c r="I255" t="n">
        <v>10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70043-2021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44533</v>
      </c>
      <c r="E256" s="1" t="n">
        <v>46265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46265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46265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46265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44942</v>
      </c>
      <c r="E260" s="1" t="n">
        <v>46265</v>
      </c>
      <c r="F260" t="inlineStr">
        <is>
          <t>GÄVLEBORGS LÄN</t>
        </is>
      </c>
      <c r="G260" t="inlineStr">
        <is>
          <t>GÄVLE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46265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46265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46265</v>
      </c>
      <c r="F263" t="inlineStr">
        <is>
          <t>GÄVLEBORGS LÄN</t>
        </is>
      </c>
      <c r="G263" t="inlineStr">
        <is>
          <t>GÄVLE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45530</v>
      </c>
      <c r="E264" s="1" t="n">
        <v>46265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46265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46265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46265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46265</v>
      </c>
      <c r="F268" t="inlineStr">
        <is>
          <t>GÄVLEBORGS LÄN</t>
        </is>
      </c>
      <c r="G268" t="inlineStr">
        <is>
          <t>GÄVLE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46265</v>
      </c>
      <c r="F269" t="inlineStr">
        <is>
          <t>GÄVLEBORGS LÄN</t>
        </is>
      </c>
      <c r="G269" t="inlineStr">
        <is>
          <t>GÄVLE</t>
        </is>
      </c>
      <c r="I269" t="n">
        <v>13.1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46265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46265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46265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56120-2025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46265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46265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46265</v>
      </c>
      <c r="F275" t="inlineStr">
        <is>
          <t>GÄVLEBORGS LÄN</t>
        </is>
      </c>
      <c r="G275" t="inlineStr">
        <is>
          <t>GÄVLE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46265</v>
      </c>
      <c r="F276" t="inlineStr">
        <is>
          <t>GÄVLEBORGS LÄN</t>
        </is>
      </c>
      <c r="G276" t="inlineStr">
        <is>
          <t>GÄVLE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46265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46265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46265</v>
      </c>
      <c r="F279" t="inlineStr">
        <is>
          <t>GÄVLEBORGS LÄN</t>
        </is>
      </c>
      <c r="G279" t="inlineStr">
        <is>
          <t>GÄVLE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46265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45628-2022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44845</v>
      </c>
      <c r="E281" s="1" t="n">
        <v>46265</v>
      </c>
      <c r="F281" t="inlineStr">
        <is>
          <t>GÄVLEBORGS LÄN</t>
        </is>
      </c>
      <c r="G281" t="inlineStr">
        <is>
          <t>GÄVLE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46265</v>
      </c>
      <c r="F282" t="inlineStr">
        <is>
          <t>GÄVLEBORGS LÄN</t>
        </is>
      </c>
      <c r="G282" t="inlineStr">
        <is>
          <t>GÄVLE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46265</v>
      </c>
      <c r="F283" t="inlineStr">
        <is>
          <t>GÄVLEBORGS LÄN</t>
        </is>
      </c>
      <c r="G283" t="inlineStr">
        <is>
          <t>GÄVLE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45511</v>
      </c>
      <c r="E284" s="1" t="n">
        <v>46265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45658</v>
      </c>
      <c r="E285" s="1" t="n">
        <v>46265</v>
      </c>
      <c r="F285" t="inlineStr">
        <is>
          <t>GÄVLEBORGS LÄN</t>
        </is>
      </c>
      <c r="G285" t="inlineStr">
        <is>
          <t>GÄVLE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45644</v>
      </c>
      <c r="E286" s="1" t="n">
        <v>46265</v>
      </c>
      <c r="F286" t="inlineStr">
        <is>
          <t>GÄVLEBORGS LÄN</t>
        </is>
      </c>
      <c r="G286" t="inlineStr">
        <is>
          <t>GÄVLE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46265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46265</v>
      </c>
      <c r="F288" t="inlineStr">
        <is>
          <t>GÄVLEBORGS LÄN</t>
        </is>
      </c>
      <c r="G288" t="inlineStr">
        <is>
          <t>GÄVLE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45505</v>
      </c>
      <c r="E289" s="1" t="n">
        <v>46265</v>
      </c>
      <c r="F289" t="inlineStr">
        <is>
          <t>GÄVLEBORGS LÄN</t>
        </is>
      </c>
      <c r="G289" t="inlineStr">
        <is>
          <t>GÄVLE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46265</v>
      </c>
      <c r="F290" t="inlineStr">
        <is>
          <t>GÄVLEBORGS LÄN</t>
        </is>
      </c>
      <c r="G290" t="inlineStr">
        <is>
          <t>GÄVLE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46265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45850-2025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45923</v>
      </c>
      <c r="E292" s="1" t="n">
        <v>46265</v>
      </c>
      <c r="F292" t="inlineStr">
        <is>
          <t>GÄVLEBORGS LÄN</t>
        </is>
      </c>
      <c r="G292" t="inlineStr">
        <is>
          <t>GÄVLE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45475</v>
      </c>
      <c r="E293" s="1" t="n">
        <v>46265</v>
      </c>
      <c r="F293" t="inlineStr">
        <is>
          <t>GÄVLEBORGS LÄN</t>
        </is>
      </c>
      <c r="G293" t="inlineStr">
        <is>
          <t>GÄVLE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46265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46265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46265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26564-2022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44739</v>
      </c>
      <c r="E297" s="1" t="n">
        <v>46265</v>
      </c>
      <c r="F297" t="inlineStr">
        <is>
          <t>GÄVLEBORGS LÄN</t>
        </is>
      </c>
      <c r="G297" t="inlineStr">
        <is>
          <t>GÄVLE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46265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46265</v>
      </c>
      <c r="F299" t="inlineStr">
        <is>
          <t>GÄVLEBORGS LÄN</t>
        </is>
      </c>
      <c r="G299" t="inlineStr">
        <is>
          <t>GÄVLE</t>
        </is>
      </c>
      <c r="H299" t="inlineStr">
        <is>
          <t>Kyrkan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46265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46265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46265</v>
      </c>
      <c r="F302" t="inlineStr">
        <is>
          <t>GÄVLEBORGS LÄN</t>
        </is>
      </c>
      <c r="G302" t="inlineStr">
        <is>
          <t>GÄVLE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46265</v>
      </c>
      <c r="F303" t="inlineStr">
        <is>
          <t>GÄVLEBORGS LÄN</t>
        </is>
      </c>
      <c r="G303" t="inlineStr">
        <is>
          <t>GÄVLE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58542-2025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46265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46265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65879-2021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44517</v>
      </c>
      <c r="E306" s="1" t="n">
        <v>46265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45922</v>
      </c>
      <c r="E307" s="1" t="n">
        <v>46265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46265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46265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46265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46265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46265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46265</v>
      </c>
      <c r="F313" t="inlineStr">
        <is>
          <t>GÄVLEBORGS LÄN</t>
        </is>
      </c>
      <c r="G313" t="inlineStr">
        <is>
          <t>GÄVLE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46265</v>
      </c>
      <c r="F314" t="inlineStr">
        <is>
          <t>GÄVLEBORGS LÄN</t>
        </is>
      </c>
      <c r="G314" t="inlineStr">
        <is>
          <t>GÄVLE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44585</v>
      </c>
      <c r="E315" s="1" t="n">
        <v>46265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46265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46265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46265</v>
      </c>
      <c r="F318" t="inlineStr">
        <is>
          <t>GÄVLEBORGS LÄN</t>
        </is>
      </c>
      <c r="G318" t="inlineStr">
        <is>
          <t>GÄVLE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46265</v>
      </c>
      <c r="F319" t="inlineStr">
        <is>
          <t>GÄVLEBORGS LÄN</t>
        </is>
      </c>
      <c r="G319" t="inlineStr">
        <is>
          <t>GÄVLE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46265</v>
      </c>
      <c r="F320" t="inlineStr">
        <is>
          <t>GÄVLEBORGS LÄN</t>
        </is>
      </c>
      <c r="G320" t="inlineStr">
        <is>
          <t>GÄVLE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46265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46265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46265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46265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46265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45813</v>
      </c>
      <c r="E326" s="1" t="n">
        <v>46265</v>
      </c>
      <c r="F326" t="inlineStr">
        <is>
          <t>GÄVLEBORGS LÄN</t>
        </is>
      </c>
      <c r="G326" t="inlineStr">
        <is>
          <t>GÄVLE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46265</v>
      </c>
      <c r="F327" t="inlineStr">
        <is>
          <t>GÄVLEBORGS LÄN</t>
        </is>
      </c>
      <c r="G327" t="inlineStr">
        <is>
          <t>GÄVLE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46265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46265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46265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45987</v>
      </c>
      <c r="E331" s="1" t="n">
        <v>46265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46265</v>
      </c>
      <c r="F332" t="inlineStr">
        <is>
          <t>GÄVLEBORGS LÄN</t>
        </is>
      </c>
      <c r="G332" t="inlineStr">
        <is>
          <t>GÄVLE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45922</v>
      </c>
      <c r="E333" s="1" t="n">
        <v>46265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46265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46265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46265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45442-2025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46265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46265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46265</v>
      </c>
      <c r="F339" t="inlineStr">
        <is>
          <t>GÄVLEBORGS LÄN</t>
        </is>
      </c>
      <c r="G339" t="inlineStr">
        <is>
          <t>GÄVLE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46265</v>
      </c>
      <c r="F340" t="inlineStr">
        <is>
          <t>GÄVLEBORGS LÄN</t>
        </is>
      </c>
      <c r="G340" t="inlineStr">
        <is>
          <t>GÄVLE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46265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46265</v>
      </c>
      <c r="F342" t="inlineStr">
        <is>
          <t>GÄVLEBORGS LÄN</t>
        </is>
      </c>
      <c r="G342" t="inlineStr">
        <is>
          <t>GÄVLE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45916</v>
      </c>
      <c r="E343" s="1" t="n">
        <v>46265</v>
      </c>
      <c r="F343" t="inlineStr">
        <is>
          <t>GÄVLEBORGS LÄN</t>
        </is>
      </c>
      <c r="G343" t="inlineStr">
        <is>
          <t>GÄVLE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46265</v>
      </c>
      <c r="F344" t="inlineStr">
        <is>
          <t>GÄVLEBORGS LÄN</t>
        </is>
      </c>
      <c r="G344" t="inlineStr">
        <is>
          <t>GÄVLE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46265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46265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45993</v>
      </c>
      <c r="E347" s="1" t="n">
        <v>46265</v>
      </c>
      <c r="F347" t="inlineStr">
        <is>
          <t>GÄVLEBORGS LÄN</t>
        </is>
      </c>
      <c r="G347" t="inlineStr">
        <is>
          <t>GÄVLE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46265</v>
      </c>
      <c r="F348" t="inlineStr">
        <is>
          <t>GÄVLEBORGS LÄN</t>
        </is>
      </c>
      <c r="G348" t="inlineStr">
        <is>
          <t>GÄVLE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44959</v>
      </c>
      <c r="E349" s="1" t="n">
        <v>46265</v>
      </c>
      <c r="F349" t="inlineStr">
        <is>
          <t>GÄVLEBORGS LÄN</t>
        </is>
      </c>
      <c r="G349" t="inlineStr">
        <is>
          <t>GÄVLE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46265</v>
      </c>
      <c r="F350" t="inlineStr">
        <is>
          <t>GÄVLEBORGS LÄN</t>
        </is>
      </c>
      <c r="G350" t="inlineStr">
        <is>
          <t>GÄVLE</t>
        </is>
      </c>
      <c r="H350" t="inlineStr">
        <is>
          <t>Kyrkan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46265</v>
      </c>
      <c r="F351" t="inlineStr">
        <is>
          <t>GÄVLEBORGS LÄN</t>
        </is>
      </c>
      <c r="G351" t="inlineStr">
        <is>
          <t>GÄVLE</t>
        </is>
      </c>
      <c r="I351" t="n">
        <v>13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46265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46265</v>
      </c>
      <c r="F353" t="inlineStr">
        <is>
          <t>GÄVLEBORGS LÄN</t>
        </is>
      </c>
      <c r="G353" t="inlineStr">
        <is>
          <t>GÄVLE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19555-2022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44693</v>
      </c>
      <c r="E354" s="1" t="n">
        <v>46265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45223</v>
      </c>
      <c r="E355" s="1" t="n">
        <v>46265</v>
      </c>
      <c r="F355" t="inlineStr">
        <is>
          <t>GÄVLEBORGS LÄN</t>
        </is>
      </c>
      <c r="G355" t="inlineStr">
        <is>
          <t>GÄVLE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46265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46265</v>
      </c>
      <c r="F357" t="inlineStr">
        <is>
          <t>GÄVLEBORGS LÄN</t>
        </is>
      </c>
      <c r="G357" t="inlineStr">
        <is>
          <t>GÄVLE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46265</v>
      </c>
      <c r="F358" t="inlineStr">
        <is>
          <t>GÄVLEBORGS LÄN</t>
        </is>
      </c>
      <c r="G358" t="inlineStr">
        <is>
          <t>GÄVLE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46265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46265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46265</v>
      </c>
      <c r="F361" t="inlineStr">
        <is>
          <t>GÄVLEBORGS LÄN</t>
        </is>
      </c>
      <c r="G361" t="inlineStr">
        <is>
          <t>GÄVLE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45968</v>
      </c>
      <c r="E362" s="1" t="n">
        <v>46265</v>
      </c>
      <c r="F362" t="inlineStr">
        <is>
          <t>GÄVLEBORGS LÄN</t>
        </is>
      </c>
      <c r="G362" t="inlineStr">
        <is>
          <t>GÄVLE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46265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46265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46265</v>
      </c>
      <c r="F365" t="inlineStr">
        <is>
          <t>GÄVLEBORGS LÄN</t>
        </is>
      </c>
      <c r="G365" t="inlineStr">
        <is>
          <t>GÄVLE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46265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45019</v>
      </c>
      <c r="E367" s="1" t="n">
        <v>46265</v>
      </c>
      <c r="F367" t="inlineStr">
        <is>
          <t>GÄVLEBORGS LÄN</t>
        </is>
      </c>
      <c r="G367" t="inlineStr">
        <is>
          <t>GÄVLE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46265</v>
      </c>
      <c r="F368" t="inlineStr">
        <is>
          <t>GÄVLEBORGS LÄN</t>
        </is>
      </c>
      <c r="G368" t="inlineStr">
        <is>
          <t>GÄVLE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61651-2025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46002</v>
      </c>
      <c r="E369" s="1" t="n">
        <v>46265</v>
      </c>
      <c r="F369" t="inlineStr">
        <is>
          <t>GÄVLEBORGS LÄN</t>
        </is>
      </c>
      <c r="G369" t="inlineStr">
        <is>
          <t>GÄVLE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45652</v>
      </c>
      <c r="E370" s="1" t="n">
        <v>46265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46265</v>
      </c>
      <c r="F371" t="inlineStr">
        <is>
          <t>GÄVLEBORGS LÄN</t>
        </is>
      </c>
      <c r="G371" t="inlineStr">
        <is>
          <t>GÄVLE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19095-2022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44691</v>
      </c>
      <c r="E372" s="1" t="n">
        <v>46265</v>
      </c>
      <c r="F372" t="inlineStr">
        <is>
          <t>GÄVLEBORGS LÄN</t>
        </is>
      </c>
      <c r="G372" t="inlineStr">
        <is>
          <t>GÄVLE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45741</v>
      </c>
      <c r="E373" s="1" t="n">
        <v>46265</v>
      </c>
      <c r="F373" t="inlineStr">
        <is>
          <t>GÄVLEBORGS LÄN</t>
        </is>
      </c>
      <c r="G373" t="inlineStr">
        <is>
          <t>GÄVLE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18017-2023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46265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46265</v>
      </c>
      <c r="F375" t="inlineStr">
        <is>
          <t>GÄVLEBORGS LÄN</t>
        </is>
      </c>
      <c r="G375" t="inlineStr">
        <is>
          <t>GÄVLE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46265</v>
      </c>
      <c r="F376" t="inlineStr">
        <is>
          <t>GÄVLEBORGS LÄN</t>
        </is>
      </c>
      <c r="G376" t="inlineStr">
        <is>
          <t>GÄVLE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46265</v>
      </c>
      <c r="F377" t="inlineStr">
        <is>
          <t>GÄVLEBORGS LÄN</t>
        </is>
      </c>
      <c r="G377" t="inlineStr">
        <is>
          <t>GÄVLE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46265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30202-2025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45827</v>
      </c>
      <c r="E379" s="1" t="n">
        <v>46265</v>
      </c>
      <c r="F379" t="inlineStr">
        <is>
          <t>GÄVLEBORGS LÄN</t>
        </is>
      </c>
      <c r="G379" t="inlineStr">
        <is>
          <t>GÄVLE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46265</v>
      </c>
      <c r="F380" t="inlineStr">
        <is>
          <t>GÄVLEBORGS LÄN</t>
        </is>
      </c>
      <c r="G380" t="inlineStr">
        <is>
          <t>GÄVLE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46265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46265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44951</v>
      </c>
      <c r="E383" s="1" t="n">
        <v>46265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46265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45832</v>
      </c>
      <c r="E385" s="1" t="n">
        <v>46265</v>
      </c>
      <c r="F385" t="inlineStr">
        <is>
          <t>GÄVLEBORGS LÄN</t>
        </is>
      </c>
      <c r="G385" t="inlineStr">
        <is>
          <t>GÄVLE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45324</v>
      </c>
      <c r="E386" s="1" t="n">
        <v>46265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64871-2023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45282</v>
      </c>
      <c r="E387" s="1" t="n">
        <v>46265</v>
      </c>
      <c r="F387" t="inlineStr">
        <is>
          <t>GÄVLEBORGS LÄN</t>
        </is>
      </c>
      <c r="G387" t="inlineStr">
        <is>
          <t>GÄVLE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64875-2023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45282</v>
      </c>
      <c r="E388" s="1" t="n">
        <v>46265</v>
      </c>
      <c r="F388" t="inlineStr">
        <is>
          <t>GÄVLEBORGS LÄN</t>
        </is>
      </c>
      <c r="G388" t="inlineStr">
        <is>
          <t>GÄVLE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46265</v>
      </c>
      <c r="F389" t="inlineStr">
        <is>
          <t>GÄVLEBORGS LÄN</t>
        </is>
      </c>
      <c r="G389" t="inlineStr">
        <is>
          <t>GÄVLE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46265</v>
      </c>
      <c r="F390" t="inlineStr">
        <is>
          <t>GÄVLEBORGS LÄN</t>
        </is>
      </c>
      <c r="G390" t="inlineStr">
        <is>
          <t>GÄVLE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44713</v>
      </c>
      <c r="E391" s="1" t="n">
        <v>46265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46265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44708</v>
      </c>
      <c r="E393" s="1" t="n">
        <v>46265</v>
      </c>
      <c r="F393" t="inlineStr">
        <is>
          <t>GÄVLEBORGS LÄN</t>
        </is>
      </c>
      <c r="G393" t="inlineStr">
        <is>
          <t>GÄVLE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46265</v>
      </c>
      <c r="F394" t="inlineStr">
        <is>
          <t>GÄVLEBORGS LÄN</t>
        </is>
      </c>
      <c r="G394" t="inlineStr">
        <is>
          <t>GÄVLE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46265</v>
      </c>
      <c r="F395" t="inlineStr">
        <is>
          <t>GÄVLEBORGS LÄN</t>
        </is>
      </c>
      <c r="G395" t="inlineStr">
        <is>
          <t>GÄVLE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46265</v>
      </c>
      <c r="F396" t="inlineStr">
        <is>
          <t>GÄVLEBORGS LÄN</t>
        </is>
      </c>
      <c r="G396" t="inlineStr">
        <is>
          <t>GÄVLE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46265</v>
      </c>
      <c r="F397" t="inlineStr">
        <is>
          <t>GÄVLEBORGS LÄN</t>
        </is>
      </c>
      <c r="G397" t="inlineStr">
        <is>
          <t>GÄVLE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46265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46265</v>
      </c>
      <c r="F399" t="inlineStr">
        <is>
          <t>GÄVLEBORGS LÄN</t>
        </is>
      </c>
      <c r="G399" t="inlineStr">
        <is>
          <t>GÄVLE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46265</v>
      </c>
      <c r="F400" t="inlineStr">
        <is>
          <t>GÄVLEBORGS LÄN</t>
        </is>
      </c>
      <c r="G400" t="inlineStr">
        <is>
          <t>GÄVLE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45463</v>
      </c>
      <c r="E401" s="1" t="n">
        <v>46265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45848</v>
      </c>
      <c r="E402" s="1" t="n">
        <v>46265</v>
      </c>
      <c r="F402" t="inlineStr">
        <is>
          <t>GÄVLEBORGS LÄN</t>
        </is>
      </c>
      <c r="G402" t="inlineStr">
        <is>
          <t>GÄVLE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46265</v>
      </c>
      <c r="F403" t="inlineStr">
        <is>
          <t>GÄVLEBORGS LÄN</t>
        </is>
      </c>
      <c r="G403" t="inlineStr">
        <is>
          <t>GÄVLE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46265</v>
      </c>
      <c r="F404" t="inlineStr">
        <is>
          <t>GÄVLEBORGS LÄN</t>
        </is>
      </c>
      <c r="G404" t="inlineStr">
        <is>
          <t>GÄVLE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45854</v>
      </c>
      <c r="E405" s="1" t="n">
        <v>46265</v>
      </c>
      <c r="F405" t="inlineStr">
        <is>
          <t>GÄVLEBORGS LÄN</t>
        </is>
      </c>
      <c r="G405" t="inlineStr">
        <is>
          <t>GÄVLE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45034</v>
      </c>
      <c r="E406" s="1" t="n">
        <v>46265</v>
      </c>
      <c r="F406" t="inlineStr">
        <is>
          <t>GÄVLEBORGS LÄN</t>
        </is>
      </c>
      <c r="G406" t="inlineStr">
        <is>
          <t>GÄVLE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35650-2025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45859</v>
      </c>
      <c r="E407" s="1" t="n">
        <v>46265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45862</v>
      </c>
      <c r="E408" s="1" t="n">
        <v>46265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45862</v>
      </c>
      <c r="E409" s="1" t="n">
        <v>46265</v>
      </c>
      <c r="F409" t="inlineStr">
        <is>
          <t>GÄVLEBORGS LÄN</t>
        </is>
      </c>
      <c r="G409" t="inlineStr">
        <is>
          <t>GÄVLE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35919-2025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45862</v>
      </c>
      <c r="E410" s="1" t="n">
        <v>46265</v>
      </c>
      <c r="F410" t="inlineStr">
        <is>
          <t>GÄVLEBORGS LÄN</t>
        </is>
      </c>
      <c r="G410" t="inlineStr">
        <is>
          <t>GÄVLE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46265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46265</v>
      </c>
      <c r="F412" t="inlineStr">
        <is>
          <t>GÄVLEBORGS LÄN</t>
        </is>
      </c>
      <c r="G412" t="inlineStr">
        <is>
          <t>GÄVLE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36516-2025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45869</v>
      </c>
      <c r="E413" s="1" t="n">
        <v>46265</v>
      </c>
      <c r="F413" t="inlineStr">
        <is>
          <t>GÄVLEBORGS LÄN</t>
        </is>
      </c>
      <c r="G413" t="inlineStr">
        <is>
          <t>GÄVLE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46265</v>
      </c>
      <c r="F414" t="inlineStr">
        <is>
          <t>GÄVLEBORGS LÄN</t>
        </is>
      </c>
      <c r="G414" t="inlineStr">
        <is>
          <t>GÄVLE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46265</v>
      </c>
      <c r="F415" t="inlineStr">
        <is>
          <t>GÄVLEBORGS LÄN</t>
        </is>
      </c>
      <c r="G415" t="inlineStr">
        <is>
          <t>GÄVLE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45873</v>
      </c>
      <c r="E416" s="1" t="n">
        <v>46265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45089</v>
      </c>
      <c r="E417" s="1" t="n">
        <v>46265</v>
      </c>
      <c r="F417" t="inlineStr">
        <is>
          <t>GÄVLEBORGS LÄN</t>
        </is>
      </c>
      <c r="G417" t="inlineStr">
        <is>
          <t>GÄVLE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46265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45545</v>
      </c>
      <c r="E419" s="1" t="n">
        <v>46265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46265</v>
      </c>
      <c r="F420" t="inlineStr">
        <is>
          <t>GÄVLEBORGS LÄN</t>
        </is>
      </c>
      <c r="G420" t="inlineStr">
        <is>
          <t>GÄVLE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66351-2021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44518</v>
      </c>
      <c r="E421" s="1" t="n">
        <v>46265</v>
      </c>
      <c r="F421" t="inlineStr">
        <is>
          <t>GÄVLEBORGS LÄN</t>
        </is>
      </c>
      <c r="G421" t="inlineStr">
        <is>
          <t>GÄVLE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45740</v>
      </c>
      <c r="E422" s="1" t="n">
        <v>46265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46265</v>
      </c>
      <c r="F423" t="inlineStr">
        <is>
          <t>GÄVLEBORGS LÄN</t>
        </is>
      </c>
      <c r="G423" t="inlineStr">
        <is>
          <t>GÄVLE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46265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44922</v>
      </c>
      <c r="E425" s="1" t="n">
        <v>46265</v>
      </c>
      <c r="F425" t="inlineStr">
        <is>
          <t>GÄVLEBORGS LÄN</t>
        </is>
      </c>
      <c r="G425" t="inlineStr">
        <is>
          <t>GÄVLE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38516-2025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45884</v>
      </c>
      <c r="E426" s="1" t="n">
        <v>46265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45089</v>
      </c>
      <c r="E427" s="1" t="n">
        <v>46265</v>
      </c>
      <c r="F427" t="inlineStr">
        <is>
          <t>GÄVLEBORGS LÄN</t>
        </is>
      </c>
      <c r="G427" t="inlineStr">
        <is>
          <t>GÄVLE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46265</v>
      </c>
      <c r="F428" t="inlineStr">
        <is>
          <t>GÄVLEBORGS LÄN</t>
        </is>
      </c>
      <c r="G428" t="inlineStr">
        <is>
          <t>GÄVLE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31062-2023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45113</v>
      </c>
      <c r="E429" s="1" t="n">
        <v>46265</v>
      </c>
      <c r="F429" t="inlineStr">
        <is>
          <t>GÄVLEBORGS LÄN</t>
        </is>
      </c>
      <c r="G429" t="inlineStr">
        <is>
          <t>GÄVLE</t>
        </is>
      </c>
      <c r="H429" t="inlineStr">
        <is>
          <t>Kommuner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46265</v>
      </c>
      <c r="F430" t="inlineStr">
        <is>
          <t>GÄVLEBORGS LÄN</t>
        </is>
      </c>
      <c r="G430" t="inlineStr">
        <is>
          <t>GÄVLE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46265</v>
      </c>
      <c r="F431" t="inlineStr">
        <is>
          <t>GÄVLEBORGS LÄN</t>
        </is>
      </c>
      <c r="G431" t="inlineStr">
        <is>
          <t>GÄVLE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19730-2022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44694</v>
      </c>
      <c r="E432" s="1" t="n">
        <v>46265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46265</v>
      </c>
      <c r="F433" t="inlineStr">
        <is>
          <t>GÄVLEBORGS LÄN</t>
        </is>
      </c>
      <c r="G433" t="inlineStr">
        <is>
          <t>GÄVLE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45660</v>
      </c>
      <c r="E434" s="1" t="n">
        <v>46265</v>
      </c>
      <c r="F434" t="inlineStr">
        <is>
          <t>GÄVLEBORGS LÄN</t>
        </is>
      </c>
      <c r="G434" t="inlineStr">
        <is>
          <t>GÄVLE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44756</v>
      </c>
      <c r="E435" s="1" t="n">
        <v>46265</v>
      </c>
      <c r="F435" t="inlineStr">
        <is>
          <t>GÄVLEBORGS LÄN</t>
        </is>
      </c>
      <c r="G435" t="inlineStr">
        <is>
          <t>GÄVLE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29927-2022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44756</v>
      </c>
      <c r="E436" s="1" t="n">
        <v>46265</v>
      </c>
      <c r="F436" t="inlineStr">
        <is>
          <t>GÄVLEBORGS LÄN</t>
        </is>
      </c>
      <c r="G436" t="inlineStr">
        <is>
          <t>GÄVLE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45014</v>
      </c>
      <c r="E437" s="1" t="n">
        <v>46265</v>
      </c>
      <c r="F437" t="inlineStr">
        <is>
          <t>GÄVLEBORGS LÄN</t>
        </is>
      </c>
      <c r="G437" t="inlineStr">
        <is>
          <t>GÄVLE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61879-2024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45652</v>
      </c>
      <c r="E438" s="1" t="n">
        <v>46265</v>
      </c>
      <c r="F438" t="inlineStr">
        <is>
          <t>GÄVLEBORGS LÄN</t>
        </is>
      </c>
      <c r="G438" t="inlineStr">
        <is>
          <t>GÄVLE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46265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46265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45685</v>
      </c>
      <c r="E441" s="1" t="n">
        <v>46265</v>
      </c>
      <c r="F441" t="inlineStr">
        <is>
          <t>GÄVLEBORGS LÄN</t>
        </is>
      </c>
      <c r="G441" t="inlineStr">
        <is>
          <t>GÄVLE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46019</v>
      </c>
      <c r="E442" s="1" t="n">
        <v>46265</v>
      </c>
      <c r="F442" t="inlineStr">
        <is>
          <t>GÄVLEBORGS LÄN</t>
        </is>
      </c>
      <c r="G442" t="inlineStr">
        <is>
          <t>GÄVLE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46265</v>
      </c>
      <c r="F443" t="inlineStr">
        <is>
          <t>GÄVLEBORGS LÄN</t>
        </is>
      </c>
      <c r="G443" t="inlineStr">
        <is>
          <t>GÄVLE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45931</v>
      </c>
      <c r="E444" s="1" t="n">
        <v>46265</v>
      </c>
      <c r="F444" t="inlineStr">
        <is>
          <t>GÄVLEBORGS LÄN</t>
        </is>
      </c>
      <c r="G444" t="inlineStr">
        <is>
          <t>GÄVLE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48864-2025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45937</v>
      </c>
      <c r="E445" s="1" t="n">
        <v>46265</v>
      </c>
      <c r="F445" t="inlineStr">
        <is>
          <t>GÄVLEBORGS LÄN</t>
        </is>
      </c>
      <c r="G445" t="inlineStr">
        <is>
          <t>GÄVLE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45660</v>
      </c>
      <c r="E446" s="1" t="n">
        <v>46265</v>
      </c>
      <c r="F446" t="inlineStr">
        <is>
          <t>GÄVLEBORGS LÄN</t>
        </is>
      </c>
      <c r="G446" t="inlineStr">
        <is>
          <t>GÄVLE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45660</v>
      </c>
      <c r="E447" s="1" t="n">
        <v>46265</v>
      </c>
      <c r="F447" t="inlineStr">
        <is>
          <t>GÄVLEBORGS LÄN</t>
        </is>
      </c>
      <c r="G447" t="inlineStr">
        <is>
          <t>GÄVLE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46265</v>
      </c>
      <c r="F448" t="inlineStr">
        <is>
          <t>GÄVLEBORGS LÄN</t>
        </is>
      </c>
      <c r="G448" t="inlineStr">
        <is>
          <t>GÄVLE</t>
        </is>
      </c>
      <c r="I448" t="n">
        <v>8.199999999999999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46019</v>
      </c>
      <c r="E449" s="1" t="n">
        <v>46265</v>
      </c>
      <c r="F449" t="inlineStr">
        <is>
          <t>GÄVLEBORGS LÄN</t>
        </is>
      </c>
      <c r="G449" t="inlineStr">
        <is>
          <t>GÄVLE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46265</v>
      </c>
      <c r="F450" t="inlineStr">
        <is>
          <t>GÄVLEBORGS LÄN</t>
        </is>
      </c>
      <c r="G450" t="inlineStr">
        <is>
          <t>GÄVLE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47942-2025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45932</v>
      </c>
      <c r="E451" s="1" t="n">
        <v>46265</v>
      </c>
      <c r="F451" t="inlineStr">
        <is>
          <t>GÄVLEBORGS LÄN</t>
        </is>
      </c>
      <c r="G451" t="inlineStr">
        <is>
          <t>GÄVLE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45932</v>
      </c>
      <c r="E452" s="1" t="n">
        <v>46265</v>
      </c>
      <c r="F452" t="inlineStr">
        <is>
          <t>GÄVLEBORGS LÄN</t>
        </is>
      </c>
      <c r="G452" t="inlineStr">
        <is>
          <t>GÄVLE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46265</v>
      </c>
      <c r="F453" t="inlineStr">
        <is>
          <t>GÄVLEBORGS LÄN</t>
        </is>
      </c>
      <c r="G453" t="inlineStr">
        <is>
          <t>GÄVLE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46265</v>
      </c>
      <c r="F454" t="inlineStr">
        <is>
          <t>GÄVLEBORGS LÄN</t>
        </is>
      </c>
      <c r="G454" t="inlineStr">
        <is>
          <t>GÄVLE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45176</v>
      </c>
      <c r="E455" s="1" t="n">
        <v>46265</v>
      </c>
      <c r="F455" t="inlineStr">
        <is>
          <t>GÄVLEBORGS LÄN</t>
        </is>
      </c>
      <c r="G455" t="inlineStr">
        <is>
          <t>GÄVLE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45176</v>
      </c>
      <c r="E456" s="1" t="n">
        <v>46265</v>
      </c>
      <c r="F456" t="inlineStr">
        <is>
          <t>GÄVLEBORGS LÄN</t>
        </is>
      </c>
      <c r="G456" t="inlineStr">
        <is>
          <t>GÄVLE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46022</v>
      </c>
      <c r="E457" s="1" t="n">
        <v>46265</v>
      </c>
      <c r="F457" t="inlineStr">
        <is>
          <t>GÄVLEBORGS LÄN</t>
        </is>
      </c>
      <c r="G457" t="inlineStr">
        <is>
          <t>GÄVLE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45681</v>
      </c>
      <c r="E458" s="1" t="n">
        <v>46265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8031-2024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45350</v>
      </c>
      <c r="E459" s="1" t="n">
        <v>46265</v>
      </c>
      <c r="F459" t="inlineStr">
        <is>
          <t>GÄVLEBORGS LÄN</t>
        </is>
      </c>
      <c r="G459" t="inlineStr">
        <is>
          <t>GÄVLE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7792-2023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44973</v>
      </c>
      <c r="E460" s="1" t="n">
        <v>46265</v>
      </c>
      <c r="F460" t="inlineStr">
        <is>
          <t>GÄVLEBORGS LÄN</t>
        </is>
      </c>
      <c r="G460" t="inlineStr">
        <is>
          <t>GÄVLE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46265</v>
      </c>
      <c r="F461" t="inlineStr">
        <is>
          <t>GÄVLEBORGS LÄN</t>
        </is>
      </c>
      <c r="G461" t="inlineStr">
        <is>
          <t>GÄVLE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4482-2022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44589</v>
      </c>
      <c r="E462" s="1" t="n">
        <v>46265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46265</v>
      </c>
      <c r="F463" t="inlineStr">
        <is>
          <t>GÄVLEBORGS LÄN</t>
        </is>
      </c>
      <c r="G463" t="inlineStr">
        <is>
          <t>GÄVLE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71249-2021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46265</v>
      </c>
      <c r="F464" t="inlineStr">
        <is>
          <t>GÄVLEBORGS LÄN</t>
        </is>
      </c>
      <c r="G464" t="inlineStr">
        <is>
          <t>GÄVLE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45026</v>
      </c>
      <c r="E465" s="1" t="n">
        <v>46265</v>
      </c>
      <c r="F465" t="inlineStr">
        <is>
          <t>GÄVLEBORGS LÄN</t>
        </is>
      </c>
      <c r="G465" t="inlineStr">
        <is>
          <t>GÄVLE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45245</v>
      </c>
      <c r="E466" s="1" t="n">
        <v>46265</v>
      </c>
      <c r="F466" t="inlineStr">
        <is>
          <t>GÄVLEBORGS LÄN</t>
        </is>
      </c>
      <c r="G466" t="inlineStr">
        <is>
          <t>GÄVLE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45320</v>
      </c>
      <c r="E467" s="1" t="n">
        <v>46265</v>
      </c>
      <c r="F467" t="inlineStr">
        <is>
          <t>GÄVLEBORGS LÄN</t>
        </is>
      </c>
      <c r="G467" t="inlineStr">
        <is>
          <t>GÄVLE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14792-2023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45014</v>
      </c>
      <c r="E468" s="1" t="n">
        <v>46265</v>
      </c>
      <c r="F468" t="inlineStr">
        <is>
          <t>GÄVLEBORGS LÄN</t>
        </is>
      </c>
      <c r="G468" t="inlineStr">
        <is>
          <t>GÄVLE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46265</v>
      </c>
      <c r="F469" t="inlineStr">
        <is>
          <t>GÄVLEBORGS LÄN</t>
        </is>
      </c>
      <c r="G469" t="inlineStr">
        <is>
          <t>GÄVLE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46265</v>
      </c>
      <c r="F470" t="inlineStr">
        <is>
          <t>GÄVLEBORGS LÄN</t>
        </is>
      </c>
      <c r="G470" t="inlineStr">
        <is>
          <t>GÄVLE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46265</v>
      </c>
      <c r="F471" t="inlineStr">
        <is>
          <t>GÄVLEBORGS LÄN</t>
        </is>
      </c>
      <c r="G471" t="inlineStr">
        <is>
          <t>GÄVLE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46265</v>
      </c>
      <c r="F472" t="inlineStr">
        <is>
          <t>GÄVLEBORGS LÄN</t>
        </is>
      </c>
      <c r="G472" t="inlineStr">
        <is>
          <t>GÄVLE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61878-2025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46003</v>
      </c>
      <c r="E473" s="1" t="n">
        <v>46265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47746-2023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45203</v>
      </c>
      <c r="E474" s="1" t="n">
        <v>46265</v>
      </c>
      <c r="F474" t="inlineStr">
        <is>
          <t>GÄVLEBORGS LÄN</t>
        </is>
      </c>
      <c r="G474" t="inlineStr">
        <is>
          <t>GÄVLE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46265</v>
      </c>
      <c r="F475" t="inlineStr">
        <is>
          <t>GÄVLEBORGS LÄN</t>
        </is>
      </c>
      <c r="G475" t="inlineStr">
        <is>
          <t>GÄVLE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22466-2023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45070</v>
      </c>
      <c r="E476" s="1" t="n">
        <v>46265</v>
      </c>
      <c r="F476" t="inlineStr">
        <is>
          <t>GÄVLEBORGS LÄN</t>
        </is>
      </c>
      <c r="G476" t="inlineStr">
        <is>
          <t>GÄVLE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45757</v>
      </c>
      <c r="E477" s="1" t="n">
        <v>46265</v>
      </c>
      <c r="F477" t="inlineStr">
        <is>
          <t>GÄVLEBORGS LÄN</t>
        </is>
      </c>
      <c r="G477" t="inlineStr">
        <is>
          <t>GÄVLE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45757</v>
      </c>
      <c r="E478" s="1" t="n">
        <v>46265</v>
      </c>
      <c r="F478" t="inlineStr">
        <is>
          <t>GÄVLEBORGS LÄN</t>
        </is>
      </c>
      <c r="G478" t="inlineStr">
        <is>
          <t>GÄVLE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45090</v>
      </c>
      <c r="E479" s="1" t="n">
        <v>46265</v>
      </c>
      <c r="F479" t="inlineStr">
        <is>
          <t>GÄVLEBORGS LÄN</t>
        </is>
      </c>
      <c r="G479" t="inlineStr">
        <is>
          <t>GÄVLE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45757</v>
      </c>
      <c r="E480" s="1" t="n">
        <v>46265</v>
      </c>
      <c r="F480" t="inlineStr">
        <is>
          <t>GÄVLEBORGS LÄN</t>
        </is>
      </c>
      <c r="G480" t="inlineStr">
        <is>
          <t>GÄVLE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45272</v>
      </c>
      <c r="E481" s="1" t="n">
        <v>46265</v>
      </c>
      <c r="F481" t="inlineStr">
        <is>
          <t>GÄVLEBORGS LÄN</t>
        </is>
      </c>
      <c r="G481" t="inlineStr">
        <is>
          <t>GÄVLE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46265</v>
      </c>
      <c r="F482" t="inlineStr">
        <is>
          <t>GÄVLEBORGS LÄN</t>
        </is>
      </c>
      <c r="G482" t="inlineStr">
        <is>
          <t>GÄVLE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52387-2022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44874</v>
      </c>
      <c r="E483" s="1" t="n">
        <v>46265</v>
      </c>
      <c r="F483" t="inlineStr">
        <is>
          <t>GÄVLEBORGS LÄN</t>
        </is>
      </c>
      <c r="G483" t="inlineStr">
        <is>
          <t>GÄVLE</t>
        </is>
      </c>
      <c r="H483" t="inlineStr">
        <is>
          <t>Kommuner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50871-2022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44867</v>
      </c>
      <c r="E484" s="1" t="n">
        <v>46265</v>
      </c>
      <c r="F484" t="inlineStr">
        <is>
          <t>GÄVLEBORGS LÄN</t>
        </is>
      </c>
      <c r="G484" t="inlineStr">
        <is>
          <t>GÄVLE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46045</v>
      </c>
      <c r="E485" s="1" t="n">
        <v>46265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46265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46265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46265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5633-2024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46265</v>
      </c>
      <c r="F489" t="inlineStr">
        <is>
          <t>GÄVLEBORGS LÄN</t>
        </is>
      </c>
      <c r="G489" t="inlineStr">
        <is>
          <t>GÄVLE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46265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46265</v>
      </c>
      <c r="F491" t="inlineStr">
        <is>
          <t>GÄVLEBORGS LÄN</t>
        </is>
      </c>
      <c r="G491" t="inlineStr">
        <is>
          <t>GÄVLE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45107</v>
      </c>
      <c r="E492" s="1" t="n">
        <v>46265</v>
      </c>
      <c r="F492" t="inlineStr">
        <is>
          <t>GÄVLEBORGS LÄN</t>
        </is>
      </c>
      <c r="G492" t="inlineStr">
        <is>
          <t>GÄVLE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46265</v>
      </c>
      <c r="F493" t="inlineStr">
        <is>
          <t>GÄVLEBORGS LÄN</t>
        </is>
      </c>
      <c r="G493" t="inlineStr">
        <is>
          <t>GÄVLE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46056</v>
      </c>
      <c r="E494" s="1" t="n">
        <v>46265</v>
      </c>
      <c r="F494" t="inlineStr">
        <is>
          <t>GÄVLEBORGS LÄN</t>
        </is>
      </c>
      <c r="G494" t="inlineStr">
        <is>
          <t>GÄVLE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46265</v>
      </c>
      <c r="F495" t="inlineStr">
        <is>
          <t>GÄVLEBORGS LÄN</t>
        </is>
      </c>
      <c r="G495" t="inlineStr">
        <is>
          <t>GÄVLE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14553-2026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46100</v>
      </c>
      <c r="E496" s="1" t="n">
        <v>46265</v>
      </c>
      <c r="F496" t="inlineStr">
        <is>
          <t>GÄVLEBORGS LÄN</t>
        </is>
      </c>
      <c r="G496" t="inlineStr">
        <is>
          <t>GÄVLE</t>
        </is>
      </c>
      <c r="H496" t="inlineStr">
        <is>
          <t>Övriga statliga verk och myndigheter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46265</v>
      </c>
      <c r="F497" t="inlineStr">
        <is>
          <t>GÄVLEBORGS LÄN</t>
        </is>
      </c>
      <c r="G497" t="inlineStr">
        <is>
          <t>GÄVLE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46265</v>
      </c>
      <c r="F498" t="inlineStr">
        <is>
          <t>GÄVLEBORGS LÄN</t>
        </is>
      </c>
      <c r="G498" t="inlineStr">
        <is>
          <t>GÄVLE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46800-2021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44446</v>
      </c>
      <c r="E499" s="1" t="n">
        <v>46265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46265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46265</v>
      </c>
      <c r="F501" t="inlineStr">
        <is>
          <t>GÄVLEBORGS LÄN</t>
        </is>
      </c>
      <c r="G501" t="inlineStr">
        <is>
          <t>GÄVLE</t>
        </is>
      </c>
      <c r="H501" t="inlineStr">
        <is>
          <t>Kyrkan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45660</v>
      </c>
      <c r="E502" s="1" t="n">
        <v>46265</v>
      </c>
      <c r="F502" t="inlineStr">
        <is>
          <t>GÄVLEBORGS LÄN</t>
        </is>
      </c>
      <c r="G502" t="inlineStr">
        <is>
          <t>GÄVLE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45660</v>
      </c>
      <c r="E503" s="1" t="n">
        <v>46265</v>
      </c>
      <c r="F503" t="inlineStr">
        <is>
          <t>GÄVLEBORGS LÄN</t>
        </is>
      </c>
      <c r="G503" t="inlineStr">
        <is>
          <t>GÄVLE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46265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44935</v>
      </c>
      <c r="E505" s="1" t="n">
        <v>46265</v>
      </c>
      <c r="F505" t="inlineStr">
        <is>
          <t>GÄVLEBORGS LÄN</t>
        </is>
      </c>
      <c r="G505" t="inlineStr">
        <is>
          <t>GÄVLE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46265</v>
      </c>
      <c r="F506" t="inlineStr">
        <is>
          <t>GÄVLEBORGS LÄN</t>
        </is>
      </c>
      <c r="G506" t="inlineStr">
        <is>
          <t>GÄVLE</t>
        </is>
      </c>
      <c r="H506" t="inlineStr">
        <is>
          <t>Kyrkan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46265</v>
      </c>
      <c r="F507" t="inlineStr">
        <is>
          <t>GÄVLEBORGS LÄN</t>
        </is>
      </c>
      <c r="G507" t="inlineStr">
        <is>
          <t>GÄVLE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46265</v>
      </c>
      <c r="F508" t="inlineStr">
        <is>
          <t>GÄVLEBORGS LÄN</t>
        </is>
      </c>
      <c r="G508" t="inlineStr">
        <is>
          <t>GÄVLE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46265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11.6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46265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45162</v>
      </c>
      <c r="E511" s="1" t="n">
        <v>46265</v>
      </c>
      <c r="F511" t="inlineStr">
        <is>
          <t>GÄVLEBORGS LÄN</t>
        </is>
      </c>
      <c r="G511" t="inlineStr">
        <is>
          <t>GÄVLE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45600</v>
      </c>
      <c r="E512" s="1" t="n">
        <v>46265</v>
      </c>
      <c r="F512" t="inlineStr">
        <is>
          <t>GÄVLEBORGS LÄN</t>
        </is>
      </c>
      <c r="G512" t="inlineStr">
        <is>
          <t>GÄVLE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46265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45519</v>
      </c>
      <c r="E514" s="1" t="n">
        <v>46265</v>
      </c>
      <c r="F514" t="inlineStr">
        <is>
          <t>GÄVLEBORGS LÄN</t>
        </is>
      </c>
      <c r="G514" t="inlineStr">
        <is>
          <t>GÄVLE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45539</v>
      </c>
      <c r="E515" s="1" t="n">
        <v>46265</v>
      </c>
      <c r="F515" t="inlineStr">
        <is>
          <t>GÄVLEBORGS LÄN</t>
        </is>
      </c>
      <c r="G515" t="inlineStr">
        <is>
          <t>GÄVLE</t>
        </is>
      </c>
      <c r="I515" t="n">
        <v>9.4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44910</v>
      </c>
      <c r="E516" s="1" t="n">
        <v>46265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60396-2022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44910</v>
      </c>
      <c r="E517" s="1" t="n">
        <v>46265</v>
      </c>
      <c r="F517" t="inlineStr">
        <is>
          <t>GÄVLEBORGS LÄN</t>
        </is>
      </c>
      <c r="G517" t="inlineStr">
        <is>
          <t>GÄVLE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46265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62766-2022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44885</v>
      </c>
      <c r="E519" s="1" t="n">
        <v>46265</v>
      </c>
      <c r="F519" t="inlineStr">
        <is>
          <t>GÄVLEBORGS LÄN</t>
        </is>
      </c>
      <c r="G519" t="inlineStr">
        <is>
          <t>GÄVLE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46549-2021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44445</v>
      </c>
      <c r="E520" s="1" t="n">
        <v>46265</v>
      </c>
      <c r="F520" t="inlineStr">
        <is>
          <t>GÄVLEBORGS LÄN</t>
        </is>
      </c>
      <c r="G520" t="inlineStr">
        <is>
          <t>GÄVLE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45306</v>
      </c>
      <c r="E521" s="1" t="n">
        <v>46265</v>
      </c>
      <c r="F521" t="inlineStr">
        <is>
          <t>GÄVLEBORGS LÄN</t>
        </is>
      </c>
      <c r="G521" t="inlineStr">
        <is>
          <t>GÄVLE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46265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72734-2021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44546</v>
      </c>
      <c r="E523" s="1" t="n">
        <v>46265</v>
      </c>
      <c r="F523" t="inlineStr">
        <is>
          <t>GÄVLEBORGS LÄN</t>
        </is>
      </c>
      <c r="G523" t="inlineStr">
        <is>
          <t>GÄVLE</t>
        </is>
      </c>
      <c r="H523" t="inlineStr">
        <is>
          <t>Kommuner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8558-2026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46065</v>
      </c>
      <c r="E524" s="1" t="n">
        <v>46265</v>
      </c>
      <c r="F524" t="inlineStr">
        <is>
          <t>GÄVLEBORGS LÄN</t>
        </is>
      </c>
      <c r="G524" t="inlineStr">
        <is>
          <t>GÄVLE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8954-2026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46265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9129-2026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46265</v>
      </c>
      <c r="F526" t="inlineStr">
        <is>
          <t>GÄVLEBORGS LÄN</t>
        </is>
      </c>
      <c r="G526" t="inlineStr">
        <is>
          <t>GÄVLE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46265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47143-2024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46265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46265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17245-2024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45414</v>
      </c>
      <c r="E530" s="1" t="n">
        <v>46265</v>
      </c>
      <c r="F530" t="inlineStr">
        <is>
          <t>GÄVLEBORGS LÄN</t>
        </is>
      </c>
      <c r="G530" t="inlineStr">
        <is>
          <t>GÄVLE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17113-2024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45412</v>
      </c>
      <c r="E531" s="1" t="n">
        <v>46265</v>
      </c>
      <c r="F531" t="inlineStr">
        <is>
          <t>GÄVLEBORGS LÄN</t>
        </is>
      </c>
      <c r="G531" t="inlineStr">
        <is>
          <t>GÄVLE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9779-2026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46265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32353-2023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45120</v>
      </c>
      <c r="E533" s="1" t="n">
        <v>46265</v>
      </c>
      <c r="F533" t="inlineStr">
        <is>
          <t>GÄVLEBORGS LÄN</t>
        </is>
      </c>
      <c r="G533" t="inlineStr">
        <is>
          <t>GÄVLE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46072</v>
      </c>
      <c r="E534" s="1" t="n">
        <v>46265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46265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12228-2022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44637</v>
      </c>
      <c r="E536" s="1" t="n">
        <v>46265</v>
      </c>
      <c r="F536" t="inlineStr">
        <is>
          <t>GÄVLEBORGS LÄN</t>
        </is>
      </c>
      <c r="G536" t="inlineStr">
        <is>
          <t>GÄVLE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46265</v>
      </c>
      <c r="F537" t="inlineStr">
        <is>
          <t>GÄVLEBORGS LÄN</t>
        </is>
      </c>
      <c r="G537" t="inlineStr">
        <is>
          <t>GÄVLE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46265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46265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46077</v>
      </c>
      <c r="E540" s="1" t="n">
        <v>46265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46265</v>
      </c>
      <c r="F541" t="inlineStr">
        <is>
          <t>GÄVLEBORGS LÄN</t>
        </is>
      </c>
      <c r="G541" t="inlineStr">
        <is>
          <t>GÄVLE</t>
        </is>
      </c>
      <c r="H541" t="inlineStr">
        <is>
          <t>Kommuner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11523-2026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46083</v>
      </c>
      <c r="E542" s="1" t="n">
        <v>46265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45324</v>
      </c>
      <c r="E543" s="1" t="n">
        <v>46265</v>
      </c>
      <c r="F543" t="inlineStr">
        <is>
          <t>GÄVLEBORGS LÄN</t>
        </is>
      </c>
      <c r="G543" t="inlineStr">
        <is>
          <t>GÄVLE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46265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46265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44585</v>
      </c>
      <c r="E546" s="1" t="n">
        <v>46265</v>
      </c>
      <c r="F546" t="inlineStr">
        <is>
          <t>GÄVLEBORGS LÄN</t>
        </is>
      </c>
      <c r="G546" t="inlineStr">
        <is>
          <t>GÄVLE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35440-2023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46265</v>
      </c>
      <c r="F547" t="inlineStr">
        <is>
          <t>GÄVLEBORGS LÄN</t>
        </is>
      </c>
      <c r="G547" t="inlineStr">
        <is>
          <t>GÄVLE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46265</v>
      </c>
      <c r="F548" t="inlineStr">
        <is>
          <t>GÄVLEBORGS LÄN</t>
        </is>
      </c>
      <c r="G548" t="inlineStr">
        <is>
          <t>GÄVLE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45523</v>
      </c>
      <c r="E549" s="1" t="n">
        <v>46265</v>
      </c>
      <c r="F549" t="inlineStr">
        <is>
          <t>GÄVLEBORGS LÄN</t>
        </is>
      </c>
      <c r="G549" t="inlineStr">
        <is>
          <t>GÄVLE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46265</v>
      </c>
      <c r="F550" t="inlineStr">
        <is>
          <t>GÄVLEBORGS LÄN</t>
        </is>
      </c>
      <c r="G550" t="inlineStr">
        <is>
          <t>GÄVLE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45644</v>
      </c>
      <c r="E551" s="1" t="n">
        <v>46265</v>
      </c>
      <c r="F551" t="inlineStr">
        <is>
          <t>GÄVLEBORGS LÄN</t>
        </is>
      </c>
      <c r="G551" t="inlineStr">
        <is>
          <t>GÄVLE</t>
        </is>
      </c>
      <c r="H551" t="inlineStr">
        <is>
          <t>Kyrkan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45104</v>
      </c>
      <c r="E552" s="1" t="n">
        <v>46265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46265</v>
      </c>
      <c r="F553" t="inlineStr">
        <is>
          <t>GÄVLEBORGS LÄN</t>
        </is>
      </c>
      <c r="G553" t="inlineStr">
        <is>
          <t>GÄVLE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46265</v>
      </c>
      <c r="F554" t="inlineStr">
        <is>
          <t>GÄVLEBORGS LÄN</t>
        </is>
      </c>
      <c r="G554" t="inlineStr">
        <is>
          <t>GÄVLE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46265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46265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46265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46265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46265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46265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46265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46265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61004-2024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46265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46265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46095</v>
      </c>
      <c r="E565" s="1" t="n">
        <v>46265</v>
      </c>
      <c r="F565" t="inlineStr">
        <is>
          <t>GÄVLEBORGS LÄN</t>
        </is>
      </c>
      <c r="G565" t="inlineStr">
        <is>
          <t>GÄVLE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46265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46265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30662-2022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44763</v>
      </c>
      <c r="E568" s="1" t="n">
        <v>46265</v>
      </c>
      <c r="F568" t="inlineStr">
        <is>
          <t>GÄVLEBORGS LÄN</t>
        </is>
      </c>
      <c r="G568" t="inlineStr">
        <is>
          <t>GÄVLE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13389-2026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46265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46265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13527-2026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46094</v>
      </c>
      <c r="E571" s="1" t="n">
        <v>46265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13500-2026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46265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45420</v>
      </c>
      <c r="E573" s="1" t="n">
        <v>46265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46265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14280-2026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46265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45058</v>
      </c>
      <c r="E576" s="1" t="n">
        <v>46265</v>
      </c>
      <c r="F576" t="inlineStr">
        <is>
          <t>GÄVLEBORGS LÄN</t>
        </is>
      </c>
      <c r="G576" t="inlineStr">
        <is>
          <t>GÄVLE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45356</v>
      </c>
      <c r="E577" s="1" t="n">
        <v>46265</v>
      </c>
      <c r="F577" t="inlineStr">
        <is>
          <t>GÄVLEBORGS LÄN</t>
        </is>
      </c>
      <c r="G577" t="inlineStr">
        <is>
          <t>GÄVLE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46265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46100</v>
      </c>
      <c r="E579" s="1" t="n">
        <v>46265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46265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44586</v>
      </c>
      <c r="E581" s="1" t="n">
        <v>46265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46104</v>
      </c>
      <c r="E582" s="1" t="n">
        <v>46265</v>
      </c>
      <c r="F582" t="inlineStr">
        <is>
          <t>GÄVLEBORGS LÄN</t>
        </is>
      </c>
      <c r="G582" t="inlineStr">
        <is>
          <t>GÄVLE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46105</v>
      </c>
      <c r="E583" s="1" t="n">
        <v>46265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46104</v>
      </c>
      <c r="E584" s="1" t="n">
        <v>46265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45646</v>
      </c>
      <c r="E585" s="1" t="n">
        <v>46265</v>
      </c>
      <c r="F585" t="inlineStr">
        <is>
          <t>GÄVLEBORGS LÄN</t>
        </is>
      </c>
      <c r="G585" t="inlineStr">
        <is>
          <t>GÄVLE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46265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46265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13193-2025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45735</v>
      </c>
      <c r="E588" s="1" t="n">
        <v>46265</v>
      </c>
      <c r="F588" t="inlineStr">
        <is>
          <t>GÄVLEBORGS LÄN</t>
        </is>
      </c>
      <c r="G588" t="inlineStr">
        <is>
          <t>GÄVLE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16430-2026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46265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15985-2026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46265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38793-2024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45547</v>
      </c>
      <c r="E591" s="1" t="n">
        <v>46265</v>
      </c>
      <c r="F591" t="inlineStr">
        <is>
          <t>GÄVLEBORGS LÄN</t>
        </is>
      </c>
      <c r="G591" t="inlineStr">
        <is>
          <t>GÄVLE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46265</v>
      </c>
      <c r="F592" t="inlineStr">
        <is>
          <t>GÄVLEBORGS LÄN</t>
        </is>
      </c>
      <c r="G592" t="inlineStr">
        <is>
          <t>GÄVLE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46265</v>
      </c>
      <c r="F593" t="inlineStr">
        <is>
          <t>GÄVLEBORGS LÄN</t>
        </is>
      </c>
      <c r="G593" t="inlineStr">
        <is>
          <t>GÄVLE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10488-2026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46077</v>
      </c>
      <c r="E594" s="1" t="n">
        <v>46265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46265</v>
      </c>
      <c r="F595" t="inlineStr">
        <is>
          <t>GÄVLEBORGS LÄN</t>
        </is>
      </c>
      <c r="G595" t="inlineStr">
        <is>
          <t>GÄVLE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46124</v>
      </c>
      <c r="E596" s="1" t="n">
        <v>46265</v>
      </c>
      <c r="F596" t="inlineStr">
        <is>
          <t>GÄVLEBORGS LÄN</t>
        </is>
      </c>
      <c r="G596" t="inlineStr">
        <is>
          <t>GÄVLE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46124</v>
      </c>
      <c r="E597" s="1" t="n">
        <v>46265</v>
      </c>
      <c r="F597" t="inlineStr">
        <is>
          <t>GÄVLEBORGS LÄN</t>
        </is>
      </c>
      <c r="G597" t="inlineStr">
        <is>
          <t>GÄVLE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18162-2022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44684</v>
      </c>
      <c r="E598" s="1" t="n">
        <v>46265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45728</v>
      </c>
      <c r="E599" s="1" t="n">
        <v>46265</v>
      </c>
      <c r="F599" t="inlineStr">
        <is>
          <t>GÄVLEBORGS LÄN</t>
        </is>
      </c>
      <c r="G599" t="inlineStr">
        <is>
          <t>GÄVLE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45084</v>
      </c>
      <c r="E600" s="1" t="n">
        <v>46265</v>
      </c>
      <c r="F600" t="inlineStr">
        <is>
          <t>GÄVLEBORGS LÄN</t>
        </is>
      </c>
      <c r="G600" t="inlineStr">
        <is>
          <t>GÄVLE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45705</v>
      </c>
      <c r="E601" s="1" t="n">
        <v>46265</v>
      </c>
      <c r="F601" t="inlineStr">
        <is>
          <t>GÄVLEBORGS LÄN</t>
        </is>
      </c>
      <c r="G601" t="inlineStr">
        <is>
          <t>GÄVLE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46265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17977-2026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46124</v>
      </c>
      <c r="E603" s="1" t="n">
        <v>46265</v>
      </c>
      <c r="F603" t="inlineStr">
        <is>
          <t>GÄVLEBORGS LÄN</t>
        </is>
      </c>
      <c r="G603" t="inlineStr">
        <is>
          <t>GÄVLE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45090</v>
      </c>
      <c r="E604" s="1" t="n">
        <v>46265</v>
      </c>
      <c r="F604" t="inlineStr">
        <is>
          <t>GÄVLEBORGS LÄN</t>
        </is>
      </c>
      <c r="G604" t="inlineStr">
        <is>
          <t>GÄVLE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18175-2026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46125</v>
      </c>
      <c r="E605" s="1" t="n">
        <v>46265</v>
      </c>
      <c r="F605" t="inlineStr">
        <is>
          <t>GÄVLEBORGS LÄN</t>
        </is>
      </c>
      <c r="G605" t="inlineStr">
        <is>
          <t>GÄVLE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18173-2026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46125</v>
      </c>
      <c r="E606" s="1" t="n">
        <v>46265</v>
      </c>
      <c r="F606" t="inlineStr">
        <is>
          <t>GÄVLEBORGS LÄN</t>
        </is>
      </c>
      <c r="G606" t="inlineStr">
        <is>
          <t>GÄVLE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45666</v>
      </c>
      <c r="E607" s="1" t="n">
        <v>46265</v>
      </c>
      <c r="F607" t="inlineStr">
        <is>
          <t>GÄVLEBORGS LÄN</t>
        </is>
      </c>
      <c r="G607" t="inlineStr">
        <is>
          <t>GÄVLE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13046-2026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46093</v>
      </c>
      <c r="E608" s="1" t="n">
        <v>46265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46265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15568-2026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46265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46084</v>
      </c>
      <c r="E611" s="1" t="n">
        <v>46265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46265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36.3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13492-2026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46094</v>
      </c>
      <c r="E613" s="1" t="n">
        <v>46265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46265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18168-2022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44684</v>
      </c>
      <c r="E615" s="1" t="n">
        <v>46265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51071-2023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45218</v>
      </c>
      <c r="E616" s="1" t="n">
        <v>46265</v>
      </c>
      <c r="F616" t="inlineStr">
        <is>
          <t>GÄVLEBORGS LÄN</t>
        </is>
      </c>
      <c r="G616" t="inlineStr">
        <is>
          <t>GÄVLE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46265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44586</v>
      </c>
      <c r="E618" s="1" t="n">
        <v>46265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46265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46128</v>
      </c>
      <c r="E620" s="1" t="n">
        <v>46265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46265</v>
      </c>
      <c r="F621" t="inlineStr">
        <is>
          <t>GÄVLEBORGS LÄN</t>
        </is>
      </c>
      <c r="G621" t="inlineStr">
        <is>
          <t>GÄVLE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46265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46265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1062-2025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45666</v>
      </c>
      <c r="E624" s="1" t="n">
        <v>46265</v>
      </c>
      <c r="F624" t="inlineStr">
        <is>
          <t>GÄVLEBORGS LÄN</t>
        </is>
      </c>
      <c r="G624" t="inlineStr">
        <is>
          <t>GÄVLE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46265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46265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46265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57168-2023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45245</v>
      </c>
      <c r="E628" s="1" t="n">
        <v>46265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46265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46265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14365-2026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46265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46265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46265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46265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46134</v>
      </c>
      <c r="E635" s="1" t="n">
        <v>46265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44790</v>
      </c>
      <c r="E636" s="1" t="n">
        <v>46265</v>
      </c>
      <c r="F636" t="inlineStr">
        <is>
          <t>GÄVLEBORGS LÄN</t>
        </is>
      </c>
      <c r="G636" t="inlineStr">
        <is>
          <t>GÄVLE</t>
        </is>
      </c>
      <c r="I636" t="n">
        <v>9.4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19711-2026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46265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7.2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14355-2026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46100</v>
      </c>
      <c r="E638" s="1" t="n">
        <v>46265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44000-2025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45915</v>
      </c>
      <c r="E639" s="1" t="n">
        <v>46265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19713-2026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46134</v>
      </c>
      <c r="E640" s="1" t="n">
        <v>46265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19716-2026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46134</v>
      </c>
      <c r="E641" s="1" t="n">
        <v>46265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46265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44735</v>
      </c>
      <c r="E643" s="1" t="n">
        <v>46265</v>
      </c>
      <c r="F643" t="inlineStr">
        <is>
          <t>GÄVLEBORGS LÄN</t>
        </is>
      </c>
      <c r="G643" t="inlineStr">
        <is>
          <t>GÄVLE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20999-2022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44701</v>
      </c>
      <c r="E644" s="1" t="n">
        <v>46265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46265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36512-2025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45869</v>
      </c>
      <c r="E646" s="1" t="n">
        <v>46265</v>
      </c>
      <c r="F646" t="inlineStr">
        <is>
          <t>GÄVLEBORGS LÄN</t>
        </is>
      </c>
      <c r="G646" t="inlineStr">
        <is>
          <t>GÄVLE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35916-2025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45862</v>
      </c>
      <c r="E647" s="1" t="n">
        <v>46265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45715</v>
      </c>
      <c r="E648" s="1" t="n">
        <v>46265</v>
      </c>
      <c r="F648" t="inlineStr">
        <is>
          <t>GÄVLEBORGS LÄN</t>
        </is>
      </c>
      <c r="G648" t="inlineStr">
        <is>
          <t>GÄVLE</t>
        </is>
      </c>
      <c r="H648" t="inlineStr">
        <is>
          <t>Kyrkan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44600</v>
      </c>
      <c r="E649" s="1" t="n">
        <v>46265</v>
      </c>
      <c r="F649" t="inlineStr">
        <is>
          <t>GÄVLEBORGS LÄN</t>
        </is>
      </c>
      <c r="G649" t="inlineStr">
        <is>
          <t>GÄVLE</t>
        </is>
      </c>
      <c r="H649" t="inlineStr">
        <is>
          <t>Kyrkan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46265</v>
      </c>
      <c r="F650" t="inlineStr">
        <is>
          <t>GÄVLEBORGS LÄN</t>
        </is>
      </c>
      <c r="G650" t="inlineStr">
        <is>
          <t>GÄVLE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46265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46265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16076-2026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46108</v>
      </c>
      <c r="E653" s="1" t="n">
        <v>46265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27182-2022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44741</v>
      </c>
      <c r="E654" s="1" t="n">
        <v>46265</v>
      </c>
      <c r="F654" t="inlineStr">
        <is>
          <t>GÄVLEBORGS LÄN</t>
        </is>
      </c>
      <c r="G654" t="inlineStr">
        <is>
          <t>GÄVLE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35761-2022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44800</v>
      </c>
      <c r="E655" s="1" t="n">
        <v>46265</v>
      </c>
      <c r="F655" t="inlineStr">
        <is>
          <t>GÄVLEBORGS LÄN</t>
        </is>
      </c>
      <c r="G655" t="inlineStr">
        <is>
          <t>GÄVLE</t>
        </is>
      </c>
      <c r="I655" t="n">
        <v>8.199999999999999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59322-2022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44904</v>
      </c>
      <c r="E656" s="1" t="n">
        <v>46265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45744</v>
      </c>
      <c r="E657" s="1" t="n">
        <v>46265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15801-2026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46265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61672-2023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45265</v>
      </c>
      <c r="E659" s="1" t="n">
        <v>46265</v>
      </c>
      <c r="F659" t="inlineStr">
        <is>
          <t>GÄVLEBORGS LÄN</t>
        </is>
      </c>
      <c r="G659" t="inlineStr">
        <is>
          <t>GÄVLE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30875-2022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44767</v>
      </c>
      <c r="E660" s="1" t="n">
        <v>46265</v>
      </c>
      <c r="F660" t="inlineStr">
        <is>
          <t>GÄVLEBORGS LÄN</t>
        </is>
      </c>
      <c r="G660" t="inlineStr">
        <is>
          <t>GÄVLE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9426-2025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45715</v>
      </c>
      <c r="E661" s="1" t="n">
        <v>46265</v>
      </c>
      <c r="F661" t="inlineStr">
        <is>
          <t>GÄVLEBORGS LÄN</t>
        </is>
      </c>
      <c r="G661" t="inlineStr">
        <is>
          <t>GÄVLE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60885-2023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45261</v>
      </c>
      <c r="E662" s="1" t="n">
        <v>46265</v>
      </c>
      <c r="F662" t="inlineStr">
        <is>
          <t>GÄVLEBORGS LÄN</t>
        </is>
      </c>
      <c r="G662" t="inlineStr">
        <is>
          <t>GÄVLE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45312</v>
      </c>
      <c r="E663" s="1" t="n">
        <v>46265</v>
      </c>
      <c r="F663" t="inlineStr">
        <is>
          <t>GÄVLEBORGS LÄN</t>
        </is>
      </c>
      <c r="G663" t="inlineStr">
        <is>
          <t>GÄVLE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46140</v>
      </c>
      <c r="E664" s="1" t="n">
        <v>46265</v>
      </c>
      <c r="F664" t="inlineStr">
        <is>
          <t>GÄVLEBORGS LÄN</t>
        </is>
      </c>
      <c r="G664" t="inlineStr">
        <is>
          <t>GÄVLE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26094-2025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45805</v>
      </c>
      <c r="E665" s="1" t="n">
        <v>46265</v>
      </c>
      <c r="F665" t="inlineStr">
        <is>
          <t>GÄVLEBORGS LÄN</t>
        </is>
      </c>
      <c r="G665" t="inlineStr">
        <is>
          <t>GÄVLE</t>
        </is>
      </c>
      <c r="I665" t="n">
        <v>12.4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15275-2026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46105</v>
      </c>
      <c r="E666" s="1" t="n">
        <v>46265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15324-2026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46105</v>
      </c>
      <c r="E667" s="1" t="n">
        <v>46265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15799-2026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46107</v>
      </c>
      <c r="E668" s="1" t="n">
        <v>46265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46265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9025-2026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46069</v>
      </c>
      <c r="E670" s="1" t="n">
        <v>46265</v>
      </c>
      <c r="F670" t="inlineStr">
        <is>
          <t>GÄVLEBORGS LÄN</t>
        </is>
      </c>
      <c r="G670" t="inlineStr">
        <is>
          <t>GÄVLE</t>
        </is>
      </c>
      <c r="I670" t="n">
        <v>12.7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45751</v>
      </c>
      <c r="E671" s="1" t="n">
        <v>46265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64868-2023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45282</v>
      </c>
      <c r="E672" s="1" t="n">
        <v>46265</v>
      </c>
      <c r="F672" t="inlineStr">
        <is>
          <t>GÄVLEBORGS LÄN</t>
        </is>
      </c>
      <c r="G672" t="inlineStr">
        <is>
          <t>GÄVLE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64873-2023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45282</v>
      </c>
      <c r="E673" s="1" t="n">
        <v>46265</v>
      </c>
      <c r="F673" t="inlineStr">
        <is>
          <t>GÄVLEBORGS LÄN</t>
        </is>
      </c>
      <c r="G673" t="inlineStr">
        <is>
          <t>GÄVLE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4402-2025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46265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7441-2025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45705</v>
      </c>
      <c r="E675" s="1" t="n">
        <v>46265</v>
      </c>
      <c r="F675" t="inlineStr">
        <is>
          <t>GÄVLEBORGS LÄN</t>
        </is>
      </c>
      <c r="G675" t="inlineStr">
        <is>
          <t>GÄVLE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21966-2025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45784</v>
      </c>
      <c r="E676" s="1" t="n">
        <v>46265</v>
      </c>
      <c r="F676" t="inlineStr">
        <is>
          <t>GÄVLEBORGS LÄN</t>
        </is>
      </c>
      <c r="G676" t="inlineStr">
        <is>
          <t>GÄVLE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9331-2026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46070</v>
      </c>
      <c r="E677" s="1" t="n">
        <v>46265</v>
      </c>
      <c r="F677" t="inlineStr">
        <is>
          <t>GÄVLEBORGS LÄN</t>
        </is>
      </c>
      <c r="G677" t="inlineStr">
        <is>
          <t>GÄVLE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13961-2024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45392</v>
      </c>
      <c r="E678" s="1" t="n">
        <v>46265</v>
      </c>
      <c r="F678" t="inlineStr">
        <is>
          <t>GÄVLEBORGS LÄN</t>
        </is>
      </c>
      <c r="G678" t="inlineStr">
        <is>
          <t>GÄVLE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15444-2024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45401</v>
      </c>
      <c r="E679" s="1" t="n">
        <v>46265</v>
      </c>
      <c r="F679" t="inlineStr">
        <is>
          <t>GÄVLEBORGS LÄN</t>
        </is>
      </c>
      <c r="G679" t="inlineStr">
        <is>
          <t>GÄVLE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34668-2024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45526</v>
      </c>
      <c r="E680" s="1" t="n">
        <v>46265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46265</v>
      </c>
      <c r="F681" t="inlineStr">
        <is>
          <t>GÄVLEBORGS LÄN</t>
        </is>
      </c>
      <c r="G681" t="inlineStr">
        <is>
          <t>GÄVLE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44806-2024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45574</v>
      </c>
      <c r="E682" s="1" t="n">
        <v>46265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47458-2022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44853</v>
      </c>
      <c r="E683" s="1" t="n">
        <v>46265</v>
      </c>
      <c r="F683" t="inlineStr">
        <is>
          <t>GÄVLEBORGS LÄN</t>
        </is>
      </c>
      <c r="G683" t="inlineStr">
        <is>
          <t>GÄVLE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46077</v>
      </c>
      <c r="E684" s="1" t="n">
        <v>46265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33635-2024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45520</v>
      </c>
      <c r="E685" s="1" t="n">
        <v>46265</v>
      </c>
      <c r="F685" t="inlineStr">
        <is>
          <t>GÄVLEBORGS LÄN</t>
        </is>
      </c>
      <c r="G685" t="inlineStr">
        <is>
          <t>GÄVLE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33637-2024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46265</v>
      </c>
      <c r="F686" t="inlineStr">
        <is>
          <t>GÄVLEBORGS LÄN</t>
        </is>
      </c>
      <c r="G686" t="inlineStr">
        <is>
          <t>GÄVLE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11410-2025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45726</v>
      </c>
      <c r="E687" s="1" t="n">
        <v>46265</v>
      </c>
      <c r="F687" t="inlineStr">
        <is>
          <t>GÄVLEBORGS LÄN</t>
        </is>
      </c>
      <c r="G687" t="inlineStr">
        <is>
          <t>GÄVLE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61492-2024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45646</v>
      </c>
      <c r="E688" s="1" t="n">
        <v>46265</v>
      </c>
      <c r="F688" t="inlineStr">
        <is>
          <t>GÄVLEBORGS LÄN</t>
        </is>
      </c>
      <c r="G688" t="inlineStr">
        <is>
          <t>GÄVLE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53138-2024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45611</v>
      </c>
      <c r="E689" s="1" t="n">
        <v>46265</v>
      </c>
      <c r="F689" t="inlineStr">
        <is>
          <t>GÄVLEBORGS LÄN</t>
        </is>
      </c>
      <c r="G689" t="inlineStr">
        <is>
          <t>GÄVLE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66493-2021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44519</v>
      </c>
      <c r="E690" s="1" t="n">
        <v>46265</v>
      </c>
      <c r="F690" t="inlineStr">
        <is>
          <t>GÄVLEBORGS LÄN</t>
        </is>
      </c>
      <c r="G690" t="inlineStr">
        <is>
          <t>GÄVLE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7060-2022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44603</v>
      </c>
      <c r="E691" s="1" t="n">
        <v>46265</v>
      </c>
      <c r="F691" t="inlineStr">
        <is>
          <t>GÄVLEBORGS LÄN</t>
        </is>
      </c>
      <c r="G691" t="inlineStr">
        <is>
          <t>GÄVLE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44973</v>
      </c>
      <c r="E692" s="1" t="n">
        <v>46265</v>
      </c>
      <c r="F692" t="inlineStr">
        <is>
          <t>GÄVLEBORGS LÄN</t>
        </is>
      </c>
      <c r="G692" t="inlineStr">
        <is>
          <t>GÄVLE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46029</v>
      </c>
      <c r="E693" s="1" t="n">
        <v>46265</v>
      </c>
      <c r="F693" t="inlineStr">
        <is>
          <t>GÄVLEBORGS LÄN</t>
        </is>
      </c>
      <c r="G693" t="inlineStr">
        <is>
          <t>GÄVLE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44959</v>
      </c>
      <c r="E694" s="1" t="n">
        <v>46265</v>
      </c>
      <c r="F694" t="inlineStr">
        <is>
          <t>GÄVLEBORGS LÄN</t>
        </is>
      </c>
      <c r="G694" t="inlineStr">
        <is>
          <t>GÄVLE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60442-2022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46265</v>
      </c>
      <c r="F695" t="inlineStr">
        <is>
          <t>GÄVLEBORGS LÄN</t>
        </is>
      </c>
      <c r="G695" t="inlineStr">
        <is>
          <t>GÄVLE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26334-2022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44735</v>
      </c>
      <c r="E696" s="1" t="n">
        <v>46265</v>
      </c>
      <c r="F696" t="inlineStr">
        <is>
          <t>GÄVLEBORGS LÄN</t>
        </is>
      </c>
      <c r="G696" t="inlineStr">
        <is>
          <t>GÄVLE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50537-2025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45945</v>
      </c>
      <c r="E697" s="1" t="n">
        <v>46265</v>
      </c>
      <c r="F697" t="inlineStr">
        <is>
          <t>GÄVLEBORGS LÄN</t>
        </is>
      </c>
      <c r="G697" t="inlineStr">
        <is>
          <t>GÄVLE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44960</v>
      </c>
      <c r="E698" s="1" t="n">
        <v>46265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46265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19424-2022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44693</v>
      </c>
      <c r="E700" s="1" t="n">
        <v>46265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45158</v>
      </c>
      <c r="E701" s="1" t="n">
        <v>46265</v>
      </c>
      <c r="F701" t="inlineStr">
        <is>
          <t>GÄVLEBORGS LÄN</t>
        </is>
      </c>
      <c r="G701" t="inlineStr">
        <is>
          <t>GÄVLE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37538-2023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45158</v>
      </c>
      <c r="E702" s="1" t="n">
        <v>46265</v>
      </c>
      <c r="F702" t="inlineStr">
        <is>
          <t>GÄVLEBORGS LÄN</t>
        </is>
      </c>
      <c r="G702" t="inlineStr">
        <is>
          <t>GÄVLE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14750-2022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44656</v>
      </c>
      <c r="E703" s="1" t="n">
        <v>46265</v>
      </c>
      <c r="F703" t="inlineStr">
        <is>
          <t>GÄVLEBORGS LÄN</t>
        </is>
      </c>
      <c r="G703" t="inlineStr">
        <is>
          <t>GÄVLE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53432-2021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44468</v>
      </c>
      <c r="E704" s="1" t="n">
        <v>46265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14735-2024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46265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19712-2022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44694</v>
      </c>
      <c r="E706" s="1" t="n">
        <v>46265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14173-2022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44651</v>
      </c>
      <c r="E707" s="1" t="n">
        <v>46265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44616</v>
      </c>
      <c r="E708" s="1" t="n">
        <v>46265</v>
      </c>
      <c r="F708" t="inlineStr">
        <is>
          <t>GÄVLEBORGS LÄN</t>
        </is>
      </c>
      <c r="G708" t="inlineStr">
        <is>
          <t>GÄVLE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44962</v>
      </c>
      <c r="E709" s="1" t="n">
        <v>46265</v>
      </c>
      <c r="F709" t="inlineStr">
        <is>
          <t>GÄVLEBORGS LÄN</t>
        </is>
      </c>
      <c r="G709" t="inlineStr">
        <is>
          <t>GÄVLE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42592-2025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45905</v>
      </c>
      <c r="E710" s="1" t="n">
        <v>46265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18361-2024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45422</v>
      </c>
      <c r="E711" s="1" t="n">
        <v>46265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44927</v>
      </c>
      <c r="E712" s="1" t="n">
        <v>46265</v>
      </c>
      <c r="F712" t="inlineStr">
        <is>
          <t>GÄVLEBORGS LÄN</t>
        </is>
      </c>
      <c r="G712" t="inlineStr">
        <is>
          <t>GÄVLE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33015-2023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45125</v>
      </c>
      <c r="E713" s="1" t="n">
        <v>46265</v>
      </c>
      <c r="F713" t="inlineStr">
        <is>
          <t>GÄVLEBORGS LÄN</t>
        </is>
      </c>
      <c r="G713" t="inlineStr">
        <is>
          <t>GÄVLE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64878-2023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45282</v>
      </c>
      <c r="E714" s="1" t="n">
        <v>46265</v>
      </c>
      <c r="F714" t="inlineStr">
        <is>
          <t>GÄVLEBORGS LÄN</t>
        </is>
      </c>
      <c r="G714" t="inlineStr">
        <is>
          <t>GÄVLE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9235-2022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44616</v>
      </c>
      <c r="E715" s="1" t="n">
        <v>46265</v>
      </c>
      <c r="F715" t="inlineStr">
        <is>
          <t>GÄVLEBORGS LÄN</t>
        </is>
      </c>
      <c r="G715" t="inlineStr">
        <is>
          <t>GÄVLE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45146</v>
      </c>
      <c r="E716" s="1" t="n">
        <v>46265</v>
      </c>
      <c r="F716" t="inlineStr">
        <is>
          <t>GÄVLEBORGS LÄN</t>
        </is>
      </c>
      <c r="G716" t="inlineStr">
        <is>
          <t>GÄVLE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52495-2021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44466</v>
      </c>
      <c r="E717" s="1" t="n">
        <v>46265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5.9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17088-2023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45034</v>
      </c>
      <c r="E718" s="1" t="n">
        <v>46265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32255-2023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45120</v>
      </c>
      <c r="E719" s="1" t="n">
        <v>46265</v>
      </c>
      <c r="F719" t="inlineStr">
        <is>
          <t>GÄVLEBORGS LÄN</t>
        </is>
      </c>
      <c r="G719" t="inlineStr">
        <is>
          <t>GÄVLE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2247-2023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44942</v>
      </c>
      <c r="E720" s="1" t="n">
        <v>46265</v>
      </c>
      <c r="F720" t="inlineStr">
        <is>
          <t>GÄVLEBORGS LÄN</t>
        </is>
      </c>
      <c r="G720" t="inlineStr">
        <is>
          <t>GÄVLE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45162</v>
      </c>
      <c r="E721" s="1" t="n">
        <v>46265</v>
      </c>
      <c r="F721" t="inlineStr">
        <is>
          <t>GÄVLEBORGS LÄN</t>
        </is>
      </c>
      <c r="G721" t="inlineStr">
        <is>
          <t>GÄVLE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45744</v>
      </c>
      <c r="E722" s="1" t="n">
        <v>46265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52250-2024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45608</v>
      </c>
      <c r="E723" s="1" t="n">
        <v>46265</v>
      </c>
      <c r="F723" t="inlineStr">
        <is>
          <t>GÄVLEBORGS LÄN</t>
        </is>
      </c>
      <c r="G723" t="inlineStr">
        <is>
          <t>GÄVLE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46265</v>
      </c>
      <c r="F724" t="inlineStr">
        <is>
          <t>GÄVLEBORGS LÄN</t>
        </is>
      </c>
      <c r="G724" t="inlineStr">
        <is>
          <t>GÄVLE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46033</v>
      </c>
      <c r="E725" s="1" t="n">
        <v>46265</v>
      </c>
      <c r="F725" t="inlineStr">
        <is>
          <t>GÄVLEBORGS LÄN</t>
        </is>
      </c>
      <c r="G725" t="inlineStr">
        <is>
          <t>GÄVLE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8568-2026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46065</v>
      </c>
      <c r="E726" s="1" t="n">
        <v>46265</v>
      </c>
      <c r="F726" t="inlineStr">
        <is>
          <t>GÄVLEBORGS LÄN</t>
        </is>
      </c>
      <c r="G726" t="inlineStr">
        <is>
          <t>GÄVLE</t>
        </is>
      </c>
      <c r="I726" t="n">
        <v>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7748-2025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45706</v>
      </c>
      <c r="E727" s="1" t="n">
        <v>46265</v>
      </c>
      <c r="F727" t="inlineStr">
        <is>
          <t>GÄVLEBORGS LÄN</t>
        </is>
      </c>
      <c r="G727" t="inlineStr">
        <is>
          <t>GÄVLE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3712-2023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44951</v>
      </c>
      <c r="E728" s="1" t="n">
        <v>46265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26129-2024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45468</v>
      </c>
      <c r="E729" s="1" t="n">
        <v>46265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9.9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46141</v>
      </c>
      <c r="E730" s="1" t="n">
        <v>46265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41100-2024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45559</v>
      </c>
      <c r="E731" s="1" t="n">
        <v>46265</v>
      </c>
      <c r="F731" t="inlineStr">
        <is>
          <t>GÄVLEBORGS LÄN</t>
        </is>
      </c>
      <c r="G731" t="inlineStr">
        <is>
          <t>GÄVLE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46141</v>
      </c>
      <c r="E732" s="1" t="n">
        <v>46265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46030</v>
      </c>
      <c r="E733" s="1" t="n">
        <v>46265</v>
      </c>
      <c r="F733" t="inlineStr">
        <is>
          <t>GÄVLEBORGS LÄN</t>
        </is>
      </c>
      <c r="G733" t="inlineStr">
        <is>
          <t>GÄVLE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16190-2026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46111</v>
      </c>
      <c r="E734" s="1" t="n">
        <v>46265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16263-2026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46265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46265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45278-2022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44840</v>
      </c>
      <c r="E737" s="1" t="n">
        <v>46265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8.5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45084</v>
      </c>
      <c r="E738" s="1" t="n">
        <v>46265</v>
      </c>
      <c r="F738" t="inlineStr">
        <is>
          <t>GÄVLEBORGS LÄN</t>
        </is>
      </c>
      <c r="G738" t="inlineStr">
        <is>
          <t>GÄVLE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71215-2021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44539</v>
      </c>
      <c r="E739" s="1" t="n">
        <v>46265</v>
      </c>
      <c r="F739" t="inlineStr">
        <is>
          <t>GÄVLEBORGS LÄN</t>
        </is>
      </c>
      <c r="G739" t="inlineStr">
        <is>
          <t>GÄVLE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46265</v>
      </c>
      <c r="F740" t="inlineStr">
        <is>
          <t>GÄVLEBORGS LÄN</t>
        </is>
      </c>
      <c r="G740" t="inlineStr">
        <is>
          <t>GÄVLE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25768-2022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44733</v>
      </c>
      <c r="E741" s="1" t="n">
        <v>46265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50582-2023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45217</v>
      </c>
      <c r="E742" s="1" t="n">
        <v>46265</v>
      </c>
      <c r="F742" t="inlineStr">
        <is>
          <t>GÄVLEBORGS LÄN</t>
        </is>
      </c>
      <c r="G742" t="inlineStr">
        <is>
          <t>GÄVLE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48834-2024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45593</v>
      </c>
      <c r="E743" s="1" t="n">
        <v>46265</v>
      </c>
      <c r="F743" t="inlineStr">
        <is>
          <t>GÄVLEBORGS LÄN</t>
        </is>
      </c>
      <c r="G743" t="inlineStr">
        <is>
          <t>GÄVLE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58192-2024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45632</v>
      </c>
      <c r="E744" s="1" t="n">
        <v>46265</v>
      </c>
      <c r="F744" t="inlineStr">
        <is>
          <t>GÄVLEBORGS LÄN</t>
        </is>
      </c>
      <c r="G744" t="inlineStr">
        <is>
          <t>GÄVLE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42876-2023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46265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22.7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20905-2026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46142</v>
      </c>
      <c r="E746" s="1" t="n">
        <v>46265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61786-2024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45649</v>
      </c>
      <c r="E747" s="1" t="n">
        <v>46265</v>
      </c>
      <c r="F747" t="inlineStr">
        <is>
          <t>GÄVLEBORGS LÄN</t>
        </is>
      </c>
      <c r="G747" t="inlineStr">
        <is>
          <t>GÄVLE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61300-2024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45645</v>
      </c>
      <c r="E748" s="1" t="n">
        <v>46265</v>
      </c>
      <c r="F748" t="inlineStr">
        <is>
          <t>GÄVLEBORGS LÄN</t>
        </is>
      </c>
      <c r="G748" t="inlineStr">
        <is>
          <t>GÄVLE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20735-2026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46141</v>
      </c>
      <c r="E749" s="1" t="n">
        <v>46265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20906-2026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46142</v>
      </c>
      <c r="E750" s="1" t="n">
        <v>46265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39509-2022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44818</v>
      </c>
      <c r="E751" s="1" t="n">
        <v>46265</v>
      </c>
      <c r="F751" t="inlineStr">
        <is>
          <t>GÄVLEBORGS LÄN</t>
        </is>
      </c>
      <c r="G751" t="inlineStr">
        <is>
          <t>GÄVLE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46045</v>
      </c>
      <c r="E752" s="1" t="n">
        <v>46265</v>
      </c>
      <c r="F752" t="inlineStr">
        <is>
          <t>GÄVLEBORGS LÄN</t>
        </is>
      </c>
      <c r="G752" t="inlineStr">
        <is>
          <t>GÄVLE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40091-2023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45168</v>
      </c>
      <c r="E753" s="1" t="n">
        <v>46265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21033-2026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46265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16144-2026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46108</v>
      </c>
      <c r="E755" s="1" t="n">
        <v>46265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46147</v>
      </c>
      <c r="E756" s="1" t="n">
        <v>46265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46265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45699</v>
      </c>
      <c r="E758" s="1" t="n">
        <v>46265</v>
      </c>
      <c r="F758" t="inlineStr">
        <is>
          <t>GÄVLEBORGS LÄN</t>
        </is>
      </c>
      <c r="G758" t="inlineStr">
        <is>
          <t>GÄVLE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15935-2025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45749</v>
      </c>
      <c r="E759" s="1" t="n">
        <v>46265</v>
      </c>
      <c r="F759" t="inlineStr">
        <is>
          <t>GÄVLEBORGS LÄN</t>
        </is>
      </c>
      <c r="G759" t="inlineStr">
        <is>
          <t>GÄVLE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14666-2026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46265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22342-2026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46154</v>
      </c>
      <c r="E761" s="1" t="n">
        <v>46265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29929-2022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44756</v>
      </c>
      <c r="E762" s="1" t="n">
        <v>46265</v>
      </c>
      <c r="F762" t="inlineStr">
        <is>
          <t>GÄVLEBORGS LÄN</t>
        </is>
      </c>
      <c r="G762" t="inlineStr">
        <is>
          <t>GÄVLE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46265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22075-2026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46153</v>
      </c>
      <c r="E764" s="1" t="n">
        <v>46265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22111-2026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46153</v>
      </c>
      <c r="E765" s="1" t="n">
        <v>46265</v>
      </c>
      <c r="F765" t="inlineStr">
        <is>
          <t>GÄVLEBORGS LÄN</t>
        </is>
      </c>
      <c r="G765" t="inlineStr">
        <is>
          <t>GÄVLE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46265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8.5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10352-2025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45720</v>
      </c>
      <c r="E767" s="1" t="n">
        <v>46265</v>
      </c>
      <c r="F767" t="inlineStr">
        <is>
          <t>GÄVLEBORGS LÄN</t>
        </is>
      </c>
      <c r="G767" t="inlineStr">
        <is>
          <t>GÄVLE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46265</v>
      </c>
      <c r="F768" t="inlineStr">
        <is>
          <t>GÄVLEBORGS LÄN</t>
        </is>
      </c>
      <c r="G768" t="inlineStr">
        <is>
          <t>GÄVLE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22584-2026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46155</v>
      </c>
      <c r="E769" s="1" t="n">
        <v>46265</v>
      </c>
      <c r="F769" t="inlineStr">
        <is>
          <t>GÄVLEBORGS LÄN</t>
        </is>
      </c>
      <c r="G769" t="inlineStr">
        <is>
          <t>GÄVLE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17300-2026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46119</v>
      </c>
      <c r="E770" s="1" t="n">
        <v>46265</v>
      </c>
      <c r="F770" t="inlineStr">
        <is>
          <t>GÄVLEBORGS LÄN</t>
        </is>
      </c>
      <c r="G770" t="inlineStr">
        <is>
          <t>GÄVLE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15152-2026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46105</v>
      </c>
      <c r="E771" s="1" t="n">
        <v>46265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22545-2026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46155</v>
      </c>
      <c r="E772" s="1" t="n">
        <v>46265</v>
      </c>
      <c r="F772" t="inlineStr">
        <is>
          <t>GÄVLEBORGS LÄN</t>
        </is>
      </c>
      <c r="G772" t="inlineStr">
        <is>
          <t>GÄVLE</t>
        </is>
      </c>
      <c r="H772" t="inlineStr">
        <is>
          <t>Kyrkan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46265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58445-2021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44488</v>
      </c>
      <c r="E774" s="1" t="n">
        <v>46265</v>
      </c>
      <c r="F774" t="inlineStr">
        <is>
          <t>GÄVLEBORGS LÄN</t>
        </is>
      </c>
      <c r="G774" t="inlineStr">
        <is>
          <t>GÄVLE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35206-2024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46265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61918-2023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45266</v>
      </c>
      <c r="E776" s="1" t="n">
        <v>46265</v>
      </c>
      <c r="F776" t="inlineStr">
        <is>
          <t>GÄVLEBORGS LÄN</t>
        </is>
      </c>
      <c r="G776" t="inlineStr">
        <is>
          <t>GÄVLE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45312</v>
      </c>
      <c r="E777" s="1" t="n">
        <v>46265</v>
      </c>
      <c r="F777" t="inlineStr">
        <is>
          <t>GÄVLEBORGS LÄN</t>
        </is>
      </c>
      <c r="G777" t="inlineStr">
        <is>
          <t>GÄVLE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21300-2024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45440</v>
      </c>
      <c r="E778" s="1" t="n">
        <v>46265</v>
      </c>
      <c r="F778" t="inlineStr">
        <is>
          <t>GÄVLEBORGS LÄN</t>
        </is>
      </c>
      <c r="G778" t="inlineStr">
        <is>
          <t>GÄVLE</t>
        </is>
      </c>
      <c r="I778" t="n">
        <v>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45266</v>
      </c>
      <c r="E779" s="1" t="n">
        <v>46265</v>
      </c>
      <c r="F779" t="inlineStr">
        <is>
          <t>GÄVLEBORGS LÄN</t>
        </is>
      </c>
      <c r="G779" t="inlineStr">
        <is>
          <t>GÄVLE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45660</v>
      </c>
      <c r="E780" s="1" t="n">
        <v>46265</v>
      </c>
      <c r="F780" t="inlineStr">
        <is>
          <t>GÄVLEBORGS LÄN</t>
        </is>
      </c>
      <c r="G780" t="inlineStr">
        <is>
          <t>GÄVLE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49401-2024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45595</v>
      </c>
      <c r="E781" s="1" t="n">
        <v>46265</v>
      </c>
      <c r="F781" t="inlineStr">
        <is>
          <t>GÄVLEBORGS LÄN</t>
        </is>
      </c>
      <c r="G781" t="inlineStr">
        <is>
          <t>GÄVLE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45580</v>
      </c>
      <c r="E782" s="1" t="n">
        <v>46265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22508-2026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46265</v>
      </c>
      <c r="F783" t="inlineStr">
        <is>
          <t>GÄVLEBORGS LÄN</t>
        </is>
      </c>
      <c r="G783" t="inlineStr">
        <is>
          <t>GÄVLE</t>
        </is>
      </c>
      <c r="H783" t="inlineStr">
        <is>
          <t>Kyrkan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45776</v>
      </c>
      <c r="E784" s="1" t="n">
        <v>46265</v>
      </c>
      <c r="F784" t="inlineStr">
        <is>
          <t>GÄVLEBORGS LÄN</t>
        </is>
      </c>
      <c r="G784" t="inlineStr">
        <is>
          <t>GÄVLE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15167-2026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46105</v>
      </c>
      <c r="E785" s="1" t="n">
        <v>46265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46265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15469-2026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46106</v>
      </c>
      <c r="E787" s="1" t="n">
        <v>46265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15790-2026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46107</v>
      </c>
      <c r="E788" s="1" t="n">
        <v>46265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23117-2026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46265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45312</v>
      </c>
      <c r="E790" s="1" t="n">
        <v>46265</v>
      </c>
      <c r="F790" t="inlineStr">
        <is>
          <t>GÄVLEBORGS LÄN</t>
        </is>
      </c>
      <c r="G790" t="inlineStr">
        <is>
          <t>GÄVLE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14974-2026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46265</v>
      </c>
      <c r="F791" t="inlineStr">
        <is>
          <t>GÄVLEBORGS LÄN</t>
        </is>
      </c>
      <c r="G791" t="inlineStr">
        <is>
          <t>GÄVLE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15765-2026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46107</v>
      </c>
      <c r="E792" s="1" t="n">
        <v>46265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23591-2026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46163</v>
      </c>
      <c r="E793" s="1" t="n">
        <v>46265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24099-2026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46168</v>
      </c>
      <c r="E794" s="1" t="n">
        <v>46265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23956-2026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46167</v>
      </c>
      <c r="E795" s="1" t="n">
        <v>46265</v>
      </c>
      <c r="F795" t="inlineStr">
        <is>
          <t>GÄVLEBORGS LÄN</t>
        </is>
      </c>
      <c r="G795" t="inlineStr">
        <is>
          <t>GÄVLE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46265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24089-2026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46265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46265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24400-2026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46265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24295-2026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46169</v>
      </c>
      <c r="E800" s="1" t="n">
        <v>46265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24306-2026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46169</v>
      </c>
      <c r="E801" s="1" t="n">
        <v>46265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24325-2026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46169</v>
      </c>
      <c r="E802" s="1" t="n">
        <v>46265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24373-2026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46169</v>
      </c>
      <c r="E803" s="1" t="n">
        <v>46265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24294-2026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46265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24669-2026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46171</v>
      </c>
      <c r="E805" s="1" t="n">
        <v>46265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21.4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46173</v>
      </c>
      <c r="E806" s="1" t="n">
        <v>46265</v>
      </c>
      <c r="F806" t="inlineStr">
        <is>
          <t>GÄVLEBORGS LÄN</t>
        </is>
      </c>
      <c r="G806" t="inlineStr">
        <is>
          <t>GÄVLE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46170</v>
      </c>
      <c r="E807" s="1" t="n">
        <v>46265</v>
      </c>
      <c r="F807" t="inlineStr">
        <is>
          <t>GÄVLEBORGS LÄN</t>
        </is>
      </c>
      <c r="G807" t="inlineStr">
        <is>
          <t>GÄVLE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21365-2026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46147</v>
      </c>
      <c r="E808" s="1" t="n">
        <v>46265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46265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46177</v>
      </c>
      <c r="E810" s="1" t="n">
        <v>46265</v>
      </c>
      <c r="F810" t="inlineStr">
        <is>
          <t>GÄVLEBORGS LÄN</t>
        </is>
      </c>
      <c r="G810" t="inlineStr">
        <is>
          <t>GÄVLE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25513-2026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46265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46265</v>
      </c>
      <c r="F812" t="inlineStr">
        <is>
          <t>GÄVLEBORGS LÄN</t>
        </is>
      </c>
      <c r="G812" t="inlineStr">
        <is>
          <t>GÄVLE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20676-2026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46141</v>
      </c>
      <c r="E813" s="1" t="n">
        <v>46265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46265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25367-2026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46176</v>
      </c>
      <c r="E815" s="1" t="n">
        <v>46265</v>
      </c>
      <c r="F815" t="inlineStr">
        <is>
          <t>GÄVLEBORGS LÄN</t>
        </is>
      </c>
      <c r="G815" t="inlineStr">
        <is>
          <t>GÄVLE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25384-2026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46176</v>
      </c>
      <c r="E816" s="1" t="n">
        <v>46265</v>
      </c>
      <c r="F816" t="inlineStr">
        <is>
          <t>GÄVLEBORGS LÄN</t>
        </is>
      </c>
      <c r="G816" t="inlineStr">
        <is>
          <t>GÄVLE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46223</v>
      </c>
      <c r="E817" s="1" t="n">
        <v>46265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10.2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25808-2026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46265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46265</v>
      </c>
      <c r="F819" t="inlineStr">
        <is>
          <t>GÄVLEBORGS LÄN</t>
        </is>
      </c>
      <c r="G819" t="inlineStr">
        <is>
          <t>GÄVLE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26016-2026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46181</v>
      </c>
      <c r="E820" s="1" t="n">
        <v>46265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26281-2026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46182</v>
      </c>
      <c r="E821" s="1" t="n">
        <v>46265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26599-2026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46265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26600-2026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46183</v>
      </c>
      <c r="E823" s="1" t="n">
        <v>46265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27046-2026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46265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27057-2026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46265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46265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46265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27053-2026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46265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46265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27042-2026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46265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27056-2026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46265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27040-2026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46185</v>
      </c>
      <c r="E832" s="1" t="n">
        <v>46265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27041-2026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46185</v>
      </c>
      <c r="E833" s="1" t="n">
        <v>46265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27051-2026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46265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27055-2026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46265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26658-2026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46184</v>
      </c>
      <c r="E836" s="1" t="n">
        <v>46265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27066-2026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46265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27069-2026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46265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26885-2026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46265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46265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26991-2026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46265</v>
      </c>
      <c r="F841" t="inlineStr">
        <is>
          <t>GÄVLEBORGS LÄN</t>
        </is>
      </c>
      <c r="G841" t="inlineStr">
        <is>
          <t>GÄVLE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27068-2026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46265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27059-2026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46265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27061-2026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46185</v>
      </c>
      <c r="E844" s="1" t="n">
        <v>46265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27065-2026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46265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27067-2026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46265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27359-2026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46265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46265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27361-2026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46265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19164-2026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46265</v>
      </c>
      <c r="F850" t="inlineStr">
        <is>
          <t>GÄVLEBORGS LÄN</t>
        </is>
      </c>
      <c r="G850" t="inlineStr">
        <is>
          <t>GÄVLE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28140-2026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46265</v>
      </c>
      <c r="F851" t="inlineStr">
        <is>
          <t>GÄVLEBORGS LÄN</t>
        </is>
      </c>
      <c r="G851" t="inlineStr">
        <is>
          <t>GÄVLE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29494-2026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46265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29506-2026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46265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52.7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32436-2026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46239</v>
      </c>
      <c r="E854" s="1" t="n">
        <v>46265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28379-2026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46196</v>
      </c>
      <c r="E855" s="1" t="n">
        <v>46265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46265</v>
      </c>
      <c r="F856" t="inlineStr">
        <is>
          <t>GÄVLEBORGS LÄN</t>
        </is>
      </c>
      <c r="G856" t="inlineStr">
        <is>
          <t>GÄVLE</t>
        </is>
      </c>
      <c r="H856" t="inlineStr">
        <is>
          <t>BillerudKorsnäs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28332-2026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46196</v>
      </c>
      <c r="E857" s="1" t="n">
        <v>46265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28334-2026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46196</v>
      </c>
      <c r="E858" s="1" t="n">
        <v>46265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22968-2026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46160</v>
      </c>
      <c r="E859" s="1" t="n">
        <v>46265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28331-2026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46196</v>
      </c>
      <c r="E860" s="1" t="n">
        <v>46265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32437-2026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46239</v>
      </c>
      <c r="E861" s="1" t="n">
        <v>46265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32888-2026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46265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28654-2026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46198</v>
      </c>
      <c r="E863" s="1" t="n">
        <v>46265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28655-2026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46198</v>
      </c>
      <c r="E864" s="1" t="n">
        <v>46265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28657-2026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46198</v>
      </c>
      <c r="E865" s="1" t="n">
        <v>46265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28658-2026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46198</v>
      </c>
      <c r="E866" s="1" t="n">
        <v>46265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32890-2026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46265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28656-2026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46198</v>
      </c>
      <c r="E868" s="1" t="n">
        <v>46265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28659-2026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46198</v>
      </c>
      <c r="E869" s="1" t="n">
        <v>46265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32887-2026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46265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29333-2026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46265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29142-2026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46202</v>
      </c>
      <c r="E872" s="1" t="n">
        <v>46265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33231-2026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46246</v>
      </c>
      <c r="E873" s="1" t="n">
        <v>46265</v>
      </c>
      <c r="F873" t="inlineStr">
        <is>
          <t>GÄVLEBORGS LÄN</t>
        </is>
      </c>
      <c r="G873" t="inlineStr">
        <is>
          <t>GÄVLE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33350-2026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46246</v>
      </c>
      <c r="E874" s="1" t="n">
        <v>46265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46246</v>
      </c>
      <c r="E875" s="1" t="n">
        <v>46265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46265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33265-2026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46246</v>
      </c>
      <c r="E877" s="1" t="n">
        <v>46265</v>
      </c>
      <c r="F877" t="inlineStr">
        <is>
          <t>GÄVLEBORGS LÄN</t>
        </is>
      </c>
      <c r="G877" t="inlineStr">
        <is>
          <t>GÄVLE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29364-2026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46265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33349-2026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46246</v>
      </c>
      <c r="E879" s="1" t="n">
        <v>46265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33347-2026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46246</v>
      </c>
      <c r="E880" s="1" t="n">
        <v>46265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33662-2026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46248</v>
      </c>
      <c r="E881" s="1" t="n">
        <v>46265</v>
      </c>
      <c r="F881" t="inlineStr">
        <is>
          <t>GÄVLEBORGS LÄN</t>
        </is>
      </c>
      <c r="G881" t="inlineStr">
        <is>
          <t>GÄVLE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33586-2026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46248</v>
      </c>
      <c r="E882" s="1" t="n">
        <v>46265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31019-2026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46265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33585-2026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46248</v>
      </c>
      <c r="E884" s="1" t="n">
        <v>46265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33664-2026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46248</v>
      </c>
      <c r="E885" s="1" t="n">
        <v>46265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51758-2025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45950</v>
      </c>
      <c r="E886" s="1" t="n">
        <v>46265</v>
      </c>
      <c r="F886" t="inlineStr">
        <is>
          <t>GÄVLEBORGS LÄN</t>
        </is>
      </c>
      <c r="G886" t="inlineStr">
        <is>
          <t>GÄVLE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15456-2026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46265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24367-2026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46169</v>
      </c>
      <c r="E888" s="1" t="n">
        <v>46265</v>
      </c>
      <c r="F888" t="inlineStr">
        <is>
          <t>GÄVLEBORGS LÄN</t>
        </is>
      </c>
      <c r="G888" t="inlineStr">
        <is>
          <t>GÄVLE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22363-2026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46154</v>
      </c>
      <c r="E889" s="1" t="n">
        <v>46265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33719-2026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46251</v>
      </c>
      <c r="E890" s="1" t="n">
        <v>46265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30324-2026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46207</v>
      </c>
      <c r="E891" s="1" t="n">
        <v>46265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34033-2026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46252</v>
      </c>
      <c r="E892" s="1" t="n">
        <v>46265</v>
      </c>
      <c r="F892" t="inlineStr">
        <is>
          <t>GÄVLEBORGS LÄN</t>
        </is>
      </c>
      <c r="G892" t="inlineStr">
        <is>
          <t>GÄVLE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46210</v>
      </c>
      <c r="E893" s="1" t="n">
        <v>46265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34432-2026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46254</v>
      </c>
      <c r="E894" s="1" t="n">
        <v>46265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30601-2026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46210</v>
      </c>
      <c r="E895" s="1" t="n">
        <v>46265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46254</v>
      </c>
      <c r="E896" s="1" t="n">
        <v>46265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30951-2026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46213</v>
      </c>
      <c r="E897" s="1" t="n">
        <v>46265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30967-2026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46213</v>
      </c>
      <c r="E898" s="1" t="n">
        <v>46265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30948-2026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46265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34590-2026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46255</v>
      </c>
      <c r="E900" s="1" t="n">
        <v>46265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34593-2026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46255</v>
      </c>
      <c r="E901" s="1" t="n">
        <v>46265</v>
      </c>
      <c r="F901" t="inlineStr">
        <is>
          <t>GÄVLEBORGS LÄN</t>
        </is>
      </c>
      <c r="G901" t="inlineStr">
        <is>
          <t>GÄVLE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34591-2026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46255</v>
      </c>
      <c r="E902" s="1" t="n">
        <v>46265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30969-2026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46265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46265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34686-2026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46258</v>
      </c>
      <c r="E905" s="1" t="n">
        <v>46265</v>
      </c>
      <c r="F905" t="inlineStr">
        <is>
          <t>GÄVLEBORGS LÄN</t>
        </is>
      </c>
      <c r="G905" t="inlineStr">
        <is>
          <t>GÄVLE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34733-2026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46258</v>
      </c>
      <c r="E906" s="1" t="n">
        <v>46265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31445-2026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46217</v>
      </c>
      <c r="E907" s="1" t="n">
        <v>46265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31234-2026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46217</v>
      </c>
      <c r="E908" s="1" t="n">
        <v>46265</v>
      </c>
      <c r="F908" t="inlineStr">
        <is>
          <t>GÄVLEBORGS LÄN</t>
        </is>
      </c>
      <c r="G908" t="inlineStr">
        <is>
          <t>GÄVLE</t>
        </is>
      </c>
      <c r="I908" t="n">
        <v>3.6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35120-2026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46260</v>
      </c>
      <c r="E909" s="1" t="n">
        <v>46265</v>
      </c>
      <c r="F909" t="inlineStr">
        <is>
          <t>GÄVLEBORGS LÄN</t>
        </is>
      </c>
      <c r="G909" t="inlineStr">
        <is>
          <t>GÄVLE</t>
        </is>
      </c>
      <c r="I909" t="n">
        <v>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35561-2026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46262</v>
      </c>
      <c r="E910" s="1" t="n">
        <v>46265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35326-2026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46261</v>
      </c>
      <c r="E911" s="1" t="n">
        <v>46265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31528-2026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46220</v>
      </c>
      <c r="E912" s="1" t="n">
        <v>46265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35388-2026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46261</v>
      </c>
      <c r="E913" s="1" t="n">
        <v>46265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46265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35387-2026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46261</v>
      </c>
      <c r="E915" s="1" t="n">
        <v>46265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35302-2026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46261</v>
      </c>
      <c r="E916" s="1" t="n">
        <v>46265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4.4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35541-2026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46262</v>
      </c>
      <c r="E917" s="1" t="n">
        <v>46265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5.3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35495-2026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46262</v>
      </c>
      <c r="E918" s="1" t="n">
        <v>46265</v>
      </c>
      <c r="F918" t="inlineStr">
        <is>
          <t>GÄVLEBORGS LÄN</t>
        </is>
      </c>
      <c r="G918" t="inlineStr">
        <is>
          <t>GÄVLE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61449-2025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46001</v>
      </c>
      <c r="E919" s="1" t="n">
        <v>46265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9.300000000000001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3425-2023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45205</v>
      </c>
      <c r="E920" s="1" t="n">
        <v>46265</v>
      </c>
      <c r="F920" t="inlineStr">
        <is>
          <t>GÄVLEBORGS LÄN</t>
        </is>
      </c>
      <c r="G920" t="inlineStr">
        <is>
          <t>GÄVLE</t>
        </is>
      </c>
      <c r="I920" t="n">
        <v>0.2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  <c r="Z920">
        <f>HYPERLINK("https://klasma.github.io/Logging_2180/knärot/S 3425-2023 karta knärot.png", "S 3425-2023")</f>
        <v/>
      </c>
      <c r="AA920">
        <f>HYPERLINK("https://klasma.github.io/Logging_2180/klagomål/S 3425-2023 FSC-klagomål.docx", "S 3425-2023")</f>
        <v/>
      </c>
      <c r="AB920">
        <f>HYPERLINK("https://klasma.github.io/Logging_2180/klagomålsmail/S 3425-2023 FSC-klagomål mail.docx", "S 3425-2023")</f>
        <v/>
      </c>
      <c r="AC920">
        <f>HYPERLINK("https://klasma.github.io/Logging_2180/tillsyn/S 3425-2023 tillsynsbegäran.docx", "S 3425-2023")</f>
        <v/>
      </c>
      <c r="AD920">
        <f>HYPERLINK("https://klasma.github.io/Logging_2180/tillsynsmail/S 3425-2023 tillsynsbegäran mail.docx", "S 3425-2023")</f>
        <v/>
      </c>
    </row>
    <row r="921" ht="15" customHeight="1">
      <c r="A921" t="inlineStr">
        <is>
          <t>S 889-2023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44995</v>
      </c>
      <c r="E921" s="1" t="n">
        <v>46265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886-2024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45376</v>
      </c>
      <c r="E922" s="1" t="n">
        <v>46265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2464-2024</t>
        </is>
      </c>
      <c r="B923" t="inlineStr">
        <is>
          <t>samrådsanmälan</t>
        </is>
      </c>
      <c r="C923" t="inlineStr">
        <is>
          <t>Skogsbilväg</t>
        </is>
      </c>
      <c r="D923" s="1" t="n">
        <v>45470</v>
      </c>
      <c r="E923" s="1" t="n">
        <v>46265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644-2026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46265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29.2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2026-08-31T09:55:13Z</dcterms:created>
  <dcterms:modified xmlns:dcterms="http://purl.org/dc/terms/" xmlns:xsi="http://www.w3.org/2001/XMLSchema-instance" xsi:type="dcterms:W3CDTF">2026-08-31T09:55:14Z</dcterms:modified>
</cp:coreProperties>
</file>