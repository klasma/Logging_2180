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46233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46233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46233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46233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46233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46233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46233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46233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46233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46233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46233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46233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46233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46233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46233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46233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46233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Trastsångare
Enkelbeckasin
Buskskvätta
Trana</t>
        </is>
      </c>
      <c r="W26">
        <f>HYPERLINK("https://klasma.github.io/Logging_2180/artfynd/A 3193-2026 artfynd.xlsx", "A 3193-2026")</f>
        <v/>
      </c>
      <c r="X26">
        <f>HYPERLINK("https://klasma.github.io/Logging_2180/kartor/A 3193-2026 karta.png", "A 3193-2026")</f>
        <v/>
      </c>
      <c r="Y26">
        <f>HYPERLINK("https://klasma.github.io/Logging_2180/kartor_geotiff/A 3193-2026 georefererad karta.tif", "A 3193-2026")</f>
        <v/>
      </c>
      <c r="AA26">
        <f>HYPERLINK("https://klasma.github.io/Logging_2180/klagomål/A 3193-2026 FSC-klagomål.docx", "A 3193-2026")</f>
        <v/>
      </c>
      <c r="AB26">
        <f>HYPERLINK("https://klasma.github.io/Logging_2180/klagomålsmail/A 3193-2026 FSC-klagomål mail.docx", "A 3193-2026")</f>
        <v/>
      </c>
      <c r="AC26">
        <f>HYPERLINK("https://klasma.github.io/Logging_2180/tillsyn/A 3193-2026 tillsynsbegäran.docx", "A 3193-2026")</f>
        <v/>
      </c>
      <c r="AD26">
        <f>HYPERLINK("https://klasma.github.io/Logging_2180/tillsynsmail/A 3193-2026 tillsynsbegäran mail.docx", "A 3193-2026")</f>
        <v/>
      </c>
      <c r="AE26">
        <f>HYPERLINK("https://klasma.github.io/Logging_2180/fåglar/A 3193-2026 prioriterade fågelarter.docx", "A 3193-2026")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46233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46233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46233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46233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46233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Järnsparv
Rödvingetrast
Talltita
Grönsiska</t>
        </is>
      </c>
      <c r="W31">
        <f>HYPERLINK("https://klasma.github.io/Logging_2180/artfynd/A 4287-2024 artfynd.xlsx", "A 4287-2024")</f>
        <v/>
      </c>
      <c r="X31">
        <f>HYPERLINK("https://klasma.github.io/Logging_2180/kartor/A 4287-2024 karta.png", "A 4287-2024")</f>
        <v/>
      </c>
      <c r="Y31">
        <f>HYPERLINK("https://klasma.github.io/Logging_2180/kartor_geotiff/A 4287-2024 georefererad karta.tif", "A 4287-2024")</f>
        <v/>
      </c>
      <c r="AA31">
        <f>HYPERLINK("https://klasma.github.io/Logging_2180/klagomål/A 4287-2024 FSC-klagomål.docx", "A 4287-2024")</f>
        <v/>
      </c>
      <c r="AB31">
        <f>HYPERLINK("https://klasma.github.io/Logging_2180/klagomålsmail/A 4287-2024 FSC-klagomål mail.docx", "A 4287-2024")</f>
        <v/>
      </c>
      <c r="AC31">
        <f>HYPERLINK("https://klasma.github.io/Logging_2180/tillsyn/A 4287-2024 tillsynsbegäran.docx", "A 4287-2024")</f>
        <v/>
      </c>
      <c r="AD31">
        <f>HYPERLINK("https://klasma.github.io/Logging_2180/tillsynsmail/A 4287-2024 tillsynsbegäran mail.docx", "A 4287-2024")</f>
        <v/>
      </c>
      <c r="AE31">
        <f>HYPERLINK("https://klasma.github.io/Logging_2180/fåglar/A 4287-2024 prioriterade fågelarter.docx", "A 4287-2024")</f>
        <v/>
      </c>
    </row>
    <row r="32" ht="15" customHeight="1">
      <c r="A32" t="inlineStr">
        <is>
          <t>A 1100-2024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46233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väst AB</t>
        </is>
      </c>
      <c r="I32" t="n">
        <v>3.9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Tallticka
Vedskivlav
Vågbandad barkbock</t>
        </is>
      </c>
      <c r="W32">
        <f>HYPERLINK("https://klasma.github.io/Logging_2180/artfynd/A 1100-2024 artfynd.xlsx", "A 1100-2024")</f>
        <v/>
      </c>
      <c r="X32">
        <f>HYPERLINK("https://klasma.github.io/Logging_2180/kartor/A 1100-2024 karta.png", "A 1100-2024")</f>
        <v/>
      </c>
      <c r="Y32">
        <f>HYPERLINK("https://klasma.github.io/Logging_2180/kartor_geotiff/A 1100-2024 georefererad karta.tif", "A 1100-2024")</f>
        <v/>
      </c>
      <c r="AA32">
        <f>HYPERLINK("https://klasma.github.io/Logging_2180/klagomål/A 1100-2024 FSC-klagomål.docx", "A 1100-2024")</f>
        <v/>
      </c>
      <c r="AB32">
        <f>HYPERLINK("https://klasma.github.io/Logging_2180/klagomålsmail/A 1100-2024 FSC-klagomål mail.docx", "A 1100-2024")</f>
        <v/>
      </c>
      <c r="AC32">
        <f>HYPERLINK("https://klasma.github.io/Logging_2180/tillsyn/A 1100-2024 tillsynsbegäran.docx", "A 1100-2024")</f>
        <v/>
      </c>
      <c r="AD32">
        <f>HYPERLINK("https://klasma.github.io/Logging_2180/tillsynsmail/A 1100-2024 tillsynsbegäran mail.docx", "A 1100-2024")</f>
        <v/>
      </c>
    </row>
    <row r="33" ht="15" customHeight="1">
      <c r="A33" t="inlineStr">
        <is>
          <t>A 9570-2025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45715</v>
      </c>
      <c r="E33" s="1" t="n">
        <v>46233</v>
      </c>
      <c r="F33" t="inlineStr">
        <is>
          <t>GÄVLEBORGS LÄN</t>
        </is>
      </c>
      <c r="G33" t="inlineStr">
        <is>
          <t>GÄVLE</t>
        </is>
      </c>
      <c r="I33" t="n">
        <v>3.8</v>
      </c>
      <c r="J33" t="n">
        <v>2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22</v>
      </c>
      <c r="U33" t="n">
        <v>22</v>
      </c>
      <c r="V33" s="2" t="inlineStr">
        <is>
          <t>Knärot
Lunglav
Tallticka
Tretåig hackspett</t>
        </is>
      </c>
      <c r="W33">
        <f>HYPERLINK("https://klasma.github.io/Logging_2180/artfynd/A 9570-2025 artfynd.xlsx", "A 9570-2025")</f>
        <v/>
      </c>
      <c r="X33">
        <f>HYPERLINK("https://klasma.github.io/Logging_2180/kartor/A 9570-2025 karta.png", "A 9570-2025")</f>
        <v/>
      </c>
      <c r="Y33">
        <f>HYPERLINK("https://klasma.github.io/Logging_2180/kartor_geotiff/A 9570-2025 georefererad karta.tif", "A 9570-2025")</f>
        <v/>
      </c>
      <c r="Z33">
        <f>HYPERLINK("https://klasma.github.io/Logging_2180/knärot/A 9570-2025 karta knärot.png", "A 9570-2025")</f>
        <v/>
      </c>
      <c r="AA33">
        <f>HYPERLINK("https://klasma.github.io/Logging_2180/klagomål/A 9570-2025 FSC-klagomål.docx", "A 9570-2025")</f>
        <v/>
      </c>
      <c r="AB33">
        <f>HYPERLINK("https://klasma.github.io/Logging_2180/klagomålsmail/A 9570-2025 FSC-klagomål mail.docx", "A 9570-2025")</f>
        <v/>
      </c>
      <c r="AC33">
        <f>HYPERLINK("https://klasma.github.io/Logging_2180/tillsyn/A 9570-2025 tillsynsbegäran.docx", "A 9570-2025")</f>
        <v/>
      </c>
      <c r="AD33">
        <f>HYPERLINK("https://klasma.github.io/Logging_2180/tillsynsmail/A 9570-2025 tillsynsbegäran mail.docx", "A 9570-2025")</f>
        <v/>
      </c>
      <c r="AE33">
        <f>HYPERLINK("https://klasma.github.io/Logging_2180/fåglar/A 9570-2025 prioriterade fågelarter.docx", "A 9570-2025")</f>
        <v/>
      </c>
    </row>
    <row r="34" ht="15" customHeight="1">
      <c r="A34" t="inlineStr">
        <is>
          <t>A 64567-2023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46233</v>
      </c>
      <c r="F34" t="inlineStr">
        <is>
          <t>GÄVLEBORGS LÄN</t>
        </is>
      </c>
      <c r="G34" t="inlineStr">
        <is>
          <t>GÄVLE</t>
        </is>
      </c>
      <c r="I34" t="n">
        <v>2.6</v>
      </c>
      <c r="J34" t="n">
        <v>0</v>
      </c>
      <c r="K34" t="n">
        <v>2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1</v>
      </c>
      <c r="V34" s="2" t="inlineStr">
        <is>
          <t>Ask
Brunfläckig pärlemorfjäril
Jättesvampmal
Strimspindling</t>
        </is>
      </c>
      <c r="W34">
        <f>HYPERLINK("https://klasma.github.io/Logging_2180/artfynd/A 64567-2023 artfynd.xlsx", "A 64567-2023")</f>
        <v/>
      </c>
      <c r="X34">
        <f>HYPERLINK("https://klasma.github.io/Logging_2180/kartor/A 64567-2023 karta.png", "A 64567-2023")</f>
        <v/>
      </c>
      <c r="Y34">
        <f>HYPERLINK("https://klasma.github.io/Logging_2180/kartor_geotiff/A 64567-2023 georefererad karta.tif", "A 64567-2023")</f>
        <v/>
      </c>
      <c r="AA34">
        <f>HYPERLINK("https://klasma.github.io/Logging_2180/klagomål/A 64567-2023 FSC-klagomål.docx", "A 64567-2023")</f>
        <v/>
      </c>
      <c r="AB34">
        <f>HYPERLINK("https://klasma.github.io/Logging_2180/klagomålsmail/A 64567-2023 FSC-klagomål mail.docx", "A 64567-2023")</f>
        <v/>
      </c>
      <c r="AC34">
        <f>HYPERLINK("https://klasma.github.io/Logging_2180/tillsyn/A 64567-2023 tillsynsbegäran.docx", "A 64567-2023")</f>
        <v/>
      </c>
      <c r="AD34">
        <f>HYPERLINK("https://klasma.github.io/Logging_2180/tillsynsmail/A 64567-2023 tillsynsbegäran mail.docx", "A 64567-2023")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46233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46233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46233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46233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Brunklöver
Tjäder
Huggorm</t>
        </is>
      </c>
      <c r="W38">
        <f>HYPERLINK("https://klasma.github.io/Logging_2180/artfynd/A 18215-2024 artfynd.xlsx", "A 18215-2024")</f>
        <v/>
      </c>
      <c r="X38">
        <f>HYPERLINK("https://klasma.github.io/Logging_2180/kartor/A 18215-2024 karta.png", "A 18215-2024")</f>
        <v/>
      </c>
      <c r="Y38">
        <f>HYPERLINK("https://klasma.github.io/Logging_2180/kartor_geotiff/A 18215-2024 georefererad karta.tif", "A 18215-2024")</f>
        <v/>
      </c>
      <c r="AA38">
        <f>HYPERLINK("https://klasma.github.io/Logging_2180/klagomål/A 18215-2024 FSC-klagomål.docx", "A 18215-2024")</f>
        <v/>
      </c>
      <c r="AB38">
        <f>HYPERLINK("https://klasma.github.io/Logging_2180/klagomålsmail/A 18215-2024 FSC-klagomål mail.docx", "A 18215-2024")</f>
        <v/>
      </c>
      <c r="AC38">
        <f>HYPERLINK("https://klasma.github.io/Logging_2180/tillsyn/A 18215-2024 tillsynsbegäran.docx", "A 18215-2024")</f>
        <v/>
      </c>
      <c r="AD38">
        <f>HYPERLINK("https://klasma.github.io/Logging_2180/tillsynsmail/A 18215-2024 tillsynsbegäran mail.docx", "A 18215-2024")</f>
        <v/>
      </c>
      <c r="AE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46233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46233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46233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46233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46233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46233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46233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46233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46233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46233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46233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46233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46233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46233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Blåsippa
Havsörn</t>
        </is>
      </c>
      <c r="W52">
        <f>HYPERLINK("https://klasma.github.io/Logging_2180/artfynd/A 18218-2024 artfynd.xlsx", "A 18218-2024")</f>
        <v/>
      </c>
      <c r="X52">
        <f>HYPERLINK("https://klasma.github.io/Logging_2180/kartor/A 18218-2024 karta.png", "A 18218-2024")</f>
        <v/>
      </c>
      <c r="Y52">
        <f>HYPERLINK("https://klasma.github.io/Logging_2180/kartor_geotiff/A 18218-2024 georefererad karta.tif", "A 18218-2024")</f>
        <v/>
      </c>
      <c r="AA52">
        <f>HYPERLINK("https://klasma.github.io/Logging_2180/klagomål/A 18218-2024 FSC-klagomål.docx", "A 18218-2024")</f>
        <v/>
      </c>
      <c r="AB52">
        <f>HYPERLINK("https://klasma.github.io/Logging_2180/klagomålsmail/A 18218-2024 FSC-klagomål mail.docx", "A 18218-2024")</f>
        <v/>
      </c>
      <c r="AC52">
        <f>HYPERLINK("https://klasma.github.io/Logging_2180/tillsyn/A 18218-2024 tillsynsbegäran.docx", "A 18218-2024")</f>
        <v/>
      </c>
      <c r="AD52">
        <f>HYPERLINK("https://klasma.github.io/Logging_2180/tillsynsmail/A 18218-2024 tillsynsbegäran mail.docx", "A 18218-2024")</f>
        <v/>
      </c>
      <c r="AE52">
        <f>HYPERLINK("https://klasma.github.io/Logging_2180/fåglar/A 18218-2024 prioriterade fågelarter.docx", "A 18218-2024")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46233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t="n">
        <v>0</v>
      </c>
      <c r="V53" s="2" t="inlineStr">
        <is>
          <t>Väddnätfjäril
Sotnätfjäril</t>
        </is>
      </c>
      <c r="W53">
        <f>HYPERLINK("https://klasma.github.io/Logging_2180/artfynd/A 14554-2026 artfynd.xlsx", "A 14554-2026")</f>
        <v/>
      </c>
      <c r="X53">
        <f>HYPERLINK("https://klasma.github.io/Logging_2180/kartor/A 14554-2026 karta.png", "A 14554-2026")</f>
        <v/>
      </c>
      <c r="Y53">
        <f>HYPERLINK("https://klasma.github.io/Logging_2180/kartor_geotiff/A 14554-2026 georefererad karta.tif", "A 14554-2026")</f>
        <v/>
      </c>
      <c r="AA53">
        <f>HYPERLINK("https://klasma.github.io/Logging_2180/klagomål/A 14554-2026 FSC-klagomål.docx", "A 14554-2026")</f>
        <v/>
      </c>
      <c r="AB53">
        <f>HYPERLINK("https://klasma.github.io/Logging_2180/klagomålsmail/A 14554-2026 FSC-klagomål mail.docx", "A 14554-2026")</f>
        <v/>
      </c>
      <c r="AC53">
        <f>HYPERLINK("https://klasma.github.io/Logging_2180/tillsyn/A 14554-2026 tillsynsbegäran.docx", "A 14554-2026")</f>
        <v/>
      </c>
      <c r="AD53">
        <f>HYPERLINK("https://klasma.github.io/Logging_2180/tillsynsmail/A 14554-2026 tillsynsbegäran mail.docx", "A 14554-2026")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46233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60202-2025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45994</v>
      </c>
      <c r="E55" s="1" t="n">
        <v>46233</v>
      </c>
      <c r="F55" t="inlineStr">
        <is>
          <t>GÄVLEBORGS LÄN</t>
        </is>
      </c>
      <c r="G55" t="inlineStr">
        <is>
          <t>GÄVLE</t>
        </is>
      </c>
      <c r="I55" t="n">
        <v>4.3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Spillkråka</t>
        </is>
      </c>
      <c r="W55">
        <f>HYPERLINK("https://klasma.github.io/Logging_2180/artfynd/A 60202-2025 artfynd.xlsx", "A 60202-2025")</f>
        <v/>
      </c>
      <c r="X55">
        <f>HYPERLINK("https://klasma.github.io/Logging_2180/kartor/A 60202-2025 karta.png", "A 60202-2025")</f>
        <v/>
      </c>
      <c r="Y55">
        <f>HYPERLINK("https://klasma.github.io/Logging_2180/kartor_geotiff/A 60202-2025 georefererad karta.tif", "A 60202-2025")</f>
        <v/>
      </c>
      <c r="AA55">
        <f>HYPERLINK("https://klasma.github.io/Logging_2180/klagomål/A 60202-2025 FSC-klagomål.docx", "A 60202-2025")</f>
        <v/>
      </c>
      <c r="AB55">
        <f>HYPERLINK("https://klasma.github.io/Logging_2180/klagomålsmail/A 60202-2025 FSC-klagomål mail.docx", "A 60202-2025")</f>
        <v/>
      </c>
      <c r="AC55">
        <f>HYPERLINK("https://klasma.github.io/Logging_2180/tillsyn/A 60202-2025 tillsynsbegäran.docx", "A 60202-2025")</f>
        <v/>
      </c>
      <c r="AD55">
        <f>HYPERLINK("https://klasma.github.io/Logging_2180/tillsynsmail/A 60202-2025 tillsynsbegäran mail.docx", "A 60202-2025")</f>
        <v/>
      </c>
      <c r="AE55">
        <f>HYPERLINK("https://klasma.github.io/Logging_2180/fåglar/A 60202-2025 prioriterade fågelarter.docx", "A 60202-2025")</f>
        <v/>
      </c>
    </row>
    <row r="56" ht="15" customHeight="1">
      <c r="A56" t="inlineStr">
        <is>
          <t>A 13487-2026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46233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0.6</v>
      </c>
      <c r="J56" t="n">
        <v>2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Pärluggla
Sparvuggla</t>
        </is>
      </c>
      <c r="W56">
        <f>HYPERLINK("https://klasma.github.io/Logging_2180/artfynd/A 13487-2026 artfynd.xlsx", "A 13487-2026")</f>
        <v/>
      </c>
      <c r="X56">
        <f>HYPERLINK("https://klasma.github.io/Logging_2180/kartor/A 13487-2026 karta.png", "A 13487-2026")</f>
        <v/>
      </c>
      <c r="Y56">
        <f>HYPERLINK("https://klasma.github.io/Logging_2180/kartor_geotiff/A 13487-2026 georefererad karta.tif", "A 13487-2026")</f>
        <v/>
      </c>
      <c r="AA56">
        <f>HYPERLINK("https://klasma.github.io/Logging_2180/klagomål/A 13487-2026 FSC-klagomål.docx", "A 13487-2026")</f>
        <v/>
      </c>
      <c r="AB56">
        <f>HYPERLINK("https://klasma.github.io/Logging_2180/klagomålsmail/A 13487-2026 FSC-klagomål mail.docx", "A 13487-2026")</f>
        <v/>
      </c>
      <c r="AC56">
        <f>HYPERLINK("https://klasma.github.io/Logging_2180/tillsyn/A 13487-2026 tillsynsbegäran.docx", "A 13487-2026")</f>
        <v/>
      </c>
      <c r="AD56">
        <f>HYPERLINK("https://klasma.github.io/Logging_2180/tillsynsmail/A 13487-2026 tillsynsbegäran mail.docx", "A 13487-2026")</f>
        <v/>
      </c>
      <c r="AE56">
        <f>HYPERLINK("https://klasma.github.io/Logging_2180/fåglar/A 13487-2026 prioriterade fågelarter.docx", "A 13487-2026")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46233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13248-2026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46233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Kattfotslav
Fläcknycklar</t>
        </is>
      </c>
      <c r="W58">
        <f>HYPERLINK("https://klasma.github.io/Logging_2180/artfynd/A 13248-2026 artfynd.xlsx", "A 13248-2026")</f>
        <v/>
      </c>
      <c r="X58">
        <f>HYPERLINK("https://klasma.github.io/Logging_2180/kartor/A 13248-2026 karta.png", "A 13248-2026")</f>
        <v/>
      </c>
      <c r="Y58">
        <f>HYPERLINK("https://klasma.github.io/Logging_2180/kartor_geotiff/A 13248-2026 georefererad karta.tif", "A 13248-2026")</f>
        <v/>
      </c>
      <c r="AA58">
        <f>HYPERLINK("https://klasma.github.io/Logging_2180/klagomål/A 13248-2026 FSC-klagomål.docx", "A 13248-2026")</f>
        <v/>
      </c>
      <c r="AB58">
        <f>HYPERLINK("https://klasma.github.io/Logging_2180/klagomålsmail/A 13248-2026 FSC-klagomål mail.docx", "A 13248-2026")</f>
        <v/>
      </c>
      <c r="AC58">
        <f>HYPERLINK("https://klasma.github.io/Logging_2180/tillsyn/A 13248-2026 tillsynsbegäran.docx", "A 13248-2026")</f>
        <v/>
      </c>
      <c r="AD58">
        <f>HYPERLINK("https://klasma.github.io/Logging_2180/tillsynsmail/A 13248-2026 tillsynsbegäran mail.docx", "A 13248-2026")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46233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46233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46233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46233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17297-2026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46233</v>
      </c>
      <c r="F63" t="inlineStr">
        <is>
          <t>GÄVLEBORGS LÄN</t>
        </is>
      </c>
      <c r="G63" t="inlineStr">
        <is>
          <t>GÄVLE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Slåtterfibbla
Blåsippa</t>
        </is>
      </c>
      <c r="W63">
        <f>HYPERLINK("https://klasma.github.io/Logging_2180/artfynd/A 17297-2026 artfynd.xlsx", "A 17297-2026")</f>
        <v/>
      </c>
      <c r="X63">
        <f>HYPERLINK("https://klasma.github.io/Logging_2180/kartor/A 17297-2026 karta.png", "A 17297-2026")</f>
        <v/>
      </c>
      <c r="Y63">
        <f>HYPERLINK("https://klasma.github.io/Logging_2180/kartor_geotiff/A 17297-2026 georefererad karta.tif", "A 17297-2026")</f>
        <v/>
      </c>
      <c r="AA63">
        <f>HYPERLINK("https://klasma.github.io/Logging_2180/klagomål/A 17297-2026 FSC-klagomål.docx", "A 17297-2026")</f>
        <v/>
      </c>
      <c r="AB63">
        <f>HYPERLINK("https://klasma.github.io/Logging_2180/klagomålsmail/A 17297-2026 FSC-klagomål mail.docx", "A 17297-2026")</f>
        <v/>
      </c>
      <c r="AC63">
        <f>HYPERLINK("https://klasma.github.io/Logging_2180/tillsyn/A 17297-2026 tillsynsbegäran.docx", "A 17297-2026")</f>
        <v/>
      </c>
      <c r="AD63">
        <f>HYPERLINK("https://klasma.github.io/Logging_2180/tillsynsmail/A 17297-2026 tillsynsbegäran mail.docx", "A 17297-2026")</f>
        <v/>
      </c>
    </row>
    <row r="64" ht="15" customHeight="1">
      <c r="A64" t="inlineStr">
        <is>
          <t>A 13727-2025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46233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2</v>
      </c>
      <c r="V64" s="2" t="inlineStr">
        <is>
          <t>Ullticka
Järpe</t>
        </is>
      </c>
      <c r="W64">
        <f>HYPERLINK("https://klasma.github.io/Logging_2180/artfynd/A 13727-2025 artfynd.xlsx", "A 13727-2025")</f>
        <v/>
      </c>
      <c r="X64">
        <f>HYPERLINK("https://klasma.github.io/Logging_2180/kartor/A 13727-2025 karta.png", "A 13727-2025")</f>
        <v/>
      </c>
      <c r="Y64">
        <f>HYPERLINK("https://klasma.github.io/Logging_2180/kartor_geotiff/A 13727-2025 georefererad karta.tif", "A 13727-2025")</f>
        <v/>
      </c>
      <c r="AA64">
        <f>HYPERLINK("https://klasma.github.io/Logging_2180/klagomål/A 13727-2025 FSC-klagomål.docx", "A 13727-2025")</f>
        <v/>
      </c>
      <c r="AB64">
        <f>HYPERLINK("https://klasma.github.io/Logging_2180/klagomålsmail/A 13727-2025 FSC-klagomål mail.docx", "A 13727-2025")</f>
        <v/>
      </c>
      <c r="AC64">
        <f>HYPERLINK("https://klasma.github.io/Logging_2180/tillsyn/A 13727-2025 tillsynsbegäran.docx", "A 13727-2025")</f>
        <v/>
      </c>
      <c r="AD64">
        <f>HYPERLINK("https://klasma.github.io/Logging_2180/tillsynsmail/A 13727-2025 tillsynsbegäran mail.docx", "A 13727-2025")</f>
        <v/>
      </c>
      <c r="AE64">
        <f>HYPERLINK("https://klasma.github.io/Logging_2180/fåglar/A 13727-2025 prioriterade fågelarter.docx", "A 13727-2025")</f>
        <v/>
      </c>
    </row>
    <row r="65" ht="15" customHeight="1">
      <c r="A65" t="inlineStr">
        <is>
          <t>A 35989-2024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46233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Knärot
Jättesvampmal</t>
        </is>
      </c>
      <c r="W65">
        <f>HYPERLINK("https://klasma.github.io/Logging_2180/artfynd/A 35989-2024 artfynd.xlsx", "A 35989-2024")</f>
        <v/>
      </c>
      <c r="X65">
        <f>HYPERLINK("https://klasma.github.io/Logging_2180/kartor/A 35989-2024 karta.png", "A 35989-2024")</f>
        <v/>
      </c>
      <c r="Y65">
        <f>HYPERLINK("https://klasma.github.io/Logging_2180/kartor_geotiff/A 35989-2024 georefererad karta.tif", "A 35989-2024")</f>
        <v/>
      </c>
      <c r="Z65">
        <f>HYPERLINK("https://klasma.github.io/Logging_2180/knärot/A 35989-2024 karta knärot.png", "A 35989-2024")</f>
        <v/>
      </c>
      <c r="AA65">
        <f>HYPERLINK("https://klasma.github.io/Logging_2180/klagomål/A 35989-2024 FSC-klagomål.docx", "A 35989-2024")</f>
        <v/>
      </c>
      <c r="AB65">
        <f>HYPERLINK("https://klasma.github.io/Logging_2180/klagomålsmail/A 35989-2024 FSC-klagomål mail.docx", "A 35989-2024")</f>
        <v/>
      </c>
      <c r="AC65">
        <f>HYPERLINK("https://klasma.github.io/Logging_2180/tillsyn/A 35989-2024 tillsynsbegäran.docx", "A 35989-2024")</f>
        <v/>
      </c>
      <c r="AD65">
        <f>HYPERLINK("https://klasma.github.io/Logging_2180/tillsynsmail/A 35989-2024 tillsynsbegäran mail.docx", "A 35989-2024")</f>
        <v/>
      </c>
    </row>
    <row r="66" ht="15" customHeight="1">
      <c r="A66" t="inlineStr">
        <is>
          <t>A 29634-2026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46233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Brunag
Strandlummer</t>
        </is>
      </c>
      <c r="W66">
        <f>HYPERLINK("https://klasma.github.io/Logging_2180/artfynd/A 29634-2026 artfynd.xlsx", "A 29634-2026")</f>
        <v/>
      </c>
      <c r="X66">
        <f>HYPERLINK("https://klasma.github.io/Logging_2180/kartor/A 29634-2026 karta.png", "A 29634-2026")</f>
        <v/>
      </c>
      <c r="Y66">
        <f>HYPERLINK("https://klasma.github.io/Logging_2180/kartor_geotiff/A 29634-2026 georefererad karta.tif", "A 29634-2026")</f>
        <v/>
      </c>
      <c r="AA66">
        <f>HYPERLINK("https://klasma.github.io/Logging_2180/klagomål/A 29634-2026 FSC-klagomål.docx", "A 29634-2026")</f>
        <v/>
      </c>
      <c r="AB66">
        <f>HYPERLINK("https://klasma.github.io/Logging_2180/klagomålsmail/A 29634-2026 FSC-klagomål mail.docx", "A 29634-2026")</f>
        <v/>
      </c>
      <c r="AC66">
        <f>HYPERLINK("https://klasma.github.io/Logging_2180/tillsyn/A 29634-2026 tillsynsbegäran.docx", "A 29634-2026")</f>
        <v/>
      </c>
      <c r="AD66">
        <f>HYPERLINK("https://klasma.github.io/Logging_2180/tillsynsmail/A 29634-2026 tillsynsbegäran mail.docx", "A 29634-2026")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46233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46233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29821-2023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46233</v>
      </c>
      <c r="F69" t="inlineStr">
        <is>
          <t>GÄVLEBORGS LÄN</t>
        </is>
      </c>
      <c r="G69" t="inlineStr">
        <is>
          <t>GÄVLE</t>
        </is>
      </c>
      <c r="I69" t="n">
        <v>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Järnsparv
Svartvit flugsnappare</t>
        </is>
      </c>
      <c r="W69">
        <f>HYPERLINK("https://klasma.github.io/Logging_2180/artfynd/A 29821-2023 artfynd.xlsx", "A 29821-2023")</f>
        <v/>
      </c>
      <c r="X69">
        <f>HYPERLINK("https://klasma.github.io/Logging_2180/kartor/A 29821-2023 karta.png", "A 29821-2023")</f>
        <v/>
      </c>
      <c r="Y69">
        <f>HYPERLINK("https://klasma.github.io/Logging_2180/kartor_geotiff/A 29821-2023 georefererad karta.tif", "A 29821-2023")</f>
        <v/>
      </c>
      <c r="AA69">
        <f>HYPERLINK("https://klasma.github.io/Logging_2180/klagomål/A 29821-2023 FSC-klagomål.docx", "A 29821-2023")</f>
        <v/>
      </c>
      <c r="AB69">
        <f>HYPERLINK("https://klasma.github.io/Logging_2180/klagomålsmail/A 29821-2023 FSC-klagomål mail.docx", "A 29821-2023")</f>
        <v/>
      </c>
      <c r="AC69">
        <f>HYPERLINK("https://klasma.github.io/Logging_2180/tillsyn/A 29821-2023 tillsynsbegäran.docx", "A 29821-2023")</f>
        <v/>
      </c>
      <c r="AD69">
        <f>HYPERLINK("https://klasma.github.io/Logging_2180/tillsynsmail/A 29821-2023 tillsynsbegäran mail.docx", "A 29821-2023")</f>
        <v/>
      </c>
      <c r="AE69">
        <f>HYPERLINK("https://klasma.github.io/Logging_2180/fåglar/A 29821-2023 prioriterade fågelarter.docx", "A 29821-2023")</f>
        <v/>
      </c>
    </row>
    <row r="70" ht="15" customHeight="1">
      <c r="A70" t="inlineStr">
        <is>
          <t>A 24915-2026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46233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24915-2026 artfynd.xlsx", "A 24915-2026")</f>
        <v/>
      </c>
      <c r="X70">
        <f>HYPERLINK("https://klasma.github.io/Logging_2180/kartor/A 24915-2026 karta.png", "A 24915-2026")</f>
        <v/>
      </c>
      <c r="Y70">
        <f>HYPERLINK("https://klasma.github.io/Logging_2180/kartor_geotiff/A 24915-2026 georefererad karta.tif", "A 24915-2026")</f>
        <v/>
      </c>
      <c r="AA70">
        <f>HYPERLINK("https://klasma.github.io/Logging_2180/klagomål/A 24915-2026 FSC-klagomål.docx", "A 24915-2026")</f>
        <v/>
      </c>
      <c r="AB70">
        <f>HYPERLINK("https://klasma.github.io/Logging_2180/klagomålsmail/A 24915-2026 FSC-klagomål mail.docx", "A 24915-2026")</f>
        <v/>
      </c>
      <c r="AC70">
        <f>HYPERLINK("https://klasma.github.io/Logging_2180/tillsyn/A 24915-2026 tillsynsbegäran.docx", "A 24915-2026")</f>
        <v/>
      </c>
      <c r="AD70">
        <f>HYPERLINK("https://klasma.github.io/Logging_2180/tillsynsmail/A 24915-2026 tillsynsbegäran mail.docx", "A 24915-2026")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46233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46233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46233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t="n">
        <v>0</v>
      </c>
      <c r="V73" s="2" t="inlineStr">
        <is>
          <t>Aspvedgnagare
Jättesvampmal</t>
        </is>
      </c>
      <c r="W73">
        <f>HYPERLINK("https://klasma.github.io/Logging_2180/artfynd/A 64533-2023 artfynd.xlsx", "A 64533-2023")</f>
        <v/>
      </c>
      <c r="X73">
        <f>HYPERLINK("https://klasma.github.io/Logging_2180/kartor/A 64533-2023 karta.png", "A 64533-2023")</f>
        <v/>
      </c>
      <c r="Y73">
        <f>HYPERLINK("https://klasma.github.io/Logging_2180/kartor_geotiff/A 64533-2023 georefererad karta.tif", "A 64533-2023")</f>
        <v/>
      </c>
      <c r="AA73">
        <f>HYPERLINK("https://klasma.github.io/Logging_2180/klagomål/A 64533-2023 FSC-klagomål.docx", "A 64533-2023")</f>
        <v/>
      </c>
      <c r="AB73">
        <f>HYPERLINK("https://klasma.github.io/Logging_2180/klagomålsmail/A 64533-2023 FSC-klagomål mail.docx", "A 64533-2023")</f>
        <v/>
      </c>
      <c r="AC73">
        <f>HYPERLINK("https://klasma.github.io/Logging_2180/tillsyn/A 64533-2023 tillsynsbegäran.docx", "A 64533-2023")</f>
        <v/>
      </c>
      <c r="AD73">
        <f>HYPERLINK("https://klasma.github.io/Logging_2180/tillsynsmail/A 64533-2023 tillsynsbegäran mail.docx", "A 64533-2023")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46233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46233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46233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46233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Större vattensalamander</t>
        </is>
      </c>
      <c r="W77">
        <f>HYPERLINK("https://klasma.github.io/Logging_2180/artfynd/A 13227-2024 artfynd.xlsx", "A 13227-2024")</f>
        <v/>
      </c>
      <c r="X77">
        <f>HYPERLINK("https://klasma.github.io/Logging_2180/kartor/A 13227-2024 karta.png", "A 13227-2024")</f>
        <v/>
      </c>
      <c r="Y77">
        <f>HYPERLINK("https://klasma.github.io/Logging_2180/kartor_geotiff/A 13227-2024 georefererad karta.tif", "A 13227-2024")</f>
        <v/>
      </c>
      <c r="AA77">
        <f>HYPERLINK("https://klasma.github.io/Logging_2180/klagomål/A 13227-2024 FSC-klagomål.docx", "A 13227-2024")</f>
        <v/>
      </c>
      <c r="AB77">
        <f>HYPERLINK("https://klasma.github.io/Logging_2180/klagomålsmail/A 13227-2024 FSC-klagomål mail.docx", "A 13227-2024")</f>
        <v/>
      </c>
      <c r="AC77">
        <f>HYPERLINK("https://klasma.github.io/Logging_2180/tillsyn/A 13227-2024 tillsynsbegäran.docx", "A 13227-2024")</f>
        <v/>
      </c>
      <c r="AD77">
        <f>HYPERLINK("https://klasma.github.io/Logging_2180/tillsynsmail/A 13227-2024 tillsynsbegäran mail.docx", "A 13227-2024")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46233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Slåtterfibbla</t>
        </is>
      </c>
      <c r="W78">
        <f>HYPERLINK("https://klasma.github.io/Logging_2180/artfynd/A 32254-2023 artfynd.xlsx", "A 32254-2023")</f>
        <v/>
      </c>
      <c r="X78">
        <f>HYPERLINK("https://klasma.github.io/Logging_2180/kartor/A 32254-2023 karta.png", "A 32254-2023")</f>
        <v/>
      </c>
      <c r="Y78">
        <f>HYPERLINK("https://klasma.github.io/Logging_2180/kartor_geotiff/A 32254-2023 georefererad karta.tif", "A 32254-2023")</f>
        <v/>
      </c>
      <c r="AA78">
        <f>HYPERLINK("https://klasma.github.io/Logging_2180/klagomål/A 32254-2023 FSC-klagomål.docx", "A 32254-2023")</f>
        <v/>
      </c>
      <c r="AB78">
        <f>HYPERLINK("https://klasma.github.io/Logging_2180/klagomålsmail/A 32254-2023 FSC-klagomål mail.docx", "A 32254-2023")</f>
        <v/>
      </c>
      <c r="AC78">
        <f>HYPERLINK("https://klasma.github.io/Logging_2180/tillsyn/A 32254-2023 tillsynsbegäran.docx", "A 32254-2023")</f>
        <v/>
      </c>
      <c r="AD78">
        <f>HYPERLINK("https://klasma.github.io/Logging_2180/tillsynsmail/A 32254-2023 tillsynsbegäran mail.docx", "A 32254-2023")</f>
        <v/>
      </c>
    </row>
    <row r="79" ht="15" customHeight="1">
      <c r="A79" t="inlineStr">
        <is>
          <t>A 12338-2025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46233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6.8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1</v>
      </c>
      <c r="V79" s="2" t="inlineStr">
        <is>
          <t>Skogsklocka</t>
        </is>
      </c>
      <c r="W79">
        <f>HYPERLINK("https://klasma.github.io/Logging_2180/artfynd/A 12338-2025 artfynd.xlsx", "A 12338-2025")</f>
        <v/>
      </c>
      <c r="X79">
        <f>HYPERLINK("https://klasma.github.io/Logging_2180/kartor/A 12338-2025 karta.png", "A 12338-2025")</f>
        <v/>
      </c>
      <c r="Y79">
        <f>HYPERLINK("https://klasma.github.io/Logging_2180/kartor_geotiff/A 12338-2025 georefererad karta.tif", "A 12338-2025")</f>
        <v/>
      </c>
      <c r="AA79">
        <f>HYPERLINK("https://klasma.github.io/Logging_2180/klagomål/A 12338-2025 FSC-klagomål.docx", "A 12338-2025")</f>
        <v/>
      </c>
      <c r="AB79">
        <f>HYPERLINK("https://klasma.github.io/Logging_2180/klagomålsmail/A 12338-2025 FSC-klagomål mail.docx", "A 12338-2025")</f>
        <v/>
      </c>
      <c r="AC79">
        <f>HYPERLINK("https://klasma.github.io/Logging_2180/tillsyn/A 12338-2025 tillsynsbegäran.docx", "A 12338-2025")</f>
        <v/>
      </c>
      <c r="AD79">
        <f>HYPERLINK("https://klasma.github.io/Logging_2180/tillsynsmail/A 12338-2025 tillsynsbegäran mail.docx", "A 12338-2025")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46233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30302-2025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46233</v>
      </c>
      <c r="F81" t="inlineStr">
        <is>
          <t>GÄVLEBORGS LÄN</t>
        </is>
      </c>
      <c r="G81" t="inlineStr">
        <is>
          <t>GÄVLE</t>
        </is>
      </c>
      <c r="I81" t="n">
        <v>1.4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Fläcknycklar</t>
        </is>
      </c>
      <c r="W81">
        <f>HYPERLINK("https://klasma.github.io/Logging_2180/artfynd/A 30302-2025 artfynd.xlsx", "A 30302-2025")</f>
        <v/>
      </c>
      <c r="X81">
        <f>HYPERLINK("https://klasma.github.io/Logging_2180/kartor/A 30302-2025 karta.png", "A 30302-2025")</f>
        <v/>
      </c>
      <c r="Y81">
        <f>HYPERLINK("https://klasma.github.io/Logging_2180/kartor_geotiff/A 30302-2025 georefererad karta.tif", "A 30302-2025")</f>
        <v/>
      </c>
      <c r="AA81">
        <f>HYPERLINK("https://klasma.github.io/Logging_2180/klagomål/A 30302-2025 FSC-klagomål.docx", "A 30302-2025")</f>
        <v/>
      </c>
      <c r="AB81">
        <f>HYPERLINK("https://klasma.github.io/Logging_2180/klagomålsmail/A 30302-2025 FSC-klagomål mail.docx", "A 30302-2025")</f>
        <v/>
      </c>
      <c r="AC81">
        <f>HYPERLINK("https://klasma.github.io/Logging_2180/tillsyn/A 30302-2025 tillsynsbegäran.docx", "A 30302-2025")</f>
        <v/>
      </c>
      <c r="AD81">
        <f>HYPERLINK("https://klasma.github.io/Logging_2180/tillsynsmail/A 30302-2025 tillsynsbegäran mail.docx", "A 30302-2025")</f>
        <v/>
      </c>
    </row>
    <row r="82" ht="15" customHeight="1">
      <c r="A82" t="inlineStr">
        <is>
          <t>A 63288-2025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46233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5.3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Scharlakansskål</t>
        </is>
      </c>
      <c r="W82">
        <f>HYPERLINK("https://klasma.github.io/Logging_2180/artfynd/A 63288-2025 artfynd.xlsx", "A 63288-2025")</f>
        <v/>
      </c>
      <c r="X82">
        <f>HYPERLINK("https://klasma.github.io/Logging_2180/kartor/A 63288-2025 karta.png", "A 63288-2025")</f>
        <v/>
      </c>
      <c r="Y82">
        <f>HYPERLINK("https://klasma.github.io/Logging_2180/kartor_geotiff/A 63288-2025 georefererad karta.tif", "A 63288-2025")</f>
        <v/>
      </c>
      <c r="AA82">
        <f>HYPERLINK("https://klasma.github.io/Logging_2180/klagomål/A 63288-2025 FSC-klagomål.docx", "A 63288-2025")</f>
        <v/>
      </c>
      <c r="AB82">
        <f>HYPERLINK("https://klasma.github.io/Logging_2180/klagomålsmail/A 63288-2025 FSC-klagomål mail.docx", "A 63288-2025")</f>
        <v/>
      </c>
      <c r="AC82">
        <f>HYPERLINK("https://klasma.github.io/Logging_2180/tillsyn/A 63288-2025 tillsynsbegäran.docx", "A 63288-2025")</f>
        <v/>
      </c>
      <c r="AD82">
        <f>HYPERLINK("https://klasma.github.io/Logging_2180/tillsynsmail/A 63288-2025 tillsynsbegäran mail.docx", "A 63288-2025")</f>
        <v/>
      </c>
    </row>
    <row r="83" ht="15" customHeight="1">
      <c r="A83" t="inlineStr">
        <is>
          <t>A 26157-2022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44735</v>
      </c>
      <c r="E83" s="1" t="n">
        <v>46233</v>
      </c>
      <c r="F83" t="inlineStr">
        <is>
          <t>GÄVLEBORGS LÄN</t>
        </is>
      </c>
      <c r="G83" t="inlineStr">
        <is>
          <t>GÄVLE</t>
        </is>
      </c>
      <c r="I83" t="n">
        <v>2.6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Mattlummer</t>
        </is>
      </c>
      <c r="W83">
        <f>HYPERLINK("https://klasma.github.io/Logging_2180/artfynd/A 26157-2022 artfynd.xlsx", "A 26157-2022")</f>
        <v/>
      </c>
      <c r="X83">
        <f>HYPERLINK("https://klasma.github.io/Logging_2180/kartor/A 26157-2022 karta.png", "A 26157-2022")</f>
        <v/>
      </c>
      <c r="Y83">
        <f>HYPERLINK("https://klasma.github.io/Logging_2180/kartor_geotiff/A 26157-2022 georefererad karta.tif", "A 26157-2022")</f>
        <v/>
      </c>
      <c r="AA83">
        <f>HYPERLINK("https://klasma.github.io/Logging_2180/klagomål/A 26157-2022 FSC-klagomål.docx", "A 26157-2022")</f>
        <v/>
      </c>
      <c r="AB83">
        <f>HYPERLINK("https://klasma.github.io/Logging_2180/klagomålsmail/A 26157-2022 FSC-klagomål mail.docx", "A 26157-2022")</f>
        <v/>
      </c>
      <c r="AC83">
        <f>HYPERLINK("https://klasma.github.io/Logging_2180/tillsyn/A 26157-2022 tillsynsbegäran.docx", "A 26157-2022")</f>
        <v/>
      </c>
      <c r="AD83">
        <f>HYPERLINK("https://klasma.github.io/Logging_2180/tillsynsmail/A 26157-2022 tillsynsbegäran mail.docx", "A 26157-2022")</f>
        <v/>
      </c>
    </row>
    <row r="84" ht="15" customHeight="1">
      <c r="A84" t="inlineStr">
        <is>
          <t>A 51508-2024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46233</v>
      </c>
      <c r="F84" t="inlineStr">
        <is>
          <t>GÄVLEBORGS LÄN</t>
        </is>
      </c>
      <c r="G84" t="inlineStr">
        <is>
          <t>GÄVLE</t>
        </is>
      </c>
      <c r="I84" t="n">
        <v>0.9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Tibast</t>
        </is>
      </c>
      <c r="W84">
        <f>HYPERLINK("https://klasma.github.io/Logging_2180/artfynd/A 51508-2024 artfynd.xlsx", "A 51508-2024")</f>
        <v/>
      </c>
      <c r="X84">
        <f>HYPERLINK("https://klasma.github.io/Logging_2180/kartor/A 51508-2024 karta.png", "A 51508-2024")</f>
        <v/>
      </c>
      <c r="Y84">
        <f>HYPERLINK("https://klasma.github.io/Logging_2180/kartor_geotiff/A 51508-2024 georefererad karta.tif", "A 51508-2024")</f>
        <v/>
      </c>
      <c r="AA84">
        <f>HYPERLINK("https://klasma.github.io/Logging_2180/klagomål/A 51508-2024 FSC-klagomål.docx", "A 51508-2024")</f>
        <v/>
      </c>
      <c r="AB84">
        <f>HYPERLINK("https://klasma.github.io/Logging_2180/klagomålsmail/A 51508-2024 FSC-klagomål mail.docx", "A 51508-2024")</f>
        <v/>
      </c>
      <c r="AC84">
        <f>HYPERLINK("https://klasma.github.io/Logging_2180/tillsyn/A 51508-2024 tillsynsbegäran.docx", "A 51508-2024")</f>
        <v/>
      </c>
      <c r="AD84">
        <f>HYPERLINK("https://klasma.github.io/Logging_2180/tillsynsmail/A 51508-2024 tillsynsbegäran mail.docx", "A 51508-2024")</f>
        <v/>
      </c>
    </row>
    <row r="85" ht="15" customHeight="1">
      <c r="A85" t="inlineStr">
        <is>
          <t>A 11411-2025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46233</v>
      </c>
      <c r="F85" t="inlineStr">
        <is>
          <t>GÄVLEBORGS LÄN</t>
        </is>
      </c>
      <c r="G85" t="inlineStr">
        <is>
          <t>GÄVLE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11411-2025 artfynd.xlsx", "A 11411-2025")</f>
        <v/>
      </c>
      <c r="X85">
        <f>HYPERLINK("https://klasma.github.io/Logging_2180/kartor/A 11411-2025 karta.png", "A 11411-2025")</f>
        <v/>
      </c>
      <c r="Y85">
        <f>HYPERLINK("https://klasma.github.io/Logging_2180/kartor_geotiff/A 11411-2025 georefererad karta.tif", "A 11411-2025")</f>
        <v/>
      </c>
      <c r="AA85">
        <f>HYPERLINK("https://klasma.github.io/Logging_2180/klagomål/A 11411-2025 FSC-klagomål.docx", "A 11411-2025")</f>
        <v/>
      </c>
      <c r="AB85">
        <f>HYPERLINK("https://klasma.github.io/Logging_2180/klagomålsmail/A 11411-2025 FSC-klagomål mail.docx", "A 11411-2025")</f>
        <v/>
      </c>
      <c r="AC85">
        <f>HYPERLINK("https://klasma.github.io/Logging_2180/tillsyn/A 11411-2025 tillsynsbegäran.docx", "A 11411-2025")</f>
        <v/>
      </c>
      <c r="AD85">
        <f>HYPERLINK("https://klasma.github.io/Logging_2180/tillsynsmail/A 11411-2025 tillsynsbegäran mail.docx", "A 11411-2025")</f>
        <v/>
      </c>
    </row>
    <row r="86" ht="15" customHeight="1">
      <c r="A86" t="inlineStr">
        <is>
          <t>A 15001-2023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45015</v>
      </c>
      <c r="E86" s="1" t="n">
        <v>46233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Ängsblåvinge</t>
        </is>
      </c>
      <c r="W86">
        <f>HYPERLINK("https://klasma.github.io/Logging_2180/artfynd/A 15001-2023 artfynd.xlsx", "A 15001-2023")</f>
        <v/>
      </c>
      <c r="X86">
        <f>HYPERLINK("https://klasma.github.io/Logging_2180/kartor/A 15001-2023 karta.png", "A 15001-2023")</f>
        <v/>
      </c>
      <c r="Y86">
        <f>HYPERLINK("https://klasma.github.io/Logging_2180/kartor_geotiff/A 15001-2023 georefererad karta.tif", "A 15001-2023")</f>
        <v/>
      </c>
      <c r="AA86">
        <f>HYPERLINK("https://klasma.github.io/Logging_2180/klagomål/A 15001-2023 FSC-klagomål.docx", "A 15001-2023")</f>
        <v/>
      </c>
      <c r="AB86">
        <f>HYPERLINK("https://klasma.github.io/Logging_2180/klagomålsmail/A 15001-2023 FSC-klagomål mail.docx", "A 15001-2023")</f>
        <v/>
      </c>
      <c r="AC86">
        <f>HYPERLINK("https://klasma.github.io/Logging_2180/tillsyn/A 15001-2023 tillsynsbegäran.docx", "A 15001-2023")</f>
        <v/>
      </c>
      <c r="AD86">
        <f>HYPERLINK("https://klasma.github.io/Logging_2180/tillsynsmail/A 15001-2023 tillsynsbegäran mail.docx", "A 15001-2023")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46233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46233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63036-2023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46233</v>
      </c>
      <c r="F89" t="inlineStr">
        <is>
          <t>GÄVLEBORGS LÄN</t>
        </is>
      </c>
      <c r="G89" t="inlineStr">
        <is>
          <t>GÄVLE</t>
        </is>
      </c>
      <c r="I89" t="n">
        <v>12.7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HYPERLINK("https://klasma.github.io/Logging_2180/artfynd/A 63036-2023 artfynd.xlsx", "A 63036-2023")</f>
        <v/>
      </c>
      <c r="X89">
        <f>HYPERLINK("https://klasma.github.io/Logging_2180/kartor/A 63036-2023 karta.png", "A 63036-2023")</f>
        <v/>
      </c>
      <c r="Y89">
        <f>HYPERLINK("https://klasma.github.io/Logging_2180/kartor_geotiff/A 63036-2023 georefererad karta.tif", "A 63036-2023")</f>
        <v/>
      </c>
      <c r="AA89">
        <f>HYPERLINK("https://klasma.github.io/Logging_2180/klagomål/A 63036-2023 FSC-klagomål.docx", "A 63036-2023")</f>
        <v/>
      </c>
      <c r="AB89">
        <f>HYPERLINK("https://klasma.github.io/Logging_2180/klagomålsmail/A 63036-2023 FSC-klagomål mail.docx", "A 63036-2023")</f>
        <v/>
      </c>
      <c r="AC89">
        <f>HYPERLINK("https://klasma.github.io/Logging_2180/tillsyn/A 63036-2023 tillsynsbegäran.docx", "A 63036-2023")</f>
        <v/>
      </c>
      <c r="AD89">
        <f>HYPERLINK("https://klasma.github.io/Logging_2180/tillsynsmail/A 63036-2023 tillsynsbegäran mail.docx", "A 63036-2023")</f>
        <v/>
      </c>
    </row>
    <row r="90" ht="15" customHeight="1">
      <c r="A90" t="inlineStr">
        <is>
          <t>A 61056-2024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46233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5.3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Myggblomster</t>
        </is>
      </c>
      <c r="W90">
        <f>HYPERLINK("https://klasma.github.io/Logging_2180/artfynd/A 61056-2024 artfynd.xlsx", "A 61056-2024")</f>
        <v/>
      </c>
      <c r="X90">
        <f>HYPERLINK("https://klasma.github.io/Logging_2180/kartor/A 61056-2024 karta.png", "A 61056-2024")</f>
        <v/>
      </c>
      <c r="Y90">
        <f>HYPERLINK("https://klasma.github.io/Logging_2180/kartor_geotiff/A 61056-2024 georefererad karta.tif", "A 61056-2024")</f>
        <v/>
      </c>
      <c r="AA90">
        <f>HYPERLINK("https://klasma.github.io/Logging_2180/klagomål/A 61056-2024 FSC-klagomål.docx", "A 61056-2024")</f>
        <v/>
      </c>
      <c r="AB90">
        <f>HYPERLINK("https://klasma.github.io/Logging_2180/klagomålsmail/A 61056-2024 FSC-klagomål mail.docx", "A 61056-2024")</f>
        <v/>
      </c>
      <c r="AC90">
        <f>HYPERLINK("https://klasma.github.io/Logging_2180/tillsyn/A 61056-2024 tillsynsbegäran.docx", "A 61056-2024")</f>
        <v/>
      </c>
      <c r="AD90">
        <f>HYPERLINK("https://klasma.github.io/Logging_2180/tillsynsmail/A 61056-2024 tillsynsbegäran mail.docx", "A 61056-2024")</f>
        <v/>
      </c>
    </row>
    <row r="91" ht="15" customHeight="1">
      <c r="A91" t="inlineStr">
        <is>
          <t>A 54252-2025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46233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Ask</t>
        </is>
      </c>
      <c r="W91">
        <f>HYPERLINK("https://klasma.github.io/Logging_2180/artfynd/A 54252-2025 artfynd.xlsx", "A 54252-2025")</f>
        <v/>
      </c>
      <c r="X91">
        <f>HYPERLINK("https://klasma.github.io/Logging_2180/kartor/A 54252-2025 karta.png", "A 54252-2025")</f>
        <v/>
      </c>
      <c r="Y91">
        <f>HYPERLINK("https://klasma.github.io/Logging_2180/kartor_geotiff/A 54252-2025 georefererad karta.tif", "A 54252-2025")</f>
        <v/>
      </c>
      <c r="AA91">
        <f>HYPERLINK("https://klasma.github.io/Logging_2180/klagomål/A 54252-2025 FSC-klagomål.docx", "A 54252-2025")</f>
        <v/>
      </c>
      <c r="AB91">
        <f>HYPERLINK("https://klasma.github.io/Logging_2180/klagomålsmail/A 54252-2025 FSC-klagomål mail.docx", "A 54252-2025")</f>
        <v/>
      </c>
      <c r="AC91">
        <f>HYPERLINK("https://klasma.github.io/Logging_2180/tillsyn/A 54252-2025 tillsynsbegäran.docx", "A 54252-2025")</f>
        <v/>
      </c>
      <c r="AD91">
        <f>HYPERLINK("https://klasma.github.io/Logging_2180/tillsynsmail/A 54252-2025 tillsynsbegäran mail.docx", "A 54252-2025")</f>
        <v/>
      </c>
    </row>
    <row r="92" ht="15" customHeight="1">
      <c r="A92" t="inlineStr">
        <is>
          <t>A 12083-2025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46233</v>
      </c>
      <c r="F92" t="inlineStr">
        <is>
          <t>GÄVLEBORGS LÄN</t>
        </is>
      </c>
      <c r="G92" t="inlineStr">
        <is>
          <t>GÄVLE</t>
        </is>
      </c>
      <c r="I92" t="n">
        <v>6.3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Grönsiska</t>
        </is>
      </c>
      <c r="W92">
        <f>HYPERLINK("https://klasma.github.io/Logging_2180/artfynd/A 12083-2025 artfynd.xlsx", "A 12083-2025")</f>
        <v/>
      </c>
      <c r="X92">
        <f>HYPERLINK("https://klasma.github.io/Logging_2180/kartor/A 12083-2025 karta.png", "A 12083-2025")</f>
        <v/>
      </c>
      <c r="Y92">
        <f>HYPERLINK("https://klasma.github.io/Logging_2180/kartor_geotiff/A 12083-2025 georefererad karta.tif", "A 12083-2025")</f>
        <v/>
      </c>
      <c r="AA92">
        <f>HYPERLINK("https://klasma.github.io/Logging_2180/klagomål/A 12083-2025 FSC-klagomål.docx", "A 12083-2025")</f>
        <v/>
      </c>
      <c r="AB92">
        <f>HYPERLINK("https://klasma.github.io/Logging_2180/klagomålsmail/A 12083-2025 FSC-klagomål mail.docx", "A 12083-2025")</f>
        <v/>
      </c>
      <c r="AC92">
        <f>HYPERLINK("https://klasma.github.io/Logging_2180/tillsyn/A 12083-2025 tillsynsbegäran.docx", "A 12083-2025")</f>
        <v/>
      </c>
      <c r="AD92">
        <f>HYPERLINK("https://klasma.github.io/Logging_2180/tillsynsmail/A 12083-2025 tillsynsbegäran mail.docx", "A 12083-2025")</f>
        <v/>
      </c>
    </row>
    <row r="93" ht="15" customHeight="1">
      <c r="A93" t="inlineStr">
        <is>
          <t>A 54963-2025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45967</v>
      </c>
      <c r="E93" s="1" t="n">
        <v>46233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7.9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54963-2025 artfynd.xlsx", "A 54963-2025")</f>
        <v/>
      </c>
      <c r="X93">
        <f>HYPERLINK("https://klasma.github.io/Logging_2180/kartor/A 54963-2025 karta.png", "A 54963-2025")</f>
        <v/>
      </c>
      <c r="Y93">
        <f>HYPERLINK("https://klasma.github.io/Logging_2180/kartor_geotiff/A 54963-2025 georefererad karta.tif", "A 54963-2025")</f>
        <v/>
      </c>
      <c r="AA93">
        <f>HYPERLINK("https://klasma.github.io/Logging_2180/klagomål/A 54963-2025 FSC-klagomål.docx", "A 54963-2025")</f>
        <v/>
      </c>
      <c r="AB93">
        <f>HYPERLINK("https://klasma.github.io/Logging_2180/klagomålsmail/A 54963-2025 FSC-klagomål mail.docx", "A 54963-2025")</f>
        <v/>
      </c>
      <c r="AC93">
        <f>HYPERLINK("https://klasma.github.io/Logging_2180/tillsyn/A 54963-2025 tillsynsbegäran.docx", "A 54963-2025")</f>
        <v/>
      </c>
      <c r="AD93">
        <f>HYPERLINK("https://klasma.github.io/Logging_2180/tillsynsmail/A 54963-2025 tillsynsbegäran mail.docx", "A 54963-2025")</f>
        <v/>
      </c>
    </row>
    <row r="94" ht="15" customHeight="1">
      <c r="A94" t="inlineStr">
        <is>
          <t>A 11407-2025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46233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1.5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Myskmadra</t>
        </is>
      </c>
      <c r="W94">
        <f>HYPERLINK("https://klasma.github.io/Logging_2180/artfynd/A 11407-2025 artfynd.xlsx", "A 11407-2025")</f>
        <v/>
      </c>
      <c r="X94">
        <f>HYPERLINK("https://klasma.github.io/Logging_2180/kartor/A 11407-2025 karta.png", "A 11407-2025")</f>
        <v/>
      </c>
      <c r="Y94">
        <f>HYPERLINK("https://klasma.github.io/Logging_2180/kartor_geotiff/A 11407-2025 georefererad karta.tif", "A 11407-2025")</f>
        <v/>
      </c>
      <c r="AA94">
        <f>HYPERLINK("https://klasma.github.io/Logging_2180/klagomål/A 11407-2025 FSC-klagomål.docx", "A 11407-2025")</f>
        <v/>
      </c>
      <c r="AB94">
        <f>HYPERLINK("https://klasma.github.io/Logging_2180/klagomålsmail/A 11407-2025 FSC-klagomål mail.docx", "A 11407-2025")</f>
        <v/>
      </c>
      <c r="AC94">
        <f>HYPERLINK("https://klasma.github.io/Logging_2180/tillsyn/A 11407-2025 tillsynsbegäran.docx", "A 11407-2025")</f>
        <v/>
      </c>
      <c r="AD94">
        <f>HYPERLINK("https://klasma.github.io/Logging_2180/tillsynsmail/A 11407-2025 tillsynsbegäran mail.docx", "A 11407-2025")</f>
        <v/>
      </c>
    </row>
    <row r="95" ht="15" customHeight="1">
      <c r="A95" t="inlineStr">
        <is>
          <t>A 45241-2022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46233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22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HYPERLINK("https://klasma.github.io/Logging_2180/artfynd/A 45241-2022 artfynd.xlsx", "A 45241-2022")</f>
        <v/>
      </c>
      <c r="X95">
        <f>HYPERLINK("https://klasma.github.io/Logging_2180/kartor/A 45241-2022 karta.png", "A 45241-2022")</f>
        <v/>
      </c>
      <c r="Y95">
        <f>HYPERLINK("https://klasma.github.io/Logging_2180/kartor_geotiff/A 45241-2022 georefererad karta.tif", "A 45241-2022")</f>
        <v/>
      </c>
      <c r="AA95">
        <f>HYPERLINK("https://klasma.github.io/Logging_2180/klagomål/A 45241-2022 FSC-klagomål.docx", "A 45241-2022")</f>
        <v/>
      </c>
      <c r="AB95">
        <f>HYPERLINK("https://klasma.github.io/Logging_2180/klagomålsmail/A 45241-2022 FSC-klagomål mail.docx", "A 45241-2022")</f>
        <v/>
      </c>
      <c r="AC95">
        <f>HYPERLINK("https://klasma.github.io/Logging_2180/tillsyn/A 45241-2022 tillsynsbegäran.docx", "A 45241-2022")</f>
        <v/>
      </c>
      <c r="AD95">
        <f>HYPERLINK("https://klasma.github.io/Logging_2180/tillsynsmail/A 45241-2022 tillsynsbegäran mail.docx", "A 45241-2022")</f>
        <v/>
      </c>
    </row>
    <row r="96" ht="15" customHeight="1">
      <c r="A96" t="inlineStr">
        <is>
          <t>A 10333-2025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45720</v>
      </c>
      <c r="E96" s="1" t="n">
        <v>46233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Tjäder</t>
        </is>
      </c>
      <c r="W96">
        <f>HYPERLINK("https://klasma.github.io/Logging_2180/artfynd/A 10333-2025 artfynd.xlsx", "A 10333-2025")</f>
        <v/>
      </c>
      <c r="X96">
        <f>HYPERLINK("https://klasma.github.io/Logging_2180/kartor/A 10333-2025 karta.png", "A 10333-2025")</f>
        <v/>
      </c>
      <c r="Y96">
        <f>HYPERLINK("https://klasma.github.io/Logging_2180/kartor_geotiff/A 10333-2025 georefererad karta.tif", "A 10333-2025")</f>
        <v/>
      </c>
      <c r="AA96">
        <f>HYPERLINK("https://klasma.github.io/Logging_2180/klagomål/A 10333-2025 FSC-klagomål.docx", "A 10333-2025")</f>
        <v/>
      </c>
      <c r="AB96">
        <f>HYPERLINK("https://klasma.github.io/Logging_2180/klagomålsmail/A 10333-2025 FSC-klagomål mail.docx", "A 10333-2025")</f>
        <v/>
      </c>
      <c r="AC96">
        <f>HYPERLINK("https://klasma.github.io/Logging_2180/tillsyn/A 10333-2025 tillsynsbegäran.docx", "A 10333-2025")</f>
        <v/>
      </c>
      <c r="AD96">
        <f>HYPERLINK("https://klasma.github.io/Logging_2180/tillsynsmail/A 10333-2025 tillsynsbegäran mail.docx", "A 10333-2025")</f>
        <v/>
      </c>
      <c r="AE96">
        <f>HYPERLINK("https://klasma.github.io/Logging_2180/fåglar/A 10333-2025 prioriterade fågelarter.docx", "A 10333-2025")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46233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Mosippa</t>
        </is>
      </c>
      <c r="W97">
        <f>HYPERLINK("https://klasma.github.io/Logging_2180/artfynd/A 50052-2025 artfynd.xlsx", "A 50052-2025")</f>
        <v/>
      </c>
      <c r="X97">
        <f>HYPERLINK("https://klasma.github.io/Logging_2180/kartor/A 50052-2025 karta.png", "A 50052-2025")</f>
        <v/>
      </c>
      <c r="Y97">
        <f>HYPERLINK("https://klasma.github.io/Logging_2180/kartor_geotiff/A 50052-2025 georefererad karta.tif", "A 50052-2025")</f>
        <v/>
      </c>
      <c r="AA97">
        <f>HYPERLINK("https://klasma.github.io/Logging_2180/klagomål/A 50052-2025 FSC-klagomål.docx", "A 50052-2025")</f>
        <v/>
      </c>
      <c r="AB97">
        <f>HYPERLINK("https://klasma.github.io/Logging_2180/klagomålsmail/A 50052-2025 FSC-klagomål mail.docx", "A 50052-2025")</f>
        <v/>
      </c>
      <c r="AC97">
        <f>HYPERLINK("https://klasma.github.io/Logging_2180/tillsyn/A 50052-2025 tillsynsbegäran.docx", "A 50052-2025")</f>
        <v/>
      </c>
      <c r="AD97">
        <f>HYPERLINK("https://klasma.github.io/Logging_2180/tillsynsmail/A 50052-2025 tillsynsbegäran mail.docx", "A 50052-2025")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46233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46233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17251-2026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46119</v>
      </c>
      <c r="E100" s="1" t="n">
        <v>46233</v>
      </c>
      <c r="F100" t="inlineStr">
        <is>
          <t>GÄVLEBORGS LÄN</t>
        </is>
      </c>
      <c r="G100" t="inlineStr">
        <is>
          <t>GÄVLE</t>
        </is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HYPERLINK("https://klasma.github.io/Logging_2180/artfynd/A 17251-2026 artfynd.xlsx", "A 17251-2026")</f>
        <v/>
      </c>
      <c r="X100">
        <f>HYPERLINK("https://klasma.github.io/Logging_2180/kartor/A 17251-2026 karta.png", "A 17251-2026")</f>
        <v/>
      </c>
      <c r="Y100">
        <f>HYPERLINK("https://klasma.github.io/Logging_2180/kartor_geotiff/A 17251-2026 georefererad karta.tif", "A 17251-2026")</f>
        <v/>
      </c>
      <c r="AA100">
        <f>HYPERLINK("https://klasma.github.io/Logging_2180/klagomål/A 17251-2026 FSC-klagomål.docx", "A 17251-2026")</f>
        <v/>
      </c>
      <c r="AB100">
        <f>HYPERLINK("https://klasma.github.io/Logging_2180/klagomålsmail/A 17251-2026 FSC-klagomål mail.docx", "A 17251-2026")</f>
        <v/>
      </c>
      <c r="AC100">
        <f>HYPERLINK("https://klasma.github.io/Logging_2180/tillsyn/A 17251-2026 tillsynsbegäran.docx", "A 17251-2026")</f>
        <v/>
      </c>
      <c r="AD100">
        <f>HYPERLINK("https://klasma.github.io/Logging_2180/tillsynsmail/A 17251-2026 tillsynsbegäran mail.docx", "A 17251-2026")</f>
        <v/>
      </c>
    </row>
    <row r="101" ht="15" customHeight="1">
      <c r="A101" t="inlineStr">
        <is>
          <t>A 18060-2026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46125</v>
      </c>
      <c r="E101" s="1" t="n">
        <v>46233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Fläcknycklar</t>
        </is>
      </c>
      <c r="W101">
        <f>HYPERLINK("https://klasma.github.io/Logging_2180/artfynd/A 18060-2026 artfynd.xlsx", "A 18060-2026")</f>
        <v/>
      </c>
      <c r="X101">
        <f>HYPERLINK("https://klasma.github.io/Logging_2180/kartor/A 18060-2026 karta.png", "A 18060-2026")</f>
        <v/>
      </c>
      <c r="Y101">
        <f>HYPERLINK("https://klasma.github.io/Logging_2180/kartor_geotiff/A 18060-2026 georefererad karta.tif", "A 18060-2026")</f>
        <v/>
      </c>
      <c r="AA101">
        <f>HYPERLINK("https://klasma.github.io/Logging_2180/klagomål/A 18060-2026 FSC-klagomål.docx", "A 18060-2026")</f>
        <v/>
      </c>
      <c r="AB101">
        <f>HYPERLINK("https://klasma.github.io/Logging_2180/klagomålsmail/A 18060-2026 FSC-klagomål mail.docx", "A 18060-2026")</f>
        <v/>
      </c>
      <c r="AC101">
        <f>HYPERLINK("https://klasma.github.io/Logging_2180/tillsyn/A 18060-2026 tillsynsbegäran.docx", "A 18060-2026")</f>
        <v/>
      </c>
      <c r="AD101">
        <f>HYPERLINK("https://klasma.github.io/Logging_2180/tillsynsmail/A 18060-2026 tillsynsbegäran mail.docx", "A 18060-2026")</f>
        <v/>
      </c>
    </row>
    <row r="102" ht="15" customHeight="1">
      <c r="A102" t="inlineStr">
        <is>
          <t>A 5409-2023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44959</v>
      </c>
      <c r="E102" s="1" t="n">
        <v>46233</v>
      </c>
      <c r="F102" t="inlineStr">
        <is>
          <t>GÄVLEBORGS LÄN</t>
        </is>
      </c>
      <c r="G102" t="inlineStr">
        <is>
          <t>GÄVLE</t>
        </is>
      </c>
      <c r="I102" t="n">
        <v>0.3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HYPERLINK("https://klasma.github.io/Logging_2180/artfynd/A 5409-2023 artfynd.xlsx", "A 5409-2023")</f>
        <v/>
      </c>
      <c r="X102">
        <f>HYPERLINK("https://klasma.github.io/Logging_2180/kartor/A 5409-2023 karta.png", "A 5409-2023")</f>
        <v/>
      </c>
      <c r="Y102">
        <f>HYPERLINK("https://klasma.github.io/Logging_2180/kartor_geotiff/A 5409-2023 georefererad karta.tif", "A 5409-2023")</f>
        <v/>
      </c>
      <c r="AA102">
        <f>HYPERLINK("https://klasma.github.io/Logging_2180/klagomål/A 5409-2023 FSC-klagomål.docx", "A 5409-2023")</f>
        <v/>
      </c>
      <c r="AB102">
        <f>HYPERLINK("https://klasma.github.io/Logging_2180/klagomålsmail/A 5409-2023 FSC-klagomål mail.docx", "A 5409-2023")</f>
        <v/>
      </c>
      <c r="AC102">
        <f>HYPERLINK("https://klasma.github.io/Logging_2180/tillsyn/A 5409-2023 tillsynsbegäran.docx", "A 5409-2023")</f>
        <v/>
      </c>
      <c r="AD102">
        <f>HYPERLINK("https://klasma.github.io/Logging_2180/tillsynsmail/A 5409-2023 tillsynsbegäran mail.docx", "A 5409-2023")</f>
        <v/>
      </c>
    </row>
    <row r="103" ht="15" customHeight="1">
      <c r="A103" t="inlineStr">
        <is>
          <t>A 5415-2023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44959</v>
      </c>
      <c r="E103" s="1" t="n">
        <v>46233</v>
      </c>
      <c r="F103" t="inlineStr">
        <is>
          <t>GÄVLEBORGS LÄN</t>
        </is>
      </c>
      <c r="G103" t="inlineStr">
        <is>
          <t>GÄVLE</t>
        </is>
      </c>
      <c r="I103" t="n">
        <v>0.1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Skogsklocka</t>
        </is>
      </c>
      <c r="W103">
        <f>HYPERLINK("https://klasma.github.io/Logging_2180/artfynd/A 5415-2023 artfynd.xlsx", "A 5415-2023")</f>
        <v/>
      </c>
      <c r="X103">
        <f>HYPERLINK("https://klasma.github.io/Logging_2180/kartor/A 5415-2023 karta.png", "A 5415-2023")</f>
        <v/>
      </c>
      <c r="Y103">
        <f>HYPERLINK("https://klasma.github.io/Logging_2180/kartor_geotiff/A 5415-2023 georefererad karta.tif", "A 5415-2023")</f>
        <v/>
      </c>
      <c r="AA103">
        <f>HYPERLINK("https://klasma.github.io/Logging_2180/klagomål/A 5415-2023 FSC-klagomål.docx", "A 5415-2023")</f>
        <v/>
      </c>
      <c r="AB103">
        <f>HYPERLINK("https://klasma.github.io/Logging_2180/klagomålsmail/A 5415-2023 FSC-klagomål mail.docx", "A 5415-2023")</f>
        <v/>
      </c>
      <c r="AC103">
        <f>HYPERLINK("https://klasma.github.io/Logging_2180/tillsyn/A 5415-2023 tillsynsbegäran.docx", "A 5415-2023")</f>
        <v/>
      </c>
      <c r="AD103">
        <f>HYPERLINK("https://klasma.github.io/Logging_2180/tillsynsmail/A 5415-2023 tillsynsbegäran mail.docx", "A 5415-2023")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46233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HYPERLINK("https://klasma.github.io/Logging_2180/artfynd/A 19635-2026 artfynd.xlsx", "A 19635-2026")</f>
        <v/>
      </c>
      <c r="X104">
        <f>HYPERLINK("https://klasma.github.io/Logging_2180/kartor/A 19635-2026 karta.png", "A 19635-2026")</f>
        <v/>
      </c>
      <c r="Y104">
        <f>HYPERLINK("https://klasma.github.io/Logging_2180/kartor_geotiff/A 19635-2026 georefererad karta.tif", "A 19635-2026")</f>
        <v/>
      </c>
      <c r="AA104">
        <f>HYPERLINK("https://klasma.github.io/Logging_2180/klagomål/A 19635-2026 FSC-klagomål.docx", "A 19635-2026")</f>
        <v/>
      </c>
      <c r="AB104">
        <f>HYPERLINK("https://klasma.github.io/Logging_2180/klagomålsmail/A 19635-2026 FSC-klagomål mail.docx", "A 19635-2026")</f>
        <v/>
      </c>
      <c r="AC104">
        <f>HYPERLINK("https://klasma.github.io/Logging_2180/tillsyn/A 19635-2026 tillsynsbegäran.docx", "A 19635-2026")</f>
        <v/>
      </c>
      <c r="AD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13396-2026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46233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HYPERLINK("https://klasma.github.io/Logging_2180/artfynd/A 13396-2026 artfynd.xlsx", "A 13396-2026")</f>
        <v/>
      </c>
      <c r="X105">
        <f>HYPERLINK("https://klasma.github.io/Logging_2180/kartor/A 13396-2026 karta.png", "A 13396-2026")</f>
        <v/>
      </c>
      <c r="Y105">
        <f>HYPERLINK("https://klasma.github.io/Logging_2180/kartor_geotiff/A 13396-2026 georefererad karta.tif", "A 13396-2026")</f>
        <v/>
      </c>
      <c r="AA105">
        <f>HYPERLINK("https://klasma.github.io/Logging_2180/klagomål/A 13396-2026 FSC-klagomål.docx", "A 13396-2026")</f>
        <v/>
      </c>
      <c r="AB105">
        <f>HYPERLINK("https://klasma.github.io/Logging_2180/klagomålsmail/A 13396-2026 FSC-klagomål mail.docx", "A 13396-2026")</f>
        <v/>
      </c>
      <c r="AC105">
        <f>HYPERLINK("https://klasma.github.io/Logging_2180/tillsyn/A 13396-2026 tillsynsbegäran.docx", "A 13396-2026")</f>
        <v/>
      </c>
      <c r="AD105">
        <f>HYPERLINK("https://klasma.github.io/Logging_2180/tillsynsmail/A 13396-2026 tillsynsbegäran mail.docx", "A 13396-2026")</f>
        <v/>
      </c>
    </row>
    <row r="106" ht="15" customHeight="1">
      <c r="A106" t="inlineStr">
        <is>
          <t>A 21282-2024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46233</v>
      </c>
      <c r="F106" t="inlineStr">
        <is>
          <t>GÄVLEBORGS LÄN</t>
        </is>
      </c>
      <c r="G106" t="inlineStr">
        <is>
          <t>GÄVLE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1</v>
      </c>
      <c r="V106" s="2" t="inlineStr">
        <is>
          <t>Skogsklocka</t>
        </is>
      </c>
      <c r="W106">
        <f>HYPERLINK("https://klasma.github.io/Logging_2180/artfynd/A 21282-2024 artfynd.xlsx", "A 21282-2024")</f>
        <v/>
      </c>
      <c r="X106">
        <f>HYPERLINK("https://klasma.github.io/Logging_2180/kartor/A 21282-2024 karta.png", "A 21282-2024")</f>
        <v/>
      </c>
      <c r="Y106">
        <f>HYPERLINK("https://klasma.github.io/Logging_2180/kartor_geotiff/A 21282-2024 georefererad karta.tif", "A 21282-2024")</f>
        <v/>
      </c>
      <c r="AA106">
        <f>HYPERLINK("https://klasma.github.io/Logging_2180/klagomål/A 21282-2024 FSC-klagomål.docx", "A 21282-2024")</f>
        <v/>
      </c>
      <c r="AB106">
        <f>HYPERLINK("https://klasma.github.io/Logging_2180/klagomålsmail/A 21282-2024 FSC-klagomål mail.docx", "A 21282-2024")</f>
        <v/>
      </c>
      <c r="AC106">
        <f>HYPERLINK("https://klasma.github.io/Logging_2180/tillsyn/A 21282-2024 tillsynsbegäran.docx", "A 21282-2024")</f>
        <v/>
      </c>
      <c r="AD106">
        <f>HYPERLINK("https://klasma.github.io/Logging_2180/tillsynsmail/A 21282-2024 tillsynsbegäran mail.docx", "A 21282-2024")</f>
        <v/>
      </c>
    </row>
    <row r="107" ht="15" customHeight="1">
      <c r="A107" t="inlineStr">
        <is>
          <t>A 57932-2024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46233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48.7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HYPERLINK("https://klasma.github.io/Logging_2180/artfynd/A 57932-2024 artfynd.xlsx", "A 57932-2024")</f>
        <v/>
      </c>
      <c r="X107">
        <f>HYPERLINK("https://klasma.github.io/Logging_2180/kartor/A 57932-2024 karta.png", "A 57932-2024")</f>
        <v/>
      </c>
      <c r="Y107">
        <f>HYPERLINK("https://klasma.github.io/Logging_2180/kartor_geotiff/A 57932-2024 georefererad karta.tif", "A 57932-2024")</f>
        <v/>
      </c>
      <c r="AA107">
        <f>HYPERLINK("https://klasma.github.io/Logging_2180/klagomål/A 57932-2024 FSC-klagomål.docx", "A 57932-2024")</f>
        <v/>
      </c>
      <c r="AB107">
        <f>HYPERLINK("https://klasma.github.io/Logging_2180/klagomålsmail/A 57932-2024 FSC-klagomål mail.docx", "A 57932-2024")</f>
        <v/>
      </c>
      <c r="AC107">
        <f>HYPERLINK("https://klasma.github.io/Logging_2180/tillsyn/A 57932-2024 tillsynsbegäran.docx", "A 57932-2024")</f>
        <v/>
      </c>
      <c r="AD107">
        <f>HYPERLINK("https://klasma.github.io/Logging_2180/tillsynsmail/A 57932-2024 tillsynsbegäran mail.docx", "A 57932-2024")</f>
        <v/>
      </c>
      <c r="AE107">
        <f>HYPERLINK("https://klasma.github.io/Logging_2180/fåglar/A 57932-2024 prioriterade fågelarter.docx", "A 57932-2024")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46233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14730-2026 artfynd.xlsx", "A 14730-2026")</f>
        <v/>
      </c>
      <c r="X108">
        <f>HYPERLINK("https://klasma.github.io/Logging_2180/kartor/A 14730-2026 karta.png", "A 14730-2026")</f>
        <v/>
      </c>
      <c r="Y108">
        <f>HYPERLINK("https://klasma.github.io/Logging_2180/kartor_geotiff/A 14730-2026 georefererad karta.tif", "A 14730-2026")</f>
        <v/>
      </c>
      <c r="AA108">
        <f>HYPERLINK("https://klasma.github.io/Logging_2180/klagomål/A 14730-2026 FSC-klagomål.docx", "A 14730-2026")</f>
        <v/>
      </c>
      <c r="AB108">
        <f>HYPERLINK("https://klasma.github.io/Logging_2180/klagomålsmail/A 14730-2026 FSC-klagomål mail.docx", "A 14730-2026")</f>
        <v/>
      </c>
      <c r="AC108">
        <f>HYPERLINK("https://klasma.github.io/Logging_2180/tillsyn/A 14730-2026 tillsynsbegäran.docx", "A 14730-2026")</f>
        <v/>
      </c>
      <c r="AD108">
        <f>HYPERLINK("https://klasma.github.io/Logging_2180/tillsynsmail/A 14730-2026 tillsynsbegäran mail.docx", "A 14730-2026")</f>
        <v/>
      </c>
      <c r="AE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46233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Blanksvart spiklav</t>
        </is>
      </c>
      <c r="W109">
        <f>HYPERLINK("https://klasma.github.io/Logging_2180/artfynd/A 14711-2026 artfynd.xlsx", "A 14711-2026")</f>
        <v/>
      </c>
      <c r="X109">
        <f>HYPERLINK("https://klasma.github.io/Logging_2180/kartor/A 14711-2026 karta.png", "A 14711-2026")</f>
        <v/>
      </c>
      <c r="Y109">
        <f>HYPERLINK("https://klasma.github.io/Logging_2180/kartor_geotiff/A 14711-2026 georefererad karta.tif", "A 14711-2026")</f>
        <v/>
      </c>
      <c r="AA109">
        <f>HYPERLINK("https://klasma.github.io/Logging_2180/klagomål/A 14711-2026 FSC-klagomål.docx", "A 14711-2026")</f>
        <v/>
      </c>
      <c r="AB109">
        <f>HYPERLINK("https://klasma.github.io/Logging_2180/klagomålsmail/A 14711-2026 FSC-klagomål mail.docx", "A 14711-2026")</f>
        <v/>
      </c>
      <c r="AC109">
        <f>HYPERLINK("https://klasma.github.io/Logging_2180/tillsyn/A 14711-2026 tillsynsbegäran.docx", "A 14711-2026")</f>
        <v/>
      </c>
      <c r="AD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14714-2026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46233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Tjäder</t>
        </is>
      </c>
      <c r="W110">
        <f>HYPERLINK("https://klasma.github.io/Logging_2180/artfynd/A 14714-2026 artfynd.xlsx", "A 14714-2026")</f>
        <v/>
      </c>
      <c r="X110">
        <f>HYPERLINK("https://klasma.github.io/Logging_2180/kartor/A 14714-2026 karta.png", "A 14714-2026")</f>
        <v/>
      </c>
      <c r="Y110">
        <f>HYPERLINK("https://klasma.github.io/Logging_2180/kartor_geotiff/A 14714-2026 georefererad karta.tif", "A 14714-2026")</f>
        <v/>
      </c>
      <c r="AA110">
        <f>HYPERLINK("https://klasma.github.io/Logging_2180/klagomål/A 14714-2026 FSC-klagomål.docx", "A 14714-2026")</f>
        <v/>
      </c>
      <c r="AB110">
        <f>HYPERLINK("https://klasma.github.io/Logging_2180/klagomålsmail/A 14714-2026 FSC-klagomål mail.docx", "A 14714-2026")</f>
        <v/>
      </c>
      <c r="AC110">
        <f>HYPERLINK("https://klasma.github.io/Logging_2180/tillsyn/A 14714-2026 tillsynsbegäran.docx", "A 14714-2026")</f>
        <v/>
      </c>
      <c r="AD110">
        <f>HYPERLINK("https://klasma.github.io/Logging_2180/tillsynsmail/A 14714-2026 tillsynsbegäran mail.docx", "A 14714-2026")</f>
        <v/>
      </c>
      <c r="AE110">
        <f>HYPERLINK("https://klasma.github.io/Logging_2180/fåglar/A 14714-2026 prioriterade fågelarter.docx", "A 14714-2026")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46233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HYPERLINK("https://klasma.github.io/Logging_2180/artfynd/A 10064-2025 artfynd.xlsx", "A 10064-2025")</f>
        <v/>
      </c>
      <c r="X111">
        <f>HYPERLINK("https://klasma.github.io/Logging_2180/kartor/A 10064-2025 karta.png", "A 10064-2025")</f>
        <v/>
      </c>
      <c r="Y111">
        <f>HYPERLINK("https://klasma.github.io/Logging_2180/kartor_geotiff/A 10064-2025 georefererad karta.tif", "A 10064-2025")</f>
        <v/>
      </c>
      <c r="AA111">
        <f>HYPERLINK("https://klasma.github.io/Logging_2180/klagomål/A 10064-2025 FSC-klagomål.docx", "A 10064-2025")</f>
        <v/>
      </c>
      <c r="AB111">
        <f>HYPERLINK("https://klasma.github.io/Logging_2180/klagomålsmail/A 10064-2025 FSC-klagomål mail.docx", "A 10064-2025")</f>
        <v/>
      </c>
      <c r="AC111">
        <f>HYPERLINK("https://klasma.github.io/Logging_2180/tillsyn/A 10064-2025 tillsynsbegäran.docx", "A 10064-2025")</f>
        <v/>
      </c>
      <c r="AD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46233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20734-2026 artfynd.xlsx", "A 20734-2026")</f>
        <v/>
      </c>
      <c r="X112">
        <f>HYPERLINK("https://klasma.github.io/Logging_2180/kartor/A 20734-2026 karta.png", "A 20734-2026")</f>
        <v/>
      </c>
      <c r="Y112">
        <f>HYPERLINK("https://klasma.github.io/Logging_2180/kartor_geotiff/A 20734-2026 georefererad karta.tif", "A 20734-2026")</f>
        <v/>
      </c>
      <c r="AA112">
        <f>HYPERLINK("https://klasma.github.io/Logging_2180/klagomål/A 20734-2026 FSC-klagomål.docx", "A 20734-2026")</f>
        <v/>
      </c>
      <c r="AB112">
        <f>HYPERLINK("https://klasma.github.io/Logging_2180/klagomålsmail/A 20734-2026 FSC-klagomål mail.docx", "A 20734-2026")</f>
        <v/>
      </c>
      <c r="AC112">
        <f>HYPERLINK("https://klasma.github.io/Logging_2180/tillsyn/A 20734-2026 tillsynsbegäran.docx", "A 20734-2026")</f>
        <v/>
      </c>
      <c r="AD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13269-2026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46233</v>
      </c>
      <c r="F113" t="inlineStr">
        <is>
          <t>GÄVLEBORGS LÄN</t>
        </is>
      </c>
      <c r="G113" t="inlineStr">
        <is>
          <t>GÄVLE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Havsörn</t>
        </is>
      </c>
      <c r="W113">
        <f>HYPERLINK("https://klasma.github.io/Logging_2180/artfynd/A 13269-2026 artfynd.xlsx", "A 13269-2026")</f>
        <v/>
      </c>
      <c r="X113">
        <f>HYPERLINK("https://klasma.github.io/Logging_2180/kartor/A 13269-2026 karta.png", "A 13269-2026")</f>
        <v/>
      </c>
      <c r="Y113">
        <f>HYPERLINK("https://klasma.github.io/Logging_2180/kartor_geotiff/A 13269-2026 georefererad karta.tif", "A 13269-2026")</f>
        <v/>
      </c>
      <c r="AA113">
        <f>HYPERLINK("https://klasma.github.io/Logging_2180/klagomål/A 13269-2026 FSC-klagomål.docx", "A 13269-2026")</f>
        <v/>
      </c>
      <c r="AB113">
        <f>HYPERLINK("https://klasma.github.io/Logging_2180/klagomålsmail/A 13269-2026 FSC-klagomål mail.docx", "A 13269-2026")</f>
        <v/>
      </c>
      <c r="AC113">
        <f>HYPERLINK("https://klasma.github.io/Logging_2180/tillsyn/A 13269-2026 tillsynsbegäran.docx", "A 13269-2026")</f>
        <v/>
      </c>
      <c r="AD113">
        <f>HYPERLINK("https://klasma.github.io/Logging_2180/tillsynsmail/A 13269-2026 tillsynsbegäran mail.docx", "A 13269-2026")</f>
        <v/>
      </c>
      <c r="AE113">
        <f>HYPERLINK("https://klasma.github.io/Logging_2180/fåglar/A 13269-2026 prioriterade fågelarter.docx", "A 13269-2026")</f>
        <v/>
      </c>
    </row>
    <row r="114" ht="15" customHeight="1">
      <c r="A114" t="inlineStr">
        <is>
          <t>A 14703-2026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46233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HYPERLINK("https://klasma.github.io/Logging_2180/artfynd/A 14703-2026 artfynd.xlsx", "A 14703-2026")</f>
        <v/>
      </c>
      <c r="X114">
        <f>HYPERLINK("https://klasma.github.io/Logging_2180/kartor/A 14703-2026 karta.png", "A 14703-2026")</f>
        <v/>
      </c>
      <c r="Y114">
        <f>HYPERLINK("https://klasma.github.io/Logging_2180/kartor_geotiff/A 14703-2026 georefererad karta.tif", "A 14703-2026")</f>
        <v/>
      </c>
      <c r="AA114">
        <f>HYPERLINK("https://klasma.github.io/Logging_2180/klagomål/A 14703-2026 FSC-klagomål.docx", "A 14703-2026")</f>
        <v/>
      </c>
      <c r="AB114">
        <f>HYPERLINK("https://klasma.github.io/Logging_2180/klagomålsmail/A 14703-2026 FSC-klagomål mail.docx", "A 14703-2026")</f>
        <v/>
      </c>
      <c r="AC114">
        <f>HYPERLINK("https://klasma.github.io/Logging_2180/tillsyn/A 14703-2026 tillsynsbegäran.docx", "A 14703-2026")</f>
        <v/>
      </c>
      <c r="AD114">
        <f>HYPERLINK("https://klasma.github.io/Logging_2180/tillsynsmail/A 14703-2026 tillsynsbegäran mail.docx", "A 14703-2026")</f>
        <v/>
      </c>
      <c r="AE114">
        <f>HYPERLINK("https://klasma.github.io/Logging_2180/fåglar/A 14703-2026 prioriterade fågelarter.docx", "A 14703-2026")</f>
        <v/>
      </c>
    </row>
    <row r="115" ht="15" customHeight="1">
      <c r="A115" t="inlineStr">
        <is>
          <t>A 22052-2026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46233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Gullpudra</t>
        </is>
      </c>
      <c r="W115">
        <f>HYPERLINK("https://klasma.github.io/Logging_2180/artfynd/A 22052-2026 artfynd.xlsx", "A 22052-2026")</f>
        <v/>
      </c>
      <c r="X115">
        <f>HYPERLINK("https://klasma.github.io/Logging_2180/kartor/A 22052-2026 karta.png", "A 22052-2026")</f>
        <v/>
      </c>
      <c r="Y115">
        <f>HYPERLINK("https://klasma.github.io/Logging_2180/kartor_geotiff/A 22052-2026 georefererad karta.tif", "A 22052-2026")</f>
        <v/>
      </c>
      <c r="AA115">
        <f>HYPERLINK("https://klasma.github.io/Logging_2180/klagomål/A 22052-2026 FSC-klagomål.docx", "A 22052-2026")</f>
        <v/>
      </c>
      <c r="AB115">
        <f>HYPERLINK("https://klasma.github.io/Logging_2180/klagomålsmail/A 22052-2026 FSC-klagomål mail.docx", "A 22052-2026")</f>
        <v/>
      </c>
      <c r="AC115">
        <f>HYPERLINK("https://klasma.github.io/Logging_2180/tillsyn/A 22052-2026 tillsynsbegäran.docx", "A 22052-2026")</f>
        <v/>
      </c>
      <c r="AD115">
        <f>HYPERLINK("https://klasma.github.io/Logging_2180/tillsynsmail/A 22052-2026 tillsynsbegäran mail.docx", "A 22052-2026")</f>
        <v/>
      </c>
    </row>
    <row r="116" ht="15" customHeight="1">
      <c r="A116" t="inlineStr">
        <is>
          <t>A 18216-2024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45420</v>
      </c>
      <c r="E116" s="1" t="n">
        <v>46233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Dofttaggsvamp</t>
        </is>
      </c>
      <c r="W116">
        <f>HYPERLINK("https://klasma.github.io/Logging_2180/artfynd/A 18216-2024 artfynd.xlsx", "A 18216-2024")</f>
        <v/>
      </c>
      <c r="X116">
        <f>HYPERLINK("https://klasma.github.io/Logging_2180/kartor/A 18216-2024 karta.png", "A 18216-2024")</f>
        <v/>
      </c>
      <c r="Y116">
        <f>HYPERLINK("https://klasma.github.io/Logging_2180/kartor_geotiff/A 18216-2024 georefererad karta.tif", "A 18216-2024")</f>
        <v/>
      </c>
      <c r="AA116">
        <f>HYPERLINK("https://klasma.github.io/Logging_2180/klagomål/A 18216-2024 FSC-klagomål.docx", "A 18216-2024")</f>
        <v/>
      </c>
      <c r="AB116">
        <f>HYPERLINK("https://klasma.github.io/Logging_2180/klagomålsmail/A 18216-2024 FSC-klagomål mail.docx", "A 18216-2024")</f>
        <v/>
      </c>
      <c r="AC116">
        <f>HYPERLINK("https://klasma.github.io/Logging_2180/tillsyn/A 18216-2024 tillsynsbegäran.docx", "A 18216-2024")</f>
        <v/>
      </c>
      <c r="AD116">
        <f>HYPERLINK("https://klasma.github.io/Logging_2180/tillsynsmail/A 18216-2024 tillsynsbegäran mail.docx", "A 18216-2024")</f>
        <v/>
      </c>
    </row>
    <row r="117" ht="15" customHeight="1">
      <c r="A117" t="inlineStr">
        <is>
          <t>A 33812-2022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44790</v>
      </c>
      <c r="E117" s="1" t="n">
        <v>46233</v>
      </c>
      <c r="F117" t="inlineStr">
        <is>
          <t>GÄVLEBORGS LÄN</t>
        </is>
      </c>
      <c r="G117" t="inlineStr">
        <is>
          <t>GÄVLE</t>
        </is>
      </c>
      <c r="I117" t="n">
        <v>2.1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Myskmadra</t>
        </is>
      </c>
      <c r="W117">
        <f>HYPERLINK("https://klasma.github.io/Logging_2180/artfynd/A 33812-2022 artfynd.xlsx", "A 33812-2022")</f>
        <v/>
      </c>
      <c r="X117">
        <f>HYPERLINK("https://klasma.github.io/Logging_2180/kartor/A 33812-2022 karta.png", "A 33812-2022")</f>
        <v/>
      </c>
      <c r="Y117">
        <f>HYPERLINK("https://klasma.github.io/Logging_2180/kartor_geotiff/A 33812-2022 georefererad karta.tif", "A 33812-2022")</f>
        <v/>
      </c>
      <c r="AA117">
        <f>HYPERLINK("https://klasma.github.io/Logging_2180/klagomål/A 33812-2022 FSC-klagomål.docx", "A 33812-2022")</f>
        <v/>
      </c>
      <c r="AB117">
        <f>HYPERLINK("https://klasma.github.io/Logging_2180/klagomålsmail/A 33812-2022 FSC-klagomål mail.docx", "A 33812-2022")</f>
        <v/>
      </c>
      <c r="AC117">
        <f>HYPERLINK("https://klasma.github.io/Logging_2180/tillsyn/A 33812-2022 tillsynsbegäran.docx", "A 33812-2022")</f>
        <v/>
      </c>
      <c r="AD117">
        <f>HYPERLINK("https://klasma.github.io/Logging_2180/tillsynsmail/A 33812-2022 tillsynsbegäran mail.docx", "A 33812-2022")</f>
        <v/>
      </c>
    </row>
    <row r="118" ht="15" customHeight="1">
      <c r="A118" t="inlineStr">
        <is>
          <t>A 28546-2026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46233</v>
      </c>
      <c r="F118" t="inlineStr">
        <is>
          <t>GÄVLEBORGS LÄN</t>
        </is>
      </c>
      <c r="G118" t="inlineStr">
        <is>
          <t>GÄVLE</t>
        </is>
      </c>
      <c r="H118" t="inlineStr">
        <is>
          <t>BillerudKorsnäs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Fiskgjuse</t>
        </is>
      </c>
      <c r="W118">
        <f>HYPERLINK("https://klasma.github.io/Logging_2180/artfynd/A 28546-2026 artfynd.xlsx", "A 28546-2026")</f>
        <v/>
      </c>
      <c r="X118">
        <f>HYPERLINK("https://klasma.github.io/Logging_2180/kartor/A 28546-2026 karta.png", "A 28546-2026")</f>
        <v/>
      </c>
      <c r="Y118">
        <f>HYPERLINK("https://klasma.github.io/Logging_2180/kartor_geotiff/A 28546-2026 georefererad karta.tif", "A 28546-2026")</f>
        <v/>
      </c>
      <c r="AA118">
        <f>HYPERLINK("https://klasma.github.io/Logging_2180/klagomål/A 28546-2026 FSC-klagomål.docx", "A 28546-2026")</f>
        <v/>
      </c>
      <c r="AB118">
        <f>HYPERLINK("https://klasma.github.io/Logging_2180/klagomålsmail/A 28546-2026 FSC-klagomål mail.docx", "A 28546-2026")</f>
        <v/>
      </c>
      <c r="AC118">
        <f>HYPERLINK("https://klasma.github.io/Logging_2180/tillsyn/A 28546-2026 tillsynsbegäran.docx", "A 28546-2026")</f>
        <v/>
      </c>
      <c r="AD118">
        <f>HYPERLINK("https://klasma.github.io/Logging_2180/tillsynsmail/A 28546-2026 tillsynsbegäran mail.docx", "A 28546-2026")</f>
        <v/>
      </c>
      <c r="AE118">
        <f>HYPERLINK("https://klasma.github.io/Logging_2180/fåglar/A 28546-2026 prioriterade fågelarter.docx", "A 28546-2026")</f>
        <v/>
      </c>
    </row>
    <row r="119" ht="15" customHeight="1">
      <c r="A119" t="inlineStr">
        <is>
          <t>A 23003-2026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46160</v>
      </c>
      <c r="E119" s="1" t="n">
        <v>46233</v>
      </c>
      <c r="F119" t="inlineStr">
        <is>
          <t>GÄVLEBORGS LÄN</t>
        </is>
      </c>
      <c r="G119" t="inlineStr">
        <is>
          <t>GÄVLE</t>
        </is>
      </c>
      <c r="I119" t="n">
        <v>12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Tjäder</t>
        </is>
      </c>
      <c r="W119">
        <f>HYPERLINK("https://klasma.github.io/Logging_2180/artfynd/A 23003-2026 artfynd.xlsx", "A 23003-2026")</f>
        <v/>
      </c>
      <c r="X119">
        <f>HYPERLINK("https://klasma.github.io/Logging_2180/kartor/A 23003-2026 karta.png", "A 23003-2026")</f>
        <v/>
      </c>
      <c r="Y119">
        <f>HYPERLINK("https://klasma.github.io/Logging_2180/kartor_geotiff/A 23003-2026 georefererad karta.tif", "A 23003-2026")</f>
        <v/>
      </c>
      <c r="AA119">
        <f>HYPERLINK("https://klasma.github.io/Logging_2180/klagomål/A 23003-2026 FSC-klagomål.docx", "A 23003-2026")</f>
        <v/>
      </c>
      <c r="AB119">
        <f>HYPERLINK("https://klasma.github.io/Logging_2180/klagomålsmail/A 23003-2026 FSC-klagomål mail.docx", "A 23003-2026")</f>
        <v/>
      </c>
      <c r="AC119">
        <f>HYPERLINK("https://klasma.github.io/Logging_2180/tillsyn/A 23003-2026 tillsynsbegäran.docx", "A 23003-2026")</f>
        <v/>
      </c>
      <c r="AD119">
        <f>HYPERLINK("https://klasma.github.io/Logging_2180/tillsynsmail/A 23003-2026 tillsynsbegäran mail.docx", "A 23003-2026")</f>
        <v/>
      </c>
      <c r="AE119">
        <f>HYPERLINK("https://klasma.github.io/Logging_2180/fåglar/A 23003-2026 prioriterade fågelarter.docx", "A 23003-2026")</f>
        <v/>
      </c>
    </row>
    <row r="120" ht="15" customHeight="1">
      <c r="A120" t="inlineStr">
        <is>
          <t>A 22892-2026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46233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1.6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HYPERLINK("https://klasma.github.io/Logging_2180/artfynd/A 22892-2026 artfynd.xlsx", "A 22892-2026")</f>
        <v/>
      </c>
      <c r="X120">
        <f>HYPERLINK("https://klasma.github.io/Logging_2180/kartor/A 22892-2026 karta.png", "A 22892-2026")</f>
        <v/>
      </c>
      <c r="Y120">
        <f>HYPERLINK("https://klasma.github.io/Logging_2180/kartor_geotiff/A 22892-2026 georefererad karta.tif", "A 22892-2026")</f>
        <v/>
      </c>
      <c r="AA120">
        <f>HYPERLINK("https://klasma.github.io/Logging_2180/klagomål/A 22892-2026 FSC-klagomål.docx", "A 22892-2026")</f>
        <v/>
      </c>
      <c r="AB120">
        <f>HYPERLINK("https://klasma.github.io/Logging_2180/klagomålsmail/A 22892-2026 FSC-klagomål mail.docx", "A 22892-2026")</f>
        <v/>
      </c>
      <c r="AC120">
        <f>HYPERLINK("https://klasma.github.io/Logging_2180/tillsyn/A 22892-2026 tillsynsbegäran.docx", "A 22892-2026")</f>
        <v/>
      </c>
      <c r="AD120">
        <f>HYPERLINK("https://klasma.github.io/Logging_2180/tillsynsmail/A 22892-2026 tillsynsbegäran mail.docx", "A 22892-2026")</f>
        <v/>
      </c>
      <c r="AE120">
        <f>HYPERLINK("https://klasma.github.io/Logging_2180/fåglar/A 22892-2026 prioriterade fågelarter.docx", "A 22892-2026")</f>
        <v/>
      </c>
    </row>
    <row r="121" ht="15" customHeight="1">
      <c r="A121" t="inlineStr">
        <is>
          <t>A 37927-2022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44811</v>
      </c>
      <c r="E121" s="1" t="n">
        <v>46233</v>
      </c>
      <c r="F121" t="inlineStr">
        <is>
          <t>GÄVLEBORGS LÄN</t>
        </is>
      </c>
      <c r="G121" t="inlineStr">
        <is>
          <t>GÄVLE</t>
        </is>
      </c>
      <c r="I121" t="n">
        <v>1.6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10</v>
      </c>
      <c r="U121" t="n">
        <v>10</v>
      </c>
      <c r="V121" s="2" t="inlineStr">
        <is>
          <t>Knärot</t>
        </is>
      </c>
      <c r="W121">
        <f>HYPERLINK("https://klasma.github.io/Logging_2180/artfynd/A 37927-2022 artfynd.xlsx", "A 37927-2022")</f>
        <v/>
      </c>
      <c r="X121">
        <f>HYPERLINK("https://klasma.github.io/Logging_2180/kartor/A 37927-2022 karta.png", "A 37927-2022")</f>
        <v/>
      </c>
      <c r="Y121">
        <f>HYPERLINK("https://klasma.github.io/Logging_2180/kartor_geotiff/A 37927-2022 georefererad karta.tif", "A 37927-2022")</f>
        <v/>
      </c>
      <c r="Z121">
        <f>HYPERLINK("https://klasma.github.io/Logging_2180/knärot/A 37927-2022 karta knärot.png", "A 37927-2022")</f>
        <v/>
      </c>
      <c r="AA121">
        <f>HYPERLINK("https://klasma.github.io/Logging_2180/klagomål/A 37927-2022 FSC-klagomål.docx", "A 37927-2022")</f>
        <v/>
      </c>
      <c r="AB121">
        <f>HYPERLINK("https://klasma.github.io/Logging_2180/klagomålsmail/A 37927-2022 FSC-klagomål mail.docx", "A 37927-2022")</f>
        <v/>
      </c>
      <c r="AC121">
        <f>HYPERLINK("https://klasma.github.io/Logging_2180/tillsyn/A 37927-2022 tillsynsbegäran.docx", "A 37927-2022")</f>
        <v/>
      </c>
      <c r="AD121">
        <f>HYPERLINK("https://klasma.github.io/Logging_2180/tillsynsmail/A 37927-2022 tillsynsbegäran mail.docx", "A 37927-2022")</f>
        <v/>
      </c>
    </row>
    <row r="122" ht="15" customHeight="1">
      <c r="A122" t="inlineStr">
        <is>
          <t>A 31448-2026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46217</v>
      </c>
      <c r="E122" s="1" t="n">
        <v>46233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6.8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Mindre tåtelsmygare</t>
        </is>
      </c>
      <c r="W122">
        <f>HYPERLINK("https://klasma.github.io/Logging_2180/artfynd/A 31448-2026 artfynd.xlsx", "A 31448-2026")</f>
        <v/>
      </c>
      <c r="X122">
        <f>HYPERLINK("https://klasma.github.io/Logging_2180/kartor/A 31448-2026 karta.png", "A 31448-2026")</f>
        <v/>
      </c>
      <c r="Y122">
        <f>HYPERLINK("https://klasma.github.io/Logging_2180/kartor_geotiff/A 31448-2026 georefererad karta.tif", "A 31448-2026")</f>
        <v/>
      </c>
      <c r="AA122">
        <f>HYPERLINK("https://klasma.github.io/Logging_2180/klagomål/A 31448-2026 FSC-klagomål.docx", "A 31448-2026")</f>
        <v/>
      </c>
      <c r="AB122">
        <f>HYPERLINK("https://klasma.github.io/Logging_2180/klagomålsmail/A 31448-2026 FSC-klagomål mail.docx", "A 31448-2026")</f>
        <v/>
      </c>
      <c r="AC122">
        <f>HYPERLINK("https://klasma.github.io/Logging_2180/tillsyn/A 31448-2026 tillsynsbegäran.docx", "A 31448-2026")</f>
        <v/>
      </c>
      <c r="AD122">
        <f>HYPERLINK("https://klasma.github.io/Logging_2180/tillsynsmail/A 31448-2026 tillsynsbegäran mail.docx", "A 31448-2026")</f>
        <v/>
      </c>
    </row>
    <row r="123" ht="15" customHeight="1">
      <c r="A123" t="inlineStr">
        <is>
          <t>A 12437-2024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45379</v>
      </c>
      <c r="E123" s="1" t="n">
        <v>46233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Mindre bastardsvärmare</t>
        </is>
      </c>
      <c r="W123">
        <f>HYPERLINK("https://klasma.github.io/Logging_2180/artfynd/A 12437-2024 artfynd.xlsx", "A 12437-2024")</f>
        <v/>
      </c>
      <c r="X123">
        <f>HYPERLINK("https://klasma.github.io/Logging_2180/kartor/A 12437-2024 karta.png", "A 12437-2024")</f>
        <v/>
      </c>
      <c r="Y123">
        <f>HYPERLINK("https://klasma.github.io/Logging_2180/kartor_geotiff/A 12437-2024 georefererad karta.tif", "A 12437-2024")</f>
        <v/>
      </c>
      <c r="AA123">
        <f>HYPERLINK("https://klasma.github.io/Logging_2180/klagomål/A 12437-2024 FSC-klagomål.docx", "A 12437-2024")</f>
        <v/>
      </c>
      <c r="AB123">
        <f>HYPERLINK("https://klasma.github.io/Logging_2180/klagomålsmail/A 12437-2024 FSC-klagomål mail.docx", "A 12437-2024")</f>
        <v/>
      </c>
      <c r="AC123">
        <f>HYPERLINK("https://klasma.github.io/Logging_2180/tillsyn/A 12437-2024 tillsynsbegäran.docx", "A 12437-2024")</f>
        <v/>
      </c>
      <c r="AD123">
        <f>HYPERLINK("https://klasma.github.io/Logging_2180/tillsynsmail/A 12437-2024 tillsynsbegäran mail.docx", "A 12437-2024")</f>
        <v/>
      </c>
    </row>
    <row r="124" ht="15" customHeight="1">
      <c r="A124" t="inlineStr">
        <is>
          <t>A 27043-2026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46233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HYPERLINK("https://klasma.github.io/Logging_2180/artfynd/A 27043-2026 artfynd.xlsx", "A 27043-2026")</f>
        <v/>
      </c>
      <c r="X124">
        <f>HYPERLINK("https://klasma.github.io/Logging_2180/kartor/A 27043-2026 karta.png", "A 27043-2026")</f>
        <v/>
      </c>
      <c r="Y124">
        <f>HYPERLINK("https://klasma.github.io/Logging_2180/kartor_geotiff/A 27043-2026 georefererad karta.tif", "A 27043-2026")</f>
        <v/>
      </c>
      <c r="AA124">
        <f>HYPERLINK("https://klasma.github.io/Logging_2180/klagomål/A 27043-2026 FSC-klagomål.docx", "A 27043-2026")</f>
        <v/>
      </c>
      <c r="AB124">
        <f>HYPERLINK("https://klasma.github.io/Logging_2180/klagomålsmail/A 27043-2026 FSC-klagomål mail.docx", "A 27043-2026")</f>
        <v/>
      </c>
      <c r="AC124">
        <f>HYPERLINK("https://klasma.github.io/Logging_2180/tillsyn/A 27043-2026 tillsynsbegäran.docx", "A 27043-2026")</f>
        <v/>
      </c>
      <c r="AD124">
        <f>HYPERLINK("https://klasma.github.io/Logging_2180/tillsynsmail/A 27043-2026 tillsynsbegäran mail.docx", "A 27043-2026")</f>
        <v/>
      </c>
    </row>
    <row r="125" ht="15" customHeight="1">
      <c r="A125" t="inlineStr">
        <is>
          <t>A 26871-2026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46233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4.2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HYPERLINK("https://klasma.github.io/Logging_2180/artfynd/A 26871-2026 artfynd.xlsx", "A 26871-2026")</f>
        <v/>
      </c>
      <c r="X125">
        <f>HYPERLINK("https://klasma.github.io/Logging_2180/kartor/A 26871-2026 karta.png", "A 26871-2026")</f>
        <v/>
      </c>
      <c r="Y125">
        <f>HYPERLINK("https://klasma.github.io/Logging_2180/kartor_geotiff/A 26871-2026 georefererad karta.tif", "A 26871-2026")</f>
        <v/>
      </c>
      <c r="AA125">
        <f>HYPERLINK("https://klasma.github.io/Logging_2180/klagomål/A 26871-2026 FSC-klagomål.docx", "A 26871-2026")</f>
        <v/>
      </c>
      <c r="AB125">
        <f>HYPERLINK("https://klasma.github.io/Logging_2180/klagomålsmail/A 26871-2026 FSC-klagomål mail.docx", "A 26871-2026")</f>
        <v/>
      </c>
      <c r="AC125">
        <f>HYPERLINK("https://klasma.github.io/Logging_2180/tillsyn/A 26871-2026 tillsynsbegäran.docx", "A 26871-2026")</f>
        <v/>
      </c>
      <c r="AD125">
        <f>HYPERLINK("https://klasma.github.io/Logging_2180/tillsynsmail/A 26871-2026 tillsynsbegäran mail.docx", "A 26871-2026")</f>
        <v/>
      </c>
    </row>
    <row r="126" ht="15" customHeight="1">
      <c r="A126" t="inlineStr">
        <is>
          <t>A 27058-2026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46233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HYPERLINK("https://klasma.github.io/Logging_2180/artfynd/A 27058-2026 artfynd.xlsx", "A 27058-2026")</f>
        <v/>
      </c>
      <c r="X126">
        <f>HYPERLINK("https://klasma.github.io/Logging_2180/kartor/A 27058-2026 karta.png", "A 27058-2026")</f>
        <v/>
      </c>
      <c r="Y126">
        <f>HYPERLINK("https://klasma.github.io/Logging_2180/kartor_geotiff/A 27058-2026 georefererad karta.tif", "A 27058-2026")</f>
        <v/>
      </c>
      <c r="AA126">
        <f>HYPERLINK("https://klasma.github.io/Logging_2180/klagomål/A 27058-2026 FSC-klagomål.docx", "A 27058-2026")</f>
        <v/>
      </c>
      <c r="AB126">
        <f>HYPERLINK("https://klasma.github.io/Logging_2180/klagomålsmail/A 27058-2026 FSC-klagomål mail.docx", "A 27058-2026")</f>
        <v/>
      </c>
      <c r="AC126">
        <f>HYPERLINK("https://klasma.github.io/Logging_2180/tillsyn/A 27058-2026 tillsynsbegäran.docx", "A 27058-2026")</f>
        <v/>
      </c>
      <c r="AD126">
        <f>HYPERLINK("https://klasma.github.io/Logging_2180/tillsynsmail/A 27058-2026 tillsynsbegäran mail.docx", "A 27058-2026")</f>
        <v/>
      </c>
    </row>
    <row r="127" ht="15" customHeight="1">
      <c r="A127" t="inlineStr">
        <is>
          <t>A 27063-2026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46233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HYPERLINK("https://klasma.github.io/Logging_2180/artfynd/A 27063-2026 artfynd.xlsx", "A 27063-2026")</f>
        <v/>
      </c>
      <c r="X127">
        <f>HYPERLINK("https://klasma.github.io/Logging_2180/kartor/A 27063-2026 karta.png", "A 27063-2026")</f>
        <v/>
      </c>
      <c r="Y127">
        <f>HYPERLINK("https://klasma.github.io/Logging_2180/kartor_geotiff/A 27063-2026 georefererad karta.tif", "A 27063-2026")</f>
        <v/>
      </c>
      <c r="AA127">
        <f>HYPERLINK("https://klasma.github.io/Logging_2180/klagomål/A 27063-2026 FSC-klagomål.docx", "A 27063-2026")</f>
        <v/>
      </c>
      <c r="AB127">
        <f>HYPERLINK("https://klasma.github.io/Logging_2180/klagomålsmail/A 27063-2026 FSC-klagomål mail.docx", "A 27063-2026")</f>
        <v/>
      </c>
      <c r="AC127">
        <f>HYPERLINK("https://klasma.github.io/Logging_2180/tillsyn/A 27063-2026 tillsynsbegäran.docx", "A 27063-2026")</f>
        <v/>
      </c>
      <c r="AD127">
        <f>HYPERLINK("https://klasma.github.io/Logging_2180/tillsynsmail/A 27063-2026 tillsynsbegäran mail.docx", "A 27063-2026")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46233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35225-2024 artfynd.xlsx", "A 35225-2024")</f>
        <v/>
      </c>
      <c r="X128">
        <f>HYPERLINK("https://klasma.github.io/Logging_2180/kartor/A 35225-2024 karta.png", "A 35225-2024")</f>
        <v/>
      </c>
      <c r="Y128">
        <f>HYPERLINK("https://klasma.github.io/Logging_2180/kartor_geotiff/A 35225-2024 georefererad karta.tif", "A 35225-2024")</f>
        <v/>
      </c>
      <c r="AA128">
        <f>HYPERLINK("https://klasma.github.io/Logging_2180/klagomål/A 35225-2024 FSC-klagomål.docx", "A 35225-2024")</f>
        <v/>
      </c>
      <c r="AB128">
        <f>HYPERLINK("https://klasma.github.io/Logging_2180/klagomålsmail/A 35225-2024 FSC-klagomål mail.docx", "A 35225-2024")</f>
        <v/>
      </c>
      <c r="AC128">
        <f>HYPERLINK("https://klasma.github.io/Logging_2180/tillsyn/A 35225-2024 tillsynsbegäran.docx", "A 35225-2024")</f>
        <v/>
      </c>
      <c r="AD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12381-2023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46233</v>
      </c>
      <c r="F129" t="inlineStr">
        <is>
          <t>GÄVLEBORGS LÄN</t>
        </is>
      </c>
      <c r="G129" t="inlineStr">
        <is>
          <t>GÄVLE</t>
        </is>
      </c>
      <c r="I129" t="n">
        <v>4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Brunlångöra</t>
        </is>
      </c>
      <c r="W129">
        <f>HYPERLINK("https://klasma.github.io/Logging_2180/artfynd/A 12381-2023 artfynd.xlsx", "A 12381-2023")</f>
        <v/>
      </c>
      <c r="X129">
        <f>HYPERLINK("https://klasma.github.io/Logging_2180/kartor/A 12381-2023 karta.png", "A 12381-2023")</f>
        <v/>
      </c>
      <c r="Y129">
        <f>HYPERLINK("https://klasma.github.io/Logging_2180/kartor_geotiff/A 12381-2023 georefererad karta.tif", "A 12381-2023")</f>
        <v/>
      </c>
      <c r="AA129">
        <f>HYPERLINK("https://klasma.github.io/Logging_2180/klagomål/A 12381-2023 FSC-klagomål.docx", "A 12381-2023")</f>
        <v/>
      </c>
      <c r="AB129">
        <f>HYPERLINK("https://klasma.github.io/Logging_2180/klagomålsmail/A 12381-2023 FSC-klagomål mail.docx", "A 12381-2023")</f>
        <v/>
      </c>
      <c r="AC129">
        <f>HYPERLINK("https://klasma.github.io/Logging_2180/tillsyn/A 12381-2023 tillsynsbegäran.docx", "A 12381-2023")</f>
        <v/>
      </c>
      <c r="AD129">
        <f>HYPERLINK("https://klasma.github.io/Logging_2180/tillsynsmail/A 12381-2023 tillsynsbegäran mail.docx", "A 12381-2023")</f>
        <v/>
      </c>
    </row>
    <row r="130" ht="15" customHeight="1">
      <c r="A130" t="inlineStr">
        <is>
          <t>A 47642-2024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46233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8.199999999999999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Orre</t>
        </is>
      </c>
      <c r="W130">
        <f>HYPERLINK("https://klasma.github.io/Logging_2180/artfynd/A 47642-2024 artfynd.xlsx", "A 47642-2024")</f>
        <v/>
      </c>
      <c r="X130">
        <f>HYPERLINK("https://klasma.github.io/Logging_2180/kartor/A 47642-2024 karta.png", "A 47642-2024")</f>
        <v/>
      </c>
      <c r="Y130">
        <f>HYPERLINK("https://klasma.github.io/Logging_2180/kartor_geotiff/A 47642-2024 georefererad karta.tif", "A 47642-2024")</f>
        <v/>
      </c>
      <c r="AA130">
        <f>HYPERLINK("https://klasma.github.io/Logging_2180/klagomål/A 47642-2024 FSC-klagomål.docx", "A 47642-2024")</f>
        <v/>
      </c>
      <c r="AB130">
        <f>HYPERLINK("https://klasma.github.io/Logging_2180/klagomålsmail/A 47642-2024 FSC-klagomål mail.docx", "A 47642-2024")</f>
        <v/>
      </c>
      <c r="AC130">
        <f>HYPERLINK("https://klasma.github.io/Logging_2180/tillsyn/A 47642-2024 tillsynsbegäran.docx", "A 47642-2024")</f>
        <v/>
      </c>
      <c r="AD130">
        <f>HYPERLINK("https://klasma.github.io/Logging_2180/tillsynsmail/A 47642-2024 tillsynsbegäran mail.docx", "A 47642-2024")</f>
        <v/>
      </c>
      <c r="AE130">
        <f>HYPERLINK("https://klasma.github.io/Logging_2180/fåglar/A 47642-2024 prioriterade fågelarter.docx", "A 47642-2024")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46233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46233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46233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46233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46233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46233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46233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46233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46233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46233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46233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46233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46233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46233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46233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46233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46233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46233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46233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46233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46233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46233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46233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46233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46233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46233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46233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46233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46233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46233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46233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46233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46233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46233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46233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46233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46233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46233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46233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46233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46233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46233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46233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46233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45232</v>
      </c>
      <c r="E176" s="1" t="n">
        <v>46233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46233</v>
      </c>
      <c r="F177" t="inlineStr">
        <is>
          <t>GÄVLEBORGS LÄN</t>
        </is>
      </c>
      <c r="G177" t="inlineStr">
        <is>
          <t>GÄVLE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45467</v>
      </c>
      <c r="E178" s="1" t="n">
        <v>46233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öst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46539-2021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44445</v>
      </c>
      <c r="E179" s="1" t="n">
        <v>46233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45261</v>
      </c>
      <c r="E180" s="1" t="n">
        <v>46233</v>
      </c>
      <c r="F180" t="inlineStr">
        <is>
          <t>GÄVLEBORGS LÄN</t>
        </is>
      </c>
      <c r="G180" t="inlineStr">
        <is>
          <t>GÄVLE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34233-2023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45138</v>
      </c>
      <c r="E181" s="1" t="n">
        <v>46233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46233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46233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46233</v>
      </c>
      <c r="F184" t="inlineStr">
        <is>
          <t>GÄVLEBORGS LÄN</t>
        </is>
      </c>
      <c r="G184" t="inlineStr">
        <is>
          <t>GÄVLE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46233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20689-2024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45436</v>
      </c>
      <c r="E186" s="1" t="n">
        <v>46233</v>
      </c>
      <c r="F186" t="inlineStr">
        <is>
          <t>GÄVLEBORGS LÄN</t>
        </is>
      </c>
      <c r="G186" t="inlineStr">
        <is>
          <t>GÄVLE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46233</v>
      </c>
      <c r="F187" t="inlineStr">
        <is>
          <t>GÄVLEBORGS LÄN</t>
        </is>
      </c>
      <c r="G187" t="inlineStr">
        <is>
          <t>GÄVLE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46233</v>
      </c>
      <c r="F188" t="inlineStr">
        <is>
          <t>GÄVLEBORGS LÄN</t>
        </is>
      </c>
      <c r="G188" t="inlineStr">
        <is>
          <t>GÄVLE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46233</v>
      </c>
      <c r="F189" t="inlineStr">
        <is>
          <t>GÄVLEBORGS LÄN</t>
        </is>
      </c>
      <c r="G189" t="inlineStr">
        <is>
          <t>GÄVLE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46233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46233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45454</v>
      </c>
      <c r="E192" s="1" t="n">
        <v>46233</v>
      </c>
      <c r="F192" t="inlineStr">
        <is>
          <t>GÄVLEBORGS LÄN</t>
        </is>
      </c>
      <c r="G192" t="inlineStr">
        <is>
          <t>GÄVLE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46233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44498</v>
      </c>
      <c r="E194" s="1" t="n">
        <v>46233</v>
      </c>
      <c r="F194" t="inlineStr">
        <is>
          <t>GÄVLEBORGS LÄN</t>
        </is>
      </c>
      <c r="G194" t="inlineStr">
        <is>
          <t>GÄVLE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45468</v>
      </c>
      <c r="E195" s="1" t="n">
        <v>46233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46233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70043-2021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44533</v>
      </c>
      <c r="E197" s="1" t="n">
        <v>46233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44942</v>
      </c>
      <c r="E198" s="1" t="n">
        <v>46233</v>
      </c>
      <c r="F198" t="inlineStr">
        <is>
          <t>GÄVLEBORGS LÄN</t>
        </is>
      </c>
      <c r="G198" t="inlineStr">
        <is>
          <t>GÄVLE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46233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46233</v>
      </c>
      <c r="F200" t="inlineStr">
        <is>
          <t>GÄVLEBORGS LÄN</t>
        </is>
      </c>
      <c r="G200" t="inlineStr">
        <is>
          <t>GÄVLE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46233</v>
      </c>
      <c r="F201" t="inlineStr">
        <is>
          <t>GÄVLEBORGS LÄN</t>
        </is>
      </c>
      <c r="G201" t="inlineStr">
        <is>
          <t>GÄVLE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44845</v>
      </c>
      <c r="E202" s="1" t="n">
        <v>46233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45511</v>
      </c>
      <c r="E203" s="1" t="n">
        <v>46233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45658</v>
      </c>
      <c r="E204" s="1" t="n">
        <v>46233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46233</v>
      </c>
      <c r="F205" t="inlineStr">
        <is>
          <t>GÄVLEBORGS LÄN</t>
        </is>
      </c>
      <c r="G205" t="inlineStr">
        <is>
          <t>GÄVLE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46233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46233</v>
      </c>
      <c r="F207" t="inlineStr">
        <is>
          <t>GÄVLEBORGS LÄN</t>
        </is>
      </c>
      <c r="G207" t="inlineStr">
        <is>
          <t>GÄVLE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45475</v>
      </c>
      <c r="E208" s="1" t="n">
        <v>46233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46233</v>
      </c>
      <c r="F209" t="inlineStr">
        <is>
          <t>GÄVLEBORGS LÄN</t>
        </is>
      </c>
      <c r="G209" t="inlineStr">
        <is>
          <t>GÄVLE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46233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46233</v>
      </c>
      <c r="F211" t="inlineStr">
        <is>
          <t>GÄVLEBORGS LÄN</t>
        </is>
      </c>
      <c r="G211" t="inlineStr">
        <is>
          <t>GÄVLE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46041</v>
      </c>
      <c r="E212" s="1" t="n">
        <v>46233</v>
      </c>
      <c r="F212" t="inlineStr">
        <is>
          <t>GÄVLEBORGS LÄN</t>
        </is>
      </c>
      <c r="G212" t="inlineStr">
        <is>
          <t>GÄVLE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46233</v>
      </c>
      <c r="F213" t="inlineStr">
        <is>
          <t>GÄVLEBORGS LÄN</t>
        </is>
      </c>
      <c r="G213" t="inlineStr">
        <is>
          <t>GÄVLE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46233</v>
      </c>
      <c r="F214" t="inlineStr">
        <is>
          <t>GÄVLEBORGS LÄN</t>
        </is>
      </c>
      <c r="G214" t="inlineStr">
        <is>
          <t>GÄVLE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65879-2021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46233</v>
      </c>
      <c r="F215" t="inlineStr">
        <is>
          <t>GÄVLEBORGS LÄN</t>
        </is>
      </c>
      <c r="G215" t="inlineStr">
        <is>
          <t>GÄVLE</t>
        </is>
      </c>
      <c r="H215" t="inlineStr">
        <is>
          <t>Kyrkan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44988</v>
      </c>
      <c r="E216" s="1" t="n">
        <v>46233</v>
      </c>
      <c r="F216" t="inlineStr">
        <is>
          <t>GÄVLEBORGS LÄN</t>
        </is>
      </c>
      <c r="G216" t="inlineStr">
        <is>
          <t>GÄVLE</t>
        </is>
      </c>
      <c r="H216" t="inlineStr">
        <is>
          <t>Kyrkan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46233</v>
      </c>
      <c r="F217" t="inlineStr">
        <is>
          <t>GÄVLEBORGS LÄN</t>
        </is>
      </c>
      <c r="G217" t="inlineStr">
        <is>
          <t>GÄVLE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46233</v>
      </c>
      <c r="F218" t="inlineStr">
        <is>
          <t>GÄVLEBORGS LÄN</t>
        </is>
      </c>
      <c r="G218" t="inlineStr">
        <is>
          <t>GÄVLE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46233</v>
      </c>
      <c r="F219" t="inlineStr">
        <is>
          <t>GÄVLEBORGS LÄN</t>
        </is>
      </c>
      <c r="G219" t="inlineStr">
        <is>
          <t>GÄVLE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46233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46233</v>
      </c>
      <c r="F221" t="inlineStr">
        <is>
          <t>GÄVLEBORGS LÄN</t>
        </is>
      </c>
      <c r="G221" t="inlineStr">
        <is>
          <t>GÄVLE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46233</v>
      </c>
      <c r="F222" t="inlineStr">
        <is>
          <t>GÄVLEBORGS LÄN</t>
        </is>
      </c>
      <c r="G222" t="inlineStr">
        <is>
          <t>GÄVLE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46233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45742</v>
      </c>
      <c r="E224" s="1" t="n">
        <v>46233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46233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46233</v>
      </c>
      <c r="F226" t="inlineStr">
        <is>
          <t>GÄVLEBORGS LÄN</t>
        </is>
      </c>
      <c r="G226" t="inlineStr">
        <is>
          <t>GÄVLE</t>
        </is>
      </c>
      <c r="H226" t="inlineStr">
        <is>
          <t>Kyrkan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40297-2025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45895</v>
      </c>
      <c r="E227" s="1" t="n">
        <v>46233</v>
      </c>
      <c r="F227" t="inlineStr">
        <is>
          <t>GÄVLEBORGS LÄN</t>
        </is>
      </c>
      <c r="G227" t="inlineStr">
        <is>
          <t>GÄVLE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46233</v>
      </c>
      <c r="F228" t="inlineStr">
        <is>
          <t>GÄVLEBORGS LÄN</t>
        </is>
      </c>
      <c r="G228" t="inlineStr">
        <is>
          <t>GÄVLE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46233</v>
      </c>
      <c r="F229" t="inlineStr">
        <is>
          <t>GÄVLEBORGS LÄN</t>
        </is>
      </c>
      <c r="G229" t="inlineStr">
        <is>
          <t>GÄVLE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41302-2025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46233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46233</v>
      </c>
      <c r="F231" t="inlineStr">
        <is>
          <t>GÄVLEBORGS LÄN</t>
        </is>
      </c>
      <c r="G231" t="inlineStr">
        <is>
          <t>GÄVLE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46233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46233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46233</v>
      </c>
      <c r="F234" t="inlineStr">
        <is>
          <t>GÄVLEBORGS LÄN</t>
        </is>
      </c>
      <c r="G234" t="inlineStr">
        <is>
          <t>GÄVLE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45827</v>
      </c>
      <c r="E235" s="1" t="n">
        <v>46233</v>
      </c>
      <c r="F235" t="inlineStr">
        <is>
          <t>GÄVLEBORGS LÄN</t>
        </is>
      </c>
      <c r="G235" t="inlineStr">
        <is>
          <t>GÄVLE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45827</v>
      </c>
      <c r="E236" s="1" t="n">
        <v>46233</v>
      </c>
      <c r="F236" t="inlineStr">
        <is>
          <t>GÄVLEBORGS LÄN</t>
        </is>
      </c>
      <c r="G236" t="inlineStr">
        <is>
          <t>GÄVLE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40882-2025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46233</v>
      </c>
      <c r="F237" t="inlineStr">
        <is>
          <t>GÄVLEBORGS LÄN</t>
        </is>
      </c>
      <c r="G237" t="inlineStr">
        <is>
          <t>GÄVLE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44693</v>
      </c>
      <c r="E238" s="1" t="n">
        <v>46233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46233</v>
      </c>
      <c r="F239" t="inlineStr">
        <is>
          <t>GÄVLEBORGS LÄN</t>
        </is>
      </c>
      <c r="G239" t="inlineStr">
        <is>
          <t>GÄVLE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46233</v>
      </c>
      <c r="F240" t="inlineStr">
        <is>
          <t>GÄVLEBORGS LÄN</t>
        </is>
      </c>
      <c r="G240" t="inlineStr">
        <is>
          <t>GÄVLE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40992-2025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46233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45882</v>
      </c>
      <c r="E242" s="1" t="n">
        <v>46233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30202-2025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45827</v>
      </c>
      <c r="E243" s="1" t="n">
        <v>46233</v>
      </c>
      <c r="F243" t="inlineStr">
        <is>
          <t>GÄVLEBORGS LÄN</t>
        </is>
      </c>
      <c r="G243" t="inlineStr">
        <is>
          <t>GÄVLE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46233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46233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46233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46233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46045</v>
      </c>
      <c r="E248" s="1" t="n">
        <v>46233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46233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45832</v>
      </c>
      <c r="E250" s="1" t="n">
        <v>46233</v>
      </c>
      <c r="F250" t="inlineStr">
        <is>
          <t>GÄVLEBORGS LÄN</t>
        </is>
      </c>
      <c r="G250" t="inlineStr">
        <is>
          <t>GÄVLE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45030</v>
      </c>
      <c r="E251" s="1" t="n">
        <v>46233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45019</v>
      </c>
      <c r="E252" s="1" t="n">
        <v>46233</v>
      </c>
      <c r="F252" t="inlineStr">
        <is>
          <t>GÄVLEBORGS LÄN</t>
        </is>
      </c>
      <c r="G252" t="inlineStr">
        <is>
          <t>GÄVLE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45652</v>
      </c>
      <c r="E253" s="1" t="n">
        <v>46233</v>
      </c>
      <c r="F253" t="inlineStr">
        <is>
          <t>GÄVLEBORGS LÄN</t>
        </is>
      </c>
      <c r="G253" t="inlineStr">
        <is>
          <t>GÄVLE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19095-2022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44691</v>
      </c>
      <c r="E254" s="1" t="n">
        <v>46233</v>
      </c>
      <c r="F254" t="inlineStr">
        <is>
          <t>GÄVLEBORGS LÄN</t>
        </is>
      </c>
      <c r="G254" t="inlineStr">
        <is>
          <t>GÄVLE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45905</v>
      </c>
      <c r="E255" s="1" t="n">
        <v>46233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46233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45834</v>
      </c>
      <c r="E257" s="1" t="n">
        <v>46233</v>
      </c>
      <c r="F257" t="inlineStr">
        <is>
          <t>GÄVLEBORGS LÄN</t>
        </is>
      </c>
      <c r="G257" t="inlineStr">
        <is>
          <t>GÄVLE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46233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46233</v>
      </c>
      <c r="F259" t="inlineStr">
        <is>
          <t>GÄVLEBORGS LÄN</t>
        </is>
      </c>
      <c r="G259" t="inlineStr">
        <is>
          <t>GÄVLE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46233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46233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45595</v>
      </c>
      <c r="E262" s="1" t="n">
        <v>46233</v>
      </c>
      <c r="F262" t="inlineStr">
        <is>
          <t>GÄVLEBORGS LÄN</t>
        </is>
      </c>
      <c r="G262" t="inlineStr">
        <is>
          <t>GÄVLE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45908</v>
      </c>
      <c r="E263" s="1" t="n">
        <v>46233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46233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46233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46233</v>
      </c>
      <c r="F266" t="inlineStr">
        <is>
          <t>GÄVLEBORGS LÄN</t>
        </is>
      </c>
      <c r="G266" t="inlineStr">
        <is>
          <t>GÄVLE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46233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44951</v>
      </c>
      <c r="E268" s="1" t="n">
        <v>46233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46233</v>
      </c>
      <c r="F269" t="inlineStr">
        <is>
          <t>GÄVLEBORGS LÄN</t>
        </is>
      </c>
      <c r="G269" t="inlineStr">
        <is>
          <t>GÄVLE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64871-2023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45282</v>
      </c>
      <c r="E270" s="1" t="n">
        <v>46233</v>
      </c>
      <c r="F270" t="inlineStr">
        <is>
          <t>GÄVLEBORGS LÄN</t>
        </is>
      </c>
      <c r="G270" t="inlineStr">
        <is>
          <t>GÄVLE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46233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64875-2023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45282</v>
      </c>
      <c r="E272" s="1" t="n">
        <v>46233</v>
      </c>
      <c r="F272" t="inlineStr">
        <is>
          <t>GÄVLEBORGS LÄN</t>
        </is>
      </c>
      <c r="G272" t="inlineStr">
        <is>
          <t>GÄVLE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46233</v>
      </c>
      <c r="F273" t="inlineStr">
        <is>
          <t>GÄVLEBORGS LÄN</t>
        </is>
      </c>
      <c r="G273" t="inlineStr">
        <is>
          <t>GÄVLE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46233</v>
      </c>
      <c r="F274" t="inlineStr">
        <is>
          <t>GÄVLEBORGS LÄN</t>
        </is>
      </c>
      <c r="G274" t="inlineStr">
        <is>
          <t>GÄVLE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46233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45784</v>
      </c>
      <c r="E276" s="1" t="n">
        <v>46233</v>
      </c>
      <c r="F276" t="inlineStr">
        <is>
          <t>GÄVLEBORGS LÄN</t>
        </is>
      </c>
      <c r="G276" t="inlineStr">
        <is>
          <t>GÄVLE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34113-2025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46233</v>
      </c>
      <c r="F277" t="inlineStr">
        <is>
          <t>GÄVLEBORGS LÄN</t>
        </is>
      </c>
      <c r="G277" t="inlineStr">
        <is>
          <t>GÄVLE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44713</v>
      </c>
      <c r="E278" s="1" t="n">
        <v>46233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45330</v>
      </c>
      <c r="E279" s="1" t="n">
        <v>46233</v>
      </c>
      <c r="F279" t="inlineStr">
        <is>
          <t>GÄVLEBORGS LÄN</t>
        </is>
      </c>
      <c r="G279" t="inlineStr">
        <is>
          <t>GÄVLE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45848</v>
      </c>
      <c r="E280" s="1" t="n">
        <v>46233</v>
      </c>
      <c r="F280" t="inlineStr">
        <is>
          <t>GÄVLEBORGS LÄN</t>
        </is>
      </c>
      <c r="G280" t="inlineStr">
        <is>
          <t>GÄVLE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34725-2025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45848</v>
      </c>
      <c r="E281" s="1" t="n">
        <v>46233</v>
      </c>
      <c r="F281" t="inlineStr">
        <is>
          <t>GÄVLEBORGS LÄN</t>
        </is>
      </c>
      <c r="G281" t="inlineStr">
        <is>
          <t>GÄVLE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46233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45540</v>
      </c>
      <c r="E283" s="1" t="n">
        <v>46233</v>
      </c>
      <c r="F283" t="inlineStr">
        <is>
          <t>GÄVLEBORGS LÄN</t>
        </is>
      </c>
      <c r="G283" t="inlineStr">
        <is>
          <t>GÄVLE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46233</v>
      </c>
      <c r="F284" t="inlineStr">
        <is>
          <t>GÄVLEBORGS LÄN</t>
        </is>
      </c>
      <c r="G284" t="inlineStr">
        <is>
          <t>GÄVLE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44708</v>
      </c>
      <c r="E285" s="1" t="n">
        <v>46233</v>
      </c>
      <c r="F285" t="inlineStr">
        <is>
          <t>GÄVLEBORGS LÄN</t>
        </is>
      </c>
      <c r="G285" t="inlineStr">
        <is>
          <t>GÄVLE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45699</v>
      </c>
      <c r="E286" s="1" t="n">
        <v>46233</v>
      </c>
      <c r="F286" t="inlineStr">
        <is>
          <t>GÄVLEBORGS LÄN</t>
        </is>
      </c>
      <c r="G286" t="inlineStr">
        <is>
          <t>GÄVLE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45854</v>
      </c>
      <c r="E287" s="1" t="n">
        <v>46233</v>
      </c>
      <c r="F287" t="inlineStr">
        <is>
          <t>GÄVLEBORGS LÄN</t>
        </is>
      </c>
      <c r="G287" t="inlineStr">
        <is>
          <t>GÄVLE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46233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45850-2025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45923</v>
      </c>
      <c r="E289" s="1" t="n">
        <v>46233</v>
      </c>
      <c r="F289" t="inlineStr">
        <is>
          <t>GÄVLEBORGS LÄN</t>
        </is>
      </c>
      <c r="G289" t="inlineStr">
        <is>
          <t>GÄVLE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46233</v>
      </c>
      <c r="F290" t="inlineStr">
        <is>
          <t>GÄVLEBORGS LÄN</t>
        </is>
      </c>
      <c r="G290" t="inlineStr">
        <is>
          <t>GÄVLE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46233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45082</v>
      </c>
      <c r="E292" s="1" t="n">
        <v>46233</v>
      </c>
      <c r="F292" t="inlineStr">
        <is>
          <t>GÄVLEBORGS LÄN</t>
        </is>
      </c>
      <c r="G292" t="inlineStr">
        <is>
          <t>GÄVLE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45859</v>
      </c>
      <c r="E293" s="1" t="n">
        <v>46233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46233</v>
      </c>
      <c r="F294" t="inlineStr">
        <is>
          <t>GÄVLEBORGS LÄN</t>
        </is>
      </c>
      <c r="G294" t="inlineStr">
        <is>
          <t>GÄVLE</t>
        </is>
      </c>
      <c r="H294" t="inlineStr">
        <is>
          <t>Kyrkan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35938-2025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45862</v>
      </c>
      <c r="E295" s="1" t="n">
        <v>46233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46233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45862</v>
      </c>
      <c r="E297" s="1" t="n">
        <v>46233</v>
      </c>
      <c r="F297" t="inlineStr">
        <is>
          <t>GÄVLEBORGS LÄN</t>
        </is>
      </c>
      <c r="G297" t="inlineStr">
        <is>
          <t>GÄVLE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45462</v>
      </c>
      <c r="E298" s="1" t="n">
        <v>46233</v>
      </c>
      <c r="F298" t="inlineStr">
        <is>
          <t>GÄVLEBORGS LÄN</t>
        </is>
      </c>
      <c r="G298" t="inlineStr">
        <is>
          <t>GÄVLE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35919-2025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45862</v>
      </c>
      <c r="E299" s="1" t="n">
        <v>46233</v>
      </c>
      <c r="F299" t="inlineStr">
        <is>
          <t>GÄVLEBORGS LÄN</t>
        </is>
      </c>
      <c r="G299" t="inlineStr">
        <is>
          <t>GÄVLE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46233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46233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45463</v>
      </c>
      <c r="E302" s="1" t="n">
        <v>46233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47171-2025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46233</v>
      </c>
      <c r="F303" t="inlineStr">
        <is>
          <t>GÄVLEBORGS LÄN</t>
        </is>
      </c>
      <c r="G303" t="inlineStr">
        <is>
          <t>GÄVLE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47172-2025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45930</v>
      </c>
      <c r="E304" s="1" t="n">
        <v>46233</v>
      </c>
      <c r="F304" t="inlineStr">
        <is>
          <t>GÄVLEBORGS LÄN</t>
        </is>
      </c>
      <c r="G304" t="inlineStr">
        <is>
          <t>GÄVLE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45866</v>
      </c>
      <c r="E305" s="1" t="n">
        <v>46233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36255-2025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45867</v>
      </c>
      <c r="E306" s="1" t="n">
        <v>46233</v>
      </c>
      <c r="F306" t="inlineStr">
        <is>
          <t>GÄVLEBORGS LÄN</t>
        </is>
      </c>
      <c r="G306" t="inlineStr">
        <is>
          <t>GÄVLE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46233</v>
      </c>
      <c r="F307" t="inlineStr">
        <is>
          <t>GÄVLEBORGS LÄN</t>
        </is>
      </c>
      <c r="G307" t="inlineStr">
        <is>
          <t>GÄVLE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45869</v>
      </c>
      <c r="E308" s="1" t="n">
        <v>46233</v>
      </c>
      <c r="F308" t="inlineStr">
        <is>
          <t>GÄVLEBORGS LÄN</t>
        </is>
      </c>
      <c r="G308" t="inlineStr">
        <is>
          <t>GÄVLE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48004-2025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46233</v>
      </c>
      <c r="F309" t="inlineStr">
        <is>
          <t>GÄVLEBORGS LÄN</t>
        </is>
      </c>
      <c r="G309" t="inlineStr">
        <is>
          <t>GÄVLE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36493-2025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45869</v>
      </c>
      <c r="E310" s="1" t="n">
        <v>46233</v>
      </c>
      <c r="F310" t="inlineStr">
        <is>
          <t>GÄVLEBORGS LÄN</t>
        </is>
      </c>
      <c r="G310" t="inlineStr">
        <is>
          <t>GÄVLE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47994-2025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46233</v>
      </c>
      <c r="F311" t="inlineStr">
        <is>
          <t>GÄVLEBORGS LÄN</t>
        </is>
      </c>
      <c r="G311" t="inlineStr">
        <is>
          <t>GÄVLE</t>
        </is>
      </c>
      <c r="I311" t="n">
        <v>10.1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46233</v>
      </c>
      <c r="F312" t="inlineStr">
        <is>
          <t>GÄVLEBORGS LÄN</t>
        </is>
      </c>
      <c r="G312" t="inlineStr">
        <is>
          <t>GÄVLE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46233</v>
      </c>
      <c r="F313" t="inlineStr">
        <is>
          <t>GÄVLEBORGS LÄN</t>
        </is>
      </c>
      <c r="G313" t="inlineStr">
        <is>
          <t>GÄVLE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48002-2025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46233</v>
      </c>
      <c r="F314" t="inlineStr">
        <is>
          <t>GÄVLEBORGS LÄN</t>
        </is>
      </c>
      <c r="G314" t="inlineStr">
        <is>
          <t>GÄVLE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46233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46233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45034</v>
      </c>
      <c r="E317" s="1" t="n">
        <v>46233</v>
      </c>
      <c r="F317" t="inlineStr">
        <is>
          <t>GÄVLEBORGS LÄN</t>
        </is>
      </c>
      <c r="G317" t="inlineStr">
        <is>
          <t>GÄVLE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46233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45873</v>
      </c>
      <c r="E319" s="1" t="n">
        <v>46233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46233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46233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48986-2025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45937</v>
      </c>
      <c r="E322" s="1" t="n">
        <v>46233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46056</v>
      </c>
      <c r="E323" s="1" t="n">
        <v>46233</v>
      </c>
      <c r="F323" t="inlineStr">
        <is>
          <t>GÄVLEBORGS LÄN</t>
        </is>
      </c>
      <c r="G323" t="inlineStr">
        <is>
          <t>GÄVLE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38240-2024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46233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46233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45916</v>
      </c>
      <c r="E326" s="1" t="n">
        <v>46233</v>
      </c>
      <c r="F326" t="inlineStr">
        <is>
          <t>GÄVLEBORGS LÄN</t>
        </is>
      </c>
      <c r="G326" t="inlineStr">
        <is>
          <t>GÄVLE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46233</v>
      </c>
      <c r="F327" t="inlineStr">
        <is>
          <t>GÄVLEBORGS LÄN</t>
        </is>
      </c>
      <c r="G327" t="inlineStr">
        <is>
          <t>GÄVLE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49934-2025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45940</v>
      </c>
      <c r="E328" s="1" t="n">
        <v>46233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49842-2025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45940</v>
      </c>
      <c r="E329" s="1" t="n">
        <v>46233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46233</v>
      </c>
      <c r="F330" t="inlineStr">
        <is>
          <t>GÄVLEBORGS LÄN</t>
        </is>
      </c>
      <c r="G330" t="inlineStr">
        <is>
          <t>GÄVLE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46233</v>
      </c>
      <c r="F331" t="inlineStr">
        <is>
          <t>GÄVLEBORGS LÄN</t>
        </is>
      </c>
      <c r="G331" t="inlineStr">
        <is>
          <t>GÄVLE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46233</v>
      </c>
      <c r="F332" t="inlineStr">
        <is>
          <t>GÄVLEBORGS LÄN</t>
        </is>
      </c>
      <c r="G332" t="inlineStr">
        <is>
          <t>GÄVLE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46233</v>
      </c>
      <c r="F333" t="inlineStr">
        <is>
          <t>GÄVLEBORGS LÄN</t>
        </is>
      </c>
      <c r="G333" t="inlineStr">
        <is>
          <t>GÄVLE</t>
        </is>
      </c>
      <c r="H333" t="inlineStr">
        <is>
          <t>Kyrkan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14553-2026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46100</v>
      </c>
      <c r="E334" s="1" t="n">
        <v>46233</v>
      </c>
      <c r="F334" t="inlineStr">
        <is>
          <t>GÄVLEBORGS LÄN</t>
        </is>
      </c>
      <c r="G334" t="inlineStr">
        <is>
          <t>GÄVLE</t>
        </is>
      </c>
      <c r="H334" t="inlineStr">
        <is>
          <t>Övriga statliga verk och myndigheter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46233</v>
      </c>
      <c r="F335" t="inlineStr">
        <is>
          <t>GÄVLEBORGS LÄN</t>
        </is>
      </c>
      <c r="G335" t="inlineStr">
        <is>
          <t>GÄVLE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46233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45944</v>
      </c>
      <c r="E337" s="1" t="n">
        <v>46233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46233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25466-2023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45089</v>
      </c>
      <c r="E339" s="1" t="n">
        <v>46233</v>
      </c>
      <c r="F339" t="inlineStr">
        <is>
          <t>GÄVLEBORGS LÄN</t>
        </is>
      </c>
      <c r="G339" t="inlineStr">
        <is>
          <t>GÄVLE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46233</v>
      </c>
      <c r="F340" t="inlineStr">
        <is>
          <t>GÄVLEBORGS LÄN</t>
        </is>
      </c>
      <c r="G340" t="inlineStr">
        <is>
          <t>GÄVLE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46233</v>
      </c>
      <c r="F341" t="inlineStr">
        <is>
          <t>GÄVLEBORGS LÄN</t>
        </is>
      </c>
      <c r="G341" t="inlineStr">
        <is>
          <t>GÄVLE</t>
        </is>
      </c>
      <c r="H341" t="inlineStr">
        <is>
          <t>Kyrkan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7673-2026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46062</v>
      </c>
      <c r="E342" s="1" t="n">
        <v>46233</v>
      </c>
      <c r="F342" t="inlineStr">
        <is>
          <t>GÄVLEBORGS LÄN</t>
        </is>
      </c>
      <c r="G342" t="inlineStr">
        <is>
          <t>GÄVLE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38516-2025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46233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45672</v>
      </c>
      <c r="E344" s="1" t="n">
        <v>46233</v>
      </c>
      <c r="F344" t="inlineStr">
        <is>
          <t>GÄVLEBORGS LÄN</t>
        </is>
      </c>
      <c r="G344" t="inlineStr">
        <is>
          <t>GÄVLE</t>
        </is>
      </c>
      <c r="H344" t="inlineStr">
        <is>
          <t>Kyrkan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46233</v>
      </c>
      <c r="F345" t="inlineStr">
        <is>
          <t>GÄVLEBORGS LÄN</t>
        </is>
      </c>
      <c r="G345" t="inlineStr">
        <is>
          <t>GÄVLE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44936</v>
      </c>
      <c r="E346" s="1" t="n">
        <v>46233</v>
      </c>
      <c r="F346" t="inlineStr">
        <is>
          <t>GÄVLEBORGS LÄN</t>
        </is>
      </c>
      <c r="G346" t="inlineStr">
        <is>
          <t>GÄVLE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46063</v>
      </c>
      <c r="E347" s="1" t="n">
        <v>46233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8303-2026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46233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66351-2021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44518</v>
      </c>
      <c r="E349" s="1" t="n">
        <v>46233</v>
      </c>
      <c r="F349" t="inlineStr">
        <is>
          <t>GÄVLEBORGS LÄN</t>
        </is>
      </c>
      <c r="G349" t="inlineStr">
        <is>
          <t>GÄVLE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46233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46233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45084</v>
      </c>
      <c r="E352" s="1" t="n">
        <v>46233</v>
      </c>
      <c r="F352" t="inlineStr">
        <is>
          <t>GÄVLEBORGS LÄN</t>
        </is>
      </c>
      <c r="G352" t="inlineStr">
        <is>
          <t>GÄVLE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45952</v>
      </c>
      <c r="E353" s="1" t="n">
        <v>46233</v>
      </c>
      <c r="F353" t="inlineStr">
        <is>
          <t>GÄVLEBORGS LÄN</t>
        </is>
      </c>
      <c r="G353" t="inlineStr">
        <is>
          <t>GÄVLE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46233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62255-2022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44922</v>
      </c>
      <c r="E355" s="1" t="n">
        <v>46233</v>
      </c>
      <c r="F355" t="inlineStr">
        <is>
          <t>GÄVLEBORGS LÄN</t>
        </is>
      </c>
      <c r="G355" t="inlineStr">
        <is>
          <t>GÄVLE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45953</v>
      </c>
      <c r="E356" s="1" t="n">
        <v>46233</v>
      </c>
      <c r="F356" t="inlineStr">
        <is>
          <t>GÄVLEBORGS LÄN</t>
        </is>
      </c>
      <c r="G356" t="inlineStr">
        <is>
          <t>GÄVLE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48247-2025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45933</v>
      </c>
      <c r="E357" s="1" t="n">
        <v>46233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25532-2023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45089</v>
      </c>
      <c r="E358" s="1" t="n">
        <v>46233</v>
      </c>
      <c r="F358" t="inlineStr">
        <is>
          <t>GÄVLEBORGS LÄN</t>
        </is>
      </c>
      <c r="G358" t="inlineStr">
        <is>
          <t>GÄVLE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46233</v>
      </c>
      <c r="F359" t="inlineStr">
        <is>
          <t>GÄVLEBORGS LÄN</t>
        </is>
      </c>
      <c r="G359" t="inlineStr">
        <is>
          <t>GÄVLE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45957</v>
      </c>
      <c r="E360" s="1" t="n">
        <v>46233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46233</v>
      </c>
      <c r="F361" t="inlineStr">
        <is>
          <t>GÄVLEBORGS LÄN</t>
        </is>
      </c>
      <c r="G361" t="inlineStr">
        <is>
          <t>GÄVLE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14807-2023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45014</v>
      </c>
      <c r="E362" s="1" t="n">
        <v>46233</v>
      </c>
      <c r="F362" t="inlineStr">
        <is>
          <t>GÄVLEBORGS LÄN</t>
        </is>
      </c>
      <c r="G362" t="inlineStr">
        <is>
          <t>GÄVLE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52970-2025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45957</v>
      </c>
      <c r="E363" s="1" t="n">
        <v>46233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46233</v>
      </c>
      <c r="F364" t="inlineStr">
        <is>
          <t>GÄVLEBORGS LÄN</t>
        </is>
      </c>
      <c r="G364" t="inlineStr">
        <is>
          <t>GÄVLE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31062-2023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45113</v>
      </c>
      <c r="E365" s="1" t="n">
        <v>46233</v>
      </c>
      <c r="F365" t="inlineStr">
        <is>
          <t>GÄVLEBORGS LÄN</t>
        </is>
      </c>
      <c r="G365" t="inlineStr">
        <is>
          <t>GÄVLE</t>
        </is>
      </c>
      <c r="H365" t="inlineStr">
        <is>
          <t>Kommuner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45719</v>
      </c>
      <c r="E366" s="1" t="n">
        <v>46233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45964</v>
      </c>
      <c r="E367" s="1" t="n">
        <v>46233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57570-2024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46233</v>
      </c>
      <c r="F368" t="inlineStr">
        <is>
          <t>GÄVLEBORGS LÄN</t>
        </is>
      </c>
      <c r="G368" t="inlineStr">
        <is>
          <t>GÄVLE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46069</v>
      </c>
      <c r="E369" s="1" t="n">
        <v>46233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46069</v>
      </c>
      <c r="E370" s="1" t="n">
        <v>46233</v>
      </c>
      <c r="F370" t="inlineStr">
        <is>
          <t>GÄVLEBORGS LÄN</t>
        </is>
      </c>
      <c r="G370" t="inlineStr">
        <is>
          <t>GÄVLE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45184</v>
      </c>
      <c r="E371" s="1" t="n">
        <v>46233</v>
      </c>
      <c r="F371" t="inlineStr">
        <is>
          <t>GÄVLEBORGS LÄN</t>
        </is>
      </c>
      <c r="G371" t="inlineStr">
        <is>
          <t>GÄVLE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46233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47143-2024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45586</v>
      </c>
      <c r="E373" s="1" t="n">
        <v>46233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19730-2022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44694</v>
      </c>
      <c r="E374" s="1" t="n">
        <v>46233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9534-2026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46233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46233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46233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46233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46233</v>
      </c>
      <c r="F379" t="inlineStr">
        <is>
          <t>GÄVLEBORGS LÄN</t>
        </is>
      </c>
      <c r="G379" t="inlineStr">
        <is>
          <t>GÄVLE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46072</v>
      </c>
      <c r="E380" s="1" t="n">
        <v>46233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58370-2024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46233</v>
      </c>
      <c r="F381" t="inlineStr">
        <is>
          <t>GÄVLEBORGS LÄN</t>
        </is>
      </c>
      <c r="G381" t="inlineStr">
        <is>
          <t>GÄVLE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10273-2026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46233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45660</v>
      </c>
      <c r="E383" s="1" t="n">
        <v>46233</v>
      </c>
      <c r="F383" t="inlineStr">
        <is>
          <t>GÄVLEBORGS LÄN</t>
        </is>
      </c>
      <c r="G383" t="inlineStr">
        <is>
          <t>GÄVLE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45967</v>
      </c>
      <c r="E384" s="1" t="n">
        <v>46233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45967</v>
      </c>
      <c r="E385" s="1" t="n">
        <v>46233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45967</v>
      </c>
      <c r="E386" s="1" t="n">
        <v>46233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55221-2025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45968</v>
      </c>
      <c r="E387" s="1" t="n">
        <v>46233</v>
      </c>
      <c r="F387" t="inlineStr">
        <is>
          <t>GÄVLEBORGS LÄN</t>
        </is>
      </c>
      <c r="G387" t="inlineStr">
        <is>
          <t>GÄVLE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54959-2025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45967</v>
      </c>
      <c r="E388" s="1" t="n">
        <v>46233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29923-2022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44756</v>
      </c>
      <c r="E389" s="1" t="n">
        <v>46233</v>
      </c>
      <c r="F389" t="inlineStr">
        <is>
          <t>GÄVLEBORGS LÄN</t>
        </is>
      </c>
      <c r="G389" t="inlineStr">
        <is>
          <t>GÄVLE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29927-2022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44756</v>
      </c>
      <c r="E390" s="1" t="n">
        <v>46233</v>
      </c>
      <c r="F390" t="inlineStr">
        <is>
          <t>GÄVLEBORGS LÄN</t>
        </is>
      </c>
      <c r="G390" t="inlineStr">
        <is>
          <t>GÄVLE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46233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46233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14801-2023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45014</v>
      </c>
      <c r="E393" s="1" t="n">
        <v>46233</v>
      </c>
      <c r="F393" t="inlineStr">
        <is>
          <t>GÄVLEBORGS LÄN</t>
        </is>
      </c>
      <c r="G393" t="inlineStr">
        <is>
          <t>GÄVLE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46233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46077</v>
      </c>
      <c r="E395" s="1" t="n">
        <v>46233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46233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46233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46233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56269-2025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46233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56275-2025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46233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56123-2025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46233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10.5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56270-2025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46233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11114-2026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46079</v>
      </c>
      <c r="E403" s="1" t="n">
        <v>46233</v>
      </c>
      <c r="F403" t="inlineStr">
        <is>
          <t>GÄVLEBORGS LÄN</t>
        </is>
      </c>
      <c r="G403" t="inlineStr">
        <is>
          <t>GÄVLE</t>
        </is>
      </c>
      <c r="H403" t="inlineStr">
        <is>
          <t>Kommuner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61879-2024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45652</v>
      </c>
      <c r="E404" s="1" t="n">
        <v>46233</v>
      </c>
      <c r="F404" t="inlineStr">
        <is>
          <t>GÄVLEBORGS LÄN</t>
        </is>
      </c>
      <c r="G404" t="inlineStr">
        <is>
          <t>GÄVLE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46233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46233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56272-2025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46233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46233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56120-2025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46233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46233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46233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46233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46233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56773-2025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46233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46233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25645-2023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45089</v>
      </c>
      <c r="E416" s="1" t="n">
        <v>46233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45685</v>
      </c>
      <c r="E417" s="1" t="n">
        <v>46233</v>
      </c>
      <c r="F417" t="inlineStr">
        <is>
          <t>GÄVLEBORGS LÄN</t>
        </is>
      </c>
      <c r="G417" t="inlineStr">
        <is>
          <t>GÄVLE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45660</v>
      </c>
      <c r="E418" s="1" t="n">
        <v>46233</v>
      </c>
      <c r="F418" t="inlineStr">
        <is>
          <t>GÄVLEBORGS LÄN</t>
        </is>
      </c>
      <c r="G418" t="inlineStr">
        <is>
          <t>GÄVLE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45660</v>
      </c>
      <c r="E419" s="1" t="n">
        <v>46233</v>
      </c>
      <c r="F419" t="inlineStr">
        <is>
          <t>GÄVLEBORGS LÄN</t>
        </is>
      </c>
      <c r="G419" t="inlineStr">
        <is>
          <t>GÄVLE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41708-2023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45176</v>
      </c>
      <c r="E420" s="1" t="n">
        <v>46233</v>
      </c>
      <c r="F420" t="inlineStr">
        <is>
          <t>GÄVLEBORGS LÄN</t>
        </is>
      </c>
      <c r="G420" t="inlineStr">
        <is>
          <t>GÄVLE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41712-2023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45176</v>
      </c>
      <c r="E421" s="1" t="n">
        <v>46233</v>
      </c>
      <c r="F421" t="inlineStr">
        <is>
          <t>GÄVLEBORGS LÄN</t>
        </is>
      </c>
      <c r="G421" t="inlineStr">
        <is>
          <t>GÄVLE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45681</v>
      </c>
      <c r="E422" s="1" t="n">
        <v>46233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8031-2024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45350</v>
      </c>
      <c r="E423" s="1" t="n">
        <v>46233</v>
      </c>
      <c r="F423" t="inlineStr">
        <is>
          <t>GÄVLEBORGS LÄN</t>
        </is>
      </c>
      <c r="G423" t="inlineStr">
        <is>
          <t>GÄVLE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46233</v>
      </c>
      <c r="F424" t="inlineStr">
        <is>
          <t>GÄVLEBORGS LÄN</t>
        </is>
      </c>
      <c r="G424" t="inlineStr">
        <is>
          <t>GÄVLE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46233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44589</v>
      </c>
      <c r="E426" s="1" t="n">
        <v>46233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46233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46233</v>
      </c>
      <c r="F428" t="inlineStr">
        <is>
          <t>GÄVLEBORGS LÄN</t>
        </is>
      </c>
      <c r="G428" t="inlineStr">
        <is>
          <t>GÄVLE</t>
        </is>
      </c>
      <c r="I428" t="n">
        <v>8.699999999999999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45922</v>
      </c>
      <c r="E429" s="1" t="n">
        <v>46233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45912</v>
      </c>
      <c r="E430" s="1" t="n">
        <v>46233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46233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46233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46233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46233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46233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12015-2026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46085</v>
      </c>
      <c r="E436" s="1" t="n">
        <v>46233</v>
      </c>
      <c r="F436" t="inlineStr">
        <is>
          <t>GÄVLEBORGS LÄN</t>
        </is>
      </c>
      <c r="G436" t="inlineStr">
        <is>
          <t>GÄVLE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43771-2025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46233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46233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46233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45438-2025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46233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45987</v>
      </c>
      <c r="E441" s="1" t="n">
        <v>46233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45456-2025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46233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43764-2025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46233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46233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46233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45992</v>
      </c>
      <c r="E446" s="1" t="n">
        <v>46233</v>
      </c>
      <c r="F446" t="inlineStr">
        <is>
          <t>GÄVLEBORGS LÄN</t>
        </is>
      </c>
      <c r="G446" t="inlineStr">
        <is>
          <t>GÄVLE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71249-2021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44539</v>
      </c>
      <c r="E447" s="1" t="n">
        <v>46233</v>
      </c>
      <c r="F447" t="inlineStr">
        <is>
          <t>GÄVLEBORGS LÄN</t>
        </is>
      </c>
      <c r="G447" t="inlineStr">
        <is>
          <t>GÄVLE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46233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46233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12990-2026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46092</v>
      </c>
      <c r="E450" s="1" t="n">
        <v>46233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12948-2026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46092</v>
      </c>
      <c r="E451" s="1" t="n">
        <v>46233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59627-2025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46233</v>
      </c>
      <c r="F452" t="inlineStr">
        <is>
          <t>GÄVLEBORGS LÄN</t>
        </is>
      </c>
      <c r="G452" t="inlineStr">
        <is>
          <t>GÄVLE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12952-2026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46233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46233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46233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46233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46233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46233</v>
      </c>
      <c r="F458" t="inlineStr">
        <is>
          <t>GÄVLEBORGS LÄN</t>
        </is>
      </c>
      <c r="G458" t="inlineStr">
        <is>
          <t>GÄVLE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16023-2023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45026</v>
      </c>
      <c r="E459" s="1" t="n">
        <v>46233</v>
      </c>
      <c r="F459" t="inlineStr">
        <is>
          <t>GÄVLEBORGS LÄN</t>
        </is>
      </c>
      <c r="G459" t="inlineStr">
        <is>
          <t>GÄVLE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46233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46095</v>
      </c>
      <c r="E461" s="1" t="n">
        <v>46233</v>
      </c>
      <c r="F461" t="inlineStr">
        <is>
          <t>GÄVLEBORGS LÄN</t>
        </is>
      </c>
      <c r="G461" t="inlineStr">
        <is>
          <t>GÄVLE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46233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13329-2026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46233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46233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13432-2026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46233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46233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46233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46098</v>
      </c>
      <c r="E468" s="1" t="n">
        <v>46233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46233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60105-2025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45994</v>
      </c>
      <c r="E470" s="1" t="n">
        <v>46233</v>
      </c>
      <c r="F470" t="inlineStr">
        <is>
          <t>GÄVLEBORGS LÄN</t>
        </is>
      </c>
      <c r="G470" t="inlineStr">
        <is>
          <t>GÄVLE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46233</v>
      </c>
      <c r="F471" t="inlineStr">
        <is>
          <t>GÄVLEBORGS LÄN</t>
        </is>
      </c>
      <c r="G471" t="inlineStr">
        <is>
          <t>GÄVLE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60536-2025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46233</v>
      </c>
      <c r="F472" t="inlineStr">
        <is>
          <t>GÄVLEBORGS LÄN</t>
        </is>
      </c>
      <c r="G472" t="inlineStr">
        <is>
          <t>GÄVLE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46031</v>
      </c>
      <c r="E473" s="1" t="n">
        <v>46233</v>
      </c>
      <c r="F473" t="inlineStr">
        <is>
          <t>GÄVLEBORGS LÄN</t>
        </is>
      </c>
      <c r="G473" t="inlineStr">
        <is>
          <t>GÄVLE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45320</v>
      </c>
      <c r="E474" s="1" t="n">
        <v>46233</v>
      </c>
      <c r="F474" t="inlineStr">
        <is>
          <t>GÄVLEBORGS LÄN</t>
        </is>
      </c>
      <c r="G474" t="inlineStr">
        <is>
          <t>GÄVLE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60532-2025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46233</v>
      </c>
      <c r="F475" t="inlineStr">
        <is>
          <t>GÄVLEBORGS LÄN</t>
        </is>
      </c>
      <c r="G475" t="inlineStr">
        <is>
          <t>GÄVLE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45014</v>
      </c>
      <c r="E476" s="1" t="n">
        <v>46233</v>
      </c>
      <c r="F476" t="inlineStr">
        <is>
          <t>GÄVLEBORGS LÄN</t>
        </is>
      </c>
      <c r="G476" t="inlineStr">
        <is>
          <t>GÄVLE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55217-2025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45968</v>
      </c>
      <c r="E477" s="1" t="n">
        <v>46233</v>
      </c>
      <c r="F477" t="inlineStr">
        <is>
          <t>GÄVLEBORGS LÄN</t>
        </is>
      </c>
      <c r="G477" t="inlineStr">
        <is>
          <t>GÄVLE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46233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46233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14401-2026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46100</v>
      </c>
      <c r="E480" s="1" t="n">
        <v>46233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60922-2025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46233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46233</v>
      </c>
      <c r="F482" t="inlineStr">
        <is>
          <t>GÄVLEBORGS LÄN</t>
        </is>
      </c>
      <c r="G482" t="inlineStr">
        <is>
          <t>GÄVLE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61648-2025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46002</v>
      </c>
      <c r="E483" s="1" t="n">
        <v>46233</v>
      </c>
      <c r="F483" t="inlineStr">
        <is>
          <t>GÄVLEBORGS LÄN</t>
        </is>
      </c>
      <c r="G483" t="inlineStr">
        <is>
          <t>GÄVLE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61651-2025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46002</v>
      </c>
      <c r="E484" s="1" t="n">
        <v>46233</v>
      </c>
      <c r="F484" t="inlineStr">
        <is>
          <t>GÄVLEBORGS LÄN</t>
        </is>
      </c>
      <c r="G484" t="inlineStr">
        <is>
          <t>GÄVLE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61650-2025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46233</v>
      </c>
      <c r="F485" t="inlineStr">
        <is>
          <t>GÄVLEBORGS LÄN</t>
        </is>
      </c>
      <c r="G485" t="inlineStr">
        <is>
          <t>GÄVLE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7743-2025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45706</v>
      </c>
      <c r="E486" s="1" t="n">
        <v>46233</v>
      </c>
      <c r="F486" t="inlineStr">
        <is>
          <t>GÄVLEBORGS LÄN</t>
        </is>
      </c>
      <c r="G486" t="inlineStr">
        <is>
          <t>GÄVLE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46233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47746-2023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45203</v>
      </c>
      <c r="E488" s="1" t="n">
        <v>46233</v>
      </c>
      <c r="F488" t="inlineStr">
        <is>
          <t>GÄVLEBORGS LÄN</t>
        </is>
      </c>
      <c r="G488" t="inlineStr">
        <is>
          <t>GÄVLE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61449-2025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46001</v>
      </c>
      <c r="E489" s="1" t="n">
        <v>46233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9.300000000000001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61880-2025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46003</v>
      </c>
      <c r="E490" s="1" t="n">
        <v>46233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15046-2026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46233</v>
      </c>
      <c r="F491" t="inlineStr">
        <is>
          <t>GÄVLEBORGS LÄN</t>
        </is>
      </c>
      <c r="G491" t="inlineStr">
        <is>
          <t>GÄVLE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62226-2025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46006</v>
      </c>
      <c r="E492" s="1" t="n">
        <v>46233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46233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45070</v>
      </c>
      <c r="E494" s="1" t="n">
        <v>46233</v>
      </c>
      <c r="F494" t="inlineStr">
        <is>
          <t>GÄVLEBORGS LÄN</t>
        </is>
      </c>
      <c r="G494" t="inlineStr">
        <is>
          <t>GÄVLE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17605-2025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45757</v>
      </c>
      <c r="E495" s="1" t="n">
        <v>46233</v>
      </c>
      <c r="F495" t="inlineStr">
        <is>
          <t>GÄVLEBORGS LÄN</t>
        </is>
      </c>
      <c r="G495" t="inlineStr">
        <is>
          <t>GÄVLE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17607-2025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45757</v>
      </c>
      <c r="E496" s="1" t="n">
        <v>46233</v>
      </c>
      <c r="F496" t="inlineStr">
        <is>
          <t>GÄVLEBORGS LÄN</t>
        </is>
      </c>
      <c r="G496" t="inlineStr">
        <is>
          <t>GÄVLE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25812-2023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45090</v>
      </c>
      <c r="E497" s="1" t="n">
        <v>46233</v>
      </c>
      <c r="F497" t="inlineStr">
        <is>
          <t>GÄVLEBORGS LÄN</t>
        </is>
      </c>
      <c r="G497" t="inlineStr">
        <is>
          <t>GÄVLE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15097-2026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46233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62742-2025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46008</v>
      </c>
      <c r="E499" s="1" t="n">
        <v>46233</v>
      </c>
      <c r="F499" t="inlineStr">
        <is>
          <t>GÄVLEBORGS LÄN</t>
        </is>
      </c>
      <c r="G499" t="inlineStr">
        <is>
          <t>GÄVLE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14963-2026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46104</v>
      </c>
      <c r="E500" s="1" t="n">
        <v>46233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15669-2026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46233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17404-2025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45757</v>
      </c>
      <c r="E502" s="1" t="n">
        <v>46233</v>
      </c>
      <c r="F502" t="inlineStr">
        <is>
          <t>GÄVLEBORGS LÄN</t>
        </is>
      </c>
      <c r="G502" t="inlineStr">
        <is>
          <t>GÄVLE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46233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62983-2023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45272</v>
      </c>
      <c r="E504" s="1" t="n">
        <v>46233</v>
      </c>
      <c r="F504" t="inlineStr">
        <is>
          <t>GÄVLEBORGS LÄN</t>
        </is>
      </c>
      <c r="G504" t="inlineStr">
        <is>
          <t>GÄVLE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52387-2022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44874</v>
      </c>
      <c r="E505" s="1" t="n">
        <v>46233</v>
      </c>
      <c r="F505" t="inlineStr">
        <is>
          <t>GÄVLEBORGS LÄN</t>
        </is>
      </c>
      <c r="G505" t="inlineStr">
        <is>
          <t>GÄVLE</t>
        </is>
      </c>
      <c r="H505" t="inlineStr">
        <is>
          <t>Kommuner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50871-2022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44867</v>
      </c>
      <c r="E506" s="1" t="n">
        <v>46233</v>
      </c>
      <c r="F506" t="inlineStr">
        <is>
          <t>GÄVLEBORGS LÄN</t>
        </is>
      </c>
      <c r="G506" t="inlineStr">
        <is>
          <t>GÄVLE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16430-2026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46111</v>
      </c>
      <c r="E507" s="1" t="n">
        <v>46233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63801-2025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46019</v>
      </c>
      <c r="E508" s="1" t="n">
        <v>46233</v>
      </c>
      <c r="F508" t="inlineStr">
        <is>
          <t>GÄVLEBORGS LÄN</t>
        </is>
      </c>
      <c r="G508" t="inlineStr">
        <is>
          <t>GÄVLE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54953-2025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46233</v>
      </c>
      <c r="F509" t="inlineStr">
        <is>
          <t>GÄVLEBORGS LÄN</t>
        </is>
      </c>
      <c r="G509" t="inlineStr">
        <is>
          <t>GÄVLE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47694-2025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45931</v>
      </c>
      <c r="E510" s="1" t="n">
        <v>46233</v>
      </c>
      <c r="F510" t="inlineStr">
        <is>
          <t>GÄVLEBORGS LÄN</t>
        </is>
      </c>
      <c r="G510" t="inlineStr">
        <is>
          <t>GÄVLE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45937</v>
      </c>
      <c r="E511" s="1" t="n">
        <v>46233</v>
      </c>
      <c r="F511" t="inlineStr">
        <is>
          <t>GÄVLEBORGS LÄN</t>
        </is>
      </c>
      <c r="G511" t="inlineStr">
        <is>
          <t>GÄVLE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45855</v>
      </c>
      <c r="E512" s="1" t="n">
        <v>46233</v>
      </c>
      <c r="F512" t="inlineStr">
        <is>
          <t>GÄVLEBORGS LÄN</t>
        </is>
      </c>
      <c r="G512" t="inlineStr">
        <is>
          <t>GÄVLE</t>
        </is>
      </c>
      <c r="I512" t="n">
        <v>8.199999999999999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46019</v>
      </c>
      <c r="E513" s="1" t="n">
        <v>46233</v>
      </c>
      <c r="F513" t="inlineStr">
        <is>
          <t>GÄVLEBORGS LÄN</t>
        </is>
      </c>
      <c r="G513" t="inlineStr">
        <is>
          <t>GÄVLE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42788-2025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45908</v>
      </c>
      <c r="E514" s="1" t="n">
        <v>46233</v>
      </c>
      <c r="F514" t="inlineStr">
        <is>
          <t>GÄVLEBORGS LÄN</t>
        </is>
      </c>
      <c r="G514" t="inlineStr">
        <is>
          <t>GÄVLE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46233</v>
      </c>
      <c r="F515" t="inlineStr">
        <is>
          <t>GÄVLEBORGS LÄN</t>
        </is>
      </c>
      <c r="G515" t="inlineStr">
        <is>
          <t>GÄVLE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47981-2025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45932</v>
      </c>
      <c r="E516" s="1" t="n">
        <v>46233</v>
      </c>
      <c r="F516" t="inlineStr">
        <is>
          <t>GÄVLEBORGS LÄN</t>
        </is>
      </c>
      <c r="G516" t="inlineStr">
        <is>
          <t>GÄVLE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48928-2025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46233</v>
      </c>
      <c r="F517" t="inlineStr">
        <is>
          <t>GÄVLEBORGS LÄN</t>
        </is>
      </c>
      <c r="G517" t="inlineStr">
        <is>
          <t>GÄVLE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42692-2025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45908</v>
      </c>
      <c r="E518" s="1" t="n">
        <v>46233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45334</v>
      </c>
      <c r="E519" s="1" t="n">
        <v>46233</v>
      </c>
      <c r="F519" t="inlineStr">
        <is>
          <t>GÄVLEBORGS LÄN</t>
        </is>
      </c>
      <c r="G519" t="inlineStr">
        <is>
          <t>GÄVLE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64142-2025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46022</v>
      </c>
      <c r="E520" s="1" t="n">
        <v>46233</v>
      </c>
      <c r="F520" t="inlineStr">
        <is>
          <t>GÄVLEBORGS LÄN</t>
        </is>
      </c>
      <c r="G520" t="inlineStr">
        <is>
          <t>GÄVLE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15985-2026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46233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47916-2025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45932</v>
      </c>
      <c r="E522" s="1" t="n">
        <v>46233</v>
      </c>
      <c r="F522" t="inlineStr">
        <is>
          <t>GÄVLEBORGS LÄN</t>
        </is>
      </c>
      <c r="G522" t="inlineStr">
        <is>
          <t>GÄVLE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45107</v>
      </c>
      <c r="E523" s="1" t="n">
        <v>46233</v>
      </c>
      <c r="F523" t="inlineStr">
        <is>
          <t>GÄVLEBORGS LÄN</t>
        </is>
      </c>
      <c r="G523" t="inlineStr">
        <is>
          <t>GÄVLE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46233</v>
      </c>
      <c r="F524" t="inlineStr">
        <is>
          <t>GÄVLEBORGS LÄN</t>
        </is>
      </c>
      <c r="G524" t="inlineStr">
        <is>
          <t>GÄVLE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34600-2024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45526</v>
      </c>
      <c r="E525" s="1" t="n">
        <v>46233</v>
      </c>
      <c r="F525" t="inlineStr">
        <is>
          <t>GÄVLEBORGS LÄN</t>
        </is>
      </c>
      <c r="G525" t="inlineStr">
        <is>
          <t>GÄVLE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46030</v>
      </c>
      <c r="E526" s="1" t="n">
        <v>46233</v>
      </c>
      <c r="F526" t="inlineStr">
        <is>
          <t>GÄVLEBORGS LÄN</t>
        </is>
      </c>
      <c r="G526" t="inlineStr">
        <is>
          <t>GÄVLE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46233</v>
      </c>
      <c r="F527" t="inlineStr">
        <is>
          <t>GÄVLEBORGS LÄN</t>
        </is>
      </c>
      <c r="G527" t="inlineStr">
        <is>
          <t>GÄVLE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46233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46800-2021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44446</v>
      </c>
      <c r="E529" s="1" t="n">
        <v>46233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61016-2024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46233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45672</v>
      </c>
      <c r="E531" s="1" t="n">
        <v>46233</v>
      </c>
      <c r="F531" t="inlineStr">
        <is>
          <t>GÄVLEBORGS LÄN</t>
        </is>
      </c>
      <c r="G531" t="inlineStr">
        <is>
          <t>GÄVLE</t>
        </is>
      </c>
      <c r="H531" t="inlineStr">
        <is>
          <t>Kyrkan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45660</v>
      </c>
      <c r="E532" s="1" t="n">
        <v>46233</v>
      </c>
      <c r="F532" t="inlineStr">
        <is>
          <t>GÄVLEBORGS LÄN</t>
        </is>
      </c>
      <c r="G532" t="inlineStr">
        <is>
          <t>GÄVLE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45660</v>
      </c>
      <c r="E533" s="1" t="n">
        <v>46233</v>
      </c>
      <c r="F533" t="inlineStr">
        <is>
          <t>GÄVLEBORGS LÄN</t>
        </is>
      </c>
      <c r="G533" t="inlineStr">
        <is>
          <t>GÄVLE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45117</v>
      </c>
      <c r="E534" s="1" t="n">
        <v>46233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väst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989-2023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44935</v>
      </c>
      <c r="E535" s="1" t="n">
        <v>46233</v>
      </c>
      <c r="F535" t="inlineStr">
        <is>
          <t>GÄVLEBORGS LÄN</t>
        </is>
      </c>
      <c r="G535" t="inlineStr">
        <is>
          <t>GÄVLE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10488-2026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46077</v>
      </c>
      <c r="E536" s="1" t="n">
        <v>46233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31011-2023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46233</v>
      </c>
      <c r="F537" t="inlineStr">
        <is>
          <t>GÄVLEBORGS LÄN</t>
        </is>
      </c>
      <c r="G537" t="inlineStr">
        <is>
          <t>GÄVLE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17695-2026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46121</v>
      </c>
      <c r="E538" s="1" t="n">
        <v>46233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46233</v>
      </c>
      <c r="F539" t="inlineStr">
        <is>
          <t>GÄVLEBORGS LÄN</t>
        </is>
      </c>
      <c r="G539" t="inlineStr">
        <is>
          <t>GÄVLE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17974-2026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46124</v>
      </c>
      <c r="E540" s="1" t="n">
        <v>46233</v>
      </c>
      <c r="F540" t="inlineStr">
        <is>
          <t>GÄVLEBORGS LÄN</t>
        </is>
      </c>
      <c r="G540" t="inlineStr">
        <is>
          <t>GÄVLE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17975-2026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46124</v>
      </c>
      <c r="E541" s="1" t="n">
        <v>46233</v>
      </c>
      <c r="F541" t="inlineStr">
        <is>
          <t>GÄVLEBORGS LÄN</t>
        </is>
      </c>
      <c r="G541" t="inlineStr">
        <is>
          <t>GÄVLE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17976-2026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46124</v>
      </c>
      <c r="E542" s="1" t="n">
        <v>46233</v>
      </c>
      <c r="F542" t="inlineStr">
        <is>
          <t>GÄVLEBORGS LÄN</t>
        </is>
      </c>
      <c r="G542" t="inlineStr">
        <is>
          <t>GÄVLE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17954-2026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46122</v>
      </c>
      <c r="E543" s="1" t="n">
        <v>46233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17830-2026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46122</v>
      </c>
      <c r="E544" s="1" t="n">
        <v>46233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17977-2026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46124</v>
      </c>
      <c r="E545" s="1" t="n">
        <v>46233</v>
      </c>
      <c r="F545" t="inlineStr">
        <is>
          <t>GÄVLEBORGS LÄN</t>
        </is>
      </c>
      <c r="G545" t="inlineStr">
        <is>
          <t>GÄVLE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18175-2026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46125</v>
      </c>
      <c r="E546" s="1" t="n">
        <v>46233</v>
      </c>
      <c r="F546" t="inlineStr">
        <is>
          <t>GÄVLEBORGS LÄN</t>
        </is>
      </c>
      <c r="G546" t="inlineStr">
        <is>
          <t>GÄVLE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38495-2023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45162</v>
      </c>
      <c r="E547" s="1" t="n">
        <v>46233</v>
      </c>
      <c r="F547" t="inlineStr">
        <is>
          <t>GÄVLEBORGS LÄN</t>
        </is>
      </c>
      <c r="G547" t="inlineStr">
        <is>
          <t>GÄVLE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18173-2026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46125</v>
      </c>
      <c r="E548" s="1" t="n">
        <v>46233</v>
      </c>
      <c r="F548" t="inlineStr">
        <is>
          <t>GÄVLEBORGS LÄN</t>
        </is>
      </c>
      <c r="G548" t="inlineStr">
        <is>
          <t>GÄVLE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50314-2024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45600</v>
      </c>
      <c r="E549" s="1" t="n">
        <v>46233</v>
      </c>
      <c r="F549" t="inlineStr">
        <is>
          <t>GÄVLEBORGS LÄN</t>
        </is>
      </c>
      <c r="G549" t="inlineStr">
        <is>
          <t>GÄVLE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13046-2026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46233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46233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46106</v>
      </c>
      <c r="E552" s="1" t="n">
        <v>46233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46084</v>
      </c>
      <c r="E553" s="1" t="n">
        <v>46233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45519</v>
      </c>
      <c r="E554" s="1" t="n">
        <v>46233</v>
      </c>
      <c r="F554" t="inlineStr">
        <is>
          <t>GÄVLEBORGS LÄN</t>
        </is>
      </c>
      <c r="G554" t="inlineStr">
        <is>
          <t>GÄVLE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37146-2024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45539</v>
      </c>
      <c r="E555" s="1" t="n">
        <v>46233</v>
      </c>
      <c r="F555" t="inlineStr">
        <is>
          <t>GÄVLEBORGS LÄN</t>
        </is>
      </c>
      <c r="G555" t="inlineStr">
        <is>
          <t>GÄVLE</t>
        </is>
      </c>
      <c r="I555" t="n">
        <v>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46233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36.3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60349-2022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44910</v>
      </c>
      <c r="E557" s="1" t="n">
        <v>46233</v>
      </c>
      <c r="F557" t="inlineStr">
        <is>
          <t>GÄVLEBORGS LÄN</t>
        </is>
      </c>
      <c r="G557" t="inlineStr">
        <is>
          <t>GÄVLE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60396-2022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44910</v>
      </c>
      <c r="E558" s="1" t="n">
        <v>46233</v>
      </c>
      <c r="F558" t="inlineStr">
        <is>
          <t>GÄVLEBORGS LÄN</t>
        </is>
      </c>
      <c r="G558" t="inlineStr">
        <is>
          <t>GÄVLE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13492-2026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46233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14966-2026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46104</v>
      </c>
      <c r="E560" s="1" t="n">
        <v>46233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19088-2026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46132</v>
      </c>
      <c r="E561" s="1" t="n">
        <v>46233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46233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46128</v>
      </c>
      <c r="E563" s="1" t="n">
        <v>46233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46128</v>
      </c>
      <c r="E564" s="1" t="n">
        <v>46233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19122-2026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46233</v>
      </c>
      <c r="F565" t="inlineStr">
        <is>
          <t>GÄVLEBORGS LÄN</t>
        </is>
      </c>
      <c r="G565" t="inlineStr">
        <is>
          <t>GÄVLE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62766-2022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44885</v>
      </c>
      <c r="E566" s="1" t="n">
        <v>46233</v>
      </c>
      <c r="F566" t="inlineStr">
        <is>
          <t>GÄVLEBORGS LÄN</t>
        </is>
      </c>
      <c r="G566" t="inlineStr">
        <is>
          <t>GÄVLE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46549-2021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44445</v>
      </c>
      <c r="E567" s="1" t="n">
        <v>46233</v>
      </c>
      <c r="F567" t="inlineStr">
        <is>
          <t>GÄVLEBORGS LÄN</t>
        </is>
      </c>
      <c r="G567" t="inlineStr">
        <is>
          <t>GÄVLE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19164-2026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46233</v>
      </c>
      <c r="F568" t="inlineStr">
        <is>
          <t>GÄVLEBORGS LÄN</t>
        </is>
      </c>
      <c r="G568" t="inlineStr">
        <is>
          <t>GÄVLE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18659-2026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46128</v>
      </c>
      <c r="E569" s="1" t="n">
        <v>46233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46233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18817-2026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46128</v>
      </c>
      <c r="E571" s="1" t="n">
        <v>46233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19087-2026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46233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46233</v>
      </c>
      <c r="F573" t="inlineStr">
        <is>
          <t>GÄVLEBORGS LÄN</t>
        </is>
      </c>
      <c r="G573" t="inlineStr">
        <is>
          <t>GÄVLE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45306</v>
      </c>
      <c r="E574" s="1" t="n">
        <v>46233</v>
      </c>
      <c r="F574" t="inlineStr">
        <is>
          <t>GÄVLEBORGS LÄN</t>
        </is>
      </c>
      <c r="G574" t="inlineStr">
        <is>
          <t>GÄVLE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45161</v>
      </c>
      <c r="E575" s="1" t="n">
        <v>46233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19372-2026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46133</v>
      </c>
      <c r="E576" s="1" t="n">
        <v>46233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72734-2021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44546</v>
      </c>
      <c r="E577" s="1" t="n">
        <v>46233</v>
      </c>
      <c r="F577" t="inlineStr">
        <is>
          <t>GÄVLEBORGS LÄN</t>
        </is>
      </c>
      <c r="G577" t="inlineStr">
        <is>
          <t>GÄVLE</t>
        </is>
      </c>
      <c r="H577" t="inlineStr">
        <is>
          <t>Kommuner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46105</v>
      </c>
      <c r="E578" s="1" t="n">
        <v>46233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19370-2026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46133</v>
      </c>
      <c r="E579" s="1" t="n">
        <v>46233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46233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46233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19714-2026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46233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19715-2026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46233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46233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46233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46233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29016-2023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45104</v>
      </c>
      <c r="E587" s="1" t="n">
        <v>46233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46100</v>
      </c>
      <c r="E588" s="1" t="n">
        <v>46233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17245-2024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45414</v>
      </c>
      <c r="E589" s="1" t="n">
        <v>46233</v>
      </c>
      <c r="F589" t="inlineStr">
        <is>
          <t>GÄVLEBORGS LÄN</t>
        </is>
      </c>
      <c r="G589" t="inlineStr">
        <is>
          <t>GÄVLE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44000-2025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45915</v>
      </c>
      <c r="E590" s="1" t="n">
        <v>46233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17113-2024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45412</v>
      </c>
      <c r="E591" s="1" t="n">
        <v>46233</v>
      </c>
      <c r="F591" t="inlineStr">
        <is>
          <t>GÄVLEBORGS LÄN</t>
        </is>
      </c>
      <c r="G591" t="inlineStr">
        <is>
          <t>GÄVLE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32353-2023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45120</v>
      </c>
      <c r="E592" s="1" t="n">
        <v>46233</v>
      </c>
      <c r="F592" t="inlineStr">
        <is>
          <t>GÄVLEBORGS LÄN</t>
        </is>
      </c>
      <c r="G592" t="inlineStr">
        <is>
          <t>GÄVLE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19713-2026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46233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46233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46233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44637</v>
      </c>
      <c r="E596" s="1" t="n">
        <v>46233</v>
      </c>
      <c r="F596" t="inlineStr">
        <is>
          <t>GÄVLEBORGS LÄN</t>
        </is>
      </c>
      <c r="G596" t="inlineStr">
        <is>
          <t>GÄVLE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10001-2025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45719</v>
      </c>
      <c r="E597" s="1" t="n">
        <v>46233</v>
      </c>
      <c r="F597" t="inlineStr">
        <is>
          <t>GÄVLEBORGS LÄN</t>
        </is>
      </c>
      <c r="G597" t="inlineStr">
        <is>
          <t>GÄVLE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46233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36512-2025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45869</v>
      </c>
      <c r="E599" s="1" t="n">
        <v>46233</v>
      </c>
      <c r="F599" t="inlineStr">
        <is>
          <t>GÄVLEBORGS LÄN</t>
        </is>
      </c>
      <c r="G599" t="inlineStr">
        <is>
          <t>GÄVLE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35916-2025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45862</v>
      </c>
      <c r="E600" s="1" t="n">
        <v>46233</v>
      </c>
      <c r="F600" t="inlineStr">
        <is>
          <t>GÄVLEBORGS LÄN</t>
        </is>
      </c>
      <c r="G600" t="inlineStr">
        <is>
          <t>GÄVLE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45324</v>
      </c>
      <c r="E601" s="1" t="n">
        <v>46233</v>
      </c>
      <c r="F601" t="inlineStr">
        <is>
          <t>GÄVLEBORGS LÄN</t>
        </is>
      </c>
      <c r="G601" t="inlineStr">
        <is>
          <t>GÄVLE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45715</v>
      </c>
      <c r="E602" s="1" t="n">
        <v>46233</v>
      </c>
      <c r="F602" t="inlineStr">
        <is>
          <t>GÄVLEBORGS LÄN</t>
        </is>
      </c>
      <c r="G602" t="inlineStr">
        <is>
          <t>GÄVLE</t>
        </is>
      </c>
      <c r="H602" t="inlineStr">
        <is>
          <t>Kyrkan</t>
        </is>
      </c>
      <c r="I602" t="n">
        <v>8.1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6331-2022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44600</v>
      </c>
      <c r="E603" s="1" t="n">
        <v>46233</v>
      </c>
      <c r="F603" t="inlineStr">
        <is>
          <t>GÄVLEBORGS LÄN</t>
        </is>
      </c>
      <c r="G603" t="inlineStr">
        <is>
          <t>GÄVLE</t>
        </is>
      </c>
      <c r="H603" t="inlineStr">
        <is>
          <t>Kyrkan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42934-2023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45182</v>
      </c>
      <c r="E604" s="1" t="n">
        <v>46233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10487-2026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46077</v>
      </c>
      <c r="E605" s="1" t="n">
        <v>46233</v>
      </c>
      <c r="F605" t="inlineStr">
        <is>
          <t>GÄVLEBORGS LÄN</t>
        </is>
      </c>
      <c r="G605" t="inlineStr">
        <is>
          <t>GÄVLE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15536-2026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46106</v>
      </c>
      <c r="E606" s="1" t="n">
        <v>46233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22.4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15647-2026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46233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16076-2026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46108</v>
      </c>
      <c r="E608" s="1" t="n">
        <v>46233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44585</v>
      </c>
      <c r="E609" s="1" t="n">
        <v>46233</v>
      </c>
      <c r="F609" t="inlineStr">
        <is>
          <t>GÄVLEBORGS LÄN</t>
        </is>
      </c>
      <c r="G609" t="inlineStr">
        <is>
          <t>GÄVLE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45744</v>
      </c>
      <c r="E610" s="1" t="n">
        <v>46233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35440-2023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45146</v>
      </c>
      <c r="E611" s="1" t="n">
        <v>46233</v>
      </c>
      <c r="F611" t="inlineStr">
        <is>
          <t>GÄVLEBORGS LÄN</t>
        </is>
      </c>
      <c r="G611" t="inlineStr">
        <is>
          <t>GÄVLE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15801-2026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46107</v>
      </c>
      <c r="E612" s="1" t="n">
        <v>46233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31866-2023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45106</v>
      </c>
      <c r="E613" s="1" t="n">
        <v>46233</v>
      </c>
      <c r="F613" t="inlineStr">
        <is>
          <t>GÄVLEBORGS LÄN</t>
        </is>
      </c>
      <c r="G613" t="inlineStr">
        <is>
          <t>GÄVLE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20589-2026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46233</v>
      </c>
      <c r="F614" t="inlineStr">
        <is>
          <t>GÄVLEBORGS LÄN</t>
        </is>
      </c>
      <c r="G614" t="inlineStr">
        <is>
          <t>GÄVLE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33901-2024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45523</v>
      </c>
      <c r="E615" s="1" t="n">
        <v>46233</v>
      </c>
      <c r="F615" t="inlineStr">
        <is>
          <t>GÄVLEBORGS LÄN</t>
        </is>
      </c>
      <c r="G615" t="inlineStr">
        <is>
          <t>GÄVLE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45660</v>
      </c>
      <c r="E616" s="1" t="n">
        <v>46233</v>
      </c>
      <c r="F616" t="inlineStr">
        <is>
          <t>GÄVLEBORGS LÄN</t>
        </is>
      </c>
      <c r="G616" t="inlineStr">
        <is>
          <t>GÄVLE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26094-2025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45805</v>
      </c>
      <c r="E617" s="1" t="n">
        <v>46233</v>
      </c>
      <c r="F617" t="inlineStr">
        <is>
          <t>GÄVLEBORGS LÄN</t>
        </is>
      </c>
      <c r="G617" t="inlineStr">
        <is>
          <t>GÄVLE</t>
        </is>
      </c>
      <c r="I617" t="n">
        <v>12.4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46105</v>
      </c>
      <c r="E618" s="1" t="n">
        <v>46233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15324-2026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46105</v>
      </c>
      <c r="E619" s="1" t="n">
        <v>46233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15799-2026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46233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15835-2026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46233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9025-2026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46233</v>
      </c>
      <c r="F622" t="inlineStr">
        <is>
          <t>GÄVLEBORGS LÄN</t>
        </is>
      </c>
      <c r="G622" t="inlineStr">
        <is>
          <t>GÄVLE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60792-2024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45644</v>
      </c>
      <c r="E623" s="1" t="n">
        <v>46233</v>
      </c>
      <c r="F623" t="inlineStr">
        <is>
          <t>GÄVLEBORGS LÄN</t>
        </is>
      </c>
      <c r="G623" t="inlineStr">
        <is>
          <t>GÄVLE</t>
        </is>
      </c>
      <c r="H623" t="inlineStr">
        <is>
          <t>Kyrkan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4402-2025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45686</v>
      </c>
      <c r="E624" s="1" t="n">
        <v>46233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7441-2025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45705</v>
      </c>
      <c r="E625" s="1" t="n">
        <v>46233</v>
      </c>
      <c r="F625" t="inlineStr">
        <is>
          <t>GÄVLEBORGS LÄN</t>
        </is>
      </c>
      <c r="G625" t="inlineStr">
        <is>
          <t>GÄVLE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21966-2025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45784</v>
      </c>
      <c r="E626" s="1" t="n">
        <v>46233</v>
      </c>
      <c r="F626" t="inlineStr">
        <is>
          <t>GÄVLEBORGS LÄN</t>
        </is>
      </c>
      <c r="G626" t="inlineStr">
        <is>
          <t>GÄVLE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46070</v>
      </c>
      <c r="E627" s="1" t="n">
        <v>46233</v>
      </c>
      <c r="F627" t="inlineStr">
        <is>
          <t>GÄVLEBORGS LÄN</t>
        </is>
      </c>
      <c r="G627" t="inlineStr">
        <is>
          <t>GÄVLE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10521-2026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46077</v>
      </c>
      <c r="E628" s="1" t="n">
        <v>46233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28905-2023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45104</v>
      </c>
      <c r="E629" s="1" t="n">
        <v>46233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46029</v>
      </c>
      <c r="E630" s="1" t="n">
        <v>46233</v>
      </c>
      <c r="F630" t="inlineStr">
        <is>
          <t>GÄVLEBORGS LÄN</t>
        </is>
      </c>
      <c r="G630" t="inlineStr">
        <is>
          <t>GÄVLE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50537-2025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45945</v>
      </c>
      <c r="E631" s="1" t="n">
        <v>46233</v>
      </c>
      <c r="F631" t="inlineStr">
        <is>
          <t>GÄVLEBORGS LÄN</t>
        </is>
      </c>
      <c r="G631" t="inlineStr">
        <is>
          <t>GÄVLE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7235-2025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45702</v>
      </c>
      <c r="E632" s="1" t="n">
        <v>46233</v>
      </c>
      <c r="F632" t="inlineStr">
        <is>
          <t>GÄVLEBORGS LÄN</t>
        </is>
      </c>
      <c r="G632" t="inlineStr">
        <is>
          <t>GÄVLE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15092-2026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46105</v>
      </c>
      <c r="E633" s="1" t="n">
        <v>46233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42592-2025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45905</v>
      </c>
      <c r="E634" s="1" t="n">
        <v>46233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väst AB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61004-2024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45645</v>
      </c>
      <c r="E635" s="1" t="n">
        <v>46233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30662-2022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44763</v>
      </c>
      <c r="E636" s="1" t="n">
        <v>46233</v>
      </c>
      <c r="F636" t="inlineStr">
        <is>
          <t>GÄVLEBORGS LÄN</t>
        </is>
      </c>
      <c r="G636" t="inlineStr">
        <is>
          <t>GÄVLE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18217-2024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45420</v>
      </c>
      <c r="E637" s="1" t="n">
        <v>46233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15105-2025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45744</v>
      </c>
      <c r="E638" s="1" t="n">
        <v>46233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46233</v>
      </c>
      <c r="F639" t="inlineStr">
        <is>
          <t>GÄVLEBORGS LÄN</t>
        </is>
      </c>
      <c r="G639" t="inlineStr">
        <is>
          <t>GÄVLE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20682-2023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45058</v>
      </c>
      <c r="E640" s="1" t="n">
        <v>46233</v>
      </c>
      <c r="F640" t="inlineStr">
        <is>
          <t>GÄVLEBORGS LÄN</t>
        </is>
      </c>
      <c r="G640" t="inlineStr">
        <is>
          <t>GÄVLE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8693-2024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46233</v>
      </c>
      <c r="F641" t="inlineStr">
        <is>
          <t>GÄVLEBORGS LÄN</t>
        </is>
      </c>
      <c r="G641" t="inlineStr">
        <is>
          <t>GÄVLE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46033</v>
      </c>
      <c r="E642" s="1" t="n">
        <v>46233</v>
      </c>
      <c r="F642" t="inlineStr">
        <is>
          <t>GÄVLEBORGS LÄN</t>
        </is>
      </c>
      <c r="G642" t="inlineStr">
        <is>
          <t>GÄVLE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8568-2026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46233</v>
      </c>
      <c r="F643" t="inlineStr">
        <is>
          <t>GÄVLEBORGS LÄN</t>
        </is>
      </c>
      <c r="G643" t="inlineStr">
        <is>
          <t>GÄVLE</t>
        </is>
      </c>
      <c r="I643" t="n">
        <v>9.5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3662-2022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44586</v>
      </c>
      <c r="E644" s="1" t="n">
        <v>46233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20685-2026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46233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61501-2024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45646</v>
      </c>
      <c r="E646" s="1" t="n">
        <v>46233</v>
      </c>
      <c r="F646" t="inlineStr">
        <is>
          <t>GÄVLEBORGS LÄN</t>
        </is>
      </c>
      <c r="G646" t="inlineStr">
        <is>
          <t>GÄVLE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20736-2026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46141</v>
      </c>
      <c r="E647" s="1" t="n">
        <v>46233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46233</v>
      </c>
      <c r="F648" t="inlineStr">
        <is>
          <t>GÄVLEBORGS LÄN</t>
        </is>
      </c>
      <c r="G648" t="inlineStr">
        <is>
          <t>GÄVLE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45735</v>
      </c>
      <c r="E649" s="1" t="n">
        <v>46233</v>
      </c>
      <c r="F649" t="inlineStr">
        <is>
          <t>GÄVLEBORGS LÄN</t>
        </is>
      </c>
      <c r="G649" t="inlineStr">
        <is>
          <t>GÄVLE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16190-2026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46111</v>
      </c>
      <c r="E650" s="1" t="n">
        <v>46233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16263-2026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46111</v>
      </c>
      <c r="E651" s="1" t="n">
        <v>46233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20785-2026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46233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20905-2026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46233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38793-2024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45547</v>
      </c>
      <c r="E654" s="1" t="n">
        <v>46233</v>
      </c>
      <c r="F654" t="inlineStr">
        <is>
          <t>GÄVLEBORGS LÄN</t>
        </is>
      </c>
      <c r="G654" t="inlineStr">
        <is>
          <t>GÄVLE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20735-2026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46233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20906-2026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46142</v>
      </c>
      <c r="E656" s="1" t="n">
        <v>46233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2373-2025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45673</v>
      </c>
      <c r="E657" s="1" t="n">
        <v>46233</v>
      </c>
      <c r="F657" t="inlineStr">
        <is>
          <t>GÄVLEBORGS LÄN</t>
        </is>
      </c>
      <c r="G657" t="inlineStr">
        <is>
          <t>GÄVLE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45673</v>
      </c>
      <c r="E658" s="1" t="n">
        <v>46233</v>
      </c>
      <c r="F658" t="inlineStr">
        <is>
          <t>GÄVLEBORGS LÄN</t>
        </is>
      </c>
      <c r="G658" t="inlineStr">
        <is>
          <t>GÄVLE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15456-2026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46233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46233</v>
      </c>
      <c r="F660" t="inlineStr">
        <is>
          <t>GÄVLEBORGS LÄN</t>
        </is>
      </c>
      <c r="G660" t="inlineStr">
        <is>
          <t>GÄVLE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18162-2022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44684</v>
      </c>
      <c r="E661" s="1" t="n">
        <v>46233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12079-2025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45728</v>
      </c>
      <c r="E662" s="1" t="n">
        <v>46233</v>
      </c>
      <c r="F662" t="inlineStr">
        <is>
          <t>GÄVLEBORGS LÄN</t>
        </is>
      </c>
      <c r="G662" t="inlineStr">
        <is>
          <t>GÄVLE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24618-2023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45084</v>
      </c>
      <c r="E663" s="1" t="n">
        <v>46233</v>
      </c>
      <c r="F663" t="inlineStr">
        <is>
          <t>GÄVLEBORGS LÄN</t>
        </is>
      </c>
      <c r="G663" t="inlineStr">
        <is>
          <t>GÄVLE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45705</v>
      </c>
      <c r="E664" s="1" t="n">
        <v>46233</v>
      </c>
      <c r="F664" t="inlineStr">
        <is>
          <t>GÄVLEBORGS LÄN</t>
        </is>
      </c>
      <c r="G664" t="inlineStr">
        <is>
          <t>GÄVLE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25814-2023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45090</v>
      </c>
      <c r="E665" s="1" t="n">
        <v>46233</v>
      </c>
      <c r="F665" t="inlineStr">
        <is>
          <t>GÄVLEBORGS LÄN</t>
        </is>
      </c>
      <c r="G665" t="inlineStr">
        <is>
          <t>GÄVLE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21033-2026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46233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1066-2025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45666</v>
      </c>
      <c r="E667" s="1" t="n">
        <v>46233</v>
      </c>
      <c r="F667" t="inlineStr">
        <is>
          <t>GÄVLEBORGS LÄN</t>
        </is>
      </c>
      <c r="G667" t="inlineStr">
        <is>
          <t>GÄVLE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16144-2026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46108</v>
      </c>
      <c r="E668" s="1" t="n">
        <v>46233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46233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14707-2026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46233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18168-2022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44684</v>
      </c>
      <c r="E671" s="1" t="n">
        <v>46233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51071-2023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46233</v>
      </c>
      <c r="F672" t="inlineStr">
        <is>
          <t>GÄVLEBORGS LÄN</t>
        </is>
      </c>
      <c r="G672" t="inlineStr">
        <is>
          <t>GÄVLE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3639-2022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44586</v>
      </c>
      <c r="E673" s="1" t="n">
        <v>46233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1062-2025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45666</v>
      </c>
      <c r="E674" s="1" t="n">
        <v>46233</v>
      </c>
      <c r="F674" t="inlineStr">
        <is>
          <t>GÄVLEBORGS LÄN</t>
        </is>
      </c>
      <c r="G674" t="inlineStr">
        <is>
          <t>GÄVLE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57168-2023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45245</v>
      </c>
      <c r="E675" s="1" t="n">
        <v>46233</v>
      </c>
      <c r="F675" t="inlineStr">
        <is>
          <t>GÄVLEBORGS LÄN</t>
        </is>
      </c>
      <c r="G675" t="inlineStr">
        <is>
          <t>GÄVLE</t>
        </is>
      </c>
      <c r="H675" t="inlineStr">
        <is>
          <t>Kyrkan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14666-2026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46101</v>
      </c>
      <c r="E676" s="1" t="n">
        <v>46233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15.1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33880-2022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44790</v>
      </c>
      <c r="E677" s="1" t="n">
        <v>46233</v>
      </c>
      <c r="F677" t="inlineStr">
        <is>
          <t>GÄVLEBORGS LÄN</t>
        </is>
      </c>
      <c r="G677" t="inlineStr">
        <is>
          <t>GÄVLE</t>
        </is>
      </c>
      <c r="I677" t="n">
        <v>9.4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22342-2026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46154</v>
      </c>
      <c r="E678" s="1" t="n">
        <v>46233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28334-2026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46196</v>
      </c>
      <c r="E679" s="1" t="n">
        <v>46233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28331-2026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46233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26249-2022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44735</v>
      </c>
      <c r="E681" s="1" t="n">
        <v>46233</v>
      </c>
      <c r="F681" t="inlineStr">
        <is>
          <t>GÄVLEBORGS LÄN</t>
        </is>
      </c>
      <c r="G681" t="inlineStr">
        <is>
          <t>GÄVLE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20999-2022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44701</v>
      </c>
      <c r="E682" s="1" t="n">
        <v>46233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26.3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22356-2026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46154</v>
      </c>
      <c r="E683" s="1" t="n">
        <v>46233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28332-2026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46196</v>
      </c>
      <c r="E684" s="1" t="n">
        <v>46233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28140-2026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46233</v>
      </c>
      <c r="F685" t="inlineStr">
        <is>
          <t>GÄVLEBORGS LÄN</t>
        </is>
      </c>
      <c r="G685" t="inlineStr">
        <is>
          <t>GÄVLE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22053-2026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46153</v>
      </c>
      <c r="E686" s="1" t="n">
        <v>46233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22075-2026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46153</v>
      </c>
      <c r="E687" s="1" t="n">
        <v>46233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46153</v>
      </c>
      <c r="E688" s="1" t="n">
        <v>46233</v>
      </c>
      <c r="F688" t="inlineStr">
        <is>
          <t>GÄVLEBORGS LÄN</t>
        </is>
      </c>
      <c r="G688" t="inlineStr">
        <is>
          <t>GÄVLE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46233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22054-2026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46153</v>
      </c>
      <c r="E690" s="1" t="n">
        <v>46233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8.5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22354-2026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46154</v>
      </c>
      <c r="E691" s="1" t="n">
        <v>46233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22358-2026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46154</v>
      </c>
      <c r="E692" s="1" t="n">
        <v>46233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22361-2026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46154</v>
      </c>
      <c r="E693" s="1" t="n">
        <v>46233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22363-2026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46154</v>
      </c>
      <c r="E694" s="1" t="n">
        <v>46233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27182-2022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44741</v>
      </c>
      <c r="E695" s="1" t="n">
        <v>46233</v>
      </c>
      <c r="F695" t="inlineStr">
        <is>
          <t>GÄVLEBORGS LÄN</t>
        </is>
      </c>
      <c r="G695" t="inlineStr">
        <is>
          <t>GÄVLE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46233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35761-2022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44800</v>
      </c>
      <c r="E697" s="1" t="n">
        <v>46233</v>
      </c>
      <c r="F697" t="inlineStr">
        <is>
          <t>GÄVLEBORGS LÄN</t>
        </is>
      </c>
      <c r="G697" t="inlineStr">
        <is>
          <t>GÄVLE</t>
        </is>
      </c>
      <c r="I697" t="n">
        <v>8.199999999999999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28485-2026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46197</v>
      </c>
      <c r="E698" s="1" t="n">
        <v>46233</v>
      </c>
      <c r="F698" t="inlineStr">
        <is>
          <t>GÄVLEBORGS LÄN</t>
        </is>
      </c>
      <c r="G698" t="inlineStr">
        <is>
          <t>GÄVLE</t>
        </is>
      </c>
      <c r="H698" t="inlineStr">
        <is>
          <t>BillerudKorsnäs AB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46233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28655-2026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46233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46233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28658-2026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46233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59322-2022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44904</v>
      </c>
      <c r="E703" s="1" t="n">
        <v>46233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46233</v>
      </c>
      <c r="F704" t="inlineStr">
        <is>
          <t>GÄVLEBORGS LÄN</t>
        </is>
      </c>
      <c r="G704" t="inlineStr">
        <is>
          <t>GÄVLE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22584-2026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46155</v>
      </c>
      <c r="E705" s="1" t="n">
        <v>46233</v>
      </c>
      <c r="F705" t="inlineStr">
        <is>
          <t>GÄVLEBORGS LÄN</t>
        </is>
      </c>
      <c r="G705" t="inlineStr">
        <is>
          <t>GÄVLE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17300-2026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46119</v>
      </c>
      <c r="E706" s="1" t="n">
        <v>46233</v>
      </c>
      <c r="F706" t="inlineStr">
        <is>
          <t>GÄVLEBORGS LÄN</t>
        </is>
      </c>
      <c r="G706" t="inlineStr">
        <is>
          <t>GÄVLE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15152-2026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46105</v>
      </c>
      <c r="E707" s="1" t="n">
        <v>46233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28656-2026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46233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22545-2026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46233</v>
      </c>
      <c r="F709" t="inlineStr">
        <is>
          <t>GÄVLEBORGS LÄN</t>
        </is>
      </c>
      <c r="G709" t="inlineStr">
        <is>
          <t>GÄVLE</t>
        </is>
      </c>
      <c r="H709" t="inlineStr">
        <is>
          <t>Kyrkan</t>
        </is>
      </c>
      <c r="I709" t="n">
        <v>10.1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15158-2026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46105</v>
      </c>
      <c r="E710" s="1" t="n">
        <v>46233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61672-2023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45265</v>
      </c>
      <c r="E711" s="1" t="n">
        <v>46233</v>
      </c>
      <c r="F711" t="inlineStr">
        <is>
          <t>GÄVLEBORGS LÄN</t>
        </is>
      </c>
      <c r="G711" t="inlineStr">
        <is>
          <t>GÄVLE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46233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30875-2022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44767</v>
      </c>
      <c r="E713" s="1" t="n">
        <v>46233</v>
      </c>
      <c r="F713" t="inlineStr">
        <is>
          <t>GÄVLEBORGS LÄN</t>
        </is>
      </c>
      <c r="G713" t="inlineStr">
        <is>
          <t>GÄVLE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46202</v>
      </c>
      <c r="E714" s="1" t="n">
        <v>46233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29142-2026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46233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46155</v>
      </c>
      <c r="E716" s="1" t="n">
        <v>46233</v>
      </c>
      <c r="F716" t="inlineStr">
        <is>
          <t>GÄVLEBORGS LÄN</t>
        </is>
      </c>
      <c r="G716" t="inlineStr">
        <is>
          <t>GÄVLE</t>
        </is>
      </c>
      <c r="H716" t="inlineStr">
        <is>
          <t>Kyrkan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9426-2025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46233</v>
      </c>
      <c r="F717" t="inlineStr">
        <is>
          <t>GÄVLEBORGS LÄN</t>
        </is>
      </c>
      <c r="G717" t="inlineStr">
        <is>
          <t>GÄVLE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15167-2026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46105</v>
      </c>
      <c r="E718" s="1" t="n">
        <v>46233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15711-2026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46107</v>
      </c>
      <c r="E719" s="1" t="n">
        <v>46233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60885-2023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45261</v>
      </c>
      <c r="E720" s="1" t="n">
        <v>46233</v>
      </c>
      <c r="F720" t="inlineStr">
        <is>
          <t>GÄVLEBORGS LÄN</t>
        </is>
      </c>
      <c r="G720" t="inlineStr">
        <is>
          <t>GÄVLE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15469-2026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46106</v>
      </c>
      <c r="E721" s="1" t="n">
        <v>46233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15790-2026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46107</v>
      </c>
      <c r="E722" s="1" t="n">
        <v>46233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2457-2024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45312</v>
      </c>
      <c r="E723" s="1" t="n">
        <v>46233</v>
      </c>
      <c r="F723" t="inlineStr">
        <is>
          <t>GÄVLEBORGS LÄN</t>
        </is>
      </c>
      <c r="G723" t="inlineStr">
        <is>
          <t>GÄVLE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22848-2026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46160</v>
      </c>
      <c r="E724" s="1" t="n">
        <v>46233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22844-2026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46160</v>
      </c>
      <c r="E725" s="1" t="n">
        <v>46233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väst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23117-2026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46233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46233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16401-2025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45751</v>
      </c>
      <c r="E728" s="1" t="n">
        <v>46233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väst AB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64868-2023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45282</v>
      </c>
      <c r="E729" s="1" t="n">
        <v>46233</v>
      </c>
      <c r="F729" t="inlineStr">
        <is>
          <t>GÄVLEBORGS LÄN</t>
        </is>
      </c>
      <c r="G729" t="inlineStr">
        <is>
          <t>GÄVLE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64873-2023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45282</v>
      </c>
      <c r="E730" s="1" t="n">
        <v>46233</v>
      </c>
      <c r="F730" t="inlineStr">
        <is>
          <t>GÄVLEBORGS LÄN</t>
        </is>
      </c>
      <c r="G730" t="inlineStr">
        <is>
          <t>GÄVLE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46233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2461-2024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45312</v>
      </c>
      <c r="E732" s="1" t="n">
        <v>46233</v>
      </c>
      <c r="F732" t="inlineStr">
        <is>
          <t>GÄVLEBORGS LÄN</t>
        </is>
      </c>
      <c r="G732" t="inlineStr">
        <is>
          <t>GÄVLE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13961-2024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45392</v>
      </c>
      <c r="E733" s="1" t="n">
        <v>46233</v>
      </c>
      <c r="F733" t="inlineStr">
        <is>
          <t>GÄVLEBORGS LÄN</t>
        </is>
      </c>
      <c r="G733" t="inlineStr">
        <is>
          <t>GÄVLE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15444-2024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45401</v>
      </c>
      <c r="E734" s="1" t="n">
        <v>46233</v>
      </c>
      <c r="F734" t="inlineStr">
        <is>
          <t>GÄVLEBORGS LÄN</t>
        </is>
      </c>
      <c r="G734" t="inlineStr">
        <is>
          <t>GÄVLE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34668-2024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45526</v>
      </c>
      <c r="E735" s="1" t="n">
        <v>46233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61301-2024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45645</v>
      </c>
      <c r="E736" s="1" t="n">
        <v>46233</v>
      </c>
      <c r="F736" t="inlineStr">
        <is>
          <t>GÄVLEBORGS LÄN</t>
        </is>
      </c>
      <c r="G736" t="inlineStr">
        <is>
          <t>GÄVLE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29506-2026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46198</v>
      </c>
      <c r="E737" s="1" t="n">
        <v>46233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väst AB</t>
        </is>
      </c>
      <c r="I737" t="n">
        <v>52.7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14974-2026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46233</v>
      </c>
      <c r="F738" t="inlineStr">
        <is>
          <t>GÄVLEBORGS LÄN</t>
        </is>
      </c>
      <c r="G738" t="inlineStr">
        <is>
          <t>GÄVLE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15765-2026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46107</v>
      </c>
      <c r="E739" s="1" t="n">
        <v>46233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44806-2024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45574</v>
      </c>
      <c r="E740" s="1" t="n">
        <v>46233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22968-2026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46160</v>
      </c>
      <c r="E741" s="1" t="n">
        <v>46233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47458-2022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44853</v>
      </c>
      <c r="E742" s="1" t="n">
        <v>46233</v>
      </c>
      <c r="F742" t="inlineStr">
        <is>
          <t>GÄVLEBORGS LÄN</t>
        </is>
      </c>
      <c r="G742" t="inlineStr">
        <is>
          <t>GÄVLE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33635-2024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45520</v>
      </c>
      <c r="E743" s="1" t="n">
        <v>46233</v>
      </c>
      <c r="F743" t="inlineStr">
        <is>
          <t>GÄVLEBORGS LÄN</t>
        </is>
      </c>
      <c r="G743" t="inlineStr">
        <is>
          <t>GÄVLE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33637-2024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45520</v>
      </c>
      <c r="E744" s="1" t="n">
        <v>46233</v>
      </c>
      <c r="F744" t="inlineStr">
        <is>
          <t>GÄVLEBORGS LÄN</t>
        </is>
      </c>
      <c r="G744" t="inlineStr">
        <is>
          <t>GÄVLE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11410-2025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45726</v>
      </c>
      <c r="E745" s="1" t="n">
        <v>46233</v>
      </c>
      <c r="F745" t="inlineStr">
        <is>
          <t>GÄVLEBORGS LÄN</t>
        </is>
      </c>
      <c r="G745" t="inlineStr">
        <is>
          <t>GÄVLE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61492-2024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45646</v>
      </c>
      <c r="E746" s="1" t="n">
        <v>46233</v>
      </c>
      <c r="F746" t="inlineStr">
        <is>
          <t>GÄVLEBORGS LÄN</t>
        </is>
      </c>
      <c r="G746" t="inlineStr">
        <is>
          <t>GÄVLE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53138-2024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45611</v>
      </c>
      <c r="E747" s="1" t="n">
        <v>46233</v>
      </c>
      <c r="F747" t="inlineStr">
        <is>
          <t>GÄVLEBORGS LÄN</t>
        </is>
      </c>
      <c r="G747" t="inlineStr">
        <is>
          <t>GÄVLE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23591-2026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46163</v>
      </c>
      <c r="E748" s="1" t="n">
        <v>46233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66493-2021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44519</v>
      </c>
      <c r="E749" s="1" t="n">
        <v>46233</v>
      </c>
      <c r="F749" t="inlineStr">
        <is>
          <t>GÄVLEBORGS LÄN</t>
        </is>
      </c>
      <c r="G749" t="inlineStr">
        <is>
          <t>GÄVLE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7060-2022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44603</v>
      </c>
      <c r="E750" s="1" t="n">
        <v>46233</v>
      </c>
      <c r="F750" t="inlineStr">
        <is>
          <t>GÄVLEBORGS LÄN</t>
        </is>
      </c>
      <c r="G750" t="inlineStr">
        <is>
          <t>GÄVLE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7998-2023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44973</v>
      </c>
      <c r="E751" s="1" t="n">
        <v>46233</v>
      </c>
      <c r="F751" t="inlineStr">
        <is>
          <t>GÄVLEBORGS LÄN</t>
        </is>
      </c>
      <c r="G751" t="inlineStr">
        <is>
          <t>GÄVLE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30601-2026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46210</v>
      </c>
      <c r="E752" s="1" t="n">
        <v>46233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24099-2026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46168</v>
      </c>
      <c r="E753" s="1" t="n">
        <v>46233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23956-2026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46167</v>
      </c>
      <c r="E754" s="1" t="n">
        <v>46233</v>
      </c>
      <c r="F754" t="inlineStr">
        <is>
          <t>GÄVLEBORGS LÄN</t>
        </is>
      </c>
      <c r="G754" t="inlineStr">
        <is>
          <t>GÄVLE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24090-2026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46168</v>
      </c>
      <c r="E755" s="1" t="n">
        <v>46233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5408-2023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44959</v>
      </c>
      <c r="E756" s="1" t="n">
        <v>46233</v>
      </c>
      <c r="F756" t="inlineStr">
        <is>
          <t>GÄVLEBORGS LÄN</t>
        </is>
      </c>
      <c r="G756" t="inlineStr">
        <is>
          <t>GÄVLE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24172-2026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46233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60442-2022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44911</v>
      </c>
      <c r="E758" s="1" t="n">
        <v>46233</v>
      </c>
      <c r="F758" t="inlineStr">
        <is>
          <t>GÄVLEBORGS LÄN</t>
        </is>
      </c>
      <c r="G758" t="inlineStr">
        <is>
          <t>GÄVLE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26334-2022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44735</v>
      </c>
      <c r="E759" s="1" t="n">
        <v>46233</v>
      </c>
      <c r="F759" t="inlineStr">
        <is>
          <t>GÄVLEBORGS LÄN</t>
        </is>
      </c>
      <c r="G759" t="inlineStr">
        <is>
          <t>GÄVLE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5462-2023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44960</v>
      </c>
      <c r="E760" s="1" t="n">
        <v>46233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30324-2026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46207</v>
      </c>
      <c r="E761" s="1" t="n">
        <v>46233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19424-2022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44693</v>
      </c>
      <c r="E762" s="1" t="n">
        <v>46233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24089-2026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46168</v>
      </c>
      <c r="E763" s="1" t="n">
        <v>46233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30600-2026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46210</v>
      </c>
      <c r="E764" s="1" t="n">
        <v>46233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24398-2026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46169</v>
      </c>
      <c r="E765" s="1" t="n">
        <v>46233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24400-2026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46169</v>
      </c>
      <c r="E766" s="1" t="n">
        <v>46233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46169</v>
      </c>
      <c r="E767" s="1" t="n">
        <v>46233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24306-2026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46169</v>
      </c>
      <c r="E768" s="1" t="n">
        <v>46233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24325-2026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46169</v>
      </c>
      <c r="E769" s="1" t="n">
        <v>46233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24373-2026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46169</v>
      </c>
      <c r="E770" s="1" t="n">
        <v>46233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37534-2023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45158</v>
      </c>
      <c r="E771" s="1" t="n">
        <v>46233</v>
      </c>
      <c r="F771" t="inlineStr">
        <is>
          <t>GÄVLEBORGS LÄN</t>
        </is>
      </c>
      <c r="G771" t="inlineStr">
        <is>
          <t>GÄVLE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37538-2023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45158</v>
      </c>
      <c r="E772" s="1" t="n">
        <v>46233</v>
      </c>
      <c r="F772" t="inlineStr">
        <is>
          <t>GÄVLEBORGS LÄN</t>
        </is>
      </c>
      <c r="G772" t="inlineStr">
        <is>
          <t>GÄVLE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24294-2026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46169</v>
      </c>
      <c r="E773" s="1" t="n">
        <v>46233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24367-2026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46169</v>
      </c>
      <c r="E774" s="1" t="n">
        <v>46233</v>
      </c>
      <c r="F774" t="inlineStr">
        <is>
          <t>GÄVLEBORGS LÄN</t>
        </is>
      </c>
      <c r="G774" t="inlineStr">
        <is>
          <t>GÄVLE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14750-2022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44656</v>
      </c>
      <c r="E775" s="1" t="n">
        <v>46233</v>
      </c>
      <c r="F775" t="inlineStr">
        <is>
          <t>GÄVLEBORGS LÄN</t>
        </is>
      </c>
      <c r="G775" t="inlineStr">
        <is>
          <t>GÄVLE</t>
        </is>
      </c>
      <c r="I775" t="n">
        <v>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30967-2026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46213</v>
      </c>
      <c r="E776" s="1" t="n">
        <v>46233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53432-2021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44468</v>
      </c>
      <c r="E777" s="1" t="n">
        <v>46233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14735-2024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45397</v>
      </c>
      <c r="E778" s="1" t="n">
        <v>46233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19712-2022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44694</v>
      </c>
      <c r="E779" s="1" t="n">
        <v>46233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30948-2026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46213</v>
      </c>
      <c r="E780" s="1" t="n">
        <v>46233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24669-2026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46171</v>
      </c>
      <c r="E781" s="1" t="n">
        <v>46233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21.4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14173-2022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44651</v>
      </c>
      <c r="E782" s="1" t="n">
        <v>46233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31019-2026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46233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9307-2022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44616</v>
      </c>
      <c r="E784" s="1" t="n">
        <v>46233</v>
      </c>
      <c r="F784" t="inlineStr">
        <is>
          <t>GÄVLEBORGS LÄN</t>
        </is>
      </c>
      <c r="G784" t="inlineStr">
        <is>
          <t>GÄVLE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24810-2026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46173</v>
      </c>
      <c r="E785" s="1" t="n">
        <v>46233</v>
      </c>
      <c r="F785" t="inlineStr">
        <is>
          <t>GÄVLEBORGS LÄN</t>
        </is>
      </c>
      <c r="G785" t="inlineStr">
        <is>
          <t>GÄVLE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24456-2026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46170</v>
      </c>
      <c r="E786" s="1" t="n">
        <v>46233</v>
      </c>
      <c r="F786" t="inlineStr">
        <is>
          <t>GÄVLEBORGS LÄN</t>
        </is>
      </c>
      <c r="G786" t="inlineStr">
        <is>
          <t>GÄVLE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30969-2026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46213</v>
      </c>
      <c r="E787" s="1" t="n">
        <v>46233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5728-2023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44962</v>
      </c>
      <c r="E788" s="1" t="n">
        <v>46233</v>
      </c>
      <c r="F788" t="inlineStr">
        <is>
          <t>GÄVLEBORGS LÄN</t>
        </is>
      </c>
      <c r="G788" t="inlineStr">
        <is>
          <t>GÄVLE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30951-2026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46213</v>
      </c>
      <c r="E789" s="1" t="n">
        <v>46233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46217</v>
      </c>
      <c r="E790" s="1" t="n">
        <v>46233</v>
      </c>
      <c r="F790" t="inlineStr">
        <is>
          <t>GÄVLEBORGS LÄN</t>
        </is>
      </c>
      <c r="G790" t="inlineStr">
        <is>
          <t>GÄVLE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18361-2024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45422</v>
      </c>
      <c r="E791" s="1" t="n">
        <v>46233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44927</v>
      </c>
      <c r="E792" s="1" t="n">
        <v>46233</v>
      </c>
      <c r="F792" t="inlineStr">
        <is>
          <t>GÄVLEBORGS LÄN</t>
        </is>
      </c>
      <c r="G792" t="inlineStr">
        <is>
          <t>GÄVLE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33015-2023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45125</v>
      </c>
      <c r="E793" s="1" t="n">
        <v>46233</v>
      </c>
      <c r="F793" t="inlineStr">
        <is>
          <t>GÄVLEBORGS LÄN</t>
        </is>
      </c>
      <c r="G793" t="inlineStr">
        <is>
          <t>GÄVLE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64878-2023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45282</v>
      </c>
      <c r="E794" s="1" t="n">
        <v>46233</v>
      </c>
      <c r="F794" t="inlineStr">
        <is>
          <t>GÄVLEBORGS LÄN</t>
        </is>
      </c>
      <c r="G794" t="inlineStr">
        <is>
          <t>GÄVLE</t>
        </is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21365-2026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46147</v>
      </c>
      <c r="E795" s="1" t="n">
        <v>46233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9235-2022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44616</v>
      </c>
      <c r="E796" s="1" t="n">
        <v>46233</v>
      </c>
      <c r="F796" t="inlineStr">
        <is>
          <t>GÄVLEBORGS LÄN</t>
        </is>
      </c>
      <c r="G796" t="inlineStr">
        <is>
          <t>GÄVLE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25500-2026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46177</v>
      </c>
      <c r="E797" s="1" t="n">
        <v>46233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25582-2026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46177</v>
      </c>
      <c r="E798" s="1" t="n">
        <v>46233</v>
      </c>
      <c r="F798" t="inlineStr">
        <is>
          <t>GÄVLEBORGS LÄN</t>
        </is>
      </c>
      <c r="G798" t="inlineStr">
        <is>
          <t>GÄVLE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35445-2023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45146</v>
      </c>
      <c r="E799" s="1" t="n">
        <v>46233</v>
      </c>
      <c r="F799" t="inlineStr">
        <is>
          <t>GÄVLEBORGS LÄN</t>
        </is>
      </c>
      <c r="G799" t="inlineStr">
        <is>
          <t>GÄVLE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25513-2026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46177</v>
      </c>
      <c r="E800" s="1" t="n">
        <v>46233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25623-2026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46177</v>
      </c>
      <c r="E801" s="1" t="n">
        <v>46233</v>
      </c>
      <c r="F801" t="inlineStr">
        <is>
          <t>GÄVLEBORGS LÄN</t>
        </is>
      </c>
      <c r="G801" t="inlineStr">
        <is>
          <t>GÄVLE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20676-2026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46141</v>
      </c>
      <c r="E802" s="1" t="n">
        <v>46233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52495-2021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44466</v>
      </c>
      <c r="E803" s="1" t="n">
        <v>46233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5.9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21367-2026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46147</v>
      </c>
      <c r="E804" s="1" t="n">
        <v>46233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46176</v>
      </c>
      <c r="E805" s="1" t="n">
        <v>46233</v>
      </c>
      <c r="F805" t="inlineStr">
        <is>
          <t>GÄVLEBORGS LÄN</t>
        </is>
      </c>
      <c r="G805" t="inlineStr">
        <is>
          <t>GÄVLE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17088-2023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45034</v>
      </c>
      <c r="E806" s="1" t="n">
        <v>46233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25384-2026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46176</v>
      </c>
      <c r="E807" s="1" t="n">
        <v>46233</v>
      </c>
      <c r="F807" t="inlineStr">
        <is>
          <t>GÄVLEBORGS LÄN</t>
        </is>
      </c>
      <c r="G807" t="inlineStr">
        <is>
          <t>GÄVLE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31445-2026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46217</v>
      </c>
      <c r="E808" s="1" t="n">
        <v>46233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32255-2023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45120</v>
      </c>
      <c r="E809" s="1" t="n">
        <v>46233</v>
      </c>
      <c r="F809" t="inlineStr">
        <is>
          <t>GÄVLEBORGS LÄN</t>
        </is>
      </c>
      <c r="G809" t="inlineStr">
        <is>
          <t>GÄVLE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44942</v>
      </c>
      <c r="E810" s="1" t="n">
        <v>46233</v>
      </c>
      <c r="F810" t="inlineStr">
        <is>
          <t>GÄVLEBORGS LÄN</t>
        </is>
      </c>
      <c r="G810" t="inlineStr">
        <is>
          <t>GÄVLE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31566-2026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46223</v>
      </c>
      <c r="E811" s="1" t="n">
        <v>46233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10.2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25808-2026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46233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46178</v>
      </c>
      <c r="E813" s="1" t="n">
        <v>46233</v>
      </c>
      <c r="F813" t="inlineStr">
        <is>
          <t>GÄVLEBORGS LÄN</t>
        </is>
      </c>
      <c r="G813" t="inlineStr">
        <is>
          <t>GÄVLE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31528-2026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46220</v>
      </c>
      <c r="E814" s="1" t="n">
        <v>46233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11.4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38558-2023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45162</v>
      </c>
      <c r="E815" s="1" t="n">
        <v>46233</v>
      </c>
      <c r="F815" t="inlineStr">
        <is>
          <t>GÄVLEBORGS LÄN</t>
        </is>
      </c>
      <c r="G815" t="inlineStr">
        <is>
          <t>GÄVLE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26016-2026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46181</v>
      </c>
      <c r="E816" s="1" t="n">
        <v>46233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26281-2026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46182</v>
      </c>
      <c r="E817" s="1" t="n">
        <v>46233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52250-2024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45608</v>
      </c>
      <c r="E818" s="1" t="n">
        <v>46233</v>
      </c>
      <c r="F818" t="inlineStr">
        <is>
          <t>GÄVLEBORGS LÄN</t>
        </is>
      </c>
      <c r="G818" t="inlineStr">
        <is>
          <t>GÄVLE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26599-2026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46183</v>
      </c>
      <c r="E819" s="1" t="n">
        <v>46233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7748-2025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45706</v>
      </c>
      <c r="E820" s="1" t="n">
        <v>46233</v>
      </c>
      <c r="F820" t="inlineStr">
        <is>
          <t>GÄVLEBORGS LÄN</t>
        </is>
      </c>
      <c r="G820" t="inlineStr">
        <is>
          <t>GÄVLE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3712-2023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44951</v>
      </c>
      <c r="E821" s="1" t="n">
        <v>46233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26129-2024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45468</v>
      </c>
      <c r="E822" s="1" t="n">
        <v>46233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9.9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41100-2024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45559</v>
      </c>
      <c r="E823" s="1" t="n">
        <v>46233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26600-2026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46183</v>
      </c>
      <c r="E824" s="1" t="n">
        <v>46233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45278-2022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44840</v>
      </c>
      <c r="E825" s="1" t="n">
        <v>46233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8.5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24720-2023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45084</v>
      </c>
      <c r="E826" s="1" t="n">
        <v>46233</v>
      </c>
      <c r="F826" t="inlineStr">
        <is>
          <t>GÄVLEBORGS LÄN</t>
        </is>
      </c>
      <c r="G826" t="inlineStr">
        <is>
          <t>GÄVLE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27046-2026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46233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27057-2026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46233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27048-2026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46233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27052-2026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46233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27053-2026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46185</v>
      </c>
      <c r="E831" s="1" t="n">
        <v>46233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27060-2026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46185</v>
      </c>
      <c r="E832" s="1" t="n">
        <v>46233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71215-2021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44539</v>
      </c>
      <c r="E833" s="1" t="n">
        <v>46233</v>
      </c>
      <c r="F833" t="inlineStr">
        <is>
          <t>GÄVLEBORGS LÄN</t>
        </is>
      </c>
      <c r="G833" t="inlineStr">
        <is>
          <t>GÄVLE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27042-2026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46185</v>
      </c>
      <c r="E834" s="1" t="n">
        <v>46233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27056-2026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46233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27040-2026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46185</v>
      </c>
      <c r="E836" s="1" t="n">
        <v>46233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5.5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27041-2026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46185</v>
      </c>
      <c r="E837" s="1" t="n">
        <v>46233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27051-2026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46233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27055-2026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46233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26658-2026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46233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27066-2026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46233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27069-2026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46185</v>
      </c>
      <c r="E842" s="1" t="n">
        <v>46233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26885-2026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46233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56138-2023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45240</v>
      </c>
      <c r="E844" s="1" t="n">
        <v>46233</v>
      </c>
      <c r="F844" t="inlineStr">
        <is>
          <t>GÄVLEBORGS LÄN</t>
        </is>
      </c>
      <c r="G844" t="inlineStr">
        <is>
          <t>GÄVLE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25768-2022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44733</v>
      </c>
      <c r="E845" s="1" t="n">
        <v>46233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26942-2026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46233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26991-2026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46185</v>
      </c>
      <c r="E847" s="1" t="n">
        <v>46233</v>
      </c>
      <c r="F847" t="inlineStr">
        <is>
          <t>GÄVLEBORGS LÄN</t>
        </is>
      </c>
      <c r="G847" t="inlineStr">
        <is>
          <t>GÄVLE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27068-2026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46185</v>
      </c>
      <c r="E848" s="1" t="n">
        <v>46233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27059-2026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46185</v>
      </c>
      <c r="E849" s="1" t="n">
        <v>46233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27061-2026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46185</v>
      </c>
      <c r="E850" s="1" t="n">
        <v>46233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50582-2023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45217</v>
      </c>
      <c r="E851" s="1" t="n">
        <v>46233</v>
      </c>
      <c r="F851" t="inlineStr">
        <is>
          <t>GÄVLEBORGS LÄN</t>
        </is>
      </c>
      <c r="G851" t="inlineStr">
        <is>
          <t>GÄVLE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27065-2026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46185</v>
      </c>
      <c r="E852" s="1" t="n">
        <v>46233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27067-2026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46185</v>
      </c>
      <c r="E853" s="1" t="n">
        <v>46233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48834-2024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45593</v>
      </c>
      <c r="E854" s="1" t="n">
        <v>46233</v>
      </c>
      <c r="F854" t="inlineStr">
        <is>
          <t>GÄVLEBORGS LÄN</t>
        </is>
      </c>
      <c r="G854" t="inlineStr">
        <is>
          <t>GÄVLE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58192-2024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45632</v>
      </c>
      <c r="E855" s="1" t="n">
        <v>46233</v>
      </c>
      <c r="F855" t="inlineStr">
        <is>
          <t>GÄVLEBORGS LÄN</t>
        </is>
      </c>
      <c r="G855" t="inlineStr">
        <is>
          <t>GÄVLE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42876-2023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45182</v>
      </c>
      <c r="E856" s="1" t="n">
        <v>46233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22.7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27359-2026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46233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27360-2026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46188</v>
      </c>
      <c r="E858" s="1" t="n">
        <v>46233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61786-2024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45649</v>
      </c>
      <c r="E859" s="1" t="n">
        <v>46233</v>
      </c>
      <c r="F859" t="inlineStr">
        <is>
          <t>GÄVLEBORGS LÄN</t>
        </is>
      </c>
      <c r="G859" t="inlineStr">
        <is>
          <t>GÄVLE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61300-2024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45645</v>
      </c>
      <c r="E860" s="1" t="n">
        <v>46233</v>
      </c>
      <c r="F860" t="inlineStr">
        <is>
          <t>GÄVLEBORGS LÄN</t>
        </is>
      </c>
      <c r="G860" t="inlineStr">
        <is>
          <t>GÄVLE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27361-2026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46188</v>
      </c>
      <c r="E861" s="1" t="n">
        <v>46233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39509-2022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44818</v>
      </c>
      <c r="E862" s="1" t="n">
        <v>46233</v>
      </c>
      <c r="F862" t="inlineStr">
        <is>
          <t>GÄVLEBORGS LÄN</t>
        </is>
      </c>
      <c r="G862" t="inlineStr">
        <is>
          <t>GÄVLE</t>
        </is>
      </c>
      <c r="I862" t="n">
        <v>4.2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40091-2023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45168</v>
      </c>
      <c r="E863" s="1" t="n">
        <v>46233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6370-2025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45699</v>
      </c>
      <c r="E864" s="1" t="n">
        <v>46233</v>
      </c>
      <c r="F864" t="inlineStr">
        <is>
          <t>GÄVLEBORGS LÄN</t>
        </is>
      </c>
      <c r="G864" t="inlineStr">
        <is>
          <t>GÄVLE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15935-2025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45749</v>
      </c>
      <c r="E865" s="1" t="n">
        <v>46233</v>
      </c>
      <c r="F865" t="inlineStr">
        <is>
          <t>GÄVLEBORGS LÄN</t>
        </is>
      </c>
      <c r="G865" t="inlineStr">
        <is>
          <t>GÄVLE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29929-2022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44756</v>
      </c>
      <c r="E866" s="1" t="n">
        <v>46233</v>
      </c>
      <c r="F866" t="inlineStr">
        <is>
          <t>GÄVLEBORGS LÄN</t>
        </is>
      </c>
      <c r="G866" t="inlineStr">
        <is>
          <t>GÄVLE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10352-2025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45720</v>
      </c>
      <c r="E867" s="1" t="n">
        <v>46233</v>
      </c>
      <c r="F867" t="inlineStr">
        <is>
          <t>GÄVLEBORGS LÄN</t>
        </is>
      </c>
      <c r="G867" t="inlineStr">
        <is>
          <t>GÄVLE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58445-2021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44488</v>
      </c>
      <c r="E868" s="1" t="n">
        <v>46233</v>
      </c>
      <c r="F868" t="inlineStr">
        <is>
          <t>GÄVLEBORGS LÄN</t>
        </is>
      </c>
      <c r="G868" t="inlineStr">
        <is>
          <t>GÄVLE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35206-2024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45530</v>
      </c>
      <c r="E869" s="1" t="n">
        <v>46233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61918-2023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45266</v>
      </c>
      <c r="E870" s="1" t="n">
        <v>46233</v>
      </c>
      <c r="F870" t="inlineStr">
        <is>
          <t>GÄVLEBORGS LÄN</t>
        </is>
      </c>
      <c r="G870" t="inlineStr">
        <is>
          <t>GÄVLE</t>
        </is>
      </c>
      <c r="I870" t="n">
        <v>5.3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2458-2024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45312</v>
      </c>
      <c r="E871" s="1" t="n">
        <v>46233</v>
      </c>
      <c r="F871" t="inlineStr">
        <is>
          <t>GÄVLEBORGS LÄN</t>
        </is>
      </c>
      <c r="G871" t="inlineStr">
        <is>
          <t>GÄVLE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21300-2024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45440</v>
      </c>
      <c r="E872" s="1" t="n">
        <v>46233</v>
      </c>
      <c r="F872" t="inlineStr">
        <is>
          <t>GÄVLEBORGS LÄN</t>
        </is>
      </c>
      <c r="G872" t="inlineStr">
        <is>
          <t>GÄVLE</t>
        </is>
      </c>
      <c r="I872" t="n">
        <v>8.6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61843-2023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45266</v>
      </c>
      <c r="E873" s="1" t="n">
        <v>46233</v>
      </c>
      <c r="F873" t="inlineStr">
        <is>
          <t>GÄVLEBORGS LÄN</t>
        </is>
      </c>
      <c r="G873" t="inlineStr">
        <is>
          <t>GÄVLE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45660</v>
      </c>
      <c r="E874" s="1" t="n">
        <v>46233</v>
      </c>
      <c r="F874" t="inlineStr">
        <is>
          <t>GÄVLEBORGS LÄN</t>
        </is>
      </c>
      <c r="G874" t="inlineStr">
        <is>
          <t>GÄVLE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49401-2024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45595</v>
      </c>
      <c r="E875" s="1" t="n">
        <v>46233</v>
      </c>
      <c r="F875" t="inlineStr">
        <is>
          <t>GÄVLEBORGS LÄN</t>
        </is>
      </c>
      <c r="G875" t="inlineStr">
        <is>
          <t>GÄVLE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45938-2024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45580</v>
      </c>
      <c r="E876" s="1" t="n">
        <v>46233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20621-2025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45776</v>
      </c>
      <c r="E877" s="1" t="n">
        <v>46233</v>
      </c>
      <c r="F877" t="inlineStr">
        <is>
          <t>GÄVLEBORGS LÄN</t>
        </is>
      </c>
      <c r="G877" t="inlineStr">
        <is>
          <t>GÄVLE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21431-2025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45782</v>
      </c>
      <c r="E878" s="1" t="n">
        <v>46233</v>
      </c>
      <c r="F878" t="inlineStr">
        <is>
          <t>GÄVLEBORGS LÄN</t>
        </is>
      </c>
      <c r="G878" t="inlineStr">
        <is>
          <t>GÄVLE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59044-2023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45252</v>
      </c>
      <c r="E879" s="1" t="n">
        <v>46233</v>
      </c>
      <c r="F879" t="inlineStr">
        <is>
          <t>GÄVLEBORGS LÄN</t>
        </is>
      </c>
      <c r="G879" t="inlineStr">
        <is>
          <t>GÄVLE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7451-2025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45705</v>
      </c>
      <c r="E880" s="1" t="n">
        <v>46233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7202-2025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45702</v>
      </c>
      <c r="E881" s="1" t="n">
        <v>46233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3862-2024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45322</v>
      </c>
      <c r="E882" s="1" t="n">
        <v>46233</v>
      </c>
      <c r="F882" t="inlineStr">
        <is>
          <t>GÄVLEBORGS LÄN</t>
        </is>
      </c>
      <c r="G882" t="inlineStr">
        <is>
          <t>GÄVLE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22923-2025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45790</v>
      </c>
      <c r="E883" s="1" t="n">
        <v>46233</v>
      </c>
      <c r="F883" t="inlineStr">
        <is>
          <t>GÄVLEBORGS LÄN</t>
        </is>
      </c>
      <c r="G883" t="inlineStr">
        <is>
          <t>GÄVLE</t>
        </is>
      </c>
      <c r="I883" t="n">
        <v>20.8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22879-2025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45790</v>
      </c>
      <c r="E884" s="1" t="n">
        <v>46233</v>
      </c>
      <c r="F884" t="inlineStr">
        <is>
          <t>GÄVLEBORGS LÄN</t>
        </is>
      </c>
      <c r="G884" t="inlineStr">
        <is>
          <t>GÄVLE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45660</v>
      </c>
      <c r="E885" s="1" t="n">
        <v>46233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23324-2025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45791</v>
      </c>
      <c r="E886" s="1" t="n">
        <v>46233</v>
      </c>
      <c r="F886" t="inlineStr">
        <is>
          <t>GÄVLEBORGS LÄN</t>
        </is>
      </c>
      <c r="G886" t="inlineStr">
        <is>
          <t>GÄVLE</t>
        </is>
      </c>
      <c r="I886" t="n">
        <v>6.2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23291-2025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45791</v>
      </c>
      <c r="E887" s="1" t="n">
        <v>46233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23232-2025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45791</v>
      </c>
      <c r="E888" s="1" t="n">
        <v>46233</v>
      </c>
      <c r="F888" t="inlineStr">
        <is>
          <t>GÄVLEBORGS LÄN</t>
        </is>
      </c>
      <c r="G888" t="inlineStr">
        <is>
          <t>GÄVLE</t>
        </is>
      </c>
      <c r="I888" t="n">
        <v>10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48913-2024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45594</v>
      </c>
      <c r="E889" s="1" t="n">
        <v>46233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55878-2024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45623</v>
      </c>
      <c r="E890" s="1" t="n">
        <v>46233</v>
      </c>
      <c r="F890" t="inlineStr">
        <is>
          <t>GÄVLEBORGS LÄN</t>
        </is>
      </c>
      <c r="G890" t="inlineStr">
        <is>
          <t>GÄVLE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58373-2024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45632</v>
      </c>
      <c r="E891" s="1" t="n">
        <v>46233</v>
      </c>
      <c r="F891" t="inlineStr">
        <is>
          <t>GÄVLEBORGS LÄN</t>
        </is>
      </c>
      <c r="G891" t="inlineStr">
        <is>
          <t>GÄVLE</t>
        </is>
      </c>
      <c r="I891" t="n">
        <v>13.1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24225-2025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45797</v>
      </c>
      <c r="E892" s="1" t="n">
        <v>46233</v>
      </c>
      <c r="F892" t="inlineStr">
        <is>
          <t>GÄVLEBORGS LÄN</t>
        </is>
      </c>
      <c r="G892" t="inlineStr">
        <is>
          <t>GÄVLE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24614-2025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45798</v>
      </c>
      <c r="E893" s="1" t="n">
        <v>46233</v>
      </c>
      <c r="F893" t="inlineStr">
        <is>
          <t>GÄVLEBORGS LÄN</t>
        </is>
      </c>
      <c r="G893" t="inlineStr">
        <is>
          <t>GÄVLE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24228-2025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45797</v>
      </c>
      <c r="E894" s="1" t="n">
        <v>46233</v>
      </c>
      <c r="F894" t="inlineStr">
        <is>
          <t>GÄVLEBORGS LÄN</t>
        </is>
      </c>
      <c r="G894" t="inlineStr">
        <is>
          <t>GÄVLE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31367-2024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45505</v>
      </c>
      <c r="E895" s="1" t="n">
        <v>46233</v>
      </c>
      <c r="F895" t="inlineStr">
        <is>
          <t>GÄVLEBORGS LÄN</t>
        </is>
      </c>
      <c r="G895" t="inlineStr">
        <is>
          <t>GÄVLE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26564-2022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44739</v>
      </c>
      <c r="E896" s="1" t="n">
        <v>46233</v>
      </c>
      <c r="F896" t="inlineStr">
        <is>
          <t>GÄVLEBORGS LÄN</t>
        </is>
      </c>
      <c r="G896" t="inlineStr">
        <is>
          <t>GÄVLE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25878-2025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45804</v>
      </c>
      <c r="E897" s="1" t="n">
        <v>46233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3425-2023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45205</v>
      </c>
      <c r="E898" s="1" t="n">
        <v>46233</v>
      </c>
      <c r="F898" t="inlineStr">
        <is>
          <t>GÄVLEBORGS LÄN</t>
        </is>
      </c>
      <c r="G898" t="inlineStr">
        <is>
          <t>GÄVLE</t>
        </is>
      </c>
      <c r="I898" t="n">
        <v>0.2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  <c r="Z898">
        <f>HYPERLINK("https://klasma.github.io/Logging_2180/knärot/S 3425-2023 karta knärot.png", "S 3425-2023")</f>
        <v/>
      </c>
      <c r="AA898">
        <f>HYPERLINK("https://klasma.github.io/Logging_2180/klagomål/S 3425-2023 FSC-klagomål.docx", "S 3425-2023")</f>
        <v/>
      </c>
      <c r="AB898">
        <f>HYPERLINK("https://klasma.github.io/Logging_2180/klagomålsmail/S 3425-2023 FSC-klagomål mail.docx", "S 3425-2023")</f>
        <v/>
      </c>
      <c r="AC898">
        <f>HYPERLINK("https://klasma.github.io/Logging_2180/tillsyn/S 3425-2023 tillsynsbegäran.docx", "S 3425-2023")</f>
        <v/>
      </c>
      <c r="AD898">
        <f>HYPERLINK("https://klasma.github.io/Logging_2180/tillsynsmail/S 3425-2023 tillsynsbegäran mail.docx", "S 3425-2023")</f>
        <v/>
      </c>
    </row>
    <row r="899" ht="15" customHeight="1">
      <c r="A899" t="inlineStr">
        <is>
          <t>S 889-2023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44995</v>
      </c>
      <c r="E899" s="1" t="n">
        <v>46233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13.3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886-2024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45376</v>
      </c>
      <c r="E900" s="1" t="n">
        <v>46233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2464-2024</t>
        </is>
      </c>
      <c r="B901" t="inlineStr">
        <is>
          <t>samrådsanmälan</t>
        </is>
      </c>
      <c r="C901" t="inlineStr">
        <is>
          <t>Skogsbilväg</t>
        </is>
      </c>
      <c r="D901" s="1" t="n">
        <v>45470</v>
      </c>
      <c r="E901" s="1" t="n">
        <v>46233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väst AB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>
      <c r="A902" t="inlineStr">
        <is>
          <t>S 644-2026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46089</v>
      </c>
      <c r="E902" s="1" t="n">
        <v>46233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29.2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2026-07-30T01:53:06Z</dcterms:created>
  <dcterms:modified xmlns:dcterms="http://purl.org/dc/terms/" xmlns:xsi="http://www.w3.org/2001/XMLSchema-instance" xsi:type="dcterms:W3CDTF">2026-07-30T01:53:07Z</dcterms:modified>
</cp:coreProperties>
</file>