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46224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46224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46224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46224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46224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46224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46224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46224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46224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46224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46224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46224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46224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46224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46224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46224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46224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46224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46224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46224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46224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46224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t="n">
        <v>22</v>
      </c>
      <c r="V33" s="2" t="inlineStr">
        <is>
          <t>Knärot
Lunglav
Tallticka
Tretåig hackspett</t>
        </is>
      </c>
      <c r="W33">
        <f>HYPERLINK("https://klasma.github.io/Logging_2180/artfynd/A 9570-2025 artfynd.xlsx", "A 9570-2025")</f>
        <v/>
      </c>
      <c r="X33">
        <f>HYPERLINK("https://klasma.github.io/Logging_2180/kartor/A 9570-2025 karta.png", "A 9570-2025")</f>
        <v/>
      </c>
      <c r="Y33">
        <f>HYPERLINK("https://klasma.github.io/Logging_2180/kartor_geotiff/A 9570-2025 georefererad karta.tif", "A 9570-2025")</f>
        <v/>
      </c>
      <c r="Z33">
        <f>HYPERLINK("https://klasma.github.io/Logging_2180/knärot/A 9570-2025 karta knärot.png", "A 9570-2025")</f>
        <v/>
      </c>
      <c r="AA33">
        <f>HYPERLINK("https://klasma.github.io/Logging_2180/klagomål/A 9570-2025 FSC-klagomål.docx", "A 9570-2025")</f>
        <v/>
      </c>
      <c r="AB33">
        <f>HYPERLINK("https://klasma.github.io/Logging_2180/klagomålsmail/A 9570-2025 FSC-klagomål mail.docx", "A 9570-2025")</f>
        <v/>
      </c>
      <c r="AC33">
        <f>HYPERLINK("https://klasma.github.io/Logging_2180/tillsyn/A 9570-2025 tillsynsbegäran.docx", "A 9570-2025")</f>
        <v/>
      </c>
      <c r="AD33">
        <f>HYPERLINK("https://klasma.github.io/Logging_2180/tillsynsmail/A 9570-2025 tillsynsbegäran mail.docx", "A 9570-2025")</f>
        <v/>
      </c>
      <c r="AE33">
        <f>HYPERLINK("https://klasma.github.io/Logging_2180/fåglar/A 9570-2025 prioriterade fågelarter.docx", "A 9570-2025")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46224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46224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46224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24904-2026 artfynd.xlsx", "A 24904-2026")</f>
        <v/>
      </c>
      <c r="X36">
        <f>HYPERLINK("https://klasma.github.io/Logging_2180/kartor/A 24904-2026 karta.png", "A 24904-2026")</f>
        <v/>
      </c>
      <c r="Y36">
        <f>HYPERLINK("https://klasma.github.io/Logging_2180/kartor_geotiff/A 24904-2026 georefererad karta.tif", "A 24904-2026")</f>
        <v/>
      </c>
      <c r="AA36">
        <f>HYPERLINK("https://klasma.github.io/Logging_2180/klagomål/A 24904-2026 FSC-klagomål.docx", "A 24904-2026")</f>
        <v/>
      </c>
      <c r="AB36">
        <f>HYPERLINK("https://klasma.github.io/Logging_2180/klagomålsmail/A 24904-2026 FSC-klagomål mail.docx", "A 24904-2026")</f>
        <v/>
      </c>
      <c r="AC36">
        <f>HYPERLINK("https://klasma.github.io/Logging_2180/tillsyn/A 24904-2026 tillsynsbegäran.docx", "A 24904-2026")</f>
        <v/>
      </c>
      <c r="AD36">
        <f>HYPERLINK("https://klasma.github.io/Logging_2180/tillsynsmail/A 24904-2026 tillsynsbegäran mail.docx", "A 24904-2026")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46224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46224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46224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46224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46224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46224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46224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46224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46224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46224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46224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23447-2025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46224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Kopparödla
Fläcknycklar</t>
        </is>
      </c>
      <c r="W50">
        <f>HYPERLINK("https://klasma.github.io/Logging_2180/artfynd/A 23447-2025 artfynd.xlsx", "A 23447-2025")</f>
        <v/>
      </c>
      <c r="X50">
        <f>HYPERLINK("https://klasma.github.io/Logging_2180/kartor/A 23447-2025 karta.png", "A 23447-2025")</f>
        <v/>
      </c>
      <c r="Y50">
        <f>HYPERLINK("https://klasma.github.io/Logging_2180/kartor_geotiff/A 23447-2025 georefererad karta.tif", "A 23447-2025")</f>
        <v/>
      </c>
      <c r="AA50">
        <f>HYPERLINK("https://klasma.github.io/Logging_2180/klagomål/A 23447-2025 FSC-klagomål.docx", "A 23447-2025")</f>
        <v/>
      </c>
      <c r="AB50">
        <f>HYPERLINK("https://klasma.github.io/Logging_2180/klagomålsmail/A 23447-2025 FSC-klagomål mail.docx", "A 23447-2025")</f>
        <v/>
      </c>
      <c r="AC50">
        <f>HYPERLINK("https://klasma.github.io/Logging_2180/tillsyn/A 23447-2025 tillsynsbegäran.docx", "A 23447-2025")</f>
        <v/>
      </c>
      <c r="AD50">
        <f>HYPERLINK("https://klasma.github.io/Logging_2180/tillsynsmail/A 23447-2025 tillsynsbegäran mail.docx", "A 23447-2025")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46224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46224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46224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32328-2024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46224</v>
      </c>
      <c r="F54" t="inlineStr">
        <is>
          <t>GÄVLEBORGS LÄN</t>
        </is>
      </c>
      <c r="G54" t="inlineStr">
        <is>
          <t>GÄVLE</t>
        </is>
      </c>
      <c r="I54" t="n">
        <v>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Spillkråka
Orre</t>
        </is>
      </c>
      <c r="W54">
        <f>HYPERLINK("https://klasma.github.io/Logging_2180/artfynd/A 32328-2024 artfynd.xlsx", "A 32328-2024")</f>
        <v/>
      </c>
      <c r="X54">
        <f>HYPERLINK("https://klasma.github.io/Logging_2180/kartor/A 32328-2024 karta.png", "A 32328-2024")</f>
        <v/>
      </c>
      <c r="Y54">
        <f>HYPERLINK("https://klasma.github.io/Logging_2180/kartor_geotiff/A 32328-2024 georefererad karta.tif", "A 32328-2024")</f>
        <v/>
      </c>
      <c r="AA54">
        <f>HYPERLINK("https://klasma.github.io/Logging_2180/klagomål/A 32328-2024 FSC-klagomål.docx", "A 32328-2024")</f>
        <v/>
      </c>
      <c r="AB54">
        <f>HYPERLINK("https://klasma.github.io/Logging_2180/klagomålsmail/A 32328-2024 FSC-klagomål mail.docx", "A 32328-2024")</f>
        <v/>
      </c>
      <c r="AC54">
        <f>HYPERLINK("https://klasma.github.io/Logging_2180/tillsyn/A 32328-2024 tillsynsbegäran.docx", "A 32328-2024")</f>
        <v/>
      </c>
      <c r="AD54">
        <f>HYPERLINK("https://klasma.github.io/Logging_2180/tillsynsmail/A 32328-2024 tillsynsbegäran mail.docx", "A 32328-2024")</f>
        <v/>
      </c>
      <c r="AE54">
        <f>HYPERLINK("https://klasma.github.io/Logging_2180/fåglar/A 32328-2024 prioriterade fågelarter.docx", "A 32328-2024")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46224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Spillkråka</t>
        </is>
      </c>
      <c r="W55">
        <f>HYPERLINK("https://klasma.github.io/Logging_2180/artfynd/A 60202-2025 artfynd.xlsx", "A 60202-2025")</f>
        <v/>
      </c>
      <c r="X55">
        <f>HYPERLINK("https://klasma.github.io/Logging_2180/kartor/A 60202-2025 karta.png", "A 60202-2025")</f>
        <v/>
      </c>
      <c r="Y55">
        <f>HYPERLINK("https://klasma.github.io/Logging_2180/kartor_geotiff/A 60202-2025 georefererad karta.tif", "A 60202-2025")</f>
        <v/>
      </c>
      <c r="AA55">
        <f>HYPERLINK("https://klasma.github.io/Logging_2180/klagomål/A 60202-2025 FSC-klagomål.docx", "A 60202-2025")</f>
        <v/>
      </c>
      <c r="AB55">
        <f>HYPERLINK("https://klasma.github.io/Logging_2180/klagomålsmail/A 60202-2025 FSC-klagomål mail.docx", "A 60202-2025")</f>
        <v/>
      </c>
      <c r="AC55">
        <f>HYPERLINK("https://klasma.github.io/Logging_2180/tillsyn/A 60202-2025 tillsynsbegäran.docx", "A 60202-2025")</f>
        <v/>
      </c>
      <c r="AD55">
        <f>HYPERLINK("https://klasma.github.io/Logging_2180/tillsynsmail/A 60202-2025 tillsynsbegäran mail.docx", "A 60202-2025")</f>
        <v/>
      </c>
      <c r="AE55">
        <f>HYPERLINK("https://klasma.github.io/Logging_2180/fåglar/A 60202-2025 prioriterade fågelarter.docx", "A 60202-2025")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46224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Dropptaggsvamp
Blåsippa</t>
        </is>
      </c>
      <c r="W56">
        <f>HYPERLINK("https://klasma.github.io/Logging_2180/artfynd/A 56538-2022 artfynd.xlsx", "A 56538-2022")</f>
        <v/>
      </c>
      <c r="X56">
        <f>HYPERLINK("https://klasma.github.io/Logging_2180/kartor/A 56538-2022 karta.png", "A 56538-2022")</f>
        <v/>
      </c>
      <c r="Y56">
        <f>HYPERLINK("https://klasma.github.io/Logging_2180/kartor_geotiff/A 56538-2022 georefererad karta.tif", "A 56538-2022")</f>
        <v/>
      </c>
      <c r="AA56">
        <f>HYPERLINK("https://klasma.github.io/Logging_2180/klagomål/A 56538-2022 FSC-klagomål.docx", "A 56538-2022")</f>
        <v/>
      </c>
      <c r="AB56">
        <f>HYPERLINK("https://klasma.github.io/Logging_2180/klagomålsmail/A 56538-2022 FSC-klagomål mail.docx", "A 56538-2022")</f>
        <v/>
      </c>
      <c r="AC56">
        <f>HYPERLINK("https://klasma.github.io/Logging_2180/tillsyn/A 56538-2022 tillsynsbegäran.docx", "A 56538-2022")</f>
        <v/>
      </c>
      <c r="AD56">
        <f>HYPERLINK("https://klasma.github.io/Logging_2180/tillsynsmail/A 56538-2022 tillsynsbegäran mail.docx", "A 56538-2022")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46224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46224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14554-2026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46224</v>
      </c>
      <c r="F59" t="inlineStr">
        <is>
          <t>GÄVLEBORGS LÄN</t>
        </is>
      </c>
      <c r="G59" t="inlineStr">
        <is>
          <t>GÄVLE</t>
        </is>
      </c>
      <c r="H59" t="inlineStr">
        <is>
          <t>Övriga statliga verk och myndigheter</t>
        </is>
      </c>
      <c r="I59" t="n">
        <v>6.6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121</v>
      </c>
      <c r="U59" t="n">
        <v>0</v>
      </c>
      <c r="V59" s="2" t="inlineStr">
        <is>
          <t>Väddnätfjäril
Sotnätfjäril</t>
        </is>
      </c>
      <c r="W59">
        <f>HYPERLINK("https://klasma.github.io/Logging_2180/artfynd/A 14554-2026 artfynd.xlsx", "A 14554-2026")</f>
        <v/>
      </c>
      <c r="X59">
        <f>HYPERLINK("https://klasma.github.io/Logging_2180/kartor/A 14554-2026 karta.png", "A 14554-2026")</f>
        <v/>
      </c>
      <c r="Y59">
        <f>HYPERLINK("https://klasma.github.io/Logging_2180/kartor_geotiff/A 14554-2026 georefererad karta.tif", "A 14554-2026")</f>
        <v/>
      </c>
      <c r="AA59">
        <f>HYPERLINK("https://klasma.github.io/Logging_2180/klagomål/A 14554-2026 FSC-klagomål.docx", "A 14554-2026")</f>
        <v/>
      </c>
      <c r="AB59">
        <f>HYPERLINK("https://klasma.github.io/Logging_2180/klagomålsmail/A 14554-2026 FSC-klagomål mail.docx", "A 14554-2026")</f>
        <v/>
      </c>
      <c r="AC59">
        <f>HYPERLINK("https://klasma.github.io/Logging_2180/tillsyn/A 14554-2026 tillsynsbegäran.docx", "A 14554-2026")</f>
        <v/>
      </c>
      <c r="AD59">
        <f>HYPERLINK("https://klasma.github.io/Logging_2180/tillsynsmail/A 14554-2026 tillsynsbegäran mail.docx", "A 14554-2026")</f>
        <v/>
      </c>
    </row>
    <row r="60" ht="15" customHeight="1">
      <c r="A60" t="inlineStr">
        <is>
          <t>A 13487-2026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46224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0.6</v>
      </c>
      <c r="J60" t="n">
        <v>2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Pärluggla
Sparvuggla</t>
        </is>
      </c>
      <c r="W60">
        <f>HYPERLINK("https://klasma.github.io/Logging_2180/artfynd/A 13487-2026 artfynd.xlsx", "A 13487-2026")</f>
        <v/>
      </c>
      <c r="X60">
        <f>HYPERLINK("https://klasma.github.io/Logging_2180/kartor/A 13487-2026 karta.png", "A 13487-2026")</f>
        <v/>
      </c>
      <c r="Y60">
        <f>HYPERLINK("https://klasma.github.io/Logging_2180/kartor_geotiff/A 13487-2026 georefererad karta.tif", "A 13487-2026")</f>
        <v/>
      </c>
      <c r="AA60">
        <f>HYPERLINK("https://klasma.github.io/Logging_2180/klagomål/A 13487-2026 FSC-klagomål.docx", "A 13487-2026")</f>
        <v/>
      </c>
      <c r="AB60">
        <f>HYPERLINK("https://klasma.github.io/Logging_2180/klagomålsmail/A 13487-2026 FSC-klagomål mail.docx", "A 13487-2026")</f>
        <v/>
      </c>
      <c r="AC60">
        <f>HYPERLINK("https://klasma.github.io/Logging_2180/tillsyn/A 13487-2026 tillsynsbegäran.docx", "A 13487-2026")</f>
        <v/>
      </c>
      <c r="AD60">
        <f>HYPERLINK("https://klasma.github.io/Logging_2180/tillsynsmail/A 13487-2026 tillsynsbegäran mail.docx", "A 13487-2026")</f>
        <v/>
      </c>
      <c r="AE60">
        <f>HYPERLINK("https://klasma.github.io/Logging_2180/fåglar/A 13487-2026 prioriterade fågelarter.docx", "A 13487-2026")</f>
        <v/>
      </c>
    </row>
    <row r="61" ht="15" customHeight="1">
      <c r="A61" t="inlineStr">
        <is>
          <t>A 6473-2024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46224</v>
      </c>
      <c r="F61" t="inlineStr">
        <is>
          <t>GÄVLEBORGS LÄN</t>
        </is>
      </c>
      <c r="G61" t="inlineStr">
        <is>
          <t>GÄVLE</t>
        </is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Tibast
Nattviol</t>
        </is>
      </c>
      <c r="W61">
        <f>HYPERLINK("https://klasma.github.io/Logging_2180/artfynd/A 6473-2024 artfynd.xlsx", "A 6473-2024")</f>
        <v/>
      </c>
      <c r="X61">
        <f>HYPERLINK("https://klasma.github.io/Logging_2180/kartor/A 6473-2024 karta.png", "A 6473-2024")</f>
        <v/>
      </c>
      <c r="Y61">
        <f>HYPERLINK("https://klasma.github.io/Logging_2180/kartor_geotiff/A 6473-2024 georefererad karta.tif", "A 6473-2024")</f>
        <v/>
      </c>
      <c r="AA61">
        <f>HYPERLINK("https://klasma.github.io/Logging_2180/klagomål/A 6473-2024 FSC-klagomål.docx", "A 6473-2024")</f>
        <v/>
      </c>
      <c r="AB61">
        <f>HYPERLINK("https://klasma.github.io/Logging_2180/klagomålsmail/A 6473-2024 FSC-klagomål mail.docx", "A 6473-2024")</f>
        <v/>
      </c>
      <c r="AC61">
        <f>HYPERLINK("https://klasma.github.io/Logging_2180/tillsyn/A 6473-2024 tillsynsbegäran.docx", "A 6473-2024")</f>
        <v/>
      </c>
      <c r="AD61">
        <f>HYPERLINK("https://klasma.github.io/Logging_2180/tillsynsmail/A 6473-2024 tillsynsbegäran mail.docx", "A 6473-2024")</f>
        <v/>
      </c>
    </row>
    <row r="62" ht="15" customHeight="1">
      <c r="A62" t="inlineStr">
        <is>
          <t>A 13248-2026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46224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Kattfotslav
Fläcknycklar</t>
        </is>
      </c>
      <c r="W62">
        <f>HYPERLINK("https://klasma.github.io/Logging_2180/artfynd/A 13248-2026 artfynd.xlsx", "A 13248-2026")</f>
        <v/>
      </c>
      <c r="X62">
        <f>HYPERLINK("https://klasma.github.io/Logging_2180/kartor/A 13248-2026 karta.png", "A 13248-2026")</f>
        <v/>
      </c>
      <c r="Y62">
        <f>HYPERLINK("https://klasma.github.io/Logging_2180/kartor_geotiff/A 13248-2026 georefererad karta.tif", "A 13248-2026")</f>
        <v/>
      </c>
      <c r="AA62">
        <f>HYPERLINK("https://klasma.github.io/Logging_2180/klagomål/A 13248-2026 FSC-klagomål.docx", "A 13248-2026")</f>
        <v/>
      </c>
      <c r="AB62">
        <f>HYPERLINK("https://klasma.github.io/Logging_2180/klagomålsmail/A 13248-2026 FSC-klagomål mail.docx", "A 13248-2026")</f>
        <v/>
      </c>
      <c r="AC62">
        <f>HYPERLINK("https://klasma.github.io/Logging_2180/tillsyn/A 13248-2026 tillsynsbegäran.docx", "A 13248-2026")</f>
        <v/>
      </c>
      <c r="AD62">
        <f>HYPERLINK("https://klasma.github.io/Logging_2180/tillsynsmail/A 13248-2026 tillsynsbegäran mail.docx", "A 13248-2026")</f>
        <v/>
      </c>
    </row>
    <row r="63" ht="15" customHeight="1">
      <c r="A63" t="inlineStr">
        <is>
          <t>A 19718-2026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46224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10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Rödvingetrast
Nattskärra</t>
        </is>
      </c>
      <c r="W63">
        <f>HYPERLINK("https://klasma.github.io/Logging_2180/artfynd/A 19718-2026 artfynd.xlsx", "A 19718-2026")</f>
        <v/>
      </c>
      <c r="X63">
        <f>HYPERLINK("https://klasma.github.io/Logging_2180/kartor/A 19718-2026 karta.png", "A 19718-2026")</f>
        <v/>
      </c>
      <c r="Y63">
        <f>HYPERLINK("https://klasma.github.io/Logging_2180/kartor_geotiff/A 19718-2026 georefererad karta.tif", "A 19718-2026")</f>
        <v/>
      </c>
      <c r="AA63">
        <f>HYPERLINK("https://klasma.github.io/Logging_2180/klagomål/A 19718-2026 FSC-klagomål.docx", "A 19718-2026")</f>
        <v/>
      </c>
      <c r="AB63">
        <f>HYPERLINK("https://klasma.github.io/Logging_2180/klagomålsmail/A 19718-2026 FSC-klagomål mail.docx", "A 19718-2026")</f>
        <v/>
      </c>
      <c r="AC63">
        <f>HYPERLINK("https://klasma.github.io/Logging_2180/tillsyn/A 19718-2026 tillsynsbegäran.docx", "A 19718-2026")</f>
        <v/>
      </c>
      <c r="AD63">
        <f>HYPERLINK("https://klasma.github.io/Logging_2180/tillsynsmail/A 19718-2026 tillsynsbegäran mail.docx", "A 19718-2026")</f>
        <v/>
      </c>
      <c r="AE63">
        <f>HYPERLINK("https://klasma.github.io/Logging_2180/fåglar/A 19718-2026 prioriterade fågelarter.docx", "A 19718-2026")</f>
        <v/>
      </c>
    </row>
    <row r="64" ht="15" customHeight="1">
      <c r="A64" t="inlineStr">
        <is>
          <t>A 20323-2026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46224</v>
      </c>
      <c r="F64" t="inlineStr">
        <is>
          <t>GÄVLEBORGS LÄN</t>
        </is>
      </c>
      <c r="G64" t="inlineStr">
        <is>
          <t>GÄVLE</t>
        </is>
      </c>
      <c r="I64" t="n">
        <v>1.4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Grön sköldmossa
Tjäder</t>
        </is>
      </c>
      <c r="W64">
        <f>HYPERLINK("https://klasma.github.io/Logging_2180/artfynd/A 20323-2026 artfynd.xlsx", "A 20323-2026")</f>
        <v/>
      </c>
      <c r="X64">
        <f>HYPERLINK("https://klasma.github.io/Logging_2180/kartor/A 20323-2026 karta.png", "A 20323-2026")</f>
        <v/>
      </c>
      <c r="Y64">
        <f>HYPERLINK("https://klasma.github.io/Logging_2180/kartor_geotiff/A 20323-2026 georefererad karta.tif", "A 20323-2026")</f>
        <v/>
      </c>
      <c r="AA64">
        <f>HYPERLINK("https://klasma.github.io/Logging_2180/klagomål/A 20323-2026 FSC-klagomål.docx", "A 20323-2026")</f>
        <v/>
      </c>
      <c r="AB64">
        <f>HYPERLINK("https://klasma.github.io/Logging_2180/klagomålsmail/A 20323-2026 FSC-klagomål mail.docx", "A 20323-2026")</f>
        <v/>
      </c>
      <c r="AC64">
        <f>HYPERLINK("https://klasma.github.io/Logging_2180/tillsyn/A 20323-2026 tillsynsbegäran.docx", "A 20323-2026")</f>
        <v/>
      </c>
      <c r="AD64">
        <f>HYPERLINK("https://klasma.github.io/Logging_2180/tillsynsmail/A 20323-2026 tillsynsbegäran mail.docx", "A 20323-2026")</f>
        <v/>
      </c>
      <c r="AE64">
        <f>HYPERLINK("https://klasma.github.io/Logging_2180/fåglar/A 20323-2026 prioriterade fågelarter.docx", "A 20323-2026")</f>
        <v/>
      </c>
    </row>
    <row r="65" ht="15" customHeight="1">
      <c r="A65" t="inlineStr">
        <is>
          <t>A 27045-2026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46224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3.1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Höstlåsbräken
Månlåsbräken</t>
        </is>
      </c>
      <c r="W65">
        <f>HYPERLINK("https://klasma.github.io/Logging_2180/artfynd/A 27045-2026 artfynd.xlsx", "A 27045-2026")</f>
        <v/>
      </c>
      <c r="X65">
        <f>HYPERLINK("https://klasma.github.io/Logging_2180/kartor/A 27045-2026 karta.png", "A 27045-2026")</f>
        <v/>
      </c>
      <c r="Y65">
        <f>HYPERLINK("https://klasma.github.io/Logging_2180/kartor_geotiff/A 27045-2026 georefererad karta.tif", "A 27045-2026")</f>
        <v/>
      </c>
      <c r="AA65">
        <f>HYPERLINK("https://klasma.github.io/Logging_2180/klagomål/A 27045-2026 FSC-klagomål.docx", "A 27045-2026")</f>
        <v/>
      </c>
      <c r="AB65">
        <f>HYPERLINK("https://klasma.github.io/Logging_2180/klagomålsmail/A 27045-2026 FSC-klagomål mail.docx", "A 27045-2026")</f>
        <v/>
      </c>
      <c r="AC65">
        <f>HYPERLINK("https://klasma.github.io/Logging_2180/tillsyn/A 27045-2026 tillsynsbegäran.docx", "A 27045-2026")</f>
        <v/>
      </c>
      <c r="AD65">
        <f>HYPERLINK("https://klasma.github.io/Logging_2180/tillsynsmail/A 27045-2026 tillsynsbegäran mail.docx", "A 27045-2026")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46224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14701-2026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46101</v>
      </c>
      <c r="E67" s="1" t="n">
        <v>46224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2.8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Tjäder
Fläcknycklar</t>
        </is>
      </c>
      <c r="W67">
        <f>HYPERLINK("https://klasma.github.io/Logging_2180/artfynd/A 14701-2026 artfynd.xlsx", "A 14701-2026")</f>
        <v/>
      </c>
      <c r="X67">
        <f>HYPERLINK("https://klasma.github.io/Logging_2180/kartor/A 14701-2026 karta.png", "A 14701-2026")</f>
        <v/>
      </c>
      <c r="Y67">
        <f>HYPERLINK("https://klasma.github.io/Logging_2180/kartor_geotiff/A 14701-2026 georefererad karta.tif", "A 14701-2026")</f>
        <v/>
      </c>
      <c r="AA67">
        <f>HYPERLINK("https://klasma.github.io/Logging_2180/klagomål/A 14701-2026 FSC-klagomål.docx", "A 14701-2026")</f>
        <v/>
      </c>
      <c r="AB67">
        <f>HYPERLINK("https://klasma.github.io/Logging_2180/klagomålsmail/A 14701-2026 FSC-klagomål mail.docx", "A 14701-2026")</f>
        <v/>
      </c>
      <c r="AC67">
        <f>HYPERLINK("https://klasma.github.io/Logging_2180/tillsyn/A 14701-2026 tillsynsbegäran.docx", "A 14701-2026")</f>
        <v/>
      </c>
      <c r="AD67">
        <f>HYPERLINK("https://klasma.github.io/Logging_2180/tillsynsmail/A 14701-2026 tillsynsbegäran mail.docx", "A 14701-2026")</f>
        <v/>
      </c>
      <c r="AE67">
        <f>HYPERLINK("https://klasma.github.io/Logging_2180/fåglar/A 14701-2026 prioriterade fågelarter.docx", "A 14701-2026")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46224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22149-2026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46153</v>
      </c>
      <c r="E69" s="1" t="n">
        <v>46224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Vedtrappmossa
Rödgul trumpetsvamp</t>
        </is>
      </c>
      <c r="W69">
        <f>HYPERLINK("https://klasma.github.io/Logging_2180/artfynd/A 22149-2026 artfynd.xlsx", "A 22149-2026")</f>
        <v/>
      </c>
      <c r="X69">
        <f>HYPERLINK("https://klasma.github.io/Logging_2180/kartor/A 22149-2026 karta.png", "A 22149-2026")</f>
        <v/>
      </c>
      <c r="Y69">
        <f>HYPERLINK("https://klasma.github.io/Logging_2180/kartor_geotiff/A 22149-2026 georefererad karta.tif", "A 22149-2026")</f>
        <v/>
      </c>
      <c r="AA69">
        <f>HYPERLINK("https://klasma.github.io/Logging_2180/klagomål/A 22149-2026 FSC-klagomål.docx", "A 22149-2026")</f>
        <v/>
      </c>
      <c r="AB69">
        <f>HYPERLINK("https://klasma.github.io/Logging_2180/klagomålsmail/A 22149-2026 FSC-klagomål mail.docx", "A 22149-2026")</f>
        <v/>
      </c>
      <c r="AC69">
        <f>HYPERLINK("https://klasma.github.io/Logging_2180/tillsyn/A 22149-2026 tillsynsbegäran.docx", "A 22149-2026")</f>
        <v/>
      </c>
      <c r="AD69">
        <f>HYPERLINK("https://klasma.github.io/Logging_2180/tillsynsmail/A 22149-2026 tillsynsbegäran mail.docx", "A 22149-2026")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46224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23257-2026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46162</v>
      </c>
      <c r="E71" s="1" t="n">
        <v>46224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42.1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Kattfotslav
Havsörn</t>
        </is>
      </c>
      <c r="W71">
        <f>HYPERLINK("https://klasma.github.io/Logging_2180/artfynd/A 23257-2026 artfynd.xlsx", "A 23257-2026")</f>
        <v/>
      </c>
      <c r="X71">
        <f>HYPERLINK("https://klasma.github.io/Logging_2180/kartor/A 23257-2026 karta.png", "A 23257-2026")</f>
        <v/>
      </c>
      <c r="Y71">
        <f>HYPERLINK("https://klasma.github.io/Logging_2180/kartor_geotiff/A 23257-2026 georefererad karta.tif", "A 23257-2026")</f>
        <v/>
      </c>
      <c r="AA71">
        <f>HYPERLINK("https://klasma.github.io/Logging_2180/klagomål/A 23257-2026 FSC-klagomål.docx", "A 23257-2026")</f>
        <v/>
      </c>
      <c r="AB71">
        <f>HYPERLINK("https://klasma.github.io/Logging_2180/klagomålsmail/A 23257-2026 FSC-klagomål mail.docx", "A 23257-2026")</f>
        <v/>
      </c>
      <c r="AC71">
        <f>HYPERLINK("https://klasma.github.io/Logging_2180/tillsyn/A 23257-2026 tillsynsbegäran.docx", "A 23257-2026")</f>
        <v/>
      </c>
      <c r="AD71">
        <f>HYPERLINK("https://klasma.github.io/Logging_2180/tillsynsmail/A 23257-2026 tillsynsbegäran mail.docx", "A 23257-2026")</f>
        <v/>
      </c>
      <c r="AE71">
        <f>HYPERLINK("https://klasma.github.io/Logging_2180/fåglar/A 23257-2026 prioriterade fågelarter.docx", "A 23257-2026")</f>
        <v/>
      </c>
    </row>
    <row r="72" ht="15" customHeight="1">
      <c r="A72" t="inlineStr">
        <is>
          <t>A 24310-2026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46224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24310-2026 artfynd.xlsx", "A 24310-2026")</f>
        <v/>
      </c>
      <c r="X72">
        <f>HYPERLINK("https://klasma.github.io/Logging_2180/kartor/A 24310-2026 karta.png", "A 24310-2026")</f>
        <v/>
      </c>
      <c r="Y72">
        <f>HYPERLINK("https://klasma.github.io/Logging_2180/kartor_geotiff/A 24310-2026 georefererad karta.tif", "A 24310-2026")</f>
        <v/>
      </c>
      <c r="AA72">
        <f>HYPERLINK("https://klasma.github.io/Logging_2180/klagomål/A 24310-2026 FSC-klagomål.docx", "A 24310-2026")</f>
        <v/>
      </c>
      <c r="AB72">
        <f>HYPERLINK("https://klasma.github.io/Logging_2180/klagomålsmail/A 24310-2026 FSC-klagomål mail.docx", "A 24310-2026")</f>
        <v/>
      </c>
      <c r="AC72">
        <f>HYPERLINK("https://klasma.github.io/Logging_2180/tillsyn/A 24310-2026 tillsynsbegäran.docx", "A 24310-2026")</f>
        <v/>
      </c>
      <c r="AD72">
        <f>HYPERLINK("https://klasma.github.io/Logging_2180/tillsynsmail/A 24310-2026 tillsynsbegäran mail.docx", "A 24310-2026")</f>
        <v/>
      </c>
    </row>
    <row r="73" ht="15" customHeight="1">
      <c r="A73" t="inlineStr">
        <is>
          <t>A 24915-2026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46174</v>
      </c>
      <c r="E73" s="1" t="n">
        <v>46224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24915-2026 artfynd.xlsx", "A 24915-2026")</f>
        <v/>
      </c>
      <c r="X73">
        <f>HYPERLINK("https://klasma.github.io/Logging_2180/kartor/A 24915-2026 karta.png", "A 24915-2026")</f>
        <v/>
      </c>
      <c r="Y73">
        <f>HYPERLINK("https://klasma.github.io/Logging_2180/kartor_geotiff/A 24915-2026 georefererad karta.tif", "A 24915-2026")</f>
        <v/>
      </c>
      <c r="AA73">
        <f>HYPERLINK("https://klasma.github.io/Logging_2180/klagomål/A 24915-2026 FSC-klagomål.docx", "A 24915-2026")</f>
        <v/>
      </c>
      <c r="AB73">
        <f>HYPERLINK("https://klasma.github.io/Logging_2180/klagomålsmail/A 24915-2026 FSC-klagomål mail.docx", "A 24915-2026")</f>
        <v/>
      </c>
      <c r="AC73">
        <f>HYPERLINK("https://klasma.github.io/Logging_2180/tillsyn/A 24915-2026 tillsynsbegäran.docx", "A 24915-2026")</f>
        <v/>
      </c>
      <c r="AD73">
        <f>HYPERLINK("https://klasma.github.io/Logging_2180/tillsynsmail/A 24915-2026 tillsynsbegäran mail.docx", "A 24915-2026")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46224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46224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46224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46224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46224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Ängsblåvinge</t>
        </is>
      </c>
      <c r="W80">
        <f>HYPERLINK("https://klasma.github.io/Logging_2180/artfynd/A 15001-2023 artfynd.xlsx", "A 15001-2023")</f>
        <v/>
      </c>
      <c r="X80">
        <f>HYPERLINK("https://klasma.github.io/Logging_2180/kartor/A 15001-2023 karta.png", "A 15001-2023")</f>
        <v/>
      </c>
      <c r="Y80">
        <f>HYPERLINK("https://klasma.github.io/Logging_2180/kartor_geotiff/A 15001-2023 georefererad karta.tif", "A 15001-2023")</f>
        <v/>
      </c>
      <c r="AA80">
        <f>HYPERLINK("https://klasma.github.io/Logging_2180/klagomål/A 15001-2023 FSC-klagomål.docx", "A 15001-2023")</f>
        <v/>
      </c>
      <c r="AB80">
        <f>HYPERLINK("https://klasma.github.io/Logging_2180/klagomålsmail/A 15001-2023 FSC-klagomål mail.docx", "A 15001-2023")</f>
        <v/>
      </c>
      <c r="AC80">
        <f>HYPERLINK("https://klasma.github.io/Logging_2180/tillsyn/A 15001-2023 tillsynsbegäran.docx", "A 15001-2023")</f>
        <v/>
      </c>
      <c r="AD80">
        <f>HYPERLINK("https://klasma.github.io/Logging_2180/tillsynsmail/A 15001-2023 tillsynsbegäran mail.docx", "A 15001-2023")</f>
        <v/>
      </c>
    </row>
    <row r="81" ht="15" customHeight="1">
      <c r="A81" t="inlineStr">
        <is>
          <t>A 33812-2022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46224</v>
      </c>
      <c r="F81" t="inlineStr">
        <is>
          <t>GÄVLEBORGS LÄN</t>
        </is>
      </c>
      <c r="G81" t="inlineStr">
        <is>
          <t>GÄVLE</t>
        </is>
      </c>
      <c r="I81" t="n">
        <v>2.1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Myskmadra</t>
        </is>
      </c>
      <c r="W81">
        <f>HYPERLINK("https://klasma.github.io/Logging_2180/artfynd/A 33812-2022 artfynd.xlsx", "A 33812-2022")</f>
        <v/>
      </c>
      <c r="X81">
        <f>HYPERLINK("https://klasma.github.io/Logging_2180/kartor/A 33812-2022 karta.png", "A 33812-2022")</f>
        <v/>
      </c>
      <c r="Y81">
        <f>HYPERLINK("https://klasma.github.io/Logging_2180/kartor_geotiff/A 33812-2022 georefererad karta.tif", "A 33812-2022")</f>
        <v/>
      </c>
      <c r="AA81">
        <f>HYPERLINK("https://klasma.github.io/Logging_2180/klagomål/A 33812-2022 FSC-klagomål.docx", "A 33812-2022")</f>
        <v/>
      </c>
      <c r="AB81">
        <f>HYPERLINK("https://klasma.github.io/Logging_2180/klagomålsmail/A 33812-2022 FSC-klagomål mail.docx", "A 33812-2022")</f>
        <v/>
      </c>
      <c r="AC81">
        <f>HYPERLINK("https://klasma.github.io/Logging_2180/tillsyn/A 33812-2022 tillsynsbegäran.docx", "A 33812-2022")</f>
        <v/>
      </c>
      <c r="AD81">
        <f>HYPERLINK("https://klasma.github.io/Logging_2180/tillsynsmail/A 33812-2022 tillsynsbegäran mail.docx", "A 33812-2022")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46224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46224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46224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38550-2025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46224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0.5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HYPERLINK("https://klasma.github.io/Logging_2180/artfynd/A 38550-2025 artfynd.xlsx", "A 38550-2025")</f>
        <v/>
      </c>
      <c r="X85">
        <f>HYPERLINK("https://klasma.github.io/Logging_2180/kartor/A 38550-2025 karta.png", "A 38550-2025")</f>
        <v/>
      </c>
      <c r="Y85">
        <f>HYPERLINK("https://klasma.github.io/Logging_2180/kartor_geotiff/A 38550-2025 georefererad karta.tif", "A 38550-2025")</f>
        <v/>
      </c>
      <c r="AA85">
        <f>HYPERLINK("https://klasma.github.io/Logging_2180/klagomål/A 38550-2025 FSC-klagomål.docx", "A 38550-2025")</f>
        <v/>
      </c>
      <c r="AB85">
        <f>HYPERLINK("https://klasma.github.io/Logging_2180/klagomålsmail/A 38550-2025 FSC-klagomål mail.docx", "A 38550-2025")</f>
        <v/>
      </c>
      <c r="AC85">
        <f>HYPERLINK("https://klasma.github.io/Logging_2180/tillsyn/A 38550-2025 tillsynsbegäran.docx", "A 38550-2025")</f>
        <v/>
      </c>
      <c r="AD85">
        <f>HYPERLINK("https://klasma.github.io/Logging_2180/tillsynsmail/A 38550-2025 tillsynsbegäran mail.docx", "A 38550-2025")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46224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46224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30302-2025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46224</v>
      </c>
      <c r="F88" t="inlineStr">
        <is>
          <t>GÄVLEBORGS LÄN</t>
        </is>
      </c>
      <c r="G88" t="inlineStr">
        <is>
          <t>GÄVLE</t>
        </is>
      </c>
      <c r="I88" t="n">
        <v>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Fläcknycklar</t>
        </is>
      </c>
      <c r="W88">
        <f>HYPERLINK("https://klasma.github.io/Logging_2180/artfynd/A 30302-2025 artfynd.xlsx", "A 30302-2025")</f>
        <v/>
      </c>
      <c r="X88">
        <f>HYPERLINK("https://klasma.github.io/Logging_2180/kartor/A 30302-2025 karta.png", "A 30302-2025")</f>
        <v/>
      </c>
      <c r="Y88">
        <f>HYPERLINK("https://klasma.github.io/Logging_2180/kartor_geotiff/A 30302-2025 georefererad karta.tif", "A 30302-2025")</f>
        <v/>
      </c>
      <c r="AA88">
        <f>HYPERLINK("https://klasma.github.io/Logging_2180/klagomål/A 30302-2025 FSC-klagomål.docx", "A 30302-2025")</f>
        <v/>
      </c>
      <c r="AB88">
        <f>HYPERLINK("https://klasma.github.io/Logging_2180/klagomålsmail/A 30302-2025 FSC-klagomål mail.docx", "A 30302-2025")</f>
        <v/>
      </c>
      <c r="AC88">
        <f>HYPERLINK("https://klasma.github.io/Logging_2180/tillsyn/A 30302-2025 tillsynsbegäran.docx", "A 30302-2025")</f>
        <v/>
      </c>
      <c r="AD88">
        <f>HYPERLINK("https://klasma.github.io/Logging_2180/tillsynsmail/A 30302-2025 tillsynsbegäran mail.docx", "A 30302-2025")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46224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46224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46224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45241-2022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46224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22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HYPERLINK("https://klasma.github.io/Logging_2180/artfynd/A 45241-2022 artfynd.xlsx", "A 45241-2022")</f>
        <v/>
      </c>
      <c r="X92">
        <f>HYPERLINK("https://klasma.github.io/Logging_2180/kartor/A 45241-2022 karta.png", "A 45241-2022")</f>
        <v/>
      </c>
      <c r="Y92">
        <f>HYPERLINK("https://klasma.github.io/Logging_2180/kartor_geotiff/A 45241-2022 georefererad karta.tif", "A 45241-2022")</f>
        <v/>
      </c>
      <c r="AA92">
        <f>HYPERLINK("https://klasma.github.io/Logging_2180/klagomål/A 45241-2022 FSC-klagomål.docx", "A 45241-2022")</f>
        <v/>
      </c>
      <c r="AB92">
        <f>HYPERLINK("https://klasma.github.io/Logging_2180/klagomålsmail/A 45241-2022 FSC-klagomål mail.docx", "A 45241-2022")</f>
        <v/>
      </c>
      <c r="AC92">
        <f>HYPERLINK("https://klasma.github.io/Logging_2180/tillsyn/A 45241-2022 tillsynsbegäran.docx", "A 45241-2022")</f>
        <v/>
      </c>
      <c r="AD92">
        <f>HYPERLINK("https://klasma.github.io/Logging_2180/tillsynsmail/A 45241-2022 tillsynsbegäran mail.docx", "A 45241-2022")</f>
        <v/>
      </c>
    </row>
    <row r="93" ht="15" customHeight="1">
      <c r="A93" t="inlineStr">
        <is>
          <t>A 11411-2025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46224</v>
      </c>
      <c r="F93" t="inlineStr">
        <is>
          <t>GÄVLEBORGS LÄN</t>
        </is>
      </c>
      <c r="G93" t="inlineStr">
        <is>
          <t>GÄVLE</t>
        </is>
      </c>
      <c r="I93" t="n">
        <v>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11411-2025 artfynd.xlsx", "A 11411-2025")</f>
        <v/>
      </c>
      <c r="X93">
        <f>HYPERLINK("https://klasma.github.io/Logging_2180/kartor/A 11411-2025 karta.png", "A 11411-2025")</f>
        <v/>
      </c>
      <c r="Y93">
        <f>HYPERLINK("https://klasma.github.io/Logging_2180/kartor_geotiff/A 11411-2025 georefererad karta.tif", "A 11411-2025")</f>
        <v/>
      </c>
      <c r="AA93">
        <f>HYPERLINK("https://klasma.github.io/Logging_2180/klagomål/A 11411-2025 FSC-klagomål.docx", "A 11411-2025")</f>
        <v/>
      </c>
      <c r="AB93">
        <f>HYPERLINK("https://klasma.github.io/Logging_2180/klagomålsmail/A 11411-2025 FSC-klagomål mail.docx", "A 11411-2025")</f>
        <v/>
      </c>
      <c r="AC93">
        <f>HYPERLINK("https://klasma.github.io/Logging_2180/tillsyn/A 11411-2025 tillsynsbegäran.docx", "A 11411-2025")</f>
        <v/>
      </c>
      <c r="AD93">
        <f>HYPERLINK("https://klasma.github.io/Logging_2180/tillsynsmail/A 11411-2025 tillsynsbegäran mail.docx", "A 11411-2025")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46224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HYPERLINK("https://klasma.github.io/Logging_2180/artfynd/A 54252-2025 artfynd.xlsx", "A 54252-2025")</f>
        <v/>
      </c>
      <c r="X94">
        <f>HYPERLINK("https://klasma.github.io/Logging_2180/kartor/A 54252-2025 karta.png", "A 54252-2025")</f>
        <v/>
      </c>
      <c r="Y94">
        <f>HYPERLINK("https://klasma.github.io/Logging_2180/kartor_geotiff/A 54252-2025 georefererad karta.tif", "A 54252-2025")</f>
        <v/>
      </c>
      <c r="AA94">
        <f>HYPERLINK("https://klasma.github.io/Logging_2180/klagomål/A 54252-2025 FSC-klagomål.docx", "A 54252-2025")</f>
        <v/>
      </c>
      <c r="AB94">
        <f>HYPERLINK("https://klasma.github.io/Logging_2180/klagomålsmail/A 54252-2025 FSC-klagomål mail.docx", "A 54252-2025")</f>
        <v/>
      </c>
      <c r="AC94">
        <f>HYPERLINK("https://klasma.github.io/Logging_2180/tillsyn/A 54252-2025 tillsynsbegäran.docx", "A 54252-2025")</f>
        <v/>
      </c>
      <c r="AD94">
        <f>HYPERLINK("https://klasma.github.io/Logging_2180/tillsynsmail/A 54252-2025 tillsynsbegäran mail.docx", "A 54252-2025")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46224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46224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63288-2025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46224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5.3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Scharlakansskål</t>
        </is>
      </c>
      <c r="W97">
        <f>HYPERLINK("https://klasma.github.io/Logging_2180/artfynd/A 63288-2025 artfynd.xlsx", "A 63288-2025")</f>
        <v/>
      </c>
      <c r="X97">
        <f>HYPERLINK("https://klasma.github.io/Logging_2180/kartor/A 63288-2025 karta.png", "A 63288-2025")</f>
        <v/>
      </c>
      <c r="Y97">
        <f>HYPERLINK("https://klasma.github.io/Logging_2180/kartor_geotiff/A 63288-2025 georefererad karta.tif", "A 63288-2025")</f>
        <v/>
      </c>
      <c r="AA97">
        <f>HYPERLINK("https://klasma.github.io/Logging_2180/klagomål/A 63288-2025 FSC-klagomål.docx", "A 63288-2025")</f>
        <v/>
      </c>
      <c r="AB97">
        <f>HYPERLINK("https://klasma.github.io/Logging_2180/klagomålsmail/A 63288-2025 FSC-klagomål mail.docx", "A 63288-2025")</f>
        <v/>
      </c>
      <c r="AC97">
        <f>HYPERLINK("https://klasma.github.io/Logging_2180/tillsyn/A 63288-2025 tillsynsbegäran.docx", "A 63288-2025")</f>
        <v/>
      </c>
      <c r="AD97">
        <f>HYPERLINK("https://klasma.github.io/Logging_2180/tillsynsmail/A 63288-2025 tillsynsbegäran mail.docx", "A 63288-2025")</f>
        <v/>
      </c>
    </row>
    <row r="98" ht="15" customHeight="1">
      <c r="A98" t="inlineStr">
        <is>
          <t>A 50052-2025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46224</v>
      </c>
      <c r="F98" t="inlineStr">
        <is>
          <t>GÄVLEBORGS LÄN</t>
        </is>
      </c>
      <c r="G98" t="inlineStr">
        <is>
          <t>GÄVLE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Mosippa</t>
        </is>
      </c>
      <c r="W98">
        <f>HYPERLINK("https://klasma.github.io/Logging_2180/artfynd/A 50052-2025 artfynd.xlsx", "A 50052-2025")</f>
        <v/>
      </c>
      <c r="X98">
        <f>HYPERLINK("https://klasma.github.io/Logging_2180/kartor/A 50052-2025 karta.png", "A 50052-2025")</f>
        <v/>
      </c>
      <c r="Y98">
        <f>HYPERLINK("https://klasma.github.io/Logging_2180/kartor_geotiff/A 50052-2025 georefererad karta.tif", "A 50052-2025")</f>
        <v/>
      </c>
      <c r="AA98">
        <f>HYPERLINK("https://klasma.github.io/Logging_2180/klagomål/A 50052-2025 FSC-klagomål.docx", "A 50052-2025")</f>
        <v/>
      </c>
      <c r="AB98">
        <f>HYPERLINK("https://klasma.github.io/Logging_2180/klagomålsmail/A 50052-2025 FSC-klagomål mail.docx", "A 50052-2025")</f>
        <v/>
      </c>
      <c r="AC98">
        <f>HYPERLINK("https://klasma.github.io/Logging_2180/tillsyn/A 50052-2025 tillsynsbegäran.docx", "A 50052-2025")</f>
        <v/>
      </c>
      <c r="AD98">
        <f>HYPERLINK("https://klasma.github.io/Logging_2180/tillsynsmail/A 50052-2025 tillsynsbegäran mail.docx", "A 50052-2025")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46224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46224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12437-2024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45379</v>
      </c>
      <c r="E101" s="1" t="n">
        <v>46224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Mindre bastardsvärmare</t>
        </is>
      </c>
      <c r="W101">
        <f>HYPERLINK("https://klasma.github.io/Logging_2180/artfynd/A 12437-2024 artfynd.xlsx", "A 12437-2024")</f>
        <v/>
      </c>
      <c r="X101">
        <f>HYPERLINK("https://klasma.github.io/Logging_2180/kartor/A 12437-2024 karta.png", "A 12437-2024")</f>
        <v/>
      </c>
      <c r="Y101">
        <f>HYPERLINK("https://klasma.github.io/Logging_2180/kartor_geotiff/A 12437-2024 georefererad karta.tif", "A 12437-2024")</f>
        <v/>
      </c>
      <c r="AA101">
        <f>HYPERLINK("https://klasma.github.io/Logging_2180/klagomål/A 12437-2024 FSC-klagomål.docx", "A 12437-2024")</f>
        <v/>
      </c>
      <c r="AB101">
        <f>HYPERLINK("https://klasma.github.io/Logging_2180/klagomålsmail/A 12437-2024 FSC-klagomål mail.docx", "A 12437-2024")</f>
        <v/>
      </c>
      <c r="AC101">
        <f>HYPERLINK("https://klasma.github.io/Logging_2180/tillsyn/A 12437-2024 tillsynsbegäran.docx", "A 12437-2024")</f>
        <v/>
      </c>
      <c r="AD101">
        <f>HYPERLINK("https://klasma.github.io/Logging_2180/tillsynsmail/A 12437-2024 tillsynsbegäran mail.docx", "A 12437-2024")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46224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HYPERLINK("https://klasma.github.io/Logging_2180/artfynd/A 17251-2026 artfynd.xlsx", "A 17251-2026")</f>
        <v/>
      </c>
      <c r="X102">
        <f>HYPERLINK("https://klasma.github.io/Logging_2180/kartor/A 17251-2026 karta.png", "A 17251-2026")</f>
        <v/>
      </c>
      <c r="Y102">
        <f>HYPERLINK("https://klasma.github.io/Logging_2180/kartor_geotiff/A 17251-2026 georefererad karta.tif", "A 17251-2026")</f>
        <v/>
      </c>
      <c r="AA102">
        <f>HYPERLINK("https://klasma.github.io/Logging_2180/klagomål/A 17251-2026 FSC-klagomål.docx", "A 17251-2026")</f>
        <v/>
      </c>
      <c r="AB102">
        <f>HYPERLINK("https://klasma.github.io/Logging_2180/klagomålsmail/A 17251-2026 FSC-klagomål mail.docx", "A 17251-2026")</f>
        <v/>
      </c>
      <c r="AC102">
        <f>HYPERLINK("https://klasma.github.io/Logging_2180/tillsyn/A 17251-2026 tillsynsbegäran.docx", "A 17251-2026")</f>
        <v/>
      </c>
      <c r="AD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46224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18060-2026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46224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24.4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Fläcknycklar</t>
        </is>
      </c>
      <c r="W104">
        <f>HYPERLINK("https://klasma.github.io/Logging_2180/artfynd/A 18060-2026 artfynd.xlsx", "A 18060-2026")</f>
        <v/>
      </c>
      <c r="X104">
        <f>HYPERLINK("https://klasma.github.io/Logging_2180/kartor/A 18060-2026 karta.png", "A 18060-2026")</f>
        <v/>
      </c>
      <c r="Y104">
        <f>HYPERLINK("https://klasma.github.io/Logging_2180/kartor_geotiff/A 18060-2026 georefererad karta.tif", "A 18060-2026")</f>
        <v/>
      </c>
      <c r="AA104">
        <f>HYPERLINK("https://klasma.github.io/Logging_2180/klagomål/A 18060-2026 FSC-klagomål.docx", "A 18060-2026")</f>
        <v/>
      </c>
      <c r="AB104">
        <f>HYPERLINK("https://klasma.github.io/Logging_2180/klagomålsmail/A 18060-2026 FSC-klagomål mail.docx", "A 18060-2026")</f>
        <v/>
      </c>
      <c r="AC104">
        <f>HYPERLINK("https://klasma.github.io/Logging_2180/tillsyn/A 18060-2026 tillsynsbegäran.docx", "A 18060-2026")</f>
        <v/>
      </c>
      <c r="AD104">
        <f>HYPERLINK("https://klasma.github.io/Logging_2180/tillsynsmail/A 18060-2026 tillsynsbegäran mail.docx", "A 18060-2026")</f>
        <v/>
      </c>
    </row>
    <row r="105" ht="15" customHeight="1">
      <c r="A105" t="inlineStr">
        <is>
          <t>A 19635-2026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46224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1.6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Skinnlav</t>
        </is>
      </c>
      <c r="W105">
        <f>HYPERLINK("https://klasma.github.io/Logging_2180/artfynd/A 19635-2026 artfynd.xlsx", "A 19635-2026")</f>
        <v/>
      </c>
      <c r="X105">
        <f>HYPERLINK("https://klasma.github.io/Logging_2180/kartor/A 19635-2026 karta.png", "A 19635-2026")</f>
        <v/>
      </c>
      <c r="Y105">
        <f>HYPERLINK("https://klasma.github.io/Logging_2180/kartor_geotiff/A 19635-2026 georefererad karta.tif", "A 19635-2026")</f>
        <v/>
      </c>
      <c r="AA105">
        <f>HYPERLINK("https://klasma.github.io/Logging_2180/klagomål/A 19635-2026 FSC-klagomål.docx", "A 19635-2026")</f>
        <v/>
      </c>
      <c r="AB105">
        <f>HYPERLINK("https://klasma.github.io/Logging_2180/klagomålsmail/A 19635-2026 FSC-klagomål mail.docx", "A 19635-2026")</f>
        <v/>
      </c>
      <c r="AC105">
        <f>HYPERLINK("https://klasma.github.io/Logging_2180/tillsyn/A 19635-2026 tillsynsbegäran.docx", "A 19635-2026")</f>
        <v/>
      </c>
      <c r="AD105">
        <f>HYPERLINK("https://klasma.github.io/Logging_2180/tillsynsmail/A 19635-2026 tillsynsbegäran mail.docx", "A 19635-2026")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46224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HYPERLINK("https://klasma.github.io/Logging_2180/artfynd/A 13396-2026 artfynd.xlsx", "A 13396-2026")</f>
        <v/>
      </c>
      <c r="X106">
        <f>HYPERLINK("https://klasma.github.io/Logging_2180/kartor/A 13396-2026 karta.png", "A 13396-2026")</f>
        <v/>
      </c>
      <c r="Y106">
        <f>HYPERLINK("https://klasma.github.io/Logging_2180/kartor_geotiff/A 13396-2026 georefererad karta.tif", "A 13396-2026")</f>
        <v/>
      </c>
      <c r="AA106">
        <f>HYPERLINK("https://klasma.github.io/Logging_2180/klagomål/A 13396-2026 FSC-klagomål.docx", "A 13396-2026")</f>
        <v/>
      </c>
      <c r="AB106">
        <f>HYPERLINK("https://klasma.github.io/Logging_2180/klagomålsmail/A 13396-2026 FSC-klagomål mail.docx", "A 13396-2026")</f>
        <v/>
      </c>
      <c r="AC106">
        <f>HYPERLINK("https://klasma.github.io/Logging_2180/tillsyn/A 13396-2026 tillsynsbegäran.docx", "A 13396-2026")</f>
        <v/>
      </c>
      <c r="AD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14730-2026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46224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8.199999999999999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14730-2026 artfynd.xlsx", "A 14730-2026")</f>
        <v/>
      </c>
      <c r="X107">
        <f>HYPERLINK("https://klasma.github.io/Logging_2180/kartor/A 14730-2026 karta.png", "A 14730-2026")</f>
        <v/>
      </c>
      <c r="Y107">
        <f>HYPERLINK("https://klasma.github.io/Logging_2180/kartor_geotiff/A 14730-2026 georefererad karta.tif", "A 14730-2026")</f>
        <v/>
      </c>
      <c r="AA107">
        <f>HYPERLINK("https://klasma.github.io/Logging_2180/klagomål/A 14730-2026 FSC-klagomål.docx", "A 14730-2026")</f>
        <v/>
      </c>
      <c r="AB107">
        <f>HYPERLINK("https://klasma.github.io/Logging_2180/klagomålsmail/A 14730-2026 FSC-klagomål mail.docx", "A 14730-2026")</f>
        <v/>
      </c>
      <c r="AC107">
        <f>HYPERLINK("https://klasma.github.io/Logging_2180/tillsyn/A 14730-2026 tillsynsbegäran.docx", "A 14730-2026")</f>
        <v/>
      </c>
      <c r="AD107">
        <f>HYPERLINK("https://klasma.github.io/Logging_2180/tillsynsmail/A 14730-2026 tillsynsbegäran mail.docx", "A 14730-2026")</f>
        <v/>
      </c>
      <c r="AE107">
        <f>HYPERLINK("https://klasma.github.io/Logging_2180/fåglar/A 14730-2026 prioriterade fågelarter.docx", "A 14730-2026")</f>
        <v/>
      </c>
    </row>
    <row r="108" ht="15" customHeight="1">
      <c r="A108" t="inlineStr">
        <is>
          <t>A 12381-2023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44999</v>
      </c>
      <c r="E108" s="1" t="n">
        <v>46224</v>
      </c>
      <c r="F108" t="inlineStr">
        <is>
          <t>GÄVLEBORGS LÄN</t>
        </is>
      </c>
      <c r="G108" t="inlineStr">
        <is>
          <t>GÄVLE</t>
        </is>
      </c>
      <c r="I108" t="n">
        <v>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Brunlångöra</t>
        </is>
      </c>
      <c r="W108">
        <f>HYPERLINK("https://klasma.github.io/Logging_2180/artfynd/A 12381-2023 artfynd.xlsx", "A 12381-2023")</f>
        <v/>
      </c>
      <c r="X108">
        <f>HYPERLINK("https://klasma.github.io/Logging_2180/kartor/A 12381-2023 karta.png", "A 12381-2023")</f>
        <v/>
      </c>
      <c r="Y108">
        <f>HYPERLINK("https://klasma.github.io/Logging_2180/kartor_geotiff/A 12381-2023 georefererad karta.tif", "A 12381-2023")</f>
        <v/>
      </c>
      <c r="AA108">
        <f>HYPERLINK("https://klasma.github.io/Logging_2180/klagomål/A 12381-2023 FSC-klagomål.docx", "A 12381-2023")</f>
        <v/>
      </c>
      <c r="AB108">
        <f>HYPERLINK("https://klasma.github.io/Logging_2180/klagomålsmail/A 12381-2023 FSC-klagomål mail.docx", "A 12381-2023")</f>
        <v/>
      </c>
      <c r="AC108">
        <f>HYPERLINK("https://klasma.github.io/Logging_2180/tillsyn/A 12381-2023 tillsynsbegäran.docx", "A 12381-2023")</f>
        <v/>
      </c>
      <c r="AD108">
        <f>HYPERLINK("https://klasma.github.io/Logging_2180/tillsynsmail/A 12381-2023 tillsynsbegäran mail.docx", "A 12381-2023")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46224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46224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14714-2026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46224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Tjäder</t>
        </is>
      </c>
      <c r="W111">
        <f>HYPERLINK("https://klasma.github.io/Logging_2180/artfynd/A 14714-2026 artfynd.xlsx", "A 14714-2026")</f>
        <v/>
      </c>
      <c r="X111">
        <f>HYPERLINK("https://klasma.github.io/Logging_2180/kartor/A 14714-2026 karta.png", "A 14714-2026")</f>
        <v/>
      </c>
      <c r="Y111">
        <f>HYPERLINK("https://klasma.github.io/Logging_2180/kartor_geotiff/A 14714-2026 georefererad karta.tif", "A 14714-2026")</f>
        <v/>
      </c>
      <c r="AA111">
        <f>HYPERLINK("https://klasma.github.io/Logging_2180/klagomål/A 14714-2026 FSC-klagomål.docx", "A 14714-2026")</f>
        <v/>
      </c>
      <c r="AB111">
        <f>HYPERLINK("https://klasma.github.io/Logging_2180/klagomålsmail/A 14714-2026 FSC-klagomål mail.docx", "A 14714-2026")</f>
        <v/>
      </c>
      <c r="AC111">
        <f>HYPERLINK("https://klasma.github.io/Logging_2180/tillsyn/A 14714-2026 tillsynsbegäran.docx", "A 14714-2026")</f>
        <v/>
      </c>
      <c r="AD111">
        <f>HYPERLINK("https://klasma.github.io/Logging_2180/tillsynsmail/A 14714-2026 tillsynsbegäran mail.docx", "A 14714-2026")</f>
        <v/>
      </c>
      <c r="AE111">
        <f>HYPERLINK("https://klasma.github.io/Logging_2180/fåglar/A 14714-2026 prioriterade fågelarter.docx", "A 14714-2026")</f>
        <v/>
      </c>
    </row>
    <row r="112" ht="15" customHeight="1">
      <c r="A112" t="inlineStr">
        <is>
          <t>A 14711-2026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46224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Blanksvart spiklav</t>
        </is>
      </c>
      <c r="W112">
        <f>HYPERLINK("https://klasma.github.io/Logging_2180/artfynd/A 14711-2026 artfynd.xlsx", "A 14711-2026")</f>
        <v/>
      </c>
      <c r="X112">
        <f>HYPERLINK("https://klasma.github.io/Logging_2180/kartor/A 14711-2026 karta.png", "A 14711-2026")</f>
        <v/>
      </c>
      <c r="Y112">
        <f>HYPERLINK("https://klasma.github.io/Logging_2180/kartor_geotiff/A 14711-2026 georefererad karta.tif", "A 14711-2026")</f>
        <v/>
      </c>
      <c r="AA112">
        <f>HYPERLINK("https://klasma.github.io/Logging_2180/klagomål/A 14711-2026 FSC-klagomål.docx", "A 14711-2026")</f>
        <v/>
      </c>
      <c r="AB112">
        <f>HYPERLINK("https://klasma.github.io/Logging_2180/klagomålsmail/A 14711-2026 FSC-klagomål mail.docx", "A 14711-2026")</f>
        <v/>
      </c>
      <c r="AC112">
        <f>HYPERLINK("https://klasma.github.io/Logging_2180/tillsyn/A 14711-2026 tillsynsbegäran.docx", "A 14711-2026")</f>
        <v/>
      </c>
      <c r="AD112">
        <f>HYPERLINK("https://klasma.github.io/Logging_2180/tillsynsmail/A 14711-2026 tillsynsbegäran mail.docx", "A 14711-2026")</f>
        <v/>
      </c>
    </row>
    <row r="113" ht="15" customHeight="1">
      <c r="A113" t="inlineStr">
        <is>
          <t>A 10064-2025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46224</v>
      </c>
      <c r="F113" t="inlineStr">
        <is>
          <t>GÄVLEBORGS LÄN</t>
        </is>
      </c>
      <c r="G113" t="inlineStr">
        <is>
          <t>GÄVLE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HYPERLINK("https://klasma.github.io/Logging_2180/artfynd/A 10064-2025 artfynd.xlsx", "A 10064-2025")</f>
        <v/>
      </c>
      <c r="X113">
        <f>HYPERLINK("https://klasma.github.io/Logging_2180/kartor/A 10064-2025 karta.png", "A 10064-2025")</f>
        <v/>
      </c>
      <c r="Y113">
        <f>HYPERLINK("https://klasma.github.io/Logging_2180/kartor_geotiff/A 10064-2025 georefererad karta.tif", "A 10064-2025")</f>
        <v/>
      </c>
      <c r="AA113">
        <f>HYPERLINK("https://klasma.github.io/Logging_2180/klagomål/A 10064-2025 FSC-klagomål.docx", "A 10064-2025")</f>
        <v/>
      </c>
      <c r="AB113">
        <f>HYPERLINK("https://klasma.github.io/Logging_2180/klagomålsmail/A 10064-2025 FSC-klagomål mail.docx", "A 10064-2025")</f>
        <v/>
      </c>
      <c r="AC113">
        <f>HYPERLINK("https://klasma.github.io/Logging_2180/tillsyn/A 10064-2025 tillsynsbegäran.docx", "A 10064-2025")</f>
        <v/>
      </c>
      <c r="AD113">
        <f>HYPERLINK("https://klasma.github.io/Logging_2180/tillsynsmail/A 10064-2025 tillsynsbegäran mail.docx", "A 10064-2025")</f>
        <v/>
      </c>
    </row>
    <row r="114" ht="15" customHeight="1">
      <c r="A114" t="inlineStr">
        <is>
          <t>A 20734-2026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46224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20734-2026 artfynd.xlsx", "A 20734-2026")</f>
        <v/>
      </c>
      <c r="X114">
        <f>HYPERLINK("https://klasma.github.io/Logging_2180/kartor/A 20734-2026 karta.png", "A 20734-2026")</f>
        <v/>
      </c>
      <c r="Y114">
        <f>HYPERLINK("https://klasma.github.io/Logging_2180/kartor_geotiff/A 20734-2026 georefererad karta.tif", "A 20734-2026")</f>
        <v/>
      </c>
      <c r="AA114">
        <f>HYPERLINK("https://klasma.github.io/Logging_2180/klagomål/A 20734-2026 FSC-klagomål.docx", "A 20734-2026")</f>
        <v/>
      </c>
      <c r="AB114">
        <f>HYPERLINK("https://klasma.github.io/Logging_2180/klagomålsmail/A 20734-2026 FSC-klagomål mail.docx", "A 20734-2026")</f>
        <v/>
      </c>
      <c r="AC114">
        <f>HYPERLINK("https://klasma.github.io/Logging_2180/tillsyn/A 20734-2026 tillsynsbegäran.docx", "A 20734-2026")</f>
        <v/>
      </c>
      <c r="AD114">
        <f>HYPERLINK("https://klasma.github.io/Logging_2180/tillsynsmail/A 20734-2026 tillsynsbegäran mail.docx", "A 20734-2026")</f>
        <v/>
      </c>
    </row>
    <row r="115" ht="15" customHeight="1">
      <c r="A115" t="inlineStr">
        <is>
          <t>A 26871-2026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46224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4.2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HYPERLINK("https://klasma.github.io/Logging_2180/artfynd/A 26871-2026 artfynd.xlsx", "A 26871-2026")</f>
        <v/>
      </c>
      <c r="X115">
        <f>HYPERLINK("https://klasma.github.io/Logging_2180/kartor/A 26871-2026 karta.png", "A 26871-2026")</f>
        <v/>
      </c>
      <c r="Y115">
        <f>HYPERLINK("https://klasma.github.io/Logging_2180/kartor_geotiff/A 26871-2026 georefererad karta.tif", "A 26871-2026")</f>
        <v/>
      </c>
      <c r="AA115">
        <f>HYPERLINK("https://klasma.github.io/Logging_2180/klagomål/A 26871-2026 FSC-klagomål.docx", "A 26871-2026")</f>
        <v/>
      </c>
      <c r="AB115">
        <f>HYPERLINK("https://klasma.github.io/Logging_2180/klagomålsmail/A 26871-2026 FSC-klagomål mail.docx", "A 26871-2026")</f>
        <v/>
      </c>
      <c r="AC115">
        <f>HYPERLINK("https://klasma.github.io/Logging_2180/tillsyn/A 26871-2026 tillsynsbegäran.docx", "A 26871-2026")</f>
        <v/>
      </c>
      <c r="AD115">
        <f>HYPERLINK("https://klasma.github.io/Logging_2180/tillsynsmail/A 26871-2026 tillsynsbegäran mail.docx", "A 26871-2026")</f>
        <v/>
      </c>
    </row>
    <row r="116" ht="15" customHeight="1">
      <c r="A116" t="inlineStr">
        <is>
          <t>A 27063-2026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46224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27063-2026 artfynd.xlsx", "A 27063-2026")</f>
        <v/>
      </c>
      <c r="X116">
        <f>HYPERLINK("https://klasma.github.io/Logging_2180/kartor/A 27063-2026 karta.png", "A 27063-2026")</f>
        <v/>
      </c>
      <c r="Y116">
        <f>HYPERLINK("https://klasma.github.io/Logging_2180/kartor_geotiff/A 27063-2026 georefererad karta.tif", "A 27063-2026")</f>
        <v/>
      </c>
      <c r="AA116">
        <f>HYPERLINK("https://klasma.github.io/Logging_2180/klagomål/A 27063-2026 FSC-klagomål.docx", "A 27063-2026")</f>
        <v/>
      </c>
      <c r="AB116">
        <f>HYPERLINK("https://klasma.github.io/Logging_2180/klagomålsmail/A 27063-2026 FSC-klagomål mail.docx", "A 27063-2026")</f>
        <v/>
      </c>
      <c r="AC116">
        <f>HYPERLINK("https://klasma.github.io/Logging_2180/tillsyn/A 27063-2026 tillsynsbegäran.docx", "A 27063-2026")</f>
        <v/>
      </c>
      <c r="AD116">
        <f>HYPERLINK("https://klasma.github.io/Logging_2180/tillsynsmail/A 27063-2026 tillsynsbegäran mail.docx", "A 27063-2026")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46224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27058-2026 artfynd.xlsx", "A 27058-2026")</f>
        <v/>
      </c>
      <c r="X117">
        <f>HYPERLINK("https://klasma.github.io/Logging_2180/kartor/A 27058-2026 karta.png", "A 27058-2026")</f>
        <v/>
      </c>
      <c r="Y117">
        <f>HYPERLINK("https://klasma.github.io/Logging_2180/kartor_geotiff/A 27058-2026 georefererad karta.tif", "A 27058-2026")</f>
        <v/>
      </c>
      <c r="AA117">
        <f>HYPERLINK("https://klasma.github.io/Logging_2180/klagomål/A 27058-2026 FSC-klagomål.docx", "A 27058-2026")</f>
        <v/>
      </c>
      <c r="AB117">
        <f>HYPERLINK("https://klasma.github.io/Logging_2180/klagomålsmail/A 27058-2026 FSC-klagomål mail.docx", "A 27058-2026")</f>
        <v/>
      </c>
      <c r="AC117">
        <f>HYPERLINK("https://klasma.github.io/Logging_2180/tillsyn/A 27058-2026 tillsynsbegäran.docx", "A 27058-2026")</f>
        <v/>
      </c>
      <c r="AD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46224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27043-2026 artfynd.xlsx", "A 27043-2026")</f>
        <v/>
      </c>
      <c r="X118">
        <f>HYPERLINK("https://klasma.github.io/Logging_2180/kartor/A 27043-2026 karta.png", "A 27043-2026")</f>
        <v/>
      </c>
      <c r="Y118">
        <f>HYPERLINK("https://klasma.github.io/Logging_2180/kartor_geotiff/A 27043-2026 georefererad karta.tif", "A 27043-2026")</f>
        <v/>
      </c>
      <c r="AA118">
        <f>HYPERLINK("https://klasma.github.io/Logging_2180/klagomål/A 27043-2026 FSC-klagomål.docx", "A 27043-2026")</f>
        <v/>
      </c>
      <c r="AB118">
        <f>HYPERLINK("https://klasma.github.io/Logging_2180/klagomålsmail/A 27043-2026 FSC-klagomål mail.docx", "A 27043-2026")</f>
        <v/>
      </c>
      <c r="AC118">
        <f>HYPERLINK("https://klasma.github.io/Logging_2180/tillsyn/A 27043-2026 tillsynsbegäran.docx", "A 27043-2026")</f>
        <v/>
      </c>
      <c r="AD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14703-2026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46224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14703-2026 artfynd.xlsx", "A 14703-2026")</f>
        <v/>
      </c>
      <c r="X119">
        <f>HYPERLINK("https://klasma.github.io/Logging_2180/kartor/A 14703-2026 karta.png", "A 14703-2026")</f>
        <v/>
      </c>
      <c r="Y119">
        <f>HYPERLINK("https://klasma.github.io/Logging_2180/kartor_geotiff/A 14703-2026 georefererad karta.tif", "A 14703-2026")</f>
        <v/>
      </c>
      <c r="AA119">
        <f>HYPERLINK("https://klasma.github.io/Logging_2180/klagomål/A 14703-2026 FSC-klagomål.docx", "A 14703-2026")</f>
        <v/>
      </c>
      <c r="AB119">
        <f>HYPERLINK("https://klasma.github.io/Logging_2180/klagomålsmail/A 14703-2026 FSC-klagomål mail.docx", "A 14703-2026")</f>
        <v/>
      </c>
      <c r="AC119">
        <f>HYPERLINK("https://klasma.github.io/Logging_2180/tillsyn/A 14703-2026 tillsynsbegäran.docx", "A 14703-2026")</f>
        <v/>
      </c>
      <c r="AD119">
        <f>HYPERLINK("https://klasma.github.io/Logging_2180/tillsynsmail/A 14703-2026 tillsynsbegäran mail.docx", "A 14703-2026")</f>
        <v/>
      </c>
      <c r="AE119">
        <f>HYPERLINK("https://klasma.github.io/Logging_2180/fåglar/A 14703-2026 prioriterade fågelarter.docx", "A 14703-2026")</f>
        <v/>
      </c>
    </row>
    <row r="120" ht="15" customHeight="1">
      <c r="A120" t="inlineStr">
        <is>
          <t>A 13269-2026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46093</v>
      </c>
      <c r="E120" s="1" t="n">
        <v>46224</v>
      </c>
      <c r="F120" t="inlineStr">
        <is>
          <t>GÄVLEBORGS LÄN</t>
        </is>
      </c>
      <c r="G120" t="inlineStr">
        <is>
          <t>GÄVLE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Havsörn</t>
        </is>
      </c>
      <c r="W120">
        <f>HYPERLINK("https://klasma.github.io/Logging_2180/artfynd/A 13269-2026 artfynd.xlsx", "A 13269-2026")</f>
        <v/>
      </c>
      <c r="X120">
        <f>HYPERLINK("https://klasma.github.io/Logging_2180/kartor/A 13269-2026 karta.png", "A 13269-2026")</f>
        <v/>
      </c>
      <c r="Y120">
        <f>HYPERLINK("https://klasma.github.io/Logging_2180/kartor_geotiff/A 13269-2026 georefererad karta.tif", "A 13269-2026")</f>
        <v/>
      </c>
      <c r="AA120">
        <f>HYPERLINK("https://klasma.github.io/Logging_2180/klagomål/A 13269-2026 FSC-klagomål.docx", "A 13269-2026")</f>
        <v/>
      </c>
      <c r="AB120">
        <f>HYPERLINK("https://klasma.github.io/Logging_2180/klagomålsmail/A 13269-2026 FSC-klagomål mail.docx", "A 13269-2026")</f>
        <v/>
      </c>
      <c r="AC120">
        <f>HYPERLINK("https://klasma.github.io/Logging_2180/tillsyn/A 13269-2026 tillsynsbegäran.docx", "A 13269-2026")</f>
        <v/>
      </c>
      <c r="AD120">
        <f>HYPERLINK("https://klasma.github.io/Logging_2180/tillsynsmail/A 13269-2026 tillsynsbegäran mail.docx", "A 13269-2026")</f>
        <v/>
      </c>
      <c r="AE120">
        <f>HYPERLINK("https://klasma.github.io/Logging_2180/fåglar/A 13269-2026 prioriterade fågelarter.docx", "A 13269-2026")</f>
        <v/>
      </c>
    </row>
    <row r="121" ht="15" customHeight="1">
      <c r="A121" t="inlineStr">
        <is>
          <t>A 11407-2025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46224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1.5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Myskmadra</t>
        </is>
      </c>
      <c r="W121">
        <f>HYPERLINK("https://klasma.github.io/Logging_2180/artfynd/A 11407-2025 artfynd.xlsx", "A 11407-2025")</f>
        <v/>
      </c>
      <c r="X121">
        <f>HYPERLINK("https://klasma.github.io/Logging_2180/kartor/A 11407-2025 karta.png", "A 11407-2025")</f>
        <v/>
      </c>
      <c r="Y121">
        <f>HYPERLINK("https://klasma.github.io/Logging_2180/kartor_geotiff/A 11407-2025 georefererad karta.tif", "A 11407-2025")</f>
        <v/>
      </c>
      <c r="AA121">
        <f>HYPERLINK("https://klasma.github.io/Logging_2180/klagomål/A 11407-2025 FSC-klagomål.docx", "A 11407-2025")</f>
        <v/>
      </c>
      <c r="AB121">
        <f>HYPERLINK("https://klasma.github.io/Logging_2180/klagomålsmail/A 11407-2025 FSC-klagomål mail.docx", "A 11407-2025")</f>
        <v/>
      </c>
      <c r="AC121">
        <f>HYPERLINK("https://klasma.github.io/Logging_2180/tillsyn/A 11407-2025 tillsynsbegäran.docx", "A 11407-2025")</f>
        <v/>
      </c>
      <c r="AD121">
        <f>HYPERLINK("https://klasma.github.io/Logging_2180/tillsynsmail/A 11407-2025 tillsynsbegäran mail.docx", "A 11407-2025")</f>
        <v/>
      </c>
    </row>
    <row r="122" ht="15" customHeight="1">
      <c r="A122" t="inlineStr">
        <is>
          <t>A 22052-2026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46224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Gullpudra</t>
        </is>
      </c>
      <c r="W122">
        <f>HYPERLINK("https://klasma.github.io/Logging_2180/artfynd/A 22052-2026 artfynd.xlsx", "A 22052-2026")</f>
        <v/>
      </c>
      <c r="X122">
        <f>HYPERLINK("https://klasma.github.io/Logging_2180/kartor/A 22052-2026 karta.png", "A 22052-2026")</f>
        <v/>
      </c>
      <c r="Y122">
        <f>HYPERLINK("https://klasma.github.io/Logging_2180/kartor_geotiff/A 22052-2026 georefererad karta.tif", "A 22052-2026")</f>
        <v/>
      </c>
      <c r="AA122">
        <f>HYPERLINK("https://klasma.github.io/Logging_2180/klagomål/A 22052-2026 FSC-klagomål.docx", "A 22052-2026")</f>
        <v/>
      </c>
      <c r="AB122">
        <f>HYPERLINK("https://klasma.github.io/Logging_2180/klagomålsmail/A 22052-2026 FSC-klagomål mail.docx", "A 22052-2026")</f>
        <v/>
      </c>
      <c r="AC122">
        <f>HYPERLINK("https://klasma.github.io/Logging_2180/tillsyn/A 22052-2026 tillsynsbegäran.docx", "A 22052-2026")</f>
        <v/>
      </c>
      <c r="AD122">
        <f>HYPERLINK("https://klasma.github.io/Logging_2180/tillsynsmail/A 22052-2026 tillsynsbegäran mail.docx", "A 22052-2026")</f>
        <v/>
      </c>
    </row>
    <row r="123" ht="15" customHeight="1">
      <c r="A123" t="inlineStr">
        <is>
          <t>A 28546-2026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46197</v>
      </c>
      <c r="E123" s="1" t="n">
        <v>46224</v>
      </c>
      <c r="F123" t="inlineStr">
        <is>
          <t>GÄVLEBORGS LÄN</t>
        </is>
      </c>
      <c r="G123" t="inlineStr">
        <is>
          <t>GÄVLE</t>
        </is>
      </c>
      <c r="H123" t="inlineStr">
        <is>
          <t>BillerudKorsnäs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Fiskgjuse</t>
        </is>
      </c>
      <c r="W123">
        <f>HYPERLINK("https://klasma.github.io/Logging_2180/artfynd/A 28546-2026 artfynd.xlsx", "A 28546-2026")</f>
        <v/>
      </c>
      <c r="X123">
        <f>HYPERLINK("https://klasma.github.io/Logging_2180/kartor/A 28546-2026 karta.png", "A 28546-2026")</f>
        <v/>
      </c>
      <c r="Y123">
        <f>HYPERLINK("https://klasma.github.io/Logging_2180/kartor_geotiff/A 28546-2026 georefererad karta.tif", "A 28546-2026")</f>
        <v/>
      </c>
      <c r="AA123">
        <f>HYPERLINK("https://klasma.github.io/Logging_2180/klagomål/A 28546-2026 FSC-klagomål.docx", "A 28546-2026")</f>
        <v/>
      </c>
      <c r="AB123">
        <f>HYPERLINK("https://klasma.github.io/Logging_2180/klagomålsmail/A 28546-2026 FSC-klagomål mail.docx", "A 28546-2026")</f>
        <v/>
      </c>
      <c r="AC123">
        <f>HYPERLINK("https://klasma.github.io/Logging_2180/tillsyn/A 28546-2026 tillsynsbegäran.docx", "A 28546-2026")</f>
        <v/>
      </c>
      <c r="AD123">
        <f>HYPERLINK("https://klasma.github.io/Logging_2180/tillsynsmail/A 28546-2026 tillsynsbegäran mail.docx", "A 28546-2026")</f>
        <v/>
      </c>
      <c r="AE123">
        <f>HYPERLINK("https://klasma.github.io/Logging_2180/fåglar/A 28546-2026 prioriterade fågelarter.docx", "A 28546-2026")</f>
        <v/>
      </c>
    </row>
    <row r="124" ht="15" customHeight="1">
      <c r="A124" t="inlineStr">
        <is>
          <t>A 22892-2026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46224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HYPERLINK("https://klasma.github.io/Logging_2180/artfynd/A 22892-2026 artfynd.xlsx", "A 22892-2026")</f>
        <v/>
      </c>
      <c r="X124">
        <f>HYPERLINK("https://klasma.github.io/Logging_2180/kartor/A 22892-2026 karta.png", "A 22892-2026")</f>
        <v/>
      </c>
      <c r="Y124">
        <f>HYPERLINK("https://klasma.github.io/Logging_2180/kartor_geotiff/A 22892-2026 georefererad karta.tif", "A 22892-2026")</f>
        <v/>
      </c>
      <c r="AA124">
        <f>HYPERLINK("https://klasma.github.io/Logging_2180/klagomål/A 22892-2026 FSC-klagomål.docx", "A 22892-2026")</f>
        <v/>
      </c>
      <c r="AB124">
        <f>HYPERLINK("https://klasma.github.io/Logging_2180/klagomålsmail/A 22892-2026 FSC-klagomål mail.docx", "A 22892-2026")</f>
        <v/>
      </c>
      <c r="AC124">
        <f>HYPERLINK("https://klasma.github.io/Logging_2180/tillsyn/A 22892-2026 tillsynsbegäran.docx", "A 22892-2026")</f>
        <v/>
      </c>
      <c r="AD124">
        <f>HYPERLINK("https://klasma.github.io/Logging_2180/tillsynsmail/A 22892-2026 tillsynsbegäran mail.docx", "A 22892-2026")</f>
        <v/>
      </c>
      <c r="AE124">
        <f>HYPERLINK("https://klasma.github.io/Logging_2180/fåglar/A 22892-2026 prioriterade fågelarter.docx", "A 22892-2026")</f>
        <v/>
      </c>
    </row>
    <row r="125" ht="15" customHeight="1">
      <c r="A125" t="inlineStr">
        <is>
          <t>A 23003-2026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46224</v>
      </c>
      <c r="F125" t="inlineStr">
        <is>
          <t>GÄVLEBORGS LÄN</t>
        </is>
      </c>
      <c r="G125" t="inlineStr">
        <is>
          <t>GÄVLE</t>
        </is>
      </c>
      <c r="I125" t="n">
        <v>12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Tjäder</t>
        </is>
      </c>
      <c r="W125">
        <f>HYPERLINK("https://klasma.github.io/Logging_2180/artfynd/A 23003-2026 artfynd.xlsx", "A 23003-2026")</f>
        <v/>
      </c>
      <c r="X125">
        <f>HYPERLINK("https://klasma.github.io/Logging_2180/kartor/A 23003-2026 karta.png", "A 23003-2026")</f>
        <v/>
      </c>
      <c r="Y125">
        <f>HYPERLINK("https://klasma.github.io/Logging_2180/kartor_geotiff/A 23003-2026 georefererad karta.tif", "A 23003-2026")</f>
        <v/>
      </c>
      <c r="AA125">
        <f>HYPERLINK("https://klasma.github.io/Logging_2180/klagomål/A 23003-2026 FSC-klagomål.docx", "A 23003-2026")</f>
        <v/>
      </c>
      <c r="AB125">
        <f>HYPERLINK("https://klasma.github.io/Logging_2180/klagomålsmail/A 23003-2026 FSC-klagomål mail.docx", "A 23003-2026")</f>
        <v/>
      </c>
      <c r="AC125">
        <f>HYPERLINK("https://klasma.github.io/Logging_2180/tillsyn/A 23003-2026 tillsynsbegäran.docx", "A 23003-2026")</f>
        <v/>
      </c>
      <c r="AD125">
        <f>HYPERLINK("https://klasma.github.io/Logging_2180/tillsynsmail/A 23003-2026 tillsynsbegäran mail.docx", "A 23003-2026")</f>
        <v/>
      </c>
      <c r="AE125">
        <f>HYPERLINK("https://klasma.github.io/Logging_2180/fåglar/A 23003-2026 prioriterade fågelarter.docx", "A 23003-2026")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46224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Dofttaggsvamp</t>
        </is>
      </c>
      <c r="W126">
        <f>HYPERLINK("https://klasma.github.io/Logging_2180/artfynd/A 18216-2024 artfynd.xlsx", "A 18216-2024")</f>
        <v/>
      </c>
      <c r="X126">
        <f>HYPERLINK("https://klasma.github.io/Logging_2180/kartor/A 18216-2024 karta.png", "A 18216-2024")</f>
        <v/>
      </c>
      <c r="Y126">
        <f>HYPERLINK("https://klasma.github.io/Logging_2180/kartor_geotiff/A 18216-2024 georefererad karta.tif", "A 18216-2024")</f>
        <v/>
      </c>
      <c r="AA126">
        <f>HYPERLINK("https://klasma.github.io/Logging_2180/klagomål/A 18216-2024 FSC-klagomål.docx", "A 18216-2024")</f>
        <v/>
      </c>
      <c r="AB126">
        <f>HYPERLINK("https://klasma.github.io/Logging_2180/klagomålsmail/A 18216-2024 FSC-klagomål mail.docx", "A 18216-2024")</f>
        <v/>
      </c>
      <c r="AC126">
        <f>HYPERLINK("https://klasma.github.io/Logging_2180/tillsyn/A 18216-2024 tillsynsbegäran.docx", "A 18216-2024")</f>
        <v/>
      </c>
      <c r="AD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46224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t="n">
        <v>10</v>
      </c>
      <c r="V127" s="2" t="inlineStr">
        <is>
          <t>Knärot</t>
        </is>
      </c>
      <c r="W127">
        <f>HYPERLINK("https://klasma.github.io/Logging_2180/artfynd/A 37927-2022 artfynd.xlsx", "A 37927-2022")</f>
        <v/>
      </c>
      <c r="X127">
        <f>HYPERLINK("https://klasma.github.io/Logging_2180/kartor/A 37927-2022 karta.png", "A 37927-2022")</f>
        <v/>
      </c>
      <c r="Y127">
        <f>HYPERLINK("https://klasma.github.io/Logging_2180/kartor_geotiff/A 37927-2022 georefererad karta.tif", "A 37927-2022")</f>
        <v/>
      </c>
      <c r="Z127">
        <f>HYPERLINK("https://klasma.github.io/Logging_2180/knärot/A 37927-2022 karta knärot.png", "A 37927-2022")</f>
        <v/>
      </c>
      <c r="AA127">
        <f>HYPERLINK("https://klasma.github.io/Logging_2180/klagomål/A 37927-2022 FSC-klagomål.docx", "A 37927-2022")</f>
        <v/>
      </c>
      <c r="AB127">
        <f>HYPERLINK("https://klasma.github.io/Logging_2180/klagomålsmail/A 37927-2022 FSC-klagomål mail.docx", "A 37927-2022")</f>
        <v/>
      </c>
      <c r="AC127">
        <f>HYPERLINK("https://klasma.github.io/Logging_2180/tillsyn/A 37927-2022 tillsynsbegäran.docx", "A 37927-2022")</f>
        <v/>
      </c>
      <c r="AD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46224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31448-2026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46217</v>
      </c>
      <c r="E129" s="1" t="n">
        <v>46224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Mindre tåtelsmygare</t>
        </is>
      </c>
      <c r="W129">
        <f>HYPERLINK("https://klasma.github.io/Logging_2180/artfynd/A 31448-2026 artfynd.xlsx", "A 31448-2026")</f>
        <v/>
      </c>
      <c r="X129">
        <f>HYPERLINK("https://klasma.github.io/Logging_2180/kartor/A 31448-2026 karta.png", "A 31448-2026")</f>
        <v/>
      </c>
      <c r="Y129">
        <f>HYPERLINK("https://klasma.github.io/Logging_2180/kartor_geotiff/A 31448-2026 georefererad karta.tif", "A 31448-2026")</f>
        <v/>
      </c>
      <c r="AA129">
        <f>HYPERLINK("https://klasma.github.io/Logging_2180/klagomål/A 31448-2026 FSC-klagomål.docx", "A 31448-2026")</f>
        <v/>
      </c>
      <c r="AB129">
        <f>HYPERLINK("https://klasma.github.io/Logging_2180/klagomålsmail/A 31448-2026 FSC-klagomål mail.docx", "A 31448-2026")</f>
        <v/>
      </c>
      <c r="AC129">
        <f>HYPERLINK("https://klasma.github.io/Logging_2180/tillsyn/A 31448-2026 tillsynsbegäran.docx", "A 31448-2026")</f>
        <v/>
      </c>
      <c r="AD129">
        <f>HYPERLINK("https://klasma.github.io/Logging_2180/tillsynsmail/A 31448-2026 tillsynsbegäran mail.docx", "A 31448-2026")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46224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46224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46224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46224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46224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46224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66494-2021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44519</v>
      </c>
      <c r="E136" s="1" t="n">
        <v>46224</v>
      </c>
      <c r="F136" t="inlineStr">
        <is>
          <t>GÄVLEBORGS LÄN</t>
        </is>
      </c>
      <c r="G136" t="inlineStr">
        <is>
          <t>GÄVLE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46224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46224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46224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46224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46224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46224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46224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46224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46224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46224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46224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46224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46224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46224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46224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46224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46224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46224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46224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46224</v>
      </c>
      <c r="F156" t="inlineStr">
        <is>
          <t>GÄVLEBORGS LÄN</t>
        </is>
      </c>
      <c r="G156" t="inlineStr">
        <is>
          <t>GÄVLE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46224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46224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46224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46224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46224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46224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46224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46224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46224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46224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46224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46224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46224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46224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46224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46224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46224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46224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46224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46224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46224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46224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46224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46224</v>
      </c>
      <c r="F180" t="inlineStr">
        <is>
          <t>GÄVLEBORGS LÄN</t>
        </is>
      </c>
      <c r="G180" t="inlineStr">
        <is>
          <t>GÄVLE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18017-2023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46224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46224</v>
      </c>
      <c r="F182" t="inlineStr">
        <is>
          <t>GÄVLEBORGS LÄN</t>
        </is>
      </c>
      <c r="G182" t="inlineStr">
        <is>
          <t>GÄVLE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46224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46224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44637</v>
      </c>
      <c r="E185" s="1" t="n">
        <v>46224</v>
      </c>
      <c r="F185" t="inlineStr">
        <is>
          <t>GÄVLEBORGS LÄN</t>
        </is>
      </c>
      <c r="G185" t="inlineStr">
        <is>
          <t>GÄVLE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14750-2022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44656</v>
      </c>
      <c r="E186" s="1" t="n">
        <v>46224</v>
      </c>
      <c r="F186" t="inlineStr">
        <is>
          <t>GÄVLEBORGS LÄN</t>
        </is>
      </c>
      <c r="G186" t="inlineStr">
        <is>
          <t>GÄVLE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45666</v>
      </c>
      <c r="E187" s="1" t="n">
        <v>46224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46224</v>
      </c>
      <c r="F188" t="inlineStr">
        <is>
          <t>GÄVLEBORGS LÄN</t>
        </is>
      </c>
      <c r="G188" t="inlineStr">
        <is>
          <t>GÄVLE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46224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46224</v>
      </c>
      <c r="F190" t="inlineStr">
        <is>
          <t>GÄVLEBORGS LÄN</t>
        </is>
      </c>
      <c r="G190" t="inlineStr">
        <is>
          <t>GÄVLE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46224</v>
      </c>
      <c r="F191" t="inlineStr">
        <is>
          <t>GÄVLEBORGS LÄN</t>
        </is>
      </c>
      <c r="G191" t="inlineStr">
        <is>
          <t>GÄVLE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45158</v>
      </c>
      <c r="E192" s="1" t="n">
        <v>46224</v>
      </c>
      <c r="F192" t="inlineStr">
        <is>
          <t>GÄVLEBORGS LÄN</t>
        </is>
      </c>
      <c r="G192" t="inlineStr">
        <is>
          <t>GÄVLE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46224</v>
      </c>
      <c r="F193" t="inlineStr">
        <is>
          <t>GÄVLEBORGS LÄN</t>
        </is>
      </c>
      <c r="G193" t="inlineStr">
        <is>
          <t>GÄVLE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46224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46224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44708</v>
      </c>
      <c r="E196" s="1" t="n">
        <v>46224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45014</v>
      </c>
      <c r="E197" s="1" t="n">
        <v>46224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46224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46224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46224</v>
      </c>
      <c r="F200" t="inlineStr">
        <is>
          <t>GÄVLEBORGS LÄN</t>
        </is>
      </c>
      <c r="G200" t="inlineStr">
        <is>
          <t>GÄVLE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46002</v>
      </c>
      <c r="E201" s="1" t="n">
        <v>46224</v>
      </c>
      <c r="F201" t="inlineStr">
        <is>
          <t>GÄVLEBORGS LÄN</t>
        </is>
      </c>
      <c r="G201" t="inlineStr">
        <is>
          <t>GÄVLE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46224</v>
      </c>
      <c r="F202" t="inlineStr">
        <is>
          <t>GÄVLEBORGS LÄN</t>
        </is>
      </c>
      <c r="G202" t="inlineStr">
        <is>
          <t>GÄVLE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46224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46224</v>
      </c>
      <c r="F204" t="inlineStr">
        <is>
          <t>GÄVLEBORGS LÄN</t>
        </is>
      </c>
      <c r="G204" t="inlineStr">
        <is>
          <t>GÄVLE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46224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44840</v>
      </c>
      <c r="E206" s="1" t="n">
        <v>46224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46224</v>
      </c>
      <c r="F207" t="inlineStr">
        <is>
          <t>GÄVLEBORGS LÄN</t>
        </is>
      </c>
      <c r="G207" t="inlineStr">
        <is>
          <t>GÄVLE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45790</v>
      </c>
      <c r="E208" s="1" t="n">
        <v>46224</v>
      </c>
      <c r="F208" t="inlineStr">
        <is>
          <t>GÄVLEBORGS LÄN</t>
        </is>
      </c>
      <c r="G208" t="inlineStr">
        <is>
          <t>GÄVLE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23324-2025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46224</v>
      </c>
      <c r="F209" t="inlineStr">
        <is>
          <t>GÄVLEBORGS LÄN</t>
        </is>
      </c>
      <c r="G209" t="inlineStr">
        <is>
          <t>GÄVLE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45104</v>
      </c>
      <c r="E210" s="1" t="n">
        <v>46224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46224</v>
      </c>
      <c r="F211" t="inlineStr">
        <is>
          <t>GÄVLEBORGS LÄN</t>
        </is>
      </c>
      <c r="G211" t="inlineStr">
        <is>
          <t>GÄVLE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45790</v>
      </c>
      <c r="E212" s="1" t="n">
        <v>46224</v>
      </c>
      <c r="F212" t="inlineStr">
        <is>
          <t>GÄVLEBORGS LÄN</t>
        </is>
      </c>
      <c r="G212" t="inlineStr">
        <is>
          <t>GÄVLE</t>
        </is>
      </c>
      <c r="I212" t="n">
        <v>20.8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45660</v>
      </c>
      <c r="E213" s="1" t="n">
        <v>46224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46224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44942</v>
      </c>
      <c r="E215" s="1" t="n">
        <v>46224</v>
      </c>
      <c r="F215" t="inlineStr">
        <is>
          <t>GÄVLEBORGS LÄN</t>
        </is>
      </c>
      <c r="G215" t="inlineStr">
        <is>
          <t>GÄVLE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46224</v>
      </c>
      <c r="F216" t="inlineStr">
        <is>
          <t>GÄVLEBORGS LÄN</t>
        </is>
      </c>
      <c r="G216" t="inlineStr">
        <is>
          <t>GÄVLE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46224</v>
      </c>
      <c r="F217" t="inlineStr">
        <is>
          <t>GÄVLEBORGS LÄN</t>
        </is>
      </c>
      <c r="G217" t="inlineStr">
        <is>
          <t>GÄVLE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46224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45797</v>
      </c>
      <c r="E219" s="1" t="n">
        <v>46224</v>
      </c>
      <c r="F219" t="inlineStr">
        <is>
          <t>GÄVLEBORGS LÄN</t>
        </is>
      </c>
      <c r="G219" t="inlineStr">
        <is>
          <t>GÄVLE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46224</v>
      </c>
      <c r="F220" t="inlineStr">
        <is>
          <t>GÄVLEBORGS LÄN</t>
        </is>
      </c>
      <c r="G220" t="inlineStr">
        <is>
          <t>GÄVLE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19095-2022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44691</v>
      </c>
      <c r="E221" s="1" t="n">
        <v>46224</v>
      </c>
      <c r="F221" t="inlineStr">
        <is>
          <t>GÄVLEBORGS LÄN</t>
        </is>
      </c>
      <c r="G221" t="inlineStr">
        <is>
          <t>GÄVLE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46224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46224</v>
      </c>
      <c r="F223" t="inlineStr">
        <is>
          <t>GÄVLEBORGS LÄN</t>
        </is>
      </c>
      <c r="G223" t="inlineStr">
        <is>
          <t>GÄVLE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45505</v>
      </c>
      <c r="E224" s="1" t="n">
        <v>46224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46224</v>
      </c>
      <c r="F225" t="inlineStr">
        <is>
          <t>GÄVLEBORGS LÄN</t>
        </is>
      </c>
      <c r="G225" t="inlineStr">
        <is>
          <t>GÄVLE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46224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46224</v>
      </c>
      <c r="F227" t="inlineStr">
        <is>
          <t>GÄVLEBORGS LÄN</t>
        </is>
      </c>
      <c r="G227" t="inlineStr">
        <is>
          <t>GÄVLE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46224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46224</v>
      </c>
      <c r="F229" t="inlineStr">
        <is>
          <t>GÄVLEBORGS LÄN</t>
        </is>
      </c>
      <c r="G229" t="inlineStr">
        <is>
          <t>GÄVLE</t>
        </is>
      </c>
      <c r="H229" t="inlineStr">
        <is>
          <t>Kyrkan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40297-2025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45895</v>
      </c>
      <c r="E230" s="1" t="n">
        <v>46224</v>
      </c>
      <c r="F230" t="inlineStr">
        <is>
          <t>GÄVLEBORGS LÄN</t>
        </is>
      </c>
      <c r="G230" t="inlineStr">
        <is>
          <t>GÄVLE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45665</v>
      </c>
      <c r="E231" s="1" t="n">
        <v>46224</v>
      </c>
      <c r="F231" t="inlineStr">
        <is>
          <t>GÄVLEBORGS LÄN</t>
        </is>
      </c>
      <c r="G231" t="inlineStr">
        <is>
          <t>GÄVLE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46224</v>
      </c>
      <c r="F232" t="inlineStr">
        <is>
          <t>GÄVLEBORGS LÄN</t>
        </is>
      </c>
      <c r="G232" t="inlineStr">
        <is>
          <t>GÄVLE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46224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44756</v>
      </c>
      <c r="E234" s="1" t="n">
        <v>46224</v>
      </c>
      <c r="F234" t="inlineStr">
        <is>
          <t>GÄVLEBORGS LÄN</t>
        </is>
      </c>
      <c r="G234" t="inlineStr">
        <is>
          <t>GÄVLE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44756</v>
      </c>
      <c r="E235" s="1" t="n">
        <v>46224</v>
      </c>
      <c r="F235" t="inlineStr">
        <is>
          <t>GÄVLEBORGS LÄN</t>
        </is>
      </c>
      <c r="G235" t="inlineStr">
        <is>
          <t>GÄVLE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46224</v>
      </c>
      <c r="F236" t="inlineStr">
        <is>
          <t>GÄVLEBORGS LÄN</t>
        </is>
      </c>
      <c r="G236" t="inlineStr">
        <is>
          <t>GÄVLE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46224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44739</v>
      </c>
      <c r="E238" s="1" t="n">
        <v>46224</v>
      </c>
      <c r="F238" t="inlineStr">
        <is>
          <t>GÄVLEBORGS LÄN</t>
        </is>
      </c>
      <c r="G238" t="inlineStr">
        <is>
          <t>GÄVLE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46224</v>
      </c>
      <c r="F239" t="inlineStr">
        <is>
          <t>GÄVLEBORGS LÄN</t>
        </is>
      </c>
      <c r="G239" t="inlineStr">
        <is>
          <t>GÄVLE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46224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46224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45804</v>
      </c>
      <c r="E242" s="1" t="n">
        <v>46224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46224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46224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46224</v>
      </c>
      <c r="F245" t="inlineStr">
        <is>
          <t>GÄVLEBORGS LÄN</t>
        </is>
      </c>
      <c r="G245" t="inlineStr">
        <is>
          <t>GÄVLE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40992-2025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46224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46224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45125</v>
      </c>
      <c r="E248" s="1" t="n">
        <v>46224</v>
      </c>
      <c r="F248" t="inlineStr">
        <is>
          <t>GÄVLEBORGS LÄN</t>
        </is>
      </c>
      <c r="G248" t="inlineStr">
        <is>
          <t>GÄVLE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46224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46224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71249-2021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44539</v>
      </c>
      <c r="E251" s="1" t="n">
        <v>46224</v>
      </c>
      <c r="F251" t="inlineStr">
        <is>
          <t>GÄVLEBORGS LÄN</t>
        </is>
      </c>
      <c r="G251" t="inlineStr">
        <is>
          <t>GÄVLE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46224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46224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46224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46224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45813</v>
      </c>
      <c r="E256" s="1" t="n">
        <v>46224</v>
      </c>
      <c r="F256" t="inlineStr">
        <is>
          <t>GÄVLEBORGS LÄN</t>
        </is>
      </c>
      <c r="G256" t="inlineStr">
        <is>
          <t>GÄVLE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46224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46224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45813</v>
      </c>
      <c r="E259" s="1" t="n">
        <v>46224</v>
      </c>
      <c r="F259" t="inlineStr">
        <is>
          <t>GÄVLEBORGS LÄN</t>
        </is>
      </c>
      <c r="G259" t="inlineStr">
        <is>
          <t>GÄVLE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50871-2022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44867</v>
      </c>
      <c r="E260" s="1" t="n">
        <v>46224</v>
      </c>
      <c r="F260" t="inlineStr">
        <is>
          <t>GÄVLEBORGS LÄN</t>
        </is>
      </c>
      <c r="G260" t="inlineStr">
        <is>
          <t>GÄVLE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19424-2022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44693</v>
      </c>
      <c r="E261" s="1" t="n">
        <v>46224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46224</v>
      </c>
      <c r="F262" t="inlineStr">
        <is>
          <t>GÄVLEBORGS LÄN</t>
        </is>
      </c>
      <c r="G262" t="inlineStr">
        <is>
          <t>GÄVLE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46224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46224</v>
      </c>
      <c r="F264" t="inlineStr">
        <is>
          <t>GÄVLEBORGS LÄN</t>
        </is>
      </c>
      <c r="G264" t="inlineStr">
        <is>
          <t>GÄVLE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46224</v>
      </c>
      <c r="F265" t="inlineStr">
        <is>
          <t>GÄVLEBORGS LÄN</t>
        </is>
      </c>
      <c r="G265" t="inlineStr">
        <is>
          <t>GÄVLE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46224</v>
      </c>
      <c r="F266" t="inlineStr">
        <is>
          <t>GÄVLEBORGS LÄN</t>
        </is>
      </c>
      <c r="G266" t="inlineStr">
        <is>
          <t>GÄVLE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46224</v>
      </c>
      <c r="F267" t="inlineStr">
        <is>
          <t>GÄVLEBORGS LÄN</t>
        </is>
      </c>
      <c r="G267" t="inlineStr">
        <is>
          <t>GÄVLE</t>
        </is>
      </c>
      <c r="I267" t="n">
        <v>13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46224</v>
      </c>
      <c r="F268" t="inlineStr">
        <is>
          <t>GÄVLEBORGS LÄN</t>
        </is>
      </c>
      <c r="G268" t="inlineStr">
        <is>
          <t>GÄVLE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46224</v>
      </c>
      <c r="F269" t="inlineStr">
        <is>
          <t>GÄVLEBORGS LÄN</t>
        </is>
      </c>
      <c r="G269" t="inlineStr">
        <is>
          <t>GÄVLE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46224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46224</v>
      </c>
      <c r="F271" t="inlineStr">
        <is>
          <t>GÄVLEBORGS LÄN</t>
        </is>
      </c>
      <c r="G271" t="inlineStr">
        <is>
          <t>GÄVLE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46224</v>
      </c>
      <c r="F272" t="inlineStr">
        <is>
          <t>GÄVLEBORGS LÄN</t>
        </is>
      </c>
      <c r="G272" t="inlineStr">
        <is>
          <t>GÄVLE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45850-2025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45923</v>
      </c>
      <c r="E273" s="1" t="n">
        <v>46224</v>
      </c>
      <c r="F273" t="inlineStr">
        <is>
          <t>GÄVLEBORGS LÄN</t>
        </is>
      </c>
      <c r="G273" t="inlineStr">
        <is>
          <t>GÄVLE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46224</v>
      </c>
      <c r="F274" t="inlineStr">
        <is>
          <t>GÄVLEBORGS LÄN</t>
        </is>
      </c>
      <c r="G274" t="inlineStr">
        <is>
          <t>GÄVLE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44733</v>
      </c>
      <c r="E275" s="1" t="n">
        <v>46224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45855</v>
      </c>
      <c r="E276" s="1" t="n">
        <v>46224</v>
      </c>
      <c r="F276" t="inlineStr">
        <is>
          <t>GÄVLEBORGS LÄN</t>
        </is>
      </c>
      <c r="G276" t="inlineStr">
        <is>
          <t>GÄVLE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45645</v>
      </c>
      <c r="E277" s="1" t="n">
        <v>46224</v>
      </c>
      <c r="F277" t="inlineStr">
        <is>
          <t>GÄVLEBORGS LÄN</t>
        </is>
      </c>
      <c r="G277" t="inlineStr">
        <is>
          <t>GÄVLE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46019</v>
      </c>
      <c r="E278" s="1" t="n">
        <v>46224</v>
      </c>
      <c r="F278" t="inlineStr">
        <is>
          <t>GÄVLEBORGS LÄN</t>
        </is>
      </c>
      <c r="G278" t="inlineStr">
        <is>
          <t>GÄVLE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46224</v>
      </c>
      <c r="F279" t="inlineStr">
        <is>
          <t>GÄVLEBORGS LÄN</t>
        </is>
      </c>
      <c r="G279" t="inlineStr">
        <is>
          <t>GÄVLE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46224</v>
      </c>
      <c r="F280" t="inlineStr">
        <is>
          <t>GÄVLEBORGS LÄN</t>
        </is>
      </c>
      <c r="G280" t="inlineStr">
        <is>
          <t>GÄVLE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46224</v>
      </c>
      <c r="F281" t="inlineStr">
        <is>
          <t>GÄVLEBORGS LÄN</t>
        </is>
      </c>
      <c r="G281" t="inlineStr">
        <is>
          <t>GÄVLE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46224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45652</v>
      </c>
      <c r="E283" s="1" t="n">
        <v>46224</v>
      </c>
      <c r="F283" t="inlineStr">
        <is>
          <t>GÄVLEBORGS LÄN</t>
        </is>
      </c>
      <c r="G283" t="inlineStr">
        <is>
          <t>GÄVLE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45827</v>
      </c>
      <c r="E284" s="1" t="n">
        <v>46224</v>
      </c>
      <c r="F284" t="inlineStr">
        <is>
          <t>GÄVLEBORGS LÄN</t>
        </is>
      </c>
      <c r="G284" t="inlineStr">
        <is>
          <t>GÄVLE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46224</v>
      </c>
      <c r="F285" t="inlineStr">
        <is>
          <t>GÄVLEBORGS LÄN</t>
        </is>
      </c>
      <c r="G285" t="inlineStr">
        <is>
          <t>GÄVLE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30202-2025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45827</v>
      </c>
      <c r="E286" s="1" t="n">
        <v>46224</v>
      </c>
      <c r="F286" t="inlineStr">
        <is>
          <t>GÄVLEBORGS LÄN</t>
        </is>
      </c>
      <c r="G286" t="inlineStr">
        <is>
          <t>GÄVLE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46224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46224</v>
      </c>
      <c r="F288" t="inlineStr">
        <is>
          <t>GÄVLEBORGS LÄN</t>
        </is>
      </c>
      <c r="G288" t="inlineStr">
        <is>
          <t>GÄVLE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44823</v>
      </c>
      <c r="E289" s="1" t="n">
        <v>46224</v>
      </c>
      <c r="F289" t="inlineStr">
        <is>
          <t>GÄVLEBORGS LÄN</t>
        </is>
      </c>
      <c r="G289" t="inlineStr">
        <is>
          <t>GÄVLE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46019</v>
      </c>
      <c r="E290" s="1" t="n">
        <v>46224</v>
      </c>
      <c r="F290" t="inlineStr">
        <is>
          <t>GÄVLEBORGS LÄN</t>
        </is>
      </c>
      <c r="G290" t="inlineStr">
        <is>
          <t>GÄVLE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46224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42788-2025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46224</v>
      </c>
      <c r="F292" t="inlineStr">
        <is>
          <t>GÄVLEBORGS LÄN</t>
        </is>
      </c>
      <c r="G292" t="inlineStr">
        <is>
          <t>GÄVLE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46224</v>
      </c>
      <c r="F293" t="inlineStr">
        <is>
          <t>GÄVLEBORGS LÄN</t>
        </is>
      </c>
      <c r="G293" t="inlineStr">
        <is>
          <t>GÄVLE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46224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46224</v>
      </c>
      <c r="F295" t="inlineStr">
        <is>
          <t>GÄVLEBORGS LÄN</t>
        </is>
      </c>
      <c r="G295" t="inlineStr">
        <is>
          <t>GÄVLE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46224</v>
      </c>
      <c r="F296" t="inlineStr">
        <is>
          <t>GÄVLEBORGS LÄN</t>
        </is>
      </c>
      <c r="G296" t="inlineStr">
        <is>
          <t>GÄVLE</t>
        </is>
      </c>
      <c r="H296" t="inlineStr">
        <is>
          <t>Kyrkan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46224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45030</v>
      </c>
      <c r="E298" s="1" t="n">
        <v>46224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46224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47602-2025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46224</v>
      </c>
      <c r="F300" t="inlineStr">
        <is>
          <t>GÄVLEBORGS LÄN</t>
        </is>
      </c>
      <c r="G300" t="inlineStr">
        <is>
          <t>GÄVLE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46224</v>
      </c>
      <c r="F301" t="inlineStr">
        <is>
          <t>GÄVLEBORGS LÄN</t>
        </is>
      </c>
      <c r="G301" t="inlineStr">
        <is>
          <t>GÄVLE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46224</v>
      </c>
      <c r="F302" t="inlineStr">
        <is>
          <t>GÄVLEBORGS LÄN</t>
        </is>
      </c>
      <c r="G302" t="inlineStr">
        <is>
          <t>GÄVLE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46224</v>
      </c>
      <c r="F303" t="inlineStr">
        <is>
          <t>GÄVLEBORGS LÄN</t>
        </is>
      </c>
      <c r="G303" t="inlineStr">
        <is>
          <t>GÄVLE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45930</v>
      </c>
      <c r="E304" s="1" t="n">
        <v>46224</v>
      </c>
      <c r="F304" t="inlineStr">
        <is>
          <t>GÄVLEBORGS LÄN</t>
        </is>
      </c>
      <c r="G304" t="inlineStr">
        <is>
          <t>GÄVLE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46224</v>
      </c>
      <c r="F305" t="inlineStr">
        <is>
          <t>GÄVLEBORGS LÄN</t>
        </is>
      </c>
      <c r="G305" t="inlineStr">
        <is>
          <t>GÄVLE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46224</v>
      </c>
      <c r="F306" t="inlineStr">
        <is>
          <t>GÄVLEBORGS LÄN</t>
        </is>
      </c>
      <c r="G306" t="inlineStr">
        <is>
          <t>GÄVLE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46224</v>
      </c>
      <c r="F307" t="inlineStr">
        <is>
          <t>GÄVLEBORGS LÄN</t>
        </is>
      </c>
      <c r="G307" t="inlineStr">
        <is>
          <t>GÄVLE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42692-2025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46224</v>
      </c>
      <c r="F308" t="inlineStr">
        <is>
          <t>GÄVLEBORGS LÄN</t>
        </is>
      </c>
      <c r="G308" t="inlineStr">
        <is>
          <t>GÄVLE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46224</v>
      </c>
      <c r="F309" t="inlineStr">
        <is>
          <t>GÄVLEBORGS LÄN</t>
        </is>
      </c>
      <c r="G309" t="inlineStr">
        <is>
          <t>GÄVLE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46224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44589</v>
      </c>
      <c r="E311" s="1" t="n">
        <v>46224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45932</v>
      </c>
      <c r="E312" s="1" t="n">
        <v>46224</v>
      </c>
      <c r="F312" t="inlineStr">
        <is>
          <t>GÄVLEBORGS LÄN</t>
        </is>
      </c>
      <c r="G312" t="inlineStr">
        <is>
          <t>GÄVLE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46224</v>
      </c>
      <c r="F313" t="inlineStr">
        <is>
          <t>GÄVLEBORGS LÄN</t>
        </is>
      </c>
      <c r="G313" t="inlineStr">
        <is>
          <t>GÄVLE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46224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46224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46022</v>
      </c>
      <c r="E316" s="1" t="n">
        <v>46224</v>
      </c>
      <c r="F316" t="inlineStr">
        <is>
          <t>GÄVLEBORGS LÄN</t>
        </is>
      </c>
      <c r="G316" t="inlineStr">
        <is>
          <t>GÄVLE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48002-2025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46224</v>
      </c>
      <c r="F317" t="inlineStr">
        <is>
          <t>GÄVLEBORGS LÄN</t>
        </is>
      </c>
      <c r="G317" t="inlineStr">
        <is>
          <t>GÄVLE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46224</v>
      </c>
      <c r="F318" t="inlineStr">
        <is>
          <t>GÄVLEBORGS LÄN</t>
        </is>
      </c>
      <c r="G318" t="inlineStr">
        <is>
          <t>GÄVLE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46224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46224</v>
      </c>
      <c r="F320" t="inlineStr">
        <is>
          <t>GÄVLEBORGS LÄN</t>
        </is>
      </c>
      <c r="G320" t="inlineStr">
        <is>
          <t>GÄVLE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46224</v>
      </c>
      <c r="F321" t="inlineStr">
        <is>
          <t>GÄVLEBORGS LÄN</t>
        </is>
      </c>
      <c r="G321" t="inlineStr">
        <is>
          <t>GÄVLE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45468</v>
      </c>
      <c r="E322" s="1" t="n">
        <v>46224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35206-2024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45530</v>
      </c>
      <c r="E323" s="1" t="n">
        <v>46224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48986-2025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46224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46224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46224</v>
      </c>
      <c r="F326" t="inlineStr">
        <is>
          <t>GÄVLEBORGS LÄN</t>
        </is>
      </c>
      <c r="G326" t="inlineStr">
        <is>
          <t>GÄVLE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44369-2025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45916</v>
      </c>
      <c r="E327" s="1" t="n">
        <v>46224</v>
      </c>
      <c r="F327" t="inlineStr">
        <is>
          <t>GÄVLEBORGS LÄN</t>
        </is>
      </c>
      <c r="G327" t="inlineStr">
        <is>
          <t>GÄVLE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46224</v>
      </c>
      <c r="F328" t="inlineStr">
        <is>
          <t>GÄVLEBORGS LÄN</t>
        </is>
      </c>
      <c r="G328" t="inlineStr">
        <is>
          <t>GÄVLE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45324</v>
      </c>
      <c r="E329" s="1" t="n">
        <v>46224</v>
      </c>
      <c r="F329" t="inlineStr">
        <is>
          <t>GÄVLEBORGS LÄN</t>
        </is>
      </c>
      <c r="G329" t="inlineStr">
        <is>
          <t>GÄVLE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45940</v>
      </c>
      <c r="E330" s="1" t="n">
        <v>46224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45784</v>
      </c>
      <c r="E331" s="1" t="n">
        <v>46224</v>
      </c>
      <c r="F331" t="inlineStr">
        <is>
          <t>GÄVLEBORGS LÄN</t>
        </is>
      </c>
      <c r="G331" t="inlineStr">
        <is>
          <t>GÄVLE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46224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45672</v>
      </c>
      <c r="E333" s="1" t="n">
        <v>46224</v>
      </c>
      <c r="F333" t="inlineStr">
        <is>
          <t>GÄVLEBORGS LÄN</t>
        </is>
      </c>
      <c r="G333" t="inlineStr">
        <is>
          <t>GÄVLE</t>
        </is>
      </c>
      <c r="H333" t="inlineStr">
        <is>
          <t>Kyrkan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46224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45261</v>
      </c>
      <c r="E335" s="1" t="n">
        <v>46224</v>
      </c>
      <c r="F335" t="inlineStr">
        <is>
          <t>GÄVLEBORGS LÄN</t>
        </is>
      </c>
      <c r="G335" t="inlineStr">
        <is>
          <t>GÄVLE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46224</v>
      </c>
      <c r="F336" t="inlineStr">
        <is>
          <t>GÄVLEBORGS LÄN</t>
        </is>
      </c>
      <c r="G336" t="inlineStr">
        <is>
          <t>GÄVLE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46224</v>
      </c>
      <c r="F337" t="inlineStr">
        <is>
          <t>GÄVLEBORGS LÄN</t>
        </is>
      </c>
      <c r="G337" t="inlineStr">
        <is>
          <t>GÄVLE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46224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46224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45848</v>
      </c>
      <c r="E340" s="1" t="n">
        <v>46224</v>
      </c>
      <c r="F340" t="inlineStr">
        <is>
          <t>GÄVLEBORGS LÄN</t>
        </is>
      </c>
      <c r="G340" t="inlineStr">
        <is>
          <t>GÄVLE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46224</v>
      </c>
      <c r="F341" t="inlineStr">
        <is>
          <t>GÄVLEBORGS LÄN</t>
        </is>
      </c>
      <c r="G341" t="inlineStr">
        <is>
          <t>GÄVLE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45848</v>
      </c>
      <c r="E342" s="1" t="n">
        <v>46224</v>
      </c>
      <c r="F342" t="inlineStr">
        <is>
          <t>GÄVLEBORGS LÄN</t>
        </is>
      </c>
      <c r="G342" t="inlineStr">
        <is>
          <t>GÄVLE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45540</v>
      </c>
      <c r="E343" s="1" t="n">
        <v>46224</v>
      </c>
      <c r="F343" t="inlineStr">
        <is>
          <t>GÄVLEBORGS LÄN</t>
        </is>
      </c>
      <c r="G343" t="inlineStr">
        <is>
          <t>GÄVLE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45854</v>
      </c>
      <c r="E344" s="1" t="n">
        <v>46224</v>
      </c>
      <c r="F344" t="inlineStr">
        <is>
          <t>GÄVLEBORGS LÄN</t>
        </is>
      </c>
      <c r="G344" t="inlineStr">
        <is>
          <t>GÄVLE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17062-2023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45034</v>
      </c>
      <c r="E345" s="1" t="n">
        <v>46224</v>
      </c>
      <c r="F345" t="inlineStr">
        <is>
          <t>GÄVLEBORGS LÄN</t>
        </is>
      </c>
      <c r="G345" t="inlineStr">
        <is>
          <t>GÄVLE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51758-2025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46224</v>
      </c>
      <c r="F346" t="inlineStr">
        <is>
          <t>GÄVLEBORGS LÄN</t>
        </is>
      </c>
      <c r="G346" t="inlineStr">
        <is>
          <t>GÄVLE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45859</v>
      </c>
      <c r="E347" s="1" t="n">
        <v>46224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46224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45952</v>
      </c>
      <c r="E349" s="1" t="n">
        <v>46224</v>
      </c>
      <c r="F349" t="inlineStr">
        <is>
          <t>GÄVLEBORGS LÄN</t>
        </is>
      </c>
      <c r="G349" t="inlineStr">
        <is>
          <t>GÄVLE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45862</v>
      </c>
      <c r="E350" s="1" t="n">
        <v>46224</v>
      </c>
      <c r="F350" t="inlineStr">
        <is>
          <t>GÄVLEBORGS LÄN</t>
        </is>
      </c>
      <c r="G350" t="inlineStr">
        <is>
          <t>GÄVLE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25593-2024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45463</v>
      </c>
      <c r="E351" s="1" t="n">
        <v>46224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46224</v>
      </c>
      <c r="F352" t="inlineStr">
        <is>
          <t>GÄVLEBORGS LÄN</t>
        </is>
      </c>
      <c r="G352" t="inlineStr">
        <is>
          <t>GÄVLE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45862</v>
      </c>
      <c r="E353" s="1" t="n">
        <v>46224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45862</v>
      </c>
      <c r="E354" s="1" t="n">
        <v>46224</v>
      </c>
      <c r="F354" t="inlineStr">
        <is>
          <t>GÄVLEBORGS LÄN</t>
        </is>
      </c>
      <c r="G354" t="inlineStr">
        <is>
          <t>GÄVLE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45866</v>
      </c>
      <c r="E355" s="1" t="n">
        <v>46224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45867</v>
      </c>
      <c r="E356" s="1" t="n">
        <v>46224</v>
      </c>
      <c r="F356" t="inlineStr">
        <is>
          <t>GÄVLEBORGS LÄN</t>
        </is>
      </c>
      <c r="G356" t="inlineStr">
        <is>
          <t>GÄVLE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52970-2025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45957</v>
      </c>
      <c r="E357" s="1" t="n">
        <v>46224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44951</v>
      </c>
      <c r="E358" s="1" t="n">
        <v>46224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46224</v>
      </c>
      <c r="F359" t="inlineStr">
        <is>
          <t>GÄVLEBORGS LÄN</t>
        </is>
      </c>
      <c r="G359" t="inlineStr">
        <is>
          <t>GÄVLE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45420</v>
      </c>
      <c r="E360" s="1" t="n">
        <v>46224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45869</v>
      </c>
      <c r="E361" s="1" t="n">
        <v>46224</v>
      </c>
      <c r="F361" t="inlineStr">
        <is>
          <t>GÄVLEBORGS LÄN</t>
        </is>
      </c>
      <c r="G361" t="inlineStr">
        <is>
          <t>GÄVLE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46224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46224</v>
      </c>
      <c r="F363" t="inlineStr">
        <is>
          <t>GÄVLEBORGS LÄN</t>
        </is>
      </c>
      <c r="G363" t="inlineStr">
        <is>
          <t>GÄVLE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46224</v>
      </c>
      <c r="F364" t="inlineStr">
        <is>
          <t>GÄVLEBORGS LÄN</t>
        </is>
      </c>
      <c r="G364" t="inlineStr">
        <is>
          <t>GÄVLE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45873</v>
      </c>
      <c r="E365" s="1" t="n">
        <v>46224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44935</v>
      </c>
      <c r="E366" s="1" t="n">
        <v>46224</v>
      </c>
      <c r="F366" t="inlineStr">
        <is>
          <t>GÄVLEBORGS LÄN</t>
        </is>
      </c>
      <c r="G366" t="inlineStr">
        <is>
          <t>GÄVLE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46224</v>
      </c>
      <c r="F367" t="inlineStr">
        <is>
          <t>GÄVLEBORGS LÄN</t>
        </is>
      </c>
      <c r="G367" t="inlineStr">
        <is>
          <t>GÄVLE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46224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46224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46224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10352-2025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45720</v>
      </c>
      <c r="E371" s="1" t="n">
        <v>46224</v>
      </c>
      <c r="F371" t="inlineStr">
        <is>
          <t>GÄVLEBORGS LÄN</t>
        </is>
      </c>
      <c r="G371" t="inlineStr">
        <is>
          <t>GÄVLE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46224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45545</v>
      </c>
      <c r="E373" s="1" t="n">
        <v>46224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45967</v>
      </c>
      <c r="E374" s="1" t="n">
        <v>46224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46224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46224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46224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44960</v>
      </c>
      <c r="E378" s="1" t="n">
        <v>46224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46224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46224</v>
      </c>
      <c r="F380" t="inlineStr">
        <is>
          <t>GÄVLEBORGS LÄN</t>
        </is>
      </c>
      <c r="G380" t="inlineStr">
        <is>
          <t>GÄVLE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45084</v>
      </c>
      <c r="E381" s="1" t="n">
        <v>46224</v>
      </c>
      <c r="F381" t="inlineStr">
        <is>
          <t>GÄVLEBORGS LÄN</t>
        </is>
      </c>
      <c r="G381" t="inlineStr">
        <is>
          <t>GÄVLE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46224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55432-2025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46224</v>
      </c>
      <c r="F383" t="inlineStr">
        <is>
          <t>GÄVLEBORGS LÄN</t>
        </is>
      </c>
      <c r="G383" t="inlineStr">
        <is>
          <t>GÄVLE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38627-2025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45884</v>
      </c>
      <c r="E384" s="1" t="n">
        <v>46224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55221-2025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46224</v>
      </c>
      <c r="F385" t="inlineStr">
        <is>
          <t>GÄVLEBORGS LÄN</t>
        </is>
      </c>
      <c r="G385" t="inlineStr">
        <is>
          <t>GÄVLE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46224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876-2026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46030</v>
      </c>
      <c r="E387" s="1" t="n">
        <v>46224</v>
      </c>
      <c r="F387" t="inlineStr">
        <is>
          <t>GÄVLEBORGS LÄN</t>
        </is>
      </c>
      <c r="G387" t="inlineStr">
        <is>
          <t>GÄVLE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46224</v>
      </c>
      <c r="F388" t="inlineStr">
        <is>
          <t>GÄVLEBORGS LÄN</t>
        </is>
      </c>
      <c r="G388" t="inlineStr">
        <is>
          <t>GÄVLE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56121-2025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46224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45356</v>
      </c>
      <c r="E390" s="1" t="n">
        <v>46224</v>
      </c>
      <c r="F390" t="inlineStr">
        <is>
          <t>GÄVLEBORGS LÄN</t>
        </is>
      </c>
      <c r="G390" t="inlineStr">
        <is>
          <t>GÄVLE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65879-2021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44517</v>
      </c>
      <c r="E391" s="1" t="n">
        <v>46224</v>
      </c>
      <c r="F391" t="inlineStr">
        <is>
          <t>GÄVLEBORGS LÄN</t>
        </is>
      </c>
      <c r="G391" t="inlineStr">
        <is>
          <t>GÄVLE</t>
        </is>
      </c>
      <c r="H391" t="inlineStr">
        <is>
          <t>Kyrkan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46224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46224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56123-2025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46224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46224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46224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46224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46224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46224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70043-2021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46224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46224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45681</v>
      </c>
      <c r="E402" s="1" t="n">
        <v>46224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46224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46224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46224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46224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56776-2025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45526</v>
      </c>
      <c r="E408" s="1" t="n">
        <v>46224</v>
      </c>
      <c r="F408" t="inlineStr">
        <is>
          <t>GÄVLEBORGS LÄN</t>
        </is>
      </c>
      <c r="G408" t="inlineStr">
        <is>
          <t>GÄVLE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46224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48834-2024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46224</v>
      </c>
      <c r="F410" t="inlineStr">
        <is>
          <t>GÄVLEBORGS LÄN</t>
        </is>
      </c>
      <c r="G410" t="inlineStr">
        <is>
          <t>GÄVLE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26131-2024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45468</v>
      </c>
      <c r="E411" s="1" t="n">
        <v>46224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57341-2023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46224</v>
      </c>
      <c r="F412" t="inlineStr">
        <is>
          <t>GÄVLEBORGS LÄN</t>
        </is>
      </c>
      <c r="G412" t="inlineStr">
        <is>
          <t>GÄVLE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18162-2022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44684</v>
      </c>
      <c r="E413" s="1" t="n">
        <v>46224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46224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43780-2025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45912</v>
      </c>
      <c r="E415" s="1" t="n">
        <v>46224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46224</v>
      </c>
      <c r="F416" t="inlineStr">
        <is>
          <t>GÄVLEBORGS LÄN</t>
        </is>
      </c>
      <c r="G416" t="inlineStr">
        <is>
          <t>GÄVLE</t>
        </is>
      </c>
      <c r="I416" t="n">
        <v>9.699999999999999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46224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46224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46224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45410-2025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45922</v>
      </c>
      <c r="E420" s="1" t="n">
        <v>46224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46224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46224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58542-2025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46224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43774-2025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46224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45922</v>
      </c>
      <c r="E425" s="1" t="n">
        <v>46224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46224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46224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46224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46224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45987</v>
      </c>
      <c r="E430" s="1" t="n">
        <v>46224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46224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46224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31062-2023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45113</v>
      </c>
      <c r="E433" s="1" t="n">
        <v>46224</v>
      </c>
      <c r="F433" t="inlineStr">
        <is>
          <t>GÄVLEBORGS LÄN</t>
        </is>
      </c>
      <c r="G433" t="inlineStr">
        <is>
          <t>GÄVLE</t>
        </is>
      </c>
      <c r="H433" t="inlineStr">
        <is>
          <t>Kommuner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46224</v>
      </c>
      <c r="F434" t="inlineStr">
        <is>
          <t>GÄVLEBORGS LÄN</t>
        </is>
      </c>
      <c r="G434" t="inlineStr">
        <is>
          <t>GÄVLE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46224</v>
      </c>
      <c r="F435" t="inlineStr">
        <is>
          <t>GÄVLEBORGS LÄN</t>
        </is>
      </c>
      <c r="G435" t="inlineStr">
        <is>
          <t>GÄVLE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59627-2025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45992</v>
      </c>
      <c r="E436" s="1" t="n">
        <v>46224</v>
      </c>
      <c r="F436" t="inlineStr">
        <is>
          <t>GÄVLEBORGS LÄN</t>
        </is>
      </c>
      <c r="G436" t="inlineStr">
        <is>
          <t>GÄVLE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26249-2022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44735</v>
      </c>
      <c r="E437" s="1" t="n">
        <v>46224</v>
      </c>
      <c r="F437" t="inlineStr">
        <is>
          <t>GÄVLEBORGS LÄN</t>
        </is>
      </c>
      <c r="G437" t="inlineStr">
        <is>
          <t>GÄVLE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45223</v>
      </c>
      <c r="E438" s="1" t="n">
        <v>46224</v>
      </c>
      <c r="F438" t="inlineStr">
        <is>
          <t>GÄVLEBORGS LÄN</t>
        </is>
      </c>
      <c r="G438" t="inlineStr">
        <is>
          <t>GÄVLE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46224</v>
      </c>
      <c r="F439" t="inlineStr">
        <is>
          <t>GÄVLEBORGS LÄN</t>
        </is>
      </c>
      <c r="G439" t="inlineStr">
        <is>
          <t>GÄVLE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60364-2025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46224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45715</v>
      </c>
      <c r="E441" s="1" t="n">
        <v>46224</v>
      </c>
      <c r="F441" t="inlineStr">
        <is>
          <t>GÄVLEBORGS LÄN</t>
        </is>
      </c>
      <c r="G441" t="inlineStr">
        <is>
          <t>GÄVLE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46224</v>
      </c>
      <c r="F442" t="inlineStr">
        <is>
          <t>GÄVLEBORGS LÄN</t>
        </is>
      </c>
      <c r="G442" t="inlineStr">
        <is>
          <t>GÄVLE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45968</v>
      </c>
      <c r="E443" s="1" t="n">
        <v>46224</v>
      </c>
      <c r="F443" t="inlineStr">
        <is>
          <t>GÄVLEBORGS LÄN</t>
        </is>
      </c>
      <c r="G443" t="inlineStr">
        <is>
          <t>GÄVLE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46224</v>
      </c>
      <c r="F444" t="inlineStr">
        <is>
          <t>GÄVLEBORGS LÄN</t>
        </is>
      </c>
      <c r="G444" t="inlineStr">
        <is>
          <t>GÄVLE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44693</v>
      </c>
      <c r="E445" s="1" t="n">
        <v>46224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45401</v>
      </c>
      <c r="E446" s="1" t="n">
        <v>46224</v>
      </c>
      <c r="F446" t="inlineStr">
        <is>
          <t>GÄVLEBORGS LÄN</t>
        </is>
      </c>
      <c r="G446" t="inlineStr">
        <is>
          <t>GÄVLE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46224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46224</v>
      </c>
      <c r="F448" t="inlineStr">
        <is>
          <t>GÄVLEBORGS LÄN</t>
        </is>
      </c>
      <c r="G448" t="inlineStr">
        <is>
          <t>GÄVLE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46224</v>
      </c>
      <c r="F449" t="inlineStr">
        <is>
          <t>GÄVLEBORGS LÄN</t>
        </is>
      </c>
      <c r="G449" t="inlineStr">
        <is>
          <t>GÄVLE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45454</v>
      </c>
      <c r="E450" s="1" t="n">
        <v>46224</v>
      </c>
      <c r="F450" t="inlineStr">
        <is>
          <t>GÄVLEBORGS LÄN</t>
        </is>
      </c>
      <c r="G450" t="inlineStr">
        <is>
          <t>GÄVLE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45595</v>
      </c>
      <c r="E451" s="1" t="n">
        <v>46224</v>
      </c>
      <c r="F451" t="inlineStr">
        <is>
          <t>GÄVLEBORGS LÄN</t>
        </is>
      </c>
      <c r="G451" t="inlineStr">
        <is>
          <t>GÄVLE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14606-2025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45742</v>
      </c>
      <c r="E452" s="1" t="n">
        <v>46224</v>
      </c>
      <c r="F452" t="inlineStr">
        <is>
          <t>GÄVLEBORGS LÄN</t>
        </is>
      </c>
      <c r="G452" t="inlineStr">
        <is>
          <t>GÄVLE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46001</v>
      </c>
      <c r="E453" s="1" t="n">
        <v>46224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9.300000000000001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46549-2021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44445</v>
      </c>
      <c r="E454" s="1" t="n">
        <v>46224</v>
      </c>
      <c r="F454" t="inlineStr">
        <is>
          <t>GÄVLEBORGS LÄN</t>
        </is>
      </c>
      <c r="G454" t="inlineStr">
        <is>
          <t>GÄVLE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46224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44585</v>
      </c>
      <c r="E456" s="1" t="n">
        <v>46224</v>
      </c>
      <c r="F456" t="inlineStr">
        <is>
          <t>GÄVLEBORGS LÄN</t>
        </is>
      </c>
      <c r="G456" t="inlineStr">
        <is>
          <t>GÄVLE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46045</v>
      </c>
      <c r="E457" s="1" t="n">
        <v>46224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46224</v>
      </c>
      <c r="F458" t="inlineStr">
        <is>
          <t>GÄVLEBORGS LÄN</t>
        </is>
      </c>
      <c r="G458" t="inlineStr">
        <is>
          <t>GÄVLE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26334-2022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44735</v>
      </c>
      <c r="E459" s="1" t="n">
        <v>46224</v>
      </c>
      <c r="F459" t="inlineStr">
        <is>
          <t>GÄVLEBORGS LÄN</t>
        </is>
      </c>
      <c r="G459" t="inlineStr">
        <is>
          <t>GÄVLE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20999-2022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44701</v>
      </c>
      <c r="E460" s="1" t="n">
        <v>46224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26.3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46224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32143-2024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45511</v>
      </c>
      <c r="E462" s="1" t="n">
        <v>46224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46224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45630</v>
      </c>
      <c r="E464" s="1" t="n">
        <v>46224</v>
      </c>
      <c r="F464" t="inlineStr">
        <is>
          <t>GÄVLEBORGS LÄN</t>
        </is>
      </c>
      <c r="G464" t="inlineStr">
        <is>
          <t>GÄVLE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46224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46052</v>
      </c>
      <c r="E466" s="1" t="n">
        <v>46224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46224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46224</v>
      </c>
      <c r="F468" t="inlineStr">
        <is>
          <t>GÄVLEBORGS LÄN</t>
        </is>
      </c>
      <c r="G468" t="inlineStr">
        <is>
          <t>GÄVLE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46224</v>
      </c>
      <c r="F469" t="inlineStr">
        <is>
          <t>GÄVLEBORGS LÄN</t>
        </is>
      </c>
      <c r="G469" t="inlineStr">
        <is>
          <t>GÄVLE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46224</v>
      </c>
      <c r="F470" t="inlineStr">
        <is>
          <t>GÄVLEBORGS LÄN</t>
        </is>
      </c>
      <c r="G470" t="inlineStr">
        <is>
          <t>GÄVLE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18168-2022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44684</v>
      </c>
      <c r="E471" s="1" t="n">
        <v>46224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46224</v>
      </c>
      <c r="F472" t="inlineStr">
        <is>
          <t>GÄVLEBORGS LÄN</t>
        </is>
      </c>
      <c r="G472" t="inlineStr">
        <is>
          <t>GÄVLE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46224</v>
      </c>
      <c r="F473" t="inlineStr">
        <is>
          <t>GÄVLEBORGS LÄN</t>
        </is>
      </c>
      <c r="G473" t="inlineStr">
        <is>
          <t>GÄVLE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46100</v>
      </c>
      <c r="E474" s="1" t="n">
        <v>46224</v>
      </c>
      <c r="F474" t="inlineStr">
        <is>
          <t>GÄVLEBORGS LÄN</t>
        </is>
      </c>
      <c r="G474" t="inlineStr">
        <is>
          <t>GÄVLE</t>
        </is>
      </c>
      <c r="H474" t="inlineStr">
        <is>
          <t>Övriga statliga verk och myndigheter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19730-2022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44694</v>
      </c>
      <c r="E475" s="1" t="n">
        <v>46224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46063</v>
      </c>
      <c r="E476" s="1" t="n">
        <v>46224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11.6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46224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45138</v>
      </c>
      <c r="E478" s="1" t="n">
        <v>46224</v>
      </c>
      <c r="F478" t="inlineStr">
        <is>
          <t>GÄVLEBORGS LÄN</t>
        </is>
      </c>
      <c r="G478" t="inlineStr">
        <is>
          <t>GÄVLE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46224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46224</v>
      </c>
      <c r="F480" t="inlineStr">
        <is>
          <t>GÄVLEBORGS LÄN</t>
        </is>
      </c>
      <c r="G480" t="inlineStr">
        <is>
          <t>GÄVLE</t>
        </is>
      </c>
      <c r="H480" t="inlineStr">
        <is>
          <t>Kyrkan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46224</v>
      </c>
      <c r="F481" t="inlineStr">
        <is>
          <t>GÄVLEBORGS LÄN</t>
        </is>
      </c>
      <c r="G481" t="inlineStr">
        <is>
          <t>GÄVLE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46224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46224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44951</v>
      </c>
      <c r="E484" s="1" t="n">
        <v>46224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44951</v>
      </c>
      <c r="E485" s="1" t="n">
        <v>46224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8558-2026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46065</v>
      </c>
      <c r="E486" s="1" t="n">
        <v>46224</v>
      </c>
      <c r="F486" t="inlineStr">
        <is>
          <t>GÄVLEBORGS LÄN</t>
        </is>
      </c>
      <c r="G486" t="inlineStr">
        <is>
          <t>GÄVLE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9129-2026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46069</v>
      </c>
      <c r="E487" s="1" t="n">
        <v>46224</v>
      </c>
      <c r="F487" t="inlineStr">
        <is>
          <t>GÄVLEBORGS LÄN</t>
        </is>
      </c>
      <c r="G487" t="inlineStr">
        <is>
          <t>GÄVLE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59322-2022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46224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44962</v>
      </c>
      <c r="E489" s="1" t="n">
        <v>46224</v>
      </c>
      <c r="F489" t="inlineStr">
        <is>
          <t>GÄVLEBORGS LÄN</t>
        </is>
      </c>
      <c r="G489" t="inlineStr">
        <is>
          <t>GÄVLE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45660</v>
      </c>
      <c r="E490" s="1" t="n">
        <v>46224</v>
      </c>
      <c r="F490" t="inlineStr">
        <is>
          <t>GÄVLEBORGS LÄN</t>
        </is>
      </c>
      <c r="G490" t="inlineStr">
        <is>
          <t>GÄVLE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46224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46224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46224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10063-2026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46073</v>
      </c>
      <c r="E494" s="1" t="n">
        <v>46224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46224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46224</v>
      </c>
      <c r="F496" t="inlineStr">
        <is>
          <t>GÄVLEBORGS LÄN</t>
        </is>
      </c>
      <c r="G496" t="inlineStr">
        <is>
          <t>GÄVLE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47108-2024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45586</v>
      </c>
      <c r="E497" s="1" t="n">
        <v>46224</v>
      </c>
      <c r="F497" t="inlineStr">
        <is>
          <t>GÄVLEBORGS LÄN</t>
        </is>
      </c>
      <c r="G497" t="inlineStr">
        <is>
          <t>GÄVLE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46224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21300-2024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45440</v>
      </c>
      <c r="E499" s="1" t="n">
        <v>46224</v>
      </c>
      <c r="F499" t="inlineStr">
        <is>
          <t>GÄVLEBORGS LÄN</t>
        </is>
      </c>
      <c r="G499" t="inlineStr">
        <is>
          <t>GÄVLE</t>
        </is>
      </c>
      <c r="I499" t="n">
        <v>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45203</v>
      </c>
      <c r="E500" s="1" t="n">
        <v>46224</v>
      </c>
      <c r="F500" t="inlineStr">
        <is>
          <t>GÄVLEBORGS LÄN</t>
        </is>
      </c>
      <c r="G500" t="inlineStr">
        <is>
          <t>GÄVLE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45632</v>
      </c>
      <c r="E501" s="1" t="n">
        <v>46224</v>
      </c>
      <c r="F501" t="inlineStr">
        <is>
          <t>GÄVLEBORGS LÄN</t>
        </is>
      </c>
      <c r="G501" t="inlineStr">
        <is>
          <t>GÄVLE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46224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52495-2021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44466</v>
      </c>
      <c r="E503" s="1" t="n">
        <v>46224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46076</v>
      </c>
      <c r="E504" s="1" t="n">
        <v>46224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46224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45666</v>
      </c>
      <c r="E506" s="1" t="n">
        <v>46224</v>
      </c>
      <c r="F506" t="inlineStr">
        <is>
          <t>GÄVLEBORGS LÄN</t>
        </is>
      </c>
      <c r="G506" t="inlineStr">
        <is>
          <t>GÄVLE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46224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20689-2024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45436</v>
      </c>
      <c r="E508" s="1" t="n">
        <v>46224</v>
      </c>
      <c r="F508" t="inlineStr">
        <is>
          <t>GÄVLEBORGS LÄN</t>
        </is>
      </c>
      <c r="G508" t="inlineStr">
        <is>
          <t>GÄVLE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46224</v>
      </c>
      <c r="F509" t="inlineStr">
        <is>
          <t>GÄVLEBORGS LÄN</t>
        </is>
      </c>
      <c r="G509" t="inlineStr">
        <is>
          <t>GÄVLE</t>
        </is>
      </c>
      <c r="H509" t="inlineStr">
        <is>
          <t>Kommuner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45120</v>
      </c>
      <c r="E510" s="1" t="n">
        <v>46224</v>
      </c>
      <c r="F510" t="inlineStr">
        <is>
          <t>GÄVLEBORGS LÄN</t>
        </is>
      </c>
      <c r="G510" t="inlineStr">
        <is>
          <t>GÄVLE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46224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11926-2026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46085</v>
      </c>
      <c r="E512" s="1" t="n">
        <v>46224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46224</v>
      </c>
      <c r="F513" t="inlineStr">
        <is>
          <t>GÄVLEBORGS LÄN</t>
        </is>
      </c>
      <c r="G513" t="inlineStr">
        <is>
          <t>GÄVLE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46224</v>
      </c>
      <c r="F514" t="inlineStr">
        <is>
          <t>GÄVLEBORGS LÄN</t>
        </is>
      </c>
      <c r="G514" t="inlineStr">
        <is>
          <t>GÄVLE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64868-2023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45282</v>
      </c>
      <c r="E515" s="1" t="n">
        <v>46224</v>
      </c>
      <c r="F515" t="inlineStr">
        <is>
          <t>GÄVLEBORGS LÄN</t>
        </is>
      </c>
      <c r="G515" t="inlineStr">
        <is>
          <t>GÄVLE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45672</v>
      </c>
      <c r="E516" s="1" t="n">
        <v>46224</v>
      </c>
      <c r="F516" t="inlineStr">
        <is>
          <t>GÄVLEBORGS LÄN</t>
        </is>
      </c>
      <c r="G516" t="inlineStr">
        <is>
          <t>GÄVLE</t>
        </is>
      </c>
      <c r="H516" t="inlineStr">
        <is>
          <t>Kyrkan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61016-2024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46224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18361-2024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45422</v>
      </c>
      <c r="E518" s="1" t="n">
        <v>46224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12948-2026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46224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38495-2023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46224</v>
      </c>
      <c r="F520" t="inlineStr">
        <is>
          <t>GÄVLEBORGS LÄN</t>
        </is>
      </c>
      <c r="G520" t="inlineStr">
        <is>
          <t>GÄVLE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46091</v>
      </c>
      <c r="E521" s="1" t="n">
        <v>46224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46224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46224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46224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45058</v>
      </c>
      <c r="E525" s="1" t="n">
        <v>46224</v>
      </c>
      <c r="F525" t="inlineStr">
        <is>
          <t>GÄVLEBORGS LÄN</t>
        </is>
      </c>
      <c r="G525" t="inlineStr">
        <is>
          <t>GÄVLE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13498-2026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46224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13317-2026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46224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46224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46224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44586</v>
      </c>
      <c r="E530" s="1" t="n">
        <v>46224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46224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46224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46224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13389-2026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46224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46224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46224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13527-2026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46224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45658</v>
      </c>
      <c r="E538" s="1" t="n">
        <v>46224</v>
      </c>
      <c r="F538" t="inlineStr">
        <is>
          <t>GÄVLEBORGS LÄN</t>
        </is>
      </c>
      <c r="G538" t="inlineStr">
        <is>
          <t>GÄVLE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46095</v>
      </c>
      <c r="E539" s="1" t="n">
        <v>46224</v>
      </c>
      <c r="F539" t="inlineStr">
        <is>
          <t>GÄVLEBORGS LÄN</t>
        </is>
      </c>
      <c r="G539" t="inlineStr">
        <is>
          <t>GÄVLE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66351-2021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44518</v>
      </c>
      <c r="E540" s="1" t="n">
        <v>46224</v>
      </c>
      <c r="F540" t="inlineStr">
        <is>
          <t>GÄVLEBORGS LÄN</t>
        </is>
      </c>
      <c r="G540" t="inlineStr">
        <is>
          <t>GÄVLE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45084</v>
      </c>
      <c r="E541" s="1" t="n">
        <v>46224</v>
      </c>
      <c r="F541" t="inlineStr">
        <is>
          <t>GÄVLEBORGS LÄN</t>
        </is>
      </c>
      <c r="G541" t="inlineStr">
        <is>
          <t>GÄVLE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46098</v>
      </c>
      <c r="E542" s="1" t="n">
        <v>46224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46099</v>
      </c>
      <c r="E543" s="1" t="n">
        <v>46224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46100</v>
      </c>
      <c r="E544" s="1" t="n">
        <v>46224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29929-2022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44756</v>
      </c>
      <c r="E545" s="1" t="n">
        <v>46224</v>
      </c>
      <c r="F545" t="inlineStr">
        <is>
          <t>GÄVLEBORGS LÄN</t>
        </is>
      </c>
      <c r="G545" t="inlineStr">
        <is>
          <t>GÄVLE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38673-2024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46224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46100</v>
      </c>
      <c r="E547" s="1" t="n">
        <v>46224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14963-2026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46224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44936</v>
      </c>
      <c r="E549" s="1" t="n">
        <v>46224</v>
      </c>
      <c r="F549" t="inlineStr">
        <is>
          <t>GÄVLEBORGS LÄN</t>
        </is>
      </c>
      <c r="G549" t="inlineStr">
        <is>
          <t>GÄVLE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14583-2026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46224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46224</v>
      </c>
      <c r="F551" t="inlineStr">
        <is>
          <t>GÄVLEBORGS LÄN</t>
        </is>
      </c>
      <c r="G551" t="inlineStr">
        <is>
          <t>GÄVLE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60442-2022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44911</v>
      </c>
      <c r="E552" s="1" t="n">
        <v>46224</v>
      </c>
      <c r="F552" t="inlineStr">
        <is>
          <t>GÄVLEBORGS LÄN</t>
        </is>
      </c>
      <c r="G552" t="inlineStr">
        <is>
          <t>GÄVLE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50314-2024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46224</v>
      </c>
      <c r="F553" t="inlineStr">
        <is>
          <t>GÄVLEBORGS LÄN</t>
        </is>
      </c>
      <c r="G553" t="inlineStr">
        <is>
          <t>GÄVLE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61786-2024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45649</v>
      </c>
      <c r="E554" s="1" t="n">
        <v>46224</v>
      </c>
      <c r="F554" t="inlineStr">
        <is>
          <t>GÄVLEBORGS LÄN</t>
        </is>
      </c>
      <c r="G554" t="inlineStr">
        <is>
          <t>GÄVLE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15669-2026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46224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46224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15097-2026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46224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45320</v>
      </c>
      <c r="E558" s="1" t="n">
        <v>46224</v>
      </c>
      <c r="F558" t="inlineStr">
        <is>
          <t>GÄVLEBORGS LÄN</t>
        </is>
      </c>
      <c r="G558" t="inlineStr">
        <is>
          <t>GÄVLE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46224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15985-2026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46224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46224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46224</v>
      </c>
      <c r="F562" t="inlineStr">
        <is>
          <t>GÄVLEBORGS LÄN</t>
        </is>
      </c>
      <c r="G562" t="inlineStr">
        <is>
          <t>GÄVLE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44800-2024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45574</v>
      </c>
      <c r="E563" s="1" t="n">
        <v>46224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46224</v>
      </c>
      <c r="F564" t="inlineStr">
        <is>
          <t>GÄVLEBORGS LÄN</t>
        </is>
      </c>
      <c r="G564" t="inlineStr">
        <is>
          <t>GÄVLE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45312</v>
      </c>
      <c r="E565" s="1" t="n">
        <v>46224</v>
      </c>
      <c r="F565" t="inlineStr">
        <is>
          <t>GÄVLEBORGS LÄN</t>
        </is>
      </c>
      <c r="G565" t="inlineStr">
        <is>
          <t>GÄVLE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46224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17695-2026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46121</v>
      </c>
      <c r="E567" s="1" t="n">
        <v>46224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väst AB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46224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45257</v>
      </c>
      <c r="E569" s="1" t="n">
        <v>46224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46122</v>
      </c>
      <c r="E570" s="1" t="n">
        <v>46224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14173-2022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44651</v>
      </c>
      <c r="E571" s="1" t="n">
        <v>46224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46125</v>
      </c>
      <c r="E572" s="1" t="n">
        <v>46224</v>
      </c>
      <c r="F572" t="inlineStr">
        <is>
          <t>GÄVLEBORGS LÄN</t>
        </is>
      </c>
      <c r="G572" t="inlineStr">
        <is>
          <t>GÄVLE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46224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46224</v>
      </c>
      <c r="F574" t="inlineStr">
        <is>
          <t>GÄVLEBORGS LÄN</t>
        </is>
      </c>
      <c r="G574" t="inlineStr">
        <is>
          <t>GÄVLE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46124</v>
      </c>
      <c r="E575" s="1" t="n">
        <v>46224</v>
      </c>
      <c r="F575" t="inlineStr">
        <is>
          <t>GÄVLEBORGS LÄN</t>
        </is>
      </c>
      <c r="G575" t="inlineStr">
        <is>
          <t>GÄVLE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42876-2023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45182</v>
      </c>
      <c r="E576" s="1" t="n">
        <v>46224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22.7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46124</v>
      </c>
      <c r="E577" s="1" t="n">
        <v>46224</v>
      </c>
      <c r="F577" t="inlineStr">
        <is>
          <t>GÄVLEBORGS LÄN</t>
        </is>
      </c>
      <c r="G577" t="inlineStr">
        <is>
          <t>GÄVLE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46124</v>
      </c>
      <c r="E578" s="1" t="n">
        <v>46224</v>
      </c>
      <c r="F578" t="inlineStr">
        <is>
          <t>GÄVLEBORGS LÄN</t>
        </is>
      </c>
      <c r="G578" t="inlineStr">
        <is>
          <t>GÄVLE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46124</v>
      </c>
      <c r="E579" s="1" t="n">
        <v>46224</v>
      </c>
      <c r="F579" t="inlineStr">
        <is>
          <t>GÄVLEBORGS LÄN</t>
        </is>
      </c>
      <c r="G579" t="inlineStr">
        <is>
          <t>GÄVLE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46224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46224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18660-2026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46128</v>
      </c>
      <c r="E582" s="1" t="n">
        <v>46224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15635-2026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46224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45757</v>
      </c>
      <c r="E584" s="1" t="n">
        <v>46224</v>
      </c>
      <c r="F584" t="inlineStr">
        <is>
          <t>GÄVLEBORGS LÄN</t>
        </is>
      </c>
      <c r="G584" t="inlineStr">
        <is>
          <t>GÄVLE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14966-2026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46224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46128</v>
      </c>
      <c r="E586" s="1" t="n">
        <v>46224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18659-2026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46128</v>
      </c>
      <c r="E587" s="1" t="n">
        <v>46224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46094</v>
      </c>
      <c r="E588" s="1" t="n">
        <v>46224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15558-2026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46224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37146-2024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45539</v>
      </c>
      <c r="E590" s="1" t="n">
        <v>46224</v>
      </c>
      <c r="F590" t="inlineStr">
        <is>
          <t>GÄVLEBORGS LÄN</t>
        </is>
      </c>
      <c r="G590" t="inlineStr">
        <is>
          <t>GÄVLE</t>
        </is>
      </c>
      <c r="I590" t="n">
        <v>9.4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15568-2026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46224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45660</v>
      </c>
      <c r="E592" s="1" t="n">
        <v>46224</v>
      </c>
      <c r="F592" t="inlineStr">
        <is>
          <t>GÄVLEBORGS LÄN</t>
        </is>
      </c>
      <c r="G592" t="inlineStr">
        <is>
          <t>GÄVLE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15634-2026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46224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36.3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19087-2026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46132</v>
      </c>
      <c r="E594" s="1" t="n">
        <v>46224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19088-2026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46224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46224</v>
      </c>
      <c r="F596" t="inlineStr">
        <is>
          <t>GÄVLEBORGS LÄN</t>
        </is>
      </c>
      <c r="G596" t="inlineStr">
        <is>
          <t>GÄVLE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46224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46224</v>
      </c>
      <c r="F598" t="inlineStr">
        <is>
          <t>GÄVLEBORGS LÄN</t>
        </is>
      </c>
      <c r="G598" t="inlineStr">
        <is>
          <t>GÄVLE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19371-2026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46224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46224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46132</v>
      </c>
      <c r="E601" s="1" t="n">
        <v>46224</v>
      </c>
      <c r="F601" t="inlineStr">
        <is>
          <t>GÄVLEBORGS LÄN</t>
        </is>
      </c>
      <c r="G601" t="inlineStr">
        <is>
          <t>GÄVLE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46224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46224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46224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45673</v>
      </c>
      <c r="E605" s="1" t="n">
        <v>46224</v>
      </c>
      <c r="F605" t="inlineStr">
        <is>
          <t>GÄVLEBORGS LÄN</t>
        </is>
      </c>
      <c r="G605" t="inlineStr">
        <is>
          <t>GÄVLE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45673</v>
      </c>
      <c r="E606" s="1" t="n">
        <v>46224</v>
      </c>
      <c r="F606" t="inlineStr">
        <is>
          <t>GÄVLEBORGS LÄN</t>
        </is>
      </c>
      <c r="G606" t="inlineStr">
        <is>
          <t>GÄVLE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46224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46224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15176-2026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46224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46224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46100</v>
      </c>
      <c r="E611" s="1" t="n">
        <v>46224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46224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46134</v>
      </c>
      <c r="E613" s="1" t="n">
        <v>46224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61501-2024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46224</v>
      </c>
      <c r="F614" t="inlineStr">
        <is>
          <t>GÄVLEBORGS LÄN</t>
        </is>
      </c>
      <c r="G614" t="inlineStr">
        <is>
          <t>GÄVLE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47458-2022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44853</v>
      </c>
      <c r="E615" s="1" t="n">
        <v>46224</v>
      </c>
      <c r="F615" t="inlineStr">
        <is>
          <t>GÄVLEBORGS LÄN</t>
        </is>
      </c>
      <c r="G615" t="inlineStr">
        <is>
          <t>GÄVLE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44000-2025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45915</v>
      </c>
      <c r="E616" s="1" t="n">
        <v>46224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15324-2026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46224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46029</v>
      </c>
      <c r="E618" s="1" t="n">
        <v>46224</v>
      </c>
      <c r="F618" t="inlineStr">
        <is>
          <t>GÄVLEBORGS LÄN</t>
        </is>
      </c>
      <c r="G618" t="inlineStr">
        <is>
          <t>GÄVLE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44938-2022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44841</v>
      </c>
      <c r="E619" s="1" t="n">
        <v>46224</v>
      </c>
      <c r="F619" t="inlineStr">
        <is>
          <t>GÄVLEBORGS LÄN</t>
        </is>
      </c>
      <c r="G619" t="inlineStr">
        <is>
          <t>GÄVLE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15835-2026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46224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4402-2025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45686</v>
      </c>
      <c r="E621" s="1" t="n">
        <v>46224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45945</v>
      </c>
      <c r="E622" s="1" t="n">
        <v>46224</v>
      </c>
      <c r="F622" t="inlineStr">
        <is>
          <t>GÄVLEBORGS LÄN</t>
        </is>
      </c>
      <c r="G622" t="inlineStr">
        <is>
          <t>GÄVLE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5241-2024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45330</v>
      </c>
      <c r="E623" s="1" t="n">
        <v>46224</v>
      </c>
      <c r="F623" t="inlineStr">
        <is>
          <t>GÄVLEBORGS LÄN</t>
        </is>
      </c>
      <c r="G623" t="inlineStr">
        <is>
          <t>GÄVLE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15801-2026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46224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26094-2025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45805</v>
      </c>
      <c r="E625" s="1" t="n">
        <v>46224</v>
      </c>
      <c r="F625" t="inlineStr">
        <is>
          <t>GÄVLEBORGS LÄN</t>
        </is>
      </c>
      <c r="G625" t="inlineStr">
        <is>
          <t>GÄVLE</t>
        </is>
      </c>
      <c r="I625" t="n">
        <v>12.4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13499-2026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46224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50582-2023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45217</v>
      </c>
      <c r="E627" s="1" t="n">
        <v>46224</v>
      </c>
      <c r="F627" t="inlineStr">
        <is>
          <t>GÄVLEBORGS LÄN</t>
        </is>
      </c>
      <c r="G627" t="inlineStr">
        <is>
          <t>GÄVLE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35916-2025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45862</v>
      </c>
      <c r="E628" s="1" t="n">
        <v>46224</v>
      </c>
      <c r="F628" t="inlineStr">
        <is>
          <t>GÄVLEBORGS LÄN</t>
        </is>
      </c>
      <c r="G628" t="inlineStr">
        <is>
          <t>GÄVLE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46031</v>
      </c>
      <c r="E629" s="1" t="n">
        <v>46224</v>
      </c>
      <c r="F629" t="inlineStr">
        <is>
          <t>GÄVLEBORGS LÄN</t>
        </is>
      </c>
      <c r="G629" t="inlineStr">
        <is>
          <t>GÄVLE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9235-2022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44616</v>
      </c>
      <c r="E630" s="1" t="n">
        <v>46224</v>
      </c>
      <c r="F630" t="inlineStr">
        <is>
          <t>GÄVLEBORGS LÄN</t>
        </is>
      </c>
      <c r="G630" t="inlineStr">
        <is>
          <t>GÄVLE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15101-2025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45744</v>
      </c>
      <c r="E631" s="1" t="n">
        <v>46224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53082-2022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46224</v>
      </c>
      <c r="F632" t="inlineStr">
        <is>
          <t>GÄVLEBORGS LÄN</t>
        </is>
      </c>
      <c r="G632" t="inlineStr">
        <is>
          <t>GÄVLE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42592-2025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45905</v>
      </c>
      <c r="E633" s="1" t="n">
        <v>46224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72734-2021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44546</v>
      </c>
      <c r="E634" s="1" t="n">
        <v>46224</v>
      </c>
      <c r="F634" t="inlineStr">
        <is>
          <t>GÄVLEBORGS LÄN</t>
        </is>
      </c>
      <c r="G634" t="inlineStr">
        <is>
          <t>GÄVLE</t>
        </is>
      </c>
      <c r="H634" t="inlineStr">
        <is>
          <t>Kommuner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46224</v>
      </c>
      <c r="F635" t="inlineStr">
        <is>
          <t>GÄVLEBORGS LÄN</t>
        </is>
      </c>
      <c r="G635" t="inlineStr">
        <is>
          <t>GÄVLE</t>
        </is>
      </c>
      <c r="H635" t="inlineStr">
        <is>
          <t>Kyrkan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15536-2026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46106</v>
      </c>
      <c r="E636" s="1" t="n">
        <v>46224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46224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46107</v>
      </c>
      <c r="E638" s="1" t="n">
        <v>46224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15092-2026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46105</v>
      </c>
      <c r="E639" s="1" t="n">
        <v>46224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53432-2021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44468</v>
      </c>
      <c r="E640" s="1" t="n">
        <v>46224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15105-2025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45744</v>
      </c>
      <c r="E641" s="1" t="n">
        <v>46224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58445-2021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44488</v>
      </c>
      <c r="E642" s="1" t="n">
        <v>46224</v>
      </c>
      <c r="F642" t="inlineStr">
        <is>
          <t>GÄVLEBORGS LÄN</t>
        </is>
      </c>
      <c r="G642" t="inlineStr">
        <is>
          <t>GÄVLE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46070</v>
      </c>
      <c r="E643" s="1" t="n">
        <v>46224</v>
      </c>
      <c r="F643" t="inlineStr">
        <is>
          <t>GÄVLEBORGS LÄN</t>
        </is>
      </c>
      <c r="G643" t="inlineStr">
        <is>
          <t>GÄVLE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46224</v>
      </c>
      <c r="F644" t="inlineStr">
        <is>
          <t>GÄVLEBORGS LÄN</t>
        </is>
      </c>
      <c r="G644" t="inlineStr">
        <is>
          <t>GÄVLE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66493-2021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44519</v>
      </c>
      <c r="E645" s="1" t="n">
        <v>46224</v>
      </c>
      <c r="F645" t="inlineStr">
        <is>
          <t>GÄVLEBORGS LÄN</t>
        </is>
      </c>
      <c r="G645" t="inlineStr">
        <is>
          <t>GÄVLE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46107</v>
      </c>
      <c r="E646" s="1" t="n">
        <v>46224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46105</v>
      </c>
      <c r="E647" s="1" t="n">
        <v>46224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15.2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28375-2025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45818</v>
      </c>
      <c r="E648" s="1" t="n">
        <v>46224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11.6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9025-2026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46069</v>
      </c>
      <c r="E649" s="1" t="n">
        <v>46224</v>
      </c>
      <c r="F649" t="inlineStr">
        <is>
          <t>GÄVLEBORGS LÄN</t>
        </is>
      </c>
      <c r="G649" t="inlineStr">
        <is>
          <t>GÄVLE</t>
        </is>
      </c>
      <c r="I649" t="n">
        <v>12.7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25812-2023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46224</v>
      </c>
      <c r="F650" t="inlineStr">
        <is>
          <t>GÄVLEBORGS LÄN</t>
        </is>
      </c>
      <c r="G650" t="inlineStr">
        <is>
          <t>GÄVLE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1238-2023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44936</v>
      </c>
      <c r="E651" s="1" t="n">
        <v>46224</v>
      </c>
      <c r="F651" t="inlineStr">
        <is>
          <t>GÄVLEBORGS LÄN</t>
        </is>
      </c>
      <c r="G651" t="inlineStr">
        <is>
          <t>GÄVLE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46224</v>
      </c>
      <c r="F652" t="inlineStr">
        <is>
          <t>GÄVLEBORGS LÄN</t>
        </is>
      </c>
      <c r="G652" t="inlineStr">
        <is>
          <t>GÄVLE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45312</v>
      </c>
      <c r="E653" s="1" t="n">
        <v>46224</v>
      </c>
      <c r="F653" t="inlineStr">
        <is>
          <t>GÄVLEBORGS LÄN</t>
        </is>
      </c>
      <c r="G653" t="inlineStr">
        <is>
          <t>GÄVLE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14355-2026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46100</v>
      </c>
      <c r="E654" s="1" t="n">
        <v>46224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51071-2023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45218</v>
      </c>
      <c r="E655" s="1" t="n">
        <v>46224</v>
      </c>
      <c r="F655" t="inlineStr">
        <is>
          <t>GÄVLEBORGS LÄN</t>
        </is>
      </c>
      <c r="G655" t="inlineStr">
        <is>
          <t>GÄVLE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17113-2024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45412</v>
      </c>
      <c r="E656" s="1" t="n">
        <v>46224</v>
      </c>
      <c r="F656" t="inlineStr">
        <is>
          <t>GÄVLEBORGS LÄN</t>
        </is>
      </c>
      <c r="G656" t="inlineStr">
        <is>
          <t>GÄVLE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49401-2024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45595</v>
      </c>
      <c r="E657" s="1" t="n">
        <v>46224</v>
      </c>
      <c r="F657" t="inlineStr">
        <is>
          <t>GÄVLEBORGS LÄN</t>
        </is>
      </c>
      <c r="G657" t="inlineStr">
        <is>
          <t>GÄVLE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46539-2021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44445</v>
      </c>
      <c r="E658" s="1" t="n">
        <v>46224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64871-2023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45282</v>
      </c>
      <c r="E659" s="1" t="n">
        <v>46224</v>
      </c>
      <c r="F659" t="inlineStr">
        <is>
          <t>GÄVLEBORGS LÄN</t>
        </is>
      </c>
      <c r="G659" t="inlineStr">
        <is>
          <t>GÄVLE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64875-2023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45282</v>
      </c>
      <c r="E660" s="1" t="n">
        <v>46224</v>
      </c>
      <c r="F660" t="inlineStr">
        <is>
          <t>GÄVLEBORGS LÄN</t>
        </is>
      </c>
      <c r="G660" t="inlineStr">
        <is>
          <t>GÄVLE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64878-2023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45282</v>
      </c>
      <c r="E661" s="1" t="n">
        <v>46224</v>
      </c>
      <c r="F661" t="inlineStr">
        <is>
          <t>GÄVLEBORGS LÄN</t>
        </is>
      </c>
      <c r="G661" t="inlineStr">
        <is>
          <t>GÄVLE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6331-2022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44600</v>
      </c>
      <c r="E662" s="1" t="n">
        <v>46224</v>
      </c>
      <c r="F662" t="inlineStr">
        <is>
          <t>GÄVLEBORGS LÄN</t>
        </is>
      </c>
      <c r="G662" t="inlineStr">
        <is>
          <t>GÄVLE</t>
        </is>
      </c>
      <c r="H662" t="inlineStr">
        <is>
          <t>Kyrkan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15647-2026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46224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46140</v>
      </c>
      <c r="E664" s="1" t="n">
        <v>46224</v>
      </c>
      <c r="F664" t="inlineStr">
        <is>
          <t>GÄVLEBORGS LÄN</t>
        </is>
      </c>
      <c r="G664" t="inlineStr">
        <is>
          <t>GÄVLE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46224</v>
      </c>
      <c r="F665" t="inlineStr">
        <is>
          <t>GÄVLEBORGS LÄN</t>
        </is>
      </c>
      <c r="G665" t="inlineStr">
        <is>
          <t>GÄVLE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46077</v>
      </c>
      <c r="E666" s="1" t="n">
        <v>46224</v>
      </c>
      <c r="F666" t="inlineStr">
        <is>
          <t>GÄVLEBORGS LÄN</t>
        </is>
      </c>
      <c r="G666" t="inlineStr">
        <is>
          <t>GÄVLE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42934-2023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45182</v>
      </c>
      <c r="E667" s="1" t="n">
        <v>46224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16190-2026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46224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36638-2022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44804</v>
      </c>
      <c r="E669" s="1" t="n">
        <v>46224</v>
      </c>
      <c r="F669" t="inlineStr">
        <is>
          <t>GÄVLEBORGS LÄN</t>
        </is>
      </c>
      <c r="G669" t="inlineStr">
        <is>
          <t>GÄVLE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45628-2022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44845</v>
      </c>
      <c r="E670" s="1" t="n">
        <v>46224</v>
      </c>
      <c r="F670" t="inlineStr">
        <is>
          <t>GÄVLEBORGS LÄN</t>
        </is>
      </c>
      <c r="G670" t="inlineStr">
        <is>
          <t>GÄVLE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46111</v>
      </c>
      <c r="E671" s="1" t="n">
        <v>46224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16076-2026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46108</v>
      </c>
      <c r="E672" s="1" t="n">
        <v>46224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20736-2026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46141</v>
      </c>
      <c r="E673" s="1" t="n">
        <v>46224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60792-2024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45644</v>
      </c>
      <c r="E674" s="1" t="n">
        <v>46224</v>
      </c>
      <c r="F674" t="inlineStr">
        <is>
          <t>GÄVLEBORGS LÄN</t>
        </is>
      </c>
      <c r="G674" t="inlineStr">
        <is>
          <t>GÄVLE</t>
        </is>
      </c>
      <c r="H674" t="inlineStr">
        <is>
          <t>Kyrkan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46224</v>
      </c>
      <c r="F675" t="inlineStr">
        <is>
          <t>GÄVLEBORGS LÄN</t>
        </is>
      </c>
      <c r="G675" t="inlineStr">
        <is>
          <t>GÄVLE</t>
        </is>
      </c>
      <c r="H675" t="inlineStr">
        <is>
          <t>Kyrkan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46033</v>
      </c>
      <c r="E676" s="1" t="n">
        <v>46224</v>
      </c>
      <c r="F676" t="inlineStr">
        <is>
          <t>GÄVLEBORGS LÄN</t>
        </is>
      </c>
      <c r="G676" t="inlineStr">
        <is>
          <t>GÄVLE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20785-2026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46141</v>
      </c>
      <c r="E677" s="1" t="n">
        <v>46224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7441-2025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45705</v>
      </c>
      <c r="E678" s="1" t="n">
        <v>46224</v>
      </c>
      <c r="F678" t="inlineStr">
        <is>
          <t>GÄVLEBORGS LÄN</t>
        </is>
      </c>
      <c r="G678" t="inlineStr">
        <is>
          <t>GÄVLE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22577-2022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46224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21966-2025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45784</v>
      </c>
      <c r="E680" s="1" t="n">
        <v>46224</v>
      </c>
      <c r="F680" t="inlineStr">
        <is>
          <t>GÄVLEBORGS LÄN</t>
        </is>
      </c>
      <c r="G680" t="inlineStr">
        <is>
          <t>GÄVLE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57168-2023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45245</v>
      </c>
      <c r="E681" s="1" t="n">
        <v>46224</v>
      </c>
      <c r="F681" t="inlineStr">
        <is>
          <t>GÄVLEBORGS LÄN</t>
        </is>
      </c>
      <c r="G681" t="inlineStr">
        <is>
          <t>GÄVLE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15207-2024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45400</v>
      </c>
      <c r="E682" s="1" t="n">
        <v>46224</v>
      </c>
      <c r="F682" t="inlineStr">
        <is>
          <t>GÄVLEBORGS LÄN</t>
        </is>
      </c>
      <c r="G682" t="inlineStr">
        <is>
          <t>GÄVLE</t>
        </is>
      </c>
      <c r="I682" t="n">
        <v>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46224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20735-2026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46141</v>
      </c>
      <c r="E684" s="1" t="n">
        <v>46224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26885-2026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46224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29016-2023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45104</v>
      </c>
      <c r="E686" s="1" t="n">
        <v>46224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46224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15456-2026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46106</v>
      </c>
      <c r="E688" s="1" t="n">
        <v>46224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60396-2022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44910</v>
      </c>
      <c r="E689" s="1" t="n">
        <v>46224</v>
      </c>
      <c r="F689" t="inlineStr">
        <is>
          <t>GÄVLEBORGS LÄN</t>
        </is>
      </c>
      <c r="G689" t="inlineStr">
        <is>
          <t>GÄVLE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46224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20906-2026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46142</v>
      </c>
      <c r="E691" s="1" t="n">
        <v>46224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25276-2024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45462</v>
      </c>
      <c r="E692" s="1" t="n">
        <v>46224</v>
      </c>
      <c r="F692" t="inlineStr">
        <is>
          <t>GÄVLEBORGS LÄN</t>
        </is>
      </c>
      <c r="G692" t="inlineStr">
        <is>
          <t>GÄVLE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45660</v>
      </c>
      <c r="E693" s="1" t="n">
        <v>46224</v>
      </c>
      <c r="F693" t="inlineStr">
        <is>
          <t>GÄVLEBORGS LÄN</t>
        </is>
      </c>
      <c r="G693" t="inlineStr">
        <is>
          <t>GÄVLE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45660</v>
      </c>
      <c r="E694" s="1" t="n">
        <v>46224</v>
      </c>
      <c r="F694" t="inlineStr">
        <is>
          <t>GÄVLEBORGS LÄN</t>
        </is>
      </c>
      <c r="G694" t="inlineStr">
        <is>
          <t>GÄVLE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46224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46224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27053-2026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46224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46224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46224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20905-2026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46142</v>
      </c>
      <c r="E700" s="1" t="n">
        <v>46224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26599-2026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46224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27182-2022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44741</v>
      </c>
      <c r="E702" s="1" t="n">
        <v>46224</v>
      </c>
      <c r="F702" t="inlineStr">
        <is>
          <t>GÄVLEBORGS LÄN</t>
        </is>
      </c>
      <c r="G702" t="inlineStr">
        <is>
          <t>GÄVLE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27057-2026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46224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26600-2026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46183</v>
      </c>
      <c r="E704" s="1" t="n">
        <v>46224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46224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26658-2026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46184</v>
      </c>
      <c r="E706" s="1" t="n">
        <v>46224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26991-2026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46224</v>
      </c>
      <c r="F707" t="inlineStr">
        <is>
          <t>GÄVLEBORGS LÄN</t>
        </is>
      </c>
      <c r="G707" t="inlineStr">
        <is>
          <t>GÄVLE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46224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27046-2026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46224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46224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27055-2026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46224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46224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46224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46224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4.3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46224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46224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46224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46224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46188</v>
      </c>
      <c r="E719" s="1" t="n">
        <v>46224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8031-2024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45350</v>
      </c>
      <c r="E720" s="1" t="n">
        <v>46224</v>
      </c>
      <c r="F720" t="inlineStr">
        <is>
          <t>GÄVLEBORGS LÄN</t>
        </is>
      </c>
      <c r="G720" t="inlineStr">
        <is>
          <t>GÄVLE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61351-2021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44498</v>
      </c>
      <c r="E721" s="1" t="n">
        <v>46224</v>
      </c>
      <c r="F721" t="inlineStr">
        <is>
          <t>GÄVLEBORGS LÄN</t>
        </is>
      </c>
      <c r="G721" t="inlineStr">
        <is>
          <t>GÄVLE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46045</v>
      </c>
      <c r="E722" s="1" t="n">
        <v>46224</v>
      </c>
      <c r="F722" t="inlineStr">
        <is>
          <t>GÄVLEBORGS LÄN</t>
        </is>
      </c>
      <c r="G722" t="inlineStr">
        <is>
          <t>GÄVLE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46224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53281-2024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45614</v>
      </c>
      <c r="E724" s="1" t="n">
        <v>46224</v>
      </c>
      <c r="F724" t="inlineStr">
        <is>
          <t>GÄVLEBORGS LÄN</t>
        </is>
      </c>
      <c r="G724" t="inlineStr">
        <is>
          <t>GÄVLE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21364-2026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46147</v>
      </c>
      <c r="E725" s="1" t="n">
        <v>46224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60879-2023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45261</v>
      </c>
      <c r="E726" s="1" t="n">
        <v>46224</v>
      </c>
      <c r="F726" t="inlineStr">
        <is>
          <t>GÄVLEBORGS LÄN</t>
        </is>
      </c>
      <c r="G726" t="inlineStr">
        <is>
          <t>GÄVLE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27361-2026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46188</v>
      </c>
      <c r="E727" s="1" t="n">
        <v>46224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46224</v>
      </c>
      <c r="F728" t="inlineStr">
        <is>
          <t>GÄVLEBORGS LÄN</t>
        </is>
      </c>
      <c r="G728" t="inlineStr">
        <is>
          <t>GÄVLE</t>
        </is>
      </c>
      <c r="H728" t="inlineStr">
        <is>
          <t>Kyrkan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15312-2023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45019</v>
      </c>
      <c r="E729" s="1" t="n">
        <v>46224</v>
      </c>
      <c r="F729" t="inlineStr">
        <is>
          <t>GÄVLEBORGS LÄN</t>
        </is>
      </c>
      <c r="G729" t="inlineStr">
        <is>
          <t>GÄVLE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14707-2026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46101</v>
      </c>
      <c r="E730" s="1" t="n">
        <v>46224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16144-2026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46108</v>
      </c>
      <c r="E731" s="1" t="n">
        <v>46224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52387-2022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44874</v>
      </c>
      <c r="E732" s="1" t="n">
        <v>46224</v>
      </c>
      <c r="F732" t="inlineStr">
        <is>
          <t>GÄVLEBORGS LÄN</t>
        </is>
      </c>
      <c r="G732" t="inlineStr">
        <is>
          <t>GÄVLE</t>
        </is>
      </c>
      <c r="H732" t="inlineStr">
        <is>
          <t>Kommuner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31011-2023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45113</v>
      </c>
      <c r="E733" s="1" t="n">
        <v>46224</v>
      </c>
      <c r="F733" t="inlineStr">
        <is>
          <t>GÄVLEBORGS LÄN</t>
        </is>
      </c>
      <c r="G733" t="inlineStr">
        <is>
          <t>GÄVLE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22466-2023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45070</v>
      </c>
      <c r="E734" s="1" t="n">
        <v>46224</v>
      </c>
      <c r="F734" t="inlineStr">
        <is>
          <t>GÄVLEBORGS LÄN</t>
        </is>
      </c>
      <c r="G734" t="inlineStr">
        <is>
          <t>GÄVLE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16023-2023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45026</v>
      </c>
      <c r="E735" s="1" t="n">
        <v>46224</v>
      </c>
      <c r="F735" t="inlineStr">
        <is>
          <t>GÄVLEBORGS LÄN</t>
        </is>
      </c>
      <c r="G735" t="inlineStr">
        <is>
          <t>GÄVLE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25829-2024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45467</v>
      </c>
      <c r="E736" s="1" t="n">
        <v>46224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45702</v>
      </c>
      <c r="E737" s="1" t="n">
        <v>46224</v>
      </c>
      <c r="F737" t="inlineStr">
        <is>
          <t>GÄVLEBORGS LÄN</t>
        </is>
      </c>
      <c r="G737" t="inlineStr">
        <is>
          <t>GÄVLE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71215-2021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44539</v>
      </c>
      <c r="E738" s="1" t="n">
        <v>46224</v>
      </c>
      <c r="F738" t="inlineStr">
        <is>
          <t>GÄVLEBORGS LÄN</t>
        </is>
      </c>
      <c r="G738" t="inlineStr">
        <is>
          <t>GÄVLE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22111-2026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46153</v>
      </c>
      <c r="E739" s="1" t="n">
        <v>46224</v>
      </c>
      <c r="F739" t="inlineStr">
        <is>
          <t>GÄVLEBORGS LÄN</t>
        </is>
      </c>
      <c r="G739" t="inlineStr">
        <is>
          <t>GÄVLE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46153</v>
      </c>
      <c r="E740" s="1" t="n">
        <v>46224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väst AB</t>
        </is>
      </c>
      <c r="I740" t="n">
        <v>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28140-2026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46195</v>
      </c>
      <c r="E741" s="1" t="n">
        <v>46224</v>
      </c>
      <c r="F741" t="inlineStr">
        <is>
          <t>GÄVLEBORGS LÄN</t>
        </is>
      </c>
      <c r="G741" t="inlineStr">
        <is>
          <t>GÄVLE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45652</v>
      </c>
      <c r="E742" s="1" t="n">
        <v>46224</v>
      </c>
      <c r="F742" t="inlineStr">
        <is>
          <t>GÄVLEBORGS LÄN</t>
        </is>
      </c>
      <c r="G742" t="inlineStr">
        <is>
          <t>GÄVLE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19712-2022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44694</v>
      </c>
      <c r="E743" s="1" t="n">
        <v>46224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39509-2022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44818</v>
      </c>
      <c r="E744" s="1" t="n">
        <v>46224</v>
      </c>
      <c r="F744" t="inlineStr">
        <is>
          <t>GÄVLEBORGS LÄN</t>
        </is>
      </c>
      <c r="G744" t="inlineStr">
        <is>
          <t>GÄVLE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22053-2026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46153</v>
      </c>
      <c r="E745" s="1" t="n">
        <v>46224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30662-2022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44763</v>
      </c>
      <c r="E746" s="1" t="n">
        <v>46224</v>
      </c>
      <c r="F746" t="inlineStr">
        <is>
          <t>GÄVLEBORGS LÄN</t>
        </is>
      </c>
      <c r="G746" t="inlineStr">
        <is>
          <t>GÄVLE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45645</v>
      </c>
      <c r="E747" s="1" t="n">
        <v>46224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22075-2026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46153</v>
      </c>
      <c r="E748" s="1" t="n">
        <v>46224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37352-2024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45540</v>
      </c>
      <c r="E749" s="1" t="n">
        <v>46224</v>
      </c>
      <c r="F749" t="inlineStr">
        <is>
          <t>GÄVLEBORGS LÄN</t>
        </is>
      </c>
      <c r="G749" t="inlineStr">
        <is>
          <t>GÄVLE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17605-2025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46224</v>
      </c>
      <c r="F750" t="inlineStr">
        <is>
          <t>GÄVLEBORGS LÄN</t>
        </is>
      </c>
      <c r="G750" t="inlineStr">
        <is>
          <t>GÄVLE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45757</v>
      </c>
      <c r="E751" s="1" t="n">
        <v>46224</v>
      </c>
      <c r="F751" t="inlineStr">
        <is>
          <t>GÄVLEBORGS LÄN</t>
        </is>
      </c>
      <c r="G751" t="inlineStr">
        <is>
          <t>GÄVLE</t>
        </is>
      </c>
      <c r="I751" t="n">
        <v>7.6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22517-2026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46224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22584-2026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46224</v>
      </c>
      <c r="F753" t="inlineStr">
        <is>
          <t>GÄVLEBORGS LÄN</t>
        </is>
      </c>
      <c r="G753" t="inlineStr">
        <is>
          <t>GÄVLE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46119</v>
      </c>
      <c r="E754" s="1" t="n">
        <v>46224</v>
      </c>
      <c r="F754" t="inlineStr">
        <is>
          <t>GÄVLEBORGS LÄN</t>
        </is>
      </c>
      <c r="G754" t="inlineStr">
        <is>
          <t>GÄVLE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15158-2026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46105</v>
      </c>
      <c r="E755" s="1" t="n">
        <v>46224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22545-2026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46224</v>
      </c>
      <c r="F756" t="inlineStr">
        <is>
          <t>GÄVLEBORGS LÄN</t>
        </is>
      </c>
      <c r="G756" t="inlineStr">
        <is>
          <t>GÄVLE</t>
        </is>
      </c>
      <c r="H756" t="inlineStr">
        <is>
          <t>Kyrkan</t>
        </is>
      </c>
      <c r="I756" t="n">
        <v>10.1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28485-2026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46197</v>
      </c>
      <c r="E757" s="1" t="n">
        <v>46224</v>
      </c>
      <c r="F757" t="inlineStr">
        <is>
          <t>GÄVLEBORGS LÄN</t>
        </is>
      </c>
      <c r="G757" t="inlineStr">
        <is>
          <t>GÄVLE</t>
        </is>
      </c>
      <c r="H757" t="inlineStr">
        <is>
          <t>BillerudKorsnäs AB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56487-2023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45243</v>
      </c>
      <c r="E758" s="1" t="n">
        <v>46224</v>
      </c>
      <c r="F758" t="inlineStr">
        <is>
          <t>GÄVLEBORGS LÄN</t>
        </is>
      </c>
      <c r="G758" t="inlineStr">
        <is>
          <t>GÄVLE</t>
        </is>
      </c>
      <c r="I758" t="n">
        <v>8.699999999999999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9307-2022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44616</v>
      </c>
      <c r="E759" s="1" t="n">
        <v>46224</v>
      </c>
      <c r="F759" t="inlineStr">
        <is>
          <t>GÄVLEBORGS LÄN</t>
        </is>
      </c>
      <c r="G759" t="inlineStr">
        <is>
          <t>GÄVLE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46224</v>
      </c>
      <c r="F760" t="inlineStr">
        <is>
          <t>GÄVLEBORGS LÄN</t>
        </is>
      </c>
      <c r="G760" t="inlineStr">
        <is>
          <t>GÄVLE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46196</v>
      </c>
      <c r="E761" s="1" t="n">
        <v>46224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28331-2026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46196</v>
      </c>
      <c r="E762" s="1" t="n">
        <v>46224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46224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22354-2026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46154</v>
      </c>
      <c r="E764" s="1" t="n">
        <v>46224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22358-2026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46224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46154</v>
      </c>
      <c r="E766" s="1" t="n">
        <v>46224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46154</v>
      </c>
      <c r="E767" s="1" t="n">
        <v>46224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46224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13193-2025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45735</v>
      </c>
      <c r="E769" s="1" t="n">
        <v>46224</v>
      </c>
      <c r="F769" t="inlineStr">
        <is>
          <t>GÄVLEBORGS LÄN</t>
        </is>
      </c>
      <c r="G769" t="inlineStr">
        <is>
          <t>GÄVLE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31866-2023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45106</v>
      </c>
      <c r="E770" s="1" t="n">
        <v>46224</v>
      </c>
      <c r="F770" t="inlineStr">
        <is>
          <t>GÄVLEBORGS LÄN</t>
        </is>
      </c>
      <c r="G770" t="inlineStr">
        <is>
          <t>GÄVLE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14807-2023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45014</v>
      </c>
      <c r="E771" s="1" t="n">
        <v>46224</v>
      </c>
      <c r="F771" t="inlineStr">
        <is>
          <t>GÄVLEBORGS LÄN</t>
        </is>
      </c>
      <c r="G771" t="inlineStr">
        <is>
          <t>GÄVLE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28332-2026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46196</v>
      </c>
      <c r="E772" s="1" t="n">
        <v>46224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14666-2026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46101</v>
      </c>
      <c r="E773" s="1" t="n">
        <v>46224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15.1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22342-2026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46154</v>
      </c>
      <c r="E774" s="1" t="n">
        <v>46224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22363-2026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46154</v>
      </c>
      <c r="E775" s="1" t="n">
        <v>46224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33880-2022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44790</v>
      </c>
      <c r="E776" s="1" t="n">
        <v>46224</v>
      </c>
      <c r="F776" t="inlineStr">
        <is>
          <t>GÄVLEBORGS LÄN</t>
        </is>
      </c>
      <c r="G776" t="inlineStr">
        <is>
          <t>GÄVLE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15790-2026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46107</v>
      </c>
      <c r="E777" s="1" t="n">
        <v>46224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6370-2025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45699</v>
      </c>
      <c r="E778" s="1" t="n">
        <v>46224</v>
      </c>
      <c r="F778" t="inlineStr">
        <is>
          <t>GÄVLEBORGS LÄN</t>
        </is>
      </c>
      <c r="G778" t="inlineStr">
        <is>
          <t>GÄVLE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46224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46800-2021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44446</v>
      </c>
      <c r="E780" s="1" t="n">
        <v>46224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11691-2024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45373</v>
      </c>
      <c r="E781" s="1" t="n">
        <v>46224</v>
      </c>
      <c r="F781" t="inlineStr">
        <is>
          <t>GÄVLEBORGS LÄN</t>
        </is>
      </c>
      <c r="G781" t="inlineStr">
        <is>
          <t>GÄVLE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28656-2026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46198</v>
      </c>
      <c r="E782" s="1" t="n">
        <v>46224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28659-2026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46198</v>
      </c>
      <c r="E783" s="1" t="n">
        <v>46224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62766-2022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44885</v>
      </c>
      <c r="E784" s="1" t="n">
        <v>46224</v>
      </c>
      <c r="F784" t="inlineStr">
        <is>
          <t>GÄVLEBORGS LÄN</t>
        </is>
      </c>
      <c r="G784" t="inlineStr">
        <is>
          <t>GÄVLE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64873-2023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45282</v>
      </c>
      <c r="E785" s="1" t="n">
        <v>46224</v>
      </c>
      <c r="F785" t="inlineStr">
        <is>
          <t>GÄVLEBORGS LÄN</t>
        </is>
      </c>
      <c r="G785" t="inlineStr">
        <is>
          <t>GÄVLE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28655-2026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46224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28657-2026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46224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28658-2026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46224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15765-2026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46107</v>
      </c>
      <c r="E789" s="1" t="n">
        <v>46224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45312</v>
      </c>
      <c r="E790" s="1" t="n">
        <v>46224</v>
      </c>
      <c r="F790" t="inlineStr">
        <is>
          <t>GÄVLEBORGS LÄN</t>
        </is>
      </c>
      <c r="G790" t="inlineStr">
        <is>
          <t>GÄVLE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46224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22848-2026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46160</v>
      </c>
      <c r="E792" s="1" t="n">
        <v>46224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väst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29862-2023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46224</v>
      </c>
      <c r="F793" t="inlineStr">
        <is>
          <t>GÄVLEBORGS LÄN</t>
        </is>
      </c>
      <c r="G793" t="inlineStr">
        <is>
          <t>GÄVLE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29364-2026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46203</v>
      </c>
      <c r="E794" s="1" t="n">
        <v>46224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29333-2026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46202</v>
      </c>
      <c r="E795" s="1" t="n">
        <v>46224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22844-2026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46160</v>
      </c>
      <c r="E796" s="1" t="n">
        <v>46224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15469-2026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46106</v>
      </c>
      <c r="E797" s="1" t="n">
        <v>46224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15167-2026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46105</v>
      </c>
      <c r="E798" s="1" t="n">
        <v>46224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15711-2026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46107</v>
      </c>
      <c r="E799" s="1" t="n">
        <v>46224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24478-2023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45082</v>
      </c>
      <c r="E800" s="1" t="n">
        <v>46224</v>
      </c>
      <c r="F800" t="inlineStr">
        <is>
          <t>GÄVLEBORGS LÄN</t>
        </is>
      </c>
      <c r="G800" t="inlineStr">
        <is>
          <t>GÄVLE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46224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17088-2023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45034</v>
      </c>
      <c r="E802" s="1" t="n">
        <v>46224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22508-2026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46155</v>
      </c>
      <c r="E803" s="1" t="n">
        <v>46224</v>
      </c>
      <c r="F803" t="inlineStr">
        <is>
          <t>GÄVLEBORGS LÄN</t>
        </is>
      </c>
      <c r="G803" t="inlineStr">
        <is>
          <t>GÄVLE</t>
        </is>
      </c>
      <c r="H803" t="inlineStr">
        <is>
          <t>Kyrkan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7792-2023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44973</v>
      </c>
      <c r="E804" s="1" t="n">
        <v>46224</v>
      </c>
      <c r="F804" t="inlineStr">
        <is>
          <t>GÄVLEBORGS LÄN</t>
        </is>
      </c>
      <c r="G804" t="inlineStr">
        <is>
          <t>GÄVLE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14735-2024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45397</v>
      </c>
      <c r="E805" s="1" t="n">
        <v>46224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23117-2026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46161</v>
      </c>
      <c r="E806" s="1" t="n">
        <v>46224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35761-2022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44800</v>
      </c>
      <c r="E807" s="1" t="n">
        <v>46224</v>
      </c>
      <c r="F807" t="inlineStr">
        <is>
          <t>GÄVLEBORGS LÄN</t>
        </is>
      </c>
      <c r="G807" t="inlineStr">
        <is>
          <t>GÄVLE</t>
        </is>
      </c>
      <c r="I807" t="n">
        <v>8.199999999999999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23591-2026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46163</v>
      </c>
      <c r="E808" s="1" t="n">
        <v>46224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14974-2026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46104</v>
      </c>
      <c r="E809" s="1" t="n">
        <v>46224</v>
      </c>
      <c r="F809" t="inlineStr">
        <is>
          <t>GÄVLEBORGS LÄN</t>
        </is>
      </c>
      <c r="G809" t="inlineStr">
        <is>
          <t>GÄVLE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61918-2023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45266</v>
      </c>
      <c r="E810" s="1" t="n">
        <v>46224</v>
      </c>
      <c r="F810" t="inlineStr">
        <is>
          <t>GÄVLEBORGS LÄN</t>
        </is>
      </c>
      <c r="G810" t="inlineStr">
        <is>
          <t>GÄVLE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17245-2024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45414</v>
      </c>
      <c r="E811" s="1" t="n">
        <v>46224</v>
      </c>
      <c r="F811" t="inlineStr">
        <is>
          <t>GÄVLEBORGS LÄN</t>
        </is>
      </c>
      <c r="G811" t="inlineStr">
        <is>
          <t>GÄVLE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22968-2026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46160</v>
      </c>
      <c r="E812" s="1" t="n">
        <v>46224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29506-2026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46224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52.7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62255-2022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44922</v>
      </c>
      <c r="E814" s="1" t="n">
        <v>46224</v>
      </c>
      <c r="F814" t="inlineStr">
        <is>
          <t>GÄVLEBORGS LÄN</t>
        </is>
      </c>
      <c r="G814" t="inlineStr">
        <is>
          <t>GÄVLE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57928-2024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45631</v>
      </c>
      <c r="E815" s="1" t="n">
        <v>46224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9422-2025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45715</v>
      </c>
      <c r="E816" s="1" t="n">
        <v>46224</v>
      </c>
      <c r="F816" t="inlineStr">
        <is>
          <t>GÄVLEBORGS LÄN</t>
        </is>
      </c>
      <c r="G816" t="inlineStr">
        <is>
          <t>GÄVLE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23956-2026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46167</v>
      </c>
      <c r="E817" s="1" t="n">
        <v>46224</v>
      </c>
      <c r="F817" t="inlineStr">
        <is>
          <t>GÄVLEBORGS LÄN</t>
        </is>
      </c>
      <c r="G817" t="inlineStr">
        <is>
          <t>GÄVLE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61843-2023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45266</v>
      </c>
      <c r="E818" s="1" t="n">
        <v>46224</v>
      </c>
      <c r="F818" t="inlineStr">
        <is>
          <t>GÄVLEBORGS LÄN</t>
        </is>
      </c>
      <c r="G818" t="inlineStr">
        <is>
          <t>GÄVLE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45660</v>
      </c>
      <c r="E819" s="1" t="n">
        <v>46224</v>
      </c>
      <c r="F819" t="inlineStr">
        <is>
          <t>GÄVLEBORGS LÄN</t>
        </is>
      </c>
      <c r="G819" t="inlineStr">
        <is>
          <t>GÄVLE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33449-2024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45519</v>
      </c>
      <c r="E820" s="1" t="n">
        <v>46224</v>
      </c>
      <c r="F820" t="inlineStr">
        <is>
          <t>GÄVLEBORGS LÄN</t>
        </is>
      </c>
      <c r="G820" t="inlineStr">
        <is>
          <t>GÄVLE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35440-2023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45146</v>
      </c>
      <c r="E821" s="1" t="n">
        <v>46224</v>
      </c>
      <c r="F821" t="inlineStr">
        <is>
          <t>GÄVLEBORGS LÄN</t>
        </is>
      </c>
      <c r="G821" t="inlineStr">
        <is>
          <t>GÄVLE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3662-2022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44586</v>
      </c>
      <c r="E822" s="1" t="n">
        <v>46224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7410-2025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45705</v>
      </c>
      <c r="E823" s="1" t="n">
        <v>46224</v>
      </c>
      <c r="F823" t="inlineStr">
        <is>
          <t>GÄVLEBORGS LÄN</t>
        </is>
      </c>
      <c r="G823" t="inlineStr">
        <is>
          <t>GÄVLE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35331-2024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45530</v>
      </c>
      <c r="E824" s="1" t="n">
        <v>46224</v>
      </c>
      <c r="F824" t="inlineStr">
        <is>
          <t>GÄVLEBORGS LÄN</t>
        </is>
      </c>
      <c r="G824" t="inlineStr">
        <is>
          <t>GÄVLE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44927</v>
      </c>
      <c r="E825" s="1" t="n">
        <v>46224</v>
      </c>
      <c r="F825" t="inlineStr">
        <is>
          <t>GÄVLEBORGS LÄN</t>
        </is>
      </c>
      <c r="G825" t="inlineStr">
        <is>
          <t>GÄVLE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26281-2026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46182</v>
      </c>
      <c r="E826" s="1" t="n">
        <v>46224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väst AB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44806-2024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46224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30324-2026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46207</v>
      </c>
      <c r="E828" s="1" t="n">
        <v>46224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52250-2024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45608</v>
      </c>
      <c r="E829" s="1" t="n">
        <v>46224</v>
      </c>
      <c r="F829" t="inlineStr">
        <is>
          <t>GÄVLEBORGS LÄN</t>
        </is>
      </c>
      <c r="G829" t="inlineStr">
        <is>
          <t>GÄVLE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30875-2022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44767</v>
      </c>
      <c r="E830" s="1" t="n">
        <v>46224</v>
      </c>
      <c r="F830" t="inlineStr">
        <is>
          <t>GÄVLEBORGS LÄN</t>
        </is>
      </c>
      <c r="G830" t="inlineStr">
        <is>
          <t>GÄVLE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24172-2026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46168</v>
      </c>
      <c r="E831" s="1" t="n">
        <v>46224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24325-2026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46169</v>
      </c>
      <c r="E832" s="1" t="n">
        <v>46224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24398-2026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46169</v>
      </c>
      <c r="E833" s="1" t="n">
        <v>46224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24400-2026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46169</v>
      </c>
      <c r="E834" s="1" t="n">
        <v>46224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60349-2022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44910</v>
      </c>
      <c r="E835" s="1" t="n">
        <v>46224</v>
      </c>
      <c r="F835" t="inlineStr">
        <is>
          <t>GÄVLEBORGS LÄN</t>
        </is>
      </c>
      <c r="G835" t="inlineStr">
        <is>
          <t>GÄVLE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41100-2024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45559</v>
      </c>
      <c r="E836" s="1" t="n">
        <v>46224</v>
      </c>
      <c r="F836" t="inlineStr">
        <is>
          <t>GÄVLEBORGS LÄN</t>
        </is>
      </c>
      <c r="G836" t="inlineStr">
        <is>
          <t>GÄVLE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24295-2026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46169</v>
      </c>
      <c r="E837" s="1" t="n">
        <v>46224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24306-2026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46169</v>
      </c>
      <c r="E838" s="1" t="n">
        <v>46224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24089-2026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46168</v>
      </c>
      <c r="E839" s="1" t="n">
        <v>46224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24294-2026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46169</v>
      </c>
      <c r="E840" s="1" t="n">
        <v>46224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30600-2026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46210</v>
      </c>
      <c r="E841" s="1" t="n">
        <v>46224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24090-2026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46168</v>
      </c>
      <c r="E842" s="1" t="n">
        <v>46224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24373-2026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46169</v>
      </c>
      <c r="E843" s="1" t="n">
        <v>46224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5.5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30601-2026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46210</v>
      </c>
      <c r="E844" s="1" t="n">
        <v>46224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24099-2026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46168</v>
      </c>
      <c r="E845" s="1" t="n">
        <v>46224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35205-2024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45530</v>
      </c>
      <c r="E846" s="1" t="n">
        <v>46224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24367-2026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46169</v>
      </c>
      <c r="E847" s="1" t="n">
        <v>46224</v>
      </c>
      <c r="F847" t="inlineStr">
        <is>
          <t>GÄVLEBORGS LÄN</t>
        </is>
      </c>
      <c r="G847" t="inlineStr">
        <is>
          <t>GÄVLE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16401-2025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45751</v>
      </c>
      <c r="E848" s="1" t="n">
        <v>46224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31019-2026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46206</v>
      </c>
      <c r="E849" s="1" t="n">
        <v>46224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30951-2026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46213</v>
      </c>
      <c r="E850" s="1" t="n">
        <v>46224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30948-2026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46213</v>
      </c>
      <c r="E851" s="1" t="n">
        <v>46224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5633-2024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45334</v>
      </c>
      <c r="E852" s="1" t="n">
        <v>46224</v>
      </c>
      <c r="F852" t="inlineStr">
        <is>
          <t>GÄVLEBORGS LÄN</t>
        </is>
      </c>
      <c r="G852" t="inlineStr">
        <is>
          <t>GÄVLE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30969-2026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46213</v>
      </c>
      <c r="E853" s="1" t="n">
        <v>46224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24456-2026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46224</v>
      </c>
      <c r="F854" t="inlineStr">
        <is>
          <t>GÄVLEBORGS LÄN</t>
        </is>
      </c>
      <c r="G854" t="inlineStr">
        <is>
          <t>GÄVLE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13961-2024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45392</v>
      </c>
      <c r="E855" s="1" t="n">
        <v>46224</v>
      </c>
      <c r="F855" t="inlineStr">
        <is>
          <t>GÄVLEBORGS LÄN</t>
        </is>
      </c>
      <c r="G855" t="inlineStr">
        <is>
          <t>GÄVLE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30967-2026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46213</v>
      </c>
      <c r="E856" s="1" t="n">
        <v>46224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24810-2026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46173</v>
      </c>
      <c r="E857" s="1" t="n">
        <v>46224</v>
      </c>
      <c r="F857" t="inlineStr">
        <is>
          <t>GÄVLEBORGS LÄN</t>
        </is>
      </c>
      <c r="G857" t="inlineStr">
        <is>
          <t>GÄVLE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25466-2023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45089</v>
      </c>
      <c r="E858" s="1" t="n">
        <v>46224</v>
      </c>
      <c r="F858" t="inlineStr">
        <is>
          <t>GÄVLEBORGS LÄN</t>
        </is>
      </c>
      <c r="G858" t="inlineStr">
        <is>
          <t>GÄVLE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7060-2022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44603</v>
      </c>
      <c r="E859" s="1" t="n">
        <v>46224</v>
      </c>
      <c r="F859" t="inlineStr">
        <is>
          <t>GÄVLEBORGS LÄN</t>
        </is>
      </c>
      <c r="G859" t="inlineStr">
        <is>
          <t>GÄVLE</t>
        </is>
      </c>
      <c r="I859" t="n">
        <v>10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41708-2023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45176</v>
      </c>
      <c r="E860" s="1" t="n">
        <v>46224</v>
      </c>
      <c r="F860" t="inlineStr">
        <is>
          <t>GÄVLEBORGS LÄN</t>
        </is>
      </c>
      <c r="G860" t="inlineStr">
        <is>
          <t>GÄVLE</t>
        </is>
      </c>
      <c r="I860" t="n">
        <v>6.5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41712-2023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45176</v>
      </c>
      <c r="E861" s="1" t="n">
        <v>46224</v>
      </c>
      <c r="F861" t="inlineStr">
        <is>
          <t>GÄVLEBORGS LÄN</t>
        </is>
      </c>
      <c r="G861" t="inlineStr">
        <is>
          <t>GÄVLE</t>
        </is>
      </c>
      <c r="I861" t="n">
        <v>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5413-2023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44959</v>
      </c>
      <c r="E862" s="1" t="n">
        <v>46224</v>
      </c>
      <c r="F862" t="inlineStr">
        <is>
          <t>GÄVLEBORGS LÄN</t>
        </is>
      </c>
      <c r="G862" t="inlineStr">
        <is>
          <t>GÄVLE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31234-2026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46217</v>
      </c>
      <c r="E863" s="1" t="n">
        <v>46224</v>
      </c>
      <c r="F863" t="inlineStr">
        <is>
          <t>GÄVLEBORGS LÄN</t>
        </is>
      </c>
      <c r="G863" t="inlineStr">
        <is>
          <t>GÄVLE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4235-2025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45685</v>
      </c>
      <c r="E864" s="1" t="n">
        <v>46224</v>
      </c>
      <c r="F864" t="inlineStr">
        <is>
          <t>GÄVLEBORGS LÄN</t>
        </is>
      </c>
      <c r="G864" t="inlineStr">
        <is>
          <t>GÄVLE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24669-2026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46171</v>
      </c>
      <c r="E865" s="1" t="n">
        <v>46224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21.4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21365-2026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46147</v>
      </c>
      <c r="E866" s="1" t="n">
        <v>46224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45660</v>
      </c>
      <c r="E867" s="1" t="n">
        <v>46224</v>
      </c>
      <c r="F867" t="inlineStr">
        <is>
          <t>GÄVLEBORGS LÄN</t>
        </is>
      </c>
      <c r="G867" t="inlineStr">
        <is>
          <t>GÄVLE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56138-2023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45240</v>
      </c>
      <c r="E868" s="1" t="n">
        <v>46224</v>
      </c>
      <c r="F868" t="inlineStr">
        <is>
          <t>GÄVLEBORGS LÄN</t>
        </is>
      </c>
      <c r="G868" t="inlineStr">
        <is>
          <t>GÄVLE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25384-2026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46176</v>
      </c>
      <c r="E869" s="1" t="n">
        <v>46224</v>
      </c>
      <c r="F869" t="inlineStr">
        <is>
          <t>GÄVLEBORGS LÄN</t>
        </is>
      </c>
      <c r="G869" t="inlineStr">
        <is>
          <t>GÄVLE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33635-2024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45520</v>
      </c>
      <c r="E870" s="1" t="n">
        <v>46224</v>
      </c>
      <c r="F870" t="inlineStr">
        <is>
          <t>GÄVLEBORGS LÄN</t>
        </is>
      </c>
      <c r="G870" t="inlineStr">
        <is>
          <t>GÄVLE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33637-2024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46224</v>
      </c>
      <c r="F871" t="inlineStr">
        <is>
          <t>GÄVLEBORGS LÄN</t>
        </is>
      </c>
      <c r="G871" t="inlineStr">
        <is>
          <t>GÄVLE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25645-2023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45089</v>
      </c>
      <c r="E872" s="1" t="n">
        <v>46224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7998-2023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44973</v>
      </c>
      <c r="E873" s="1" t="n">
        <v>46224</v>
      </c>
      <c r="F873" t="inlineStr">
        <is>
          <t>GÄVLEBORGS LÄN</t>
        </is>
      </c>
      <c r="G873" t="inlineStr">
        <is>
          <t>GÄVLE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25367-2026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46176</v>
      </c>
      <c r="E874" s="1" t="n">
        <v>46224</v>
      </c>
      <c r="F874" t="inlineStr">
        <is>
          <t>GÄVLEBORGS LÄN</t>
        </is>
      </c>
      <c r="G874" t="inlineStr">
        <is>
          <t>GÄVLE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54207-2023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45232</v>
      </c>
      <c r="E875" s="1" t="n">
        <v>46224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15935-2025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45749</v>
      </c>
      <c r="E876" s="1" t="n">
        <v>46224</v>
      </c>
      <c r="F876" t="inlineStr">
        <is>
          <t>GÄVLEBORGS LÄN</t>
        </is>
      </c>
      <c r="G876" t="inlineStr">
        <is>
          <t>GÄVLE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25808-2026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46178</v>
      </c>
      <c r="E877" s="1" t="n">
        <v>46224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25814-2023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45090</v>
      </c>
      <c r="E878" s="1" t="n">
        <v>46224</v>
      </c>
      <c r="F878" t="inlineStr">
        <is>
          <t>GÄVLEBORGS LÄN</t>
        </is>
      </c>
      <c r="G878" t="inlineStr">
        <is>
          <t>GÄVLE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21367-2026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46147</v>
      </c>
      <c r="E879" s="1" t="n">
        <v>46224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14792-2023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45014</v>
      </c>
      <c r="E880" s="1" t="n">
        <v>46224</v>
      </c>
      <c r="F880" t="inlineStr">
        <is>
          <t>GÄVLEBORGS LÄN</t>
        </is>
      </c>
      <c r="G880" t="inlineStr">
        <is>
          <t>GÄVLE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25500-2026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46177</v>
      </c>
      <c r="E881" s="1" t="n">
        <v>46224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3.9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20676-2026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46141</v>
      </c>
      <c r="E882" s="1" t="n">
        <v>46224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12079-2025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45728</v>
      </c>
      <c r="E883" s="1" t="n">
        <v>46224</v>
      </c>
      <c r="F883" t="inlineStr">
        <is>
          <t>GÄVLEBORGS LÄN</t>
        </is>
      </c>
      <c r="G883" t="inlineStr">
        <is>
          <t>GÄVLE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1594-2024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45306</v>
      </c>
      <c r="E884" s="1" t="n">
        <v>46224</v>
      </c>
      <c r="F884" t="inlineStr">
        <is>
          <t>GÄVLEBORGS LÄN</t>
        </is>
      </c>
      <c r="G884" t="inlineStr">
        <is>
          <t>GÄVLE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31528-2026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46220</v>
      </c>
      <c r="E885" s="1" t="n">
        <v>46224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25513-2026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46177</v>
      </c>
      <c r="E886" s="1" t="n">
        <v>46224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62983-2023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45272</v>
      </c>
      <c r="E887" s="1" t="n">
        <v>46224</v>
      </c>
      <c r="F887" t="inlineStr">
        <is>
          <t>GÄVLEBORGS LÄN</t>
        </is>
      </c>
      <c r="G887" t="inlineStr">
        <is>
          <t>GÄVLE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26016-2026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46181</v>
      </c>
      <c r="E888" s="1" t="n">
        <v>46224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25582-2026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46224</v>
      </c>
      <c r="F889" t="inlineStr">
        <is>
          <t>GÄVLEBORGS LÄN</t>
        </is>
      </c>
      <c r="G889" t="inlineStr">
        <is>
          <t>GÄVLE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25829-2026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46178</v>
      </c>
      <c r="E890" s="1" t="n">
        <v>46224</v>
      </c>
      <c r="F890" t="inlineStr">
        <is>
          <t>GÄVLEBORGS LÄN</t>
        </is>
      </c>
      <c r="G890" t="inlineStr">
        <is>
          <t>GÄVLE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33901-2024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45523</v>
      </c>
      <c r="E891" s="1" t="n">
        <v>46224</v>
      </c>
      <c r="F891" t="inlineStr">
        <is>
          <t>GÄVLEBORGS LÄN</t>
        </is>
      </c>
      <c r="G891" t="inlineStr">
        <is>
          <t>GÄVLE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46217</v>
      </c>
      <c r="E892" s="1" t="n">
        <v>46224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25623-2026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46177</v>
      </c>
      <c r="E893" s="1" t="n">
        <v>46224</v>
      </c>
      <c r="F893" t="inlineStr">
        <is>
          <t>GÄVLEBORGS LÄN</t>
        </is>
      </c>
      <c r="G893" t="inlineStr">
        <is>
          <t>GÄVLE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20621-2025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45776</v>
      </c>
      <c r="E894" s="1" t="n">
        <v>46224</v>
      </c>
      <c r="F894" t="inlineStr">
        <is>
          <t>GÄVLEBORGS LÄN</t>
        </is>
      </c>
      <c r="G894" t="inlineStr">
        <is>
          <t>GÄVLE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45938-2024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45580</v>
      </c>
      <c r="E895" s="1" t="n">
        <v>46224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21431-2025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45782</v>
      </c>
      <c r="E896" s="1" t="n">
        <v>46224</v>
      </c>
      <c r="F896" t="inlineStr">
        <is>
          <t>GÄVLEBORGS LÄN</t>
        </is>
      </c>
      <c r="G896" t="inlineStr">
        <is>
          <t>GÄVLE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7202-2025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45702</v>
      </c>
      <c r="E897" s="1" t="n">
        <v>46224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59044-2023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45252</v>
      </c>
      <c r="E898" s="1" t="n">
        <v>46224</v>
      </c>
      <c r="F898" t="inlineStr">
        <is>
          <t>GÄVLEBORGS LÄN</t>
        </is>
      </c>
      <c r="G898" t="inlineStr">
        <is>
          <t>GÄVLE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3862-2024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45322</v>
      </c>
      <c r="E899" s="1" t="n">
        <v>46224</v>
      </c>
      <c r="F899" t="inlineStr">
        <is>
          <t>GÄVLEBORGS LÄN</t>
        </is>
      </c>
      <c r="G899" t="inlineStr">
        <is>
          <t>GÄVLE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3425-2023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45205</v>
      </c>
      <c r="E900" s="1" t="n">
        <v>46224</v>
      </c>
      <c r="F900" t="inlineStr">
        <is>
          <t>GÄVLEBORGS LÄN</t>
        </is>
      </c>
      <c r="G900" t="inlineStr">
        <is>
          <t>GÄVLE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  <c r="Z900">
        <f>HYPERLINK("https://klasma.github.io/Logging_2180/knärot/S 3425-2023 karta knärot.png", "S 3425-2023")</f>
        <v/>
      </c>
      <c r="AA900">
        <f>HYPERLINK("https://klasma.github.io/Logging_2180/klagomål/S 3425-2023 FSC-klagomål.docx", "S 3425-2023")</f>
        <v/>
      </c>
      <c r="AB900">
        <f>HYPERLINK("https://klasma.github.io/Logging_2180/klagomålsmail/S 3425-2023 FSC-klagomål mail.docx", "S 3425-2023")</f>
        <v/>
      </c>
      <c r="AC900">
        <f>HYPERLINK("https://klasma.github.io/Logging_2180/tillsyn/S 3425-2023 tillsynsbegäran.docx", "S 3425-2023")</f>
        <v/>
      </c>
      <c r="AD900">
        <f>HYPERLINK("https://klasma.github.io/Logging_2180/tillsynsmail/S 3425-2023 tillsynsbegäran mail.docx", "S 3425-2023")</f>
        <v/>
      </c>
    </row>
    <row r="901" ht="15" customHeight="1">
      <c r="A901" t="inlineStr">
        <is>
          <t>S 889-2023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44995</v>
      </c>
      <c r="E901" s="1" t="n">
        <v>46224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13.3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886-2024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45376</v>
      </c>
      <c r="E902" s="1" t="n">
        <v>46224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2464-2024</t>
        </is>
      </c>
      <c r="B903" t="inlineStr">
        <is>
          <t>samrådsanmälan</t>
        </is>
      </c>
      <c r="C903" t="inlineStr">
        <is>
          <t>Skogsbilväg</t>
        </is>
      </c>
      <c r="D903" s="1" t="n">
        <v>45470</v>
      </c>
      <c r="E903" s="1" t="n">
        <v>46224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>
      <c r="A904" t="inlineStr">
        <is>
          <t>S 644-2026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46089</v>
      </c>
      <c r="E904" s="1" t="n">
        <v>46224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29.2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2026-07-21T01:39:28Z</dcterms:created>
  <dcterms:modified xmlns:dcterms="http://purl.org/dc/terms/" xmlns:xsi="http://www.w3.org/2001/XMLSchema-instance" xsi:type="dcterms:W3CDTF">2026-07-21T01:39:29Z</dcterms:modified>
</cp:coreProperties>
</file>