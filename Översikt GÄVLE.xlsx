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59800-2023</t>
        </is>
      </c>
      <c r="B10" s="1" t="n">
        <v>45257</v>
      </c>
      <c r="C10" s="1" t="n">
        <v>45660</v>
      </c>
      <c r="D10" t="inlineStr">
        <is>
          <t>GÄVLEBORGS LÄN</t>
        </is>
      </c>
      <c r="E10" t="inlineStr">
        <is>
          <t>GÄVLE</t>
        </is>
      </c>
      <c r="G10" t="n">
        <v>6.3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Ullticka
Dropptaggsvamp
Skarp dropptaggsvamp</t>
        </is>
      </c>
      <c r="S10">
        <f>HYPERLINK("https://klasma.github.io/Logging_2180/artfynd/A 59800-2023 artfynd.xlsx", "A 59800-2023")</f>
        <v/>
      </c>
      <c r="T10">
        <f>HYPERLINK("https://klasma.github.io/Logging_2180/kartor/A 59800-2023 karta.png", "A 59800-2023")</f>
        <v/>
      </c>
      <c r="V10">
        <f>HYPERLINK("https://klasma.github.io/Logging_2180/klagomål/A 59800-2023 FSC-klagomål.docx", "A 59800-2023")</f>
        <v/>
      </c>
      <c r="W10">
        <f>HYPERLINK("https://klasma.github.io/Logging_2180/klagomålsmail/A 59800-2023 FSC-klagomål mail.docx", "A 59800-2023")</f>
        <v/>
      </c>
      <c r="X10">
        <f>HYPERLINK("https://klasma.github.io/Logging_2180/tillsyn/A 59800-2023 tillsynsbegäran.docx", "A 59800-2023")</f>
        <v/>
      </c>
      <c r="Y10">
        <f>HYPERLINK("https://klasma.github.io/Logging_2180/tillsynsmail/A 59800-2023 tillsynsbegäran mail.docx", "A 59800-2023")</f>
        <v/>
      </c>
    </row>
    <row r="11" ht="15" customHeight="1">
      <c r="A11" t="inlineStr">
        <is>
          <t>A 1100-2024</t>
        </is>
      </c>
      <c r="B11" s="1" t="n">
        <v>45302</v>
      </c>
      <c r="C11" s="1" t="n">
        <v>45660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3.9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Svart taggsvamp
Vedskivlav
Dropptaggsvamp
Vågbandad barkbock</t>
        </is>
      </c>
      <c r="S11">
        <f>HYPERLINK("https://klasma.github.io/Logging_2180/artfynd/A 1100-2024 artfynd.xlsx", "A 1100-2024")</f>
        <v/>
      </c>
      <c r="T11">
        <f>HYPERLINK("https://klasma.github.io/Logging_2180/kartor/A 1100-2024 karta.png", "A 1100-2024")</f>
        <v/>
      </c>
      <c r="V11">
        <f>HYPERLINK("https://klasma.github.io/Logging_2180/klagomål/A 1100-2024 FSC-klagomål.docx", "A 1100-2024")</f>
        <v/>
      </c>
      <c r="W11">
        <f>HYPERLINK("https://klasma.github.io/Logging_2180/klagomålsmail/A 1100-2024 FSC-klagomål mail.docx", "A 1100-2024")</f>
        <v/>
      </c>
      <c r="X11">
        <f>HYPERLINK("https://klasma.github.io/Logging_2180/tillsyn/A 1100-2024 tillsynsbegäran.docx", "A 1100-2024")</f>
        <v/>
      </c>
      <c r="Y11">
        <f>HYPERLINK("https://klasma.github.io/Logging_2180/tillsynsmail/A 1100-2024 tillsynsbegäran mail.docx", "A 1100-2024")</f>
        <v/>
      </c>
    </row>
    <row r="12" ht="15" customHeight="1">
      <c r="A12" t="inlineStr">
        <is>
          <t>A 1883-2024</t>
        </is>
      </c>
      <c r="B12" s="1" t="n">
        <v>45308</v>
      </c>
      <c r="C12" s="1" t="n">
        <v>45660</v>
      </c>
      <c r="D12" t="inlineStr">
        <is>
          <t>GÄVLEBORGS LÄN</t>
        </is>
      </c>
      <c r="E12" t="inlineStr">
        <is>
          <t>GÄVLE</t>
        </is>
      </c>
      <c r="G12" t="n">
        <v>14.5</v>
      </c>
      <c r="H12" t="n">
        <v>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Tjäder
Vanlig padda
Fläcknycklar
Revlummer</t>
        </is>
      </c>
      <c r="S12">
        <f>HYPERLINK("https://klasma.github.io/Logging_2180/artfynd/A 1883-2024 artfynd.xlsx", "A 1883-2024")</f>
        <v/>
      </c>
      <c r="T12">
        <f>HYPERLINK("https://klasma.github.io/Logging_2180/kartor/A 1883-2024 karta.png", "A 1883-2024")</f>
        <v/>
      </c>
      <c r="V12">
        <f>HYPERLINK("https://klasma.github.io/Logging_2180/klagomål/A 1883-2024 FSC-klagomål.docx", "A 1883-2024")</f>
        <v/>
      </c>
      <c r="W12">
        <f>HYPERLINK("https://klasma.github.io/Logging_2180/klagomålsmail/A 1883-2024 FSC-klagomål mail.docx", "A 1883-2024")</f>
        <v/>
      </c>
      <c r="X12">
        <f>HYPERLINK("https://klasma.github.io/Logging_2180/tillsyn/A 1883-2024 tillsynsbegäran.docx", "A 1883-2024")</f>
        <v/>
      </c>
      <c r="Y12">
        <f>HYPERLINK("https://klasma.github.io/Logging_2180/tillsynsmail/A 1883-2024 tillsynsbegäran mail.docx", "A 1883-2024")</f>
        <v/>
      </c>
      <c r="Z12">
        <f>HYPERLINK("https://klasma.github.io/Logging_2180/fåglar/A 1883-2024 prioriterade fågelarter.docx", "A 1883-2024")</f>
        <v/>
      </c>
    </row>
    <row r="13" ht="15" customHeight="1">
      <c r="A13" t="inlineStr">
        <is>
          <t>A 55773-2024</t>
        </is>
      </c>
      <c r="B13" s="1" t="n">
        <v>45623</v>
      </c>
      <c r="C13" s="1" t="n">
        <v>45660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19.2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Rutskinn
Sårläka
Underviol
Vårärt</t>
        </is>
      </c>
      <c r="S13">
        <f>HYPERLINK("https://klasma.github.io/Logging_2180/artfynd/A 55773-2024 artfynd.xlsx", "A 55773-2024")</f>
        <v/>
      </c>
      <c r="T13">
        <f>HYPERLINK("https://klasma.github.io/Logging_2180/kartor/A 55773-2024 karta.png", "A 55773-2024")</f>
        <v/>
      </c>
      <c r="V13">
        <f>HYPERLINK("https://klasma.github.io/Logging_2180/klagomål/A 55773-2024 FSC-klagomål.docx", "A 55773-2024")</f>
        <v/>
      </c>
      <c r="W13">
        <f>HYPERLINK("https://klasma.github.io/Logging_2180/klagomålsmail/A 55773-2024 FSC-klagomål mail.docx", "A 55773-2024")</f>
        <v/>
      </c>
      <c r="X13">
        <f>HYPERLINK("https://klasma.github.io/Logging_2180/tillsyn/A 55773-2024 tillsynsbegäran.docx", "A 55773-2024")</f>
        <v/>
      </c>
      <c r="Y13">
        <f>HYPERLINK("https://klasma.github.io/Logging_2180/tillsynsmail/A 55773-2024 tillsynsbegäran mail.docx", "A 55773-2024")</f>
        <v/>
      </c>
    </row>
    <row r="14" ht="15" customHeight="1">
      <c r="A14" t="inlineStr">
        <is>
          <t>A 67390-2019</t>
        </is>
      </c>
      <c r="B14" s="1" t="n">
        <v>43812</v>
      </c>
      <c r="C14" s="1" t="n">
        <v>45660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7.8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 sköldmossa
Mörk husmossa
Skogshakmossa</t>
        </is>
      </c>
      <c r="S14">
        <f>HYPERLINK("https://klasma.github.io/Logging_2180/artfynd/A 67390-2019 artfynd.xlsx", "A 67390-2019")</f>
        <v/>
      </c>
      <c r="T14">
        <f>HYPERLINK("https://klasma.github.io/Logging_2180/kartor/A 67390-2019 karta.png", "A 67390-2019")</f>
        <v/>
      </c>
      <c r="V14">
        <f>HYPERLINK("https://klasma.github.io/Logging_2180/klagomål/A 67390-2019 FSC-klagomål.docx", "A 67390-2019")</f>
        <v/>
      </c>
      <c r="W14">
        <f>HYPERLINK("https://klasma.github.io/Logging_2180/klagomålsmail/A 67390-2019 FSC-klagomål mail.docx", "A 67390-2019")</f>
        <v/>
      </c>
      <c r="X14">
        <f>HYPERLINK("https://klasma.github.io/Logging_2180/tillsyn/A 67390-2019 tillsynsbegäran.docx", "A 67390-2019")</f>
        <v/>
      </c>
      <c r="Y14">
        <f>HYPERLINK("https://klasma.github.io/Logging_2180/tillsynsmail/A 67390-2019 tillsynsbegäran mail.docx", "A 67390-2019")</f>
        <v/>
      </c>
    </row>
    <row r="15" ht="15" customHeight="1">
      <c r="A15" t="inlineStr">
        <is>
          <t>A 32677-2023</t>
        </is>
      </c>
      <c r="B15" s="1" t="n">
        <v>45121</v>
      </c>
      <c r="C15" s="1" t="n">
        <v>45660</v>
      </c>
      <c r="D15" t="inlineStr">
        <is>
          <t>GÄVLEBORGS LÄN</t>
        </is>
      </c>
      <c r="E15" t="inlineStr">
        <is>
          <t>GÄVLE</t>
        </is>
      </c>
      <c r="G15" t="n">
        <v>20.7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Glesgröe
Spädstarr
Blåsippa</t>
        </is>
      </c>
      <c r="S15">
        <f>HYPERLINK("https://klasma.github.io/Logging_2180/artfynd/A 32677-2023 artfynd.xlsx", "A 32677-2023")</f>
        <v/>
      </c>
      <c r="T15">
        <f>HYPERLINK("https://klasma.github.io/Logging_2180/kartor/A 32677-2023 karta.png", "A 32677-2023")</f>
        <v/>
      </c>
      <c r="V15">
        <f>HYPERLINK("https://klasma.github.io/Logging_2180/klagomål/A 32677-2023 FSC-klagomål.docx", "A 32677-2023")</f>
        <v/>
      </c>
      <c r="W15">
        <f>HYPERLINK("https://klasma.github.io/Logging_2180/klagomålsmail/A 32677-2023 FSC-klagomål mail.docx", "A 32677-2023")</f>
        <v/>
      </c>
      <c r="X15">
        <f>HYPERLINK("https://klasma.github.io/Logging_2180/tillsyn/A 32677-2023 tillsynsbegäran.docx", "A 32677-2023")</f>
        <v/>
      </c>
      <c r="Y15">
        <f>HYPERLINK("https://klasma.github.io/Logging_2180/tillsynsmail/A 32677-2023 tillsynsbegäran mail.docx", "A 32677-2023")</f>
        <v/>
      </c>
    </row>
    <row r="16" ht="15" customHeight="1">
      <c r="A16" t="inlineStr">
        <is>
          <t>A 64533-2023</t>
        </is>
      </c>
      <c r="B16" s="1" t="n">
        <v>45281</v>
      </c>
      <c r="C16" s="1" t="n">
        <v>45660</v>
      </c>
      <c r="D16" t="inlineStr">
        <is>
          <t>GÄVLEBORGS LÄN</t>
        </is>
      </c>
      <c r="E16" t="inlineStr">
        <is>
          <t>GÄVLE</t>
        </is>
      </c>
      <c r="G16" t="n">
        <v>1.1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Asppraktbagge
Aspvedgnagare
Jättesvampmal</t>
        </is>
      </c>
      <c r="S16">
        <f>HYPERLINK("https://klasma.github.io/Logging_2180/artfynd/A 64533-2023 artfynd.xlsx", "A 64533-2023")</f>
        <v/>
      </c>
      <c r="T16">
        <f>HYPERLINK("https://klasma.github.io/Logging_2180/kartor/A 64533-2023 karta.png", "A 64533-2023")</f>
        <v/>
      </c>
      <c r="V16">
        <f>HYPERLINK("https://klasma.github.io/Logging_2180/klagomål/A 64533-2023 FSC-klagomål.docx", "A 64533-2023")</f>
        <v/>
      </c>
      <c r="W16">
        <f>HYPERLINK("https://klasma.github.io/Logging_2180/klagomålsmail/A 64533-2023 FSC-klagomål mail.docx", "A 64533-2023")</f>
        <v/>
      </c>
      <c r="X16">
        <f>HYPERLINK("https://klasma.github.io/Logging_2180/tillsyn/A 64533-2023 tillsynsbegäran.docx", "A 64533-2023")</f>
        <v/>
      </c>
      <c r="Y16">
        <f>HYPERLINK("https://klasma.github.io/Logging_2180/tillsynsmail/A 64533-2023 tillsynsbegäran mail.docx", "A 64533-2023")</f>
        <v/>
      </c>
    </row>
    <row r="17" ht="15" customHeight="1">
      <c r="A17" t="inlineStr">
        <is>
          <t>A 58967-2024</t>
        </is>
      </c>
      <c r="B17" s="1" t="n">
        <v>45636</v>
      </c>
      <c r="C17" s="1" t="n">
        <v>45660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Vattenfladdermus</t>
        </is>
      </c>
      <c r="S17">
        <f>HYPERLINK("https://klasma.github.io/Logging_2180/artfynd/A 58967-2024 artfynd.xlsx", "A 58967-2024")</f>
        <v/>
      </c>
      <c r="T17">
        <f>HYPERLINK("https://klasma.github.io/Logging_2180/kartor/A 58967-2024 karta.png", "A 58967-2024")</f>
        <v/>
      </c>
      <c r="V17">
        <f>HYPERLINK("https://klasma.github.io/Logging_2180/klagomål/A 58967-2024 FSC-klagomål.docx", "A 58967-2024")</f>
        <v/>
      </c>
      <c r="W17">
        <f>HYPERLINK("https://klasma.github.io/Logging_2180/klagomålsmail/A 58967-2024 FSC-klagomål mail.docx", "A 58967-2024")</f>
        <v/>
      </c>
      <c r="X17">
        <f>HYPERLINK("https://klasma.github.io/Logging_2180/tillsyn/A 58967-2024 tillsynsbegäran.docx", "A 58967-2024")</f>
        <v/>
      </c>
      <c r="Y17">
        <f>HYPERLINK("https://klasma.github.io/Logging_2180/tillsynsmail/A 58967-2024 tillsynsbegäran mail.docx", "A 58967-2024")</f>
        <v/>
      </c>
    </row>
    <row r="18" ht="15" customHeight="1">
      <c r="A18" t="inlineStr">
        <is>
          <t>A 55774-2019</t>
        </is>
      </c>
      <c r="B18" s="1" t="n">
        <v>43761</v>
      </c>
      <c r="C18" s="1" t="n">
        <v>45660</v>
      </c>
      <c r="D18" t="inlineStr">
        <is>
          <t>GÄVLEBORGS LÄN</t>
        </is>
      </c>
      <c r="E18" t="inlineStr">
        <is>
          <t>GÄVLE</t>
        </is>
      </c>
      <c r="G18" t="n">
        <v>1.6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HYPERLINK("https://klasma.github.io/Logging_2180/artfynd/A 55774-2019 artfynd.xlsx", "A 55774-2019")</f>
        <v/>
      </c>
      <c r="T18">
        <f>HYPERLINK("https://klasma.github.io/Logging_2180/kartor/A 55774-2019 karta.png", "A 55774-2019")</f>
        <v/>
      </c>
      <c r="V18">
        <f>HYPERLINK("https://klasma.github.io/Logging_2180/klagomål/A 55774-2019 FSC-klagomål.docx", "A 55774-2019")</f>
        <v/>
      </c>
      <c r="W18">
        <f>HYPERLINK("https://klasma.github.io/Logging_2180/klagomålsmail/A 55774-2019 FSC-klagomål mail.docx", "A 55774-2019")</f>
        <v/>
      </c>
      <c r="X18">
        <f>HYPERLINK("https://klasma.github.io/Logging_2180/tillsyn/A 55774-2019 tillsynsbegäran.docx", "A 55774-2019")</f>
        <v/>
      </c>
      <c r="Y18">
        <f>HYPERLINK("https://klasma.github.io/Logging_2180/tillsynsmail/A 55774-2019 tillsynsbegäran mail.docx", "A 55774-2019")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45660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20198-2021</t>
        </is>
      </c>
      <c r="B20" s="1" t="n">
        <v>44314</v>
      </c>
      <c r="C20" s="1" t="n">
        <v>45660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Anisspindling
Skogsknipprot</t>
        </is>
      </c>
      <c r="S20">
        <f>HYPERLINK("https://klasma.github.io/Logging_2180/artfynd/A 20198-2021 artfynd.xlsx", "A 20198-2021")</f>
        <v/>
      </c>
      <c r="T20">
        <f>HYPERLINK("https://klasma.github.io/Logging_2180/kartor/A 20198-2021 karta.png", "A 20198-2021")</f>
        <v/>
      </c>
      <c r="V20">
        <f>HYPERLINK("https://klasma.github.io/Logging_2180/klagomål/A 20198-2021 FSC-klagomål.docx", "A 20198-2021")</f>
        <v/>
      </c>
      <c r="W20">
        <f>HYPERLINK("https://klasma.github.io/Logging_2180/klagomålsmail/A 20198-2021 FSC-klagomål mail.docx", "A 20198-2021")</f>
        <v/>
      </c>
      <c r="X20">
        <f>HYPERLINK("https://klasma.github.io/Logging_2180/tillsyn/A 20198-2021 tillsynsbegäran.docx", "A 20198-2021")</f>
        <v/>
      </c>
      <c r="Y20">
        <f>HYPERLINK("https://klasma.github.io/Logging_2180/tillsynsmail/A 20198-2021 tillsynsbegäran mail.docx", "A 20198-2021")</f>
        <v/>
      </c>
    </row>
    <row r="21" ht="15" customHeight="1">
      <c r="A21" t="inlineStr">
        <is>
          <t>A 22073-2021</t>
        </is>
      </c>
      <c r="B21" s="1" t="n">
        <v>44323</v>
      </c>
      <c r="C21" s="1" t="n">
        <v>45660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56538-2022</t>
        </is>
      </c>
      <c r="B22" s="1" t="n">
        <v>44887</v>
      </c>
      <c r="C22" s="1" t="n">
        <v>45660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Blåsippa</t>
        </is>
      </c>
      <c r="S22">
        <f>HYPERLINK("https://klasma.github.io/Logging_2180/artfynd/A 56538-2022 artfynd.xlsx", "A 56538-2022")</f>
        <v/>
      </c>
      <c r="T22">
        <f>HYPERLINK("https://klasma.github.io/Logging_2180/kartor/A 56538-2022 karta.png", "A 56538-2022")</f>
        <v/>
      </c>
      <c r="V22">
        <f>HYPERLINK("https://klasma.github.io/Logging_2180/klagomål/A 56538-2022 FSC-klagomål.docx", "A 56538-2022")</f>
        <v/>
      </c>
      <c r="W22">
        <f>HYPERLINK("https://klasma.github.io/Logging_2180/klagomålsmail/A 56538-2022 FSC-klagomål mail.docx", "A 56538-2022")</f>
        <v/>
      </c>
      <c r="X22">
        <f>HYPERLINK("https://klasma.github.io/Logging_2180/tillsyn/A 56538-2022 tillsynsbegäran.docx", "A 56538-2022")</f>
        <v/>
      </c>
      <c r="Y22">
        <f>HYPERLINK("https://klasma.github.io/Logging_2180/tillsynsmail/A 56538-2022 tillsynsbegäran mail.docx", "A 56538-2022")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45660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16499-2023</t>
        </is>
      </c>
      <c r="B24" s="1" t="n">
        <v>45029</v>
      </c>
      <c r="C24" s="1" t="n">
        <v>45660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41.8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Bredgentiana
Granbräken</t>
        </is>
      </c>
      <c r="S24">
        <f>HYPERLINK("https://klasma.github.io/Logging_2180/artfynd/A 16499-2023 artfynd.xlsx", "A 16499-2023")</f>
        <v/>
      </c>
      <c r="T24">
        <f>HYPERLINK("https://klasma.github.io/Logging_2180/kartor/A 16499-2023 karta.png", "A 16499-2023")</f>
        <v/>
      </c>
      <c r="V24">
        <f>HYPERLINK("https://klasma.github.io/Logging_2180/klagomål/A 16499-2023 FSC-klagomål.docx", "A 16499-2023")</f>
        <v/>
      </c>
      <c r="W24">
        <f>HYPERLINK("https://klasma.github.io/Logging_2180/klagomålsmail/A 16499-2023 FSC-klagomål mail.docx", "A 16499-2023")</f>
        <v/>
      </c>
      <c r="X24">
        <f>HYPERLINK("https://klasma.github.io/Logging_2180/tillsyn/A 16499-2023 tillsynsbegäran.docx", "A 16499-2023")</f>
        <v/>
      </c>
      <c r="Y24">
        <f>HYPERLINK("https://klasma.github.io/Logging_2180/tillsynsmail/A 16499-2023 tillsynsbegäran mail.docx", "A 16499-2023")</f>
        <v/>
      </c>
    </row>
    <row r="25" ht="15" customHeight="1">
      <c r="A25" t="inlineStr">
        <is>
          <t>A 18332-2023</t>
        </is>
      </c>
      <c r="B25" s="1" t="n">
        <v>45041</v>
      </c>
      <c r="C25" s="1" t="n">
        <v>45660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16.1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Ryl
Skogsklocka</t>
        </is>
      </c>
      <c r="S25">
        <f>HYPERLINK("https://klasma.github.io/Logging_2180/artfynd/A 18332-2023 artfynd.xlsx", "A 18332-2023")</f>
        <v/>
      </c>
      <c r="T25">
        <f>HYPERLINK("https://klasma.github.io/Logging_2180/kartor/A 18332-2023 karta.png", "A 18332-2023")</f>
        <v/>
      </c>
      <c r="V25">
        <f>HYPERLINK("https://klasma.github.io/Logging_2180/klagomål/A 18332-2023 FSC-klagomål.docx", "A 18332-2023")</f>
        <v/>
      </c>
      <c r="W25">
        <f>HYPERLINK("https://klasma.github.io/Logging_2180/klagomålsmail/A 18332-2023 FSC-klagomål mail.docx", "A 18332-2023")</f>
        <v/>
      </c>
      <c r="X25">
        <f>HYPERLINK("https://klasma.github.io/Logging_2180/tillsyn/A 18332-2023 tillsynsbegäran.docx", "A 18332-2023")</f>
        <v/>
      </c>
      <c r="Y25">
        <f>HYPERLINK("https://klasma.github.io/Logging_2180/tillsynsmail/A 18332-2023 tillsynsbegäran mail.docx", "A 18332-2023")</f>
        <v/>
      </c>
    </row>
    <row r="26" ht="15" customHeight="1">
      <c r="A26" t="inlineStr">
        <is>
          <t>A 20232-2023</t>
        </is>
      </c>
      <c r="B26" s="1" t="n">
        <v>45055</v>
      </c>
      <c r="C26" s="1" t="n">
        <v>45660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12.7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Stor låsbräken
Sparvuggla</t>
        </is>
      </c>
      <c r="S26">
        <f>HYPERLINK("https://klasma.github.io/Logging_2180/artfynd/A 20232-2023 artfynd.xlsx", "A 20232-2023")</f>
        <v/>
      </c>
      <c r="T26">
        <f>HYPERLINK("https://klasma.github.io/Logging_2180/kartor/A 20232-2023 karta.png", "A 20232-2023")</f>
        <v/>
      </c>
      <c r="V26">
        <f>HYPERLINK("https://klasma.github.io/Logging_2180/klagomål/A 20232-2023 FSC-klagomål.docx", "A 20232-2023")</f>
        <v/>
      </c>
      <c r="W26">
        <f>HYPERLINK("https://klasma.github.io/Logging_2180/klagomålsmail/A 20232-2023 FSC-klagomål mail.docx", "A 20232-2023")</f>
        <v/>
      </c>
      <c r="X26">
        <f>HYPERLINK("https://klasma.github.io/Logging_2180/tillsyn/A 20232-2023 tillsynsbegäran.docx", "A 20232-2023")</f>
        <v/>
      </c>
      <c r="Y26">
        <f>HYPERLINK("https://klasma.github.io/Logging_2180/tillsynsmail/A 20232-2023 tillsynsbegäran mail.docx", "A 20232-2023")</f>
        <v/>
      </c>
      <c r="Z26">
        <f>HYPERLINK("https://klasma.github.io/Logging_2180/fåglar/A 20232-2023 prioriterade fågelarter.docx", "A 20232-2023")</f>
        <v/>
      </c>
    </row>
    <row r="27" ht="15" customHeight="1">
      <c r="A27" t="inlineStr">
        <is>
          <t>A 31541-2023</t>
        </is>
      </c>
      <c r="B27" s="1" t="n">
        <v>45117</v>
      </c>
      <c r="C27" s="1" t="n">
        <v>45660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Mattlummer</t>
        </is>
      </c>
      <c r="S27">
        <f>HYPERLINK("https://klasma.github.io/Logging_2180/artfynd/A 31541-2023 artfynd.xlsx", "A 31541-2023")</f>
        <v/>
      </c>
      <c r="T27">
        <f>HYPERLINK("https://klasma.github.io/Logging_2180/kartor/A 31541-2023 karta.png", "A 31541-2023")</f>
        <v/>
      </c>
      <c r="V27">
        <f>HYPERLINK("https://klasma.github.io/Logging_2180/klagomål/A 31541-2023 FSC-klagomål.docx", "A 31541-2023")</f>
        <v/>
      </c>
      <c r="W27">
        <f>HYPERLINK("https://klasma.github.io/Logging_2180/klagomålsmail/A 31541-2023 FSC-klagomål mail.docx", "A 31541-2023")</f>
        <v/>
      </c>
      <c r="X27">
        <f>HYPERLINK("https://klasma.github.io/Logging_2180/tillsyn/A 31541-2023 tillsynsbegäran.docx", "A 31541-2023")</f>
        <v/>
      </c>
      <c r="Y27">
        <f>HYPERLINK("https://klasma.github.io/Logging_2180/tillsynsmail/A 31541-2023 tillsynsbegäran mail.docx", "A 31541-2023")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45660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Ask
Jättesvampmal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45660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26213-2024</t>
        </is>
      </c>
      <c r="B30" s="1" t="n">
        <v>45468</v>
      </c>
      <c r="C30" s="1" t="n">
        <v>45660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Vedskivlav
Dropptaggsvamp</t>
        </is>
      </c>
      <c r="S30">
        <f>HYPERLINK("https://klasma.github.io/Logging_2180/artfynd/A 26213-2024 artfynd.xlsx", "A 26213-2024")</f>
        <v/>
      </c>
      <c r="T30">
        <f>HYPERLINK("https://klasma.github.io/Logging_2180/kartor/A 26213-2024 karta.png", "A 26213-2024")</f>
        <v/>
      </c>
      <c r="V30">
        <f>HYPERLINK("https://klasma.github.io/Logging_2180/klagomål/A 26213-2024 FSC-klagomål.docx", "A 26213-2024")</f>
        <v/>
      </c>
      <c r="W30">
        <f>HYPERLINK("https://klasma.github.io/Logging_2180/klagomålsmail/A 26213-2024 FSC-klagomål mail.docx", "A 26213-2024")</f>
        <v/>
      </c>
      <c r="X30">
        <f>HYPERLINK("https://klasma.github.io/Logging_2180/tillsyn/A 26213-2024 tillsynsbegäran.docx", "A 26213-2024")</f>
        <v/>
      </c>
      <c r="Y30">
        <f>HYPERLINK("https://klasma.github.io/Logging_2180/tillsynsmail/A 26213-2024 tillsynsbegäran mail.docx", "A 26213-2024")</f>
        <v/>
      </c>
    </row>
    <row r="31" ht="15" customHeight="1">
      <c r="A31" t="inlineStr">
        <is>
          <t>A 34082-2024</t>
        </is>
      </c>
      <c r="B31" s="1" t="n">
        <v>45523</v>
      </c>
      <c r="C31" s="1" t="n">
        <v>45660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6.1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HYPERLINK("https://klasma.github.io/Logging_2180/artfynd/A 34082-2024 artfynd.xlsx", "A 34082-2024")</f>
        <v/>
      </c>
      <c r="T31">
        <f>HYPERLINK("https://klasma.github.io/Logging_2180/kartor/A 34082-2024 karta.png", "A 34082-2024")</f>
        <v/>
      </c>
      <c r="V31">
        <f>HYPERLINK("https://klasma.github.io/Logging_2180/klagomål/A 34082-2024 FSC-klagomål.docx", "A 34082-2024")</f>
        <v/>
      </c>
      <c r="W31">
        <f>HYPERLINK("https://klasma.github.io/Logging_2180/klagomålsmail/A 34082-2024 FSC-klagomål mail.docx", "A 34082-2024")</f>
        <v/>
      </c>
      <c r="X31">
        <f>HYPERLINK("https://klasma.github.io/Logging_2180/tillsyn/A 34082-2024 tillsynsbegäran.docx", "A 34082-2024")</f>
        <v/>
      </c>
      <c r="Y31">
        <f>HYPERLINK("https://klasma.github.io/Logging_2180/tillsynsmail/A 34082-2024 tillsynsbegäran mail.docx", "A 34082-2024")</f>
        <v/>
      </c>
    </row>
    <row r="32" ht="15" customHeight="1">
      <c r="A32" t="inlineStr">
        <is>
          <t>A 56993-2024</t>
        </is>
      </c>
      <c r="B32" s="1" t="n">
        <v>45628</v>
      </c>
      <c r="C32" s="1" t="n">
        <v>45660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4.9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Aspgelélav
Vårärt</t>
        </is>
      </c>
      <c r="S32">
        <f>HYPERLINK("https://klasma.github.io/Logging_2180/artfynd/A 56993-2024 artfynd.xlsx", "A 56993-2024")</f>
        <v/>
      </c>
      <c r="T32">
        <f>HYPERLINK("https://klasma.github.io/Logging_2180/kartor/A 56993-2024 karta.png", "A 56993-2024")</f>
        <v/>
      </c>
      <c r="V32">
        <f>HYPERLINK("https://klasma.github.io/Logging_2180/klagomål/A 56993-2024 FSC-klagomål.docx", "A 56993-2024")</f>
        <v/>
      </c>
      <c r="W32">
        <f>HYPERLINK("https://klasma.github.io/Logging_2180/klagomålsmail/A 56993-2024 FSC-klagomål mail.docx", "A 56993-2024")</f>
        <v/>
      </c>
      <c r="X32">
        <f>HYPERLINK("https://klasma.github.io/Logging_2180/tillsyn/A 56993-2024 tillsynsbegäran.docx", "A 56993-2024")</f>
        <v/>
      </c>
      <c r="Y32">
        <f>HYPERLINK("https://klasma.github.io/Logging_2180/tillsynsmail/A 56993-2024 tillsynsbegäran mail.docx", "A 56993-2024")</f>
        <v/>
      </c>
    </row>
    <row r="33" ht="15" customHeight="1">
      <c r="A33" t="inlineStr">
        <is>
          <t>A 22616-2019</t>
        </is>
      </c>
      <c r="B33" s="1" t="n">
        <v>43588</v>
      </c>
      <c r="C33" s="1" t="n">
        <v>45660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7.1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Sotnätfjäril</t>
        </is>
      </c>
      <c r="S33">
        <f>HYPERLINK("https://klasma.github.io/Logging_2180/artfynd/A 22616-2019 artfynd.xlsx", "A 22616-2019")</f>
        <v/>
      </c>
      <c r="T33">
        <f>HYPERLINK("https://klasma.github.io/Logging_2180/kartor/A 22616-2019 karta.png", "A 22616-2019")</f>
        <v/>
      </c>
      <c r="V33">
        <f>HYPERLINK("https://klasma.github.io/Logging_2180/klagomål/A 22616-2019 FSC-klagomål.docx", "A 22616-2019")</f>
        <v/>
      </c>
      <c r="W33">
        <f>HYPERLINK("https://klasma.github.io/Logging_2180/klagomålsmail/A 22616-2019 FSC-klagomål mail.docx", "A 22616-2019")</f>
        <v/>
      </c>
      <c r="X33">
        <f>HYPERLINK("https://klasma.github.io/Logging_2180/tillsyn/A 22616-2019 tillsynsbegäran.docx", "A 22616-2019")</f>
        <v/>
      </c>
      <c r="Y33">
        <f>HYPERLINK("https://klasma.github.io/Logging_2180/tillsynsmail/A 22616-2019 tillsynsbegäran mail.docx", "A 22616-2019")</f>
        <v/>
      </c>
    </row>
    <row r="34" ht="15" customHeight="1">
      <c r="A34" t="inlineStr">
        <is>
          <t>A 67418-2019</t>
        </is>
      </c>
      <c r="B34" s="1" t="n">
        <v>43812</v>
      </c>
      <c r="C34" s="1" t="n">
        <v>45660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HYPERLINK("https://klasma.github.io/Logging_2180/artfynd/A 67418-2019 artfynd.xlsx", "A 67418-2019")</f>
        <v/>
      </c>
      <c r="T34">
        <f>HYPERLINK("https://klasma.github.io/Logging_2180/kartor/A 67418-2019 karta.png", "A 67418-2019")</f>
        <v/>
      </c>
      <c r="V34">
        <f>HYPERLINK("https://klasma.github.io/Logging_2180/klagomål/A 67418-2019 FSC-klagomål.docx", "A 67418-2019")</f>
        <v/>
      </c>
      <c r="W34">
        <f>HYPERLINK("https://klasma.github.io/Logging_2180/klagomålsmail/A 67418-2019 FSC-klagomål mail.docx", "A 67418-2019")</f>
        <v/>
      </c>
      <c r="X34">
        <f>HYPERLINK("https://klasma.github.io/Logging_2180/tillsyn/A 67418-2019 tillsynsbegäran.docx", "A 67418-2019")</f>
        <v/>
      </c>
      <c r="Y34">
        <f>HYPERLINK("https://klasma.github.io/Logging_2180/tillsynsmail/A 67418-2019 tillsynsbegäran mail.docx", "A 67418-2019")</f>
        <v/>
      </c>
    </row>
    <row r="35" ht="15" customHeight="1">
      <c r="A35" t="inlineStr">
        <is>
          <t>A 58168-2020</t>
        </is>
      </c>
      <c r="B35" s="1" t="n">
        <v>44144</v>
      </c>
      <c r="C35" s="1" t="n">
        <v>45660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3.7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HYPERLINK("https://klasma.github.io/Logging_2180/artfynd/A 58168-2020 artfynd.xlsx", "A 58168-2020")</f>
        <v/>
      </c>
      <c r="T35">
        <f>HYPERLINK("https://klasma.github.io/Logging_2180/kartor/A 58168-2020 karta.png", "A 58168-2020")</f>
        <v/>
      </c>
      <c r="U35">
        <f>HYPERLINK("https://klasma.github.io/Logging_2180/knärot/A 58168-2020 karta knärot.png", "A 58168-2020")</f>
        <v/>
      </c>
      <c r="V35">
        <f>HYPERLINK("https://klasma.github.io/Logging_2180/klagomål/A 58168-2020 FSC-klagomål.docx", "A 58168-2020")</f>
        <v/>
      </c>
      <c r="W35">
        <f>HYPERLINK("https://klasma.github.io/Logging_2180/klagomålsmail/A 58168-2020 FSC-klagomål mail.docx", "A 58168-2020")</f>
        <v/>
      </c>
      <c r="X35">
        <f>HYPERLINK("https://klasma.github.io/Logging_2180/tillsyn/A 58168-2020 tillsynsbegäran.docx", "A 58168-2020")</f>
        <v/>
      </c>
      <c r="Y35">
        <f>HYPERLINK("https://klasma.github.io/Logging_2180/tillsynsmail/A 58168-2020 tillsynsbegäran mail.docx", "A 58168-2020")</f>
        <v/>
      </c>
    </row>
    <row r="36" ht="15" customHeight="1">
      <c r="A36" t="inlineStr">
        <is>
          <t>A 62316-2020</t>
        </is>
      </c>
      <c r="B36" s="1" t="n">
        <v>44160</v>
      </c>
      <c r="C36" s="1" t="n">
        <v>45660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62316-2020 artfynd.xlsx", "A 62316-2020")</f>
        <v/>
      </c>
      <c r="T36">
        <f>HYPERLINK("https://klasma.github.io/Logging_2180/kartor/A 62316-2020 karta.png", "A 62316-2020")</f>
        <v/>
      </c>
      <c r="V36">
        <f>HYPERLINK("https://klasma.github.io/Logging_2180/klagomål/A 62316-2020 FSC-klagomål.docx", "A 62316-2020")</f>
        <v/>
      </c>
      <c r="W36">
        <f>HYPERLINK("https://klasma.github.io/Logging_2180/klagomålsmail/A 62316-2020 FSC-klagomål mail.docx", "A 62316-2020")</f>
        <v/>
      </c>
      <c r="X36">
        <f>HYPERLINK("https://klasma.github.io/Logging_2180/tillsyn/A 62316-2020 tillsynsbegäran.docx", "A 62316-2020")</f>
        <v/>
      </c>
      <c r="Y36">
        <f>HYPERLINK("https://klasma.github.io/Logging_2180/tillsynsmail/A 62316-2020 tillsynsbegäran mail.docx", "A 62316-2020")</f>
        <v/>
      </c>
    </row>
    <row r="37" ht="15" customHeight="1">
      <c r="A37" t="inlineStr">
        <is>
          <t>A 69255-2020</t>
        </is>
      </c>
      <c r="B37" s="1" t="n">
        <v>44192</v>
      </c>
      <c r="C37" s="1" t="n">
        <v>45660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Blackticka</t>
        </is>
      </c>
      <c r="S37">
        <f>HYPERLINK("https://klasma.github.io/Logging_2180/artfynd/A 69255-2020 artfynd.xlsx", "A 69255-2020")</f>
        <v/>
      </c>
      <c r="T37">
        <f>HYPERLINK("https://klasma.github.io/Logging_2180/kartor/A 69255-2020 karta.png", "A 69255-2020")</f>
        <v/>
      </c>
      <c r="U37">
        <f>HYPERLINK("https://klasma.github.io/Logging_2180/knärot/A 69255-2020 karta knärot.png", "A 69255-2020")</f>
        <v/>
      </c>
      <c r="V37">
        <f>HYPERLINK("https://klasma.github.io/Logging_2180/klagomål/A 69255-2020 FSC-klagomål.docx", "A 69255-2020")</f>
        <v/>
      </c>
      <c r="W37">
        <f>HYPERLINK("https://klasma.github.io/Logging_2180/klagomålsmail/A 69255-2020 FSC-klagomål mail.docx", "A 69255-2020")</f>
        <v/>
      </c>
      <c r="X37">
        <f>HYPERLINK("https://klasma.github.io/Logging_2180/tillsyn/A 69255-2020 tillsynsbegäran.docx", "A 69255-2020")</f>
        <v/>
      </c>
      <c r="Y37">
        <f>HYPERLINK("https://klasma.github.io/Logging_2180/tillsynsmail/A 69255-2020 tillsynsbegäran mail.docx", "A 69255-2020")</f>
        <v/>
      </c>
    </row>
    <row r="38" ht="15" customHeight="1">
      <c r="A38" t="inlineStr">
        <is>
          <t>A 14569-2021</t>
        </is>
      </c>
      <c r="B38" s="1" t="n">
        <v>44279</v>
      </c>
      <c r="C38" s="1" t="n">
        <v>45660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14569-2021 artfynd.xlsx", "A 14569-2021")</f>
        <v/>
      </c>
      <c r="T38">
        <f>HYPERLINK("https://klasma.github.io/Logging_2180/kartor/A 14569-2021 karta.png", "A 14569-2021")</f>
        <v/>
      </c>
      <c r="V38">
        <f>HYPERLINK("https://klasma.github.io/Logging_2180/klagomål/A 14569-2021 FSC-klagomål.docx", "A 14569-2021")</f>
        <v/>
      </c>
      <c r="W38">
        <f>HYPERLINK("https://klasma.github.io/Logging_2180/klagomålsmail/A 14569-2021 FSC-klagomål mail.docx", "A 14569-2021")</f>
        <v/>
      </c>
      <c r="X38">
        <f>HYPERLINK("https://klasma.github.io/Logging_2180/tillsyn/A 14569-2021 tillsynsbegäran.docx", "A 14569-2021")</f>
        <v/>
      </c>
      <c r="Y38">
        <f>HYPERLINK("https://klasma.github.io/Logging_2180/tillsynsmail/A 14569-2021 tillsynsbegäran mail.docx", "A 14569-2021")</f>
        <v/>
      </c>
    </row>
    <row r="39" ht="15" customHeight="1">
      <c r="A39" t="inlineStr">
        <is>
          <t>A 40986-2021</t>
        </is>
      </c>
      <c r="B39" s="1" t="n">
        <v>44421</v>
      </c>
      <c r="C39" s="1" t="n">
        <v>45660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HYPERLINK("https://klasma.github.io/Logging_2180/artfynd/A 40986-2021 artfynd.xlsx", "A 40986-2021")</f>
        <v/>
      </c>
      <c r="T39">
        <f>HYPERLINK("https://klasma.github.io/Logging_2180/kartor/A 40986-2021 karta.png", "A 40986-2021")</f>
        <v/>
      </c>
      <c r="V39">
        <f>HYPERLINK("https://klasma.github.io/Logging_2180/klagomål/A 40986-2021 FSC-klagomål.docx", "A 40986-2021")</f>
        <v/>
      </c>
      <c r="W39">
        <f>HYPERLINK("https://klasma.github.io/Logging_2180/klagomålsmail/A 40986-2021 FSC-klagomål mail.docx", "A 40986-2021")</f>
        <v/>
      </c>
      <c r="X39">
        <f>HYPERLINK("https://klasma.github.io/Logging_2180/tillsyn/A 40986-2021 tillsynsbegäran.docx", "A 40986-2021")</f>
        <v/>
      </c>
      <c r="Y39">
        <f>HYPERLINK("https://klasma.github.io/Logging_2180/tillsynsmail/A 40986-2021 tillsynsbegäran mail.docx", "A 40986-2021")</f>
        <v/>
      </c>
      <c r="Z39">
        <f>HYPERLINK("https://klasma.github.io/Logging_2180/fåglar/A 40986-2021 prioriterade fågelarter.docx", "A 40986-2021")</f>
        <v/>
      </c>
    </row>
    <row r="40" ht="15" customHeight="1">
      <c r="A40" t="inlineStr">
        <is>
          <t>A 59225-2021</t>
        </is>
      </c>
      <c r="B40" s="1" t="n">
        <v>44490</v>
      </c>
      <c r="C40" s="1" t="n">
        <v>45660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59225-2021 artfynd.xlsx", "A 59225-2021")</f>
        <v/>
      </c>
      <c r="T40">
        <f>HYPERLINK("https://klasma.github.io/Logging_2180/kartor/A 59225-2021 karta.png", "A 59225-2021")</f>
        <v/>
      </c>
      <c r="V40">
        <f>HYPERLINK("https://klasma.github.io/Logging_2180/klagomål/A 59225-2021 FSC-klagomål.docx", "A 59225-2021")</f>
        <v/>
      </c>
      <c r="W40">
        <f>HYPERLINK("https://klasma.github.io/Logging_2180/klagomålsmail/A 59225-2021 FSC-klagomål mail.docx", "A 59225-2021")</f>
        <v/>
      </c>
      <c r="X40">
        <f>HYPERLINK("https://klasma.github.io/Logging_2180/tillsyn/A 59225-2021 tillsynsbegäran.docx", "A 59225-2021")</f>
        <v/>
      </c>
      <c r="Y40">
        <f>HYPERLINK("https://klasma.github.io/Logging_2180/tillsynsmail/A 59225-2021 tillsynsbegäran mail.docx", "A 59225-2021")</f>
        <v/>
      </c>
    </row>
    <row r="41" ht="15" customHeight="1">
      <c r="A41" t="inlineStr">
        <is>
          <t>A 66495-2021</t>
        </is>
      </c>
      <c r="B41" s="1" t="n">
        <v>44519</v>
      </c>
      <c r="C41" s="1" t="n">
        <v>45660</v>
      </c>
      <c r="D41" t="inlineStr">
        <is>
          <t>GÄVLEBORGS LÄN</t>
        </is>
      </c>
      <c r="E41" t="inlineStr">
        <is>
          <t>GÄVLE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66495-2021 artfynd.xlsx", "A 66495-2021")</f>
        <v/>
      </c>
      <c r="T41">
        <f>HYPERLINK("https://klasma.github.io/Logging_2180/kartor/A 66495-2021 karta.png", "A 66495-2021")</f>
        <v/>
      </c>
      <c r="V41">
        <f>HYPERLINK("https://klasma.github.io/Logging_2180/klagomål/A 66495-2021 FSC-klagomål.docx", "A 66495-2021")</f>
        <v/>
      </c>
      <c r="W41">
        <f>HYPERLINK("https://klasma.github.io/Logging_2180/klagomålsmail/A 66495-2021 FSC-klagomål mail.docx", "A 66495-2021")</f>
        <v/>
      </c>
      <c r="X41">
        <f>HYPERLINK("https://klasma.github.io/Logging_2180/tillsyn/A 66495-2021 tillsynsbegäran.docx", "A 66495-2021")</f>
        <v/>
      </c>
      <c r="Y41">
        <f>HYPERLINK("https://klasma.github.io/Logging_2180/tillsynsmail/A 66495-2021 tillsynsbegäran mail.docx", "A 66495-2021")</f>
        <v/>
      </c>
    </row>
    <row r="42" ht="15" customHeight="1">
      <c r="A42" t="inlineStr">
        <is>
          <t>A 6779-2022</t>
        </is>
      </c>
      <c r="B42" s="1" t="n">
        <v>44602</v>
      </c>
      <c r="C42" s="1" t="n">
        <v>45660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6779-2022 artfynd.xlsx", "A 6779-2022")</f>
        <v/>
      </c>
      <c r="T42">
        <f>HYPERLINK("https://klasma.github.io/Logging_2180/kartor/A 6779-2022 karta.png", "A 6779-2022")</f>
        <v/>
      </c>
      <c r="V42">
        <f>HYPERLINK("https://klasma.github.io/Logging_2180/klagomål/A 6779-2022 FSC-klagomål.docx", "A 6779-2022")</f>
        <v/>
      </c>
      <c r="W42">
        <f>HYPERLINK("https://klasma.github.io/Logging_2180/klagomålsmail/A 6779-2022 FSC-klagomål mail.docx", "A 6779-2022")</f>
        <v/>
      </c>
      <c r="X42">
        <f>HYPERLINK("https://klasma.github.io/Logging_2180/tillsyn/A 6779-2022 tillsynsbegäran.docx", "A 6779-2022")</f>
        <v/>
      </c>
      <c r="Y42">
        <f>HYPERLINK("https://klasma.github.io/Logging_2180/tillsynsmail/A 6779-2022 tillsynsbegäran mail.docx", "A 6779-2022")</f>
        <v/>
      </c>
    </row>
    <row r="43" ht="15" customHeight="1">
      <c r="A43" t="inlineStr">
        <is>
          <t>A 15102-2022</t>
        </is>
      </c>
      <c r="B43" s="1" t="n">
        <v>44658</v>
      </c>
      <c r="C43" s="1" t="n">
        <v>45660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15102-2022 artfynd.xlsx", "A 15102-2022")</f>
        <v/>
      </c>
      <c r="T43">
        <f>HYPERLINK("https://klasma.github.io/Logging_2180/kartor/A 15102-2022 karta.png", "A 15102-2022")</f>
        <v/>
      </c>
      <c r="V43">
        <f>HYPERLINK("https://klasma.github.io/Logging_2180/klagomål/A 15102-2022 FSC-klagomål.docx", "A 15102-2022")</f>
        <v/>
      </c>
      <c r="W43">
        <f>HYPERLINK("https://klasma.github.io/Logging_2180/klagomålsmail/A 15102-2022 FSC-klagomål mail.docx", "A 15102-2022")</f>
        <v/>
      </c>
      <c r="X43">
        <f>HYPERLINK("https://klasma.github.io/Logging_2180/tillsyn/A 15102-2022 tillsynsbegäran.docx", "A 15102-2022")</f>
        <v/>
      </c>
      <c r="Y43">
        <f>HYPERLINK("https://klasma.github.io/Logging_2180/tillsynsmail/A 15102-2022 tillsynsbegäran mail.docx", "A 15102-2022")</f>
        <v/>
      </c>
    </row>
    <row r="44" ht="15" customHeight="1">
      <c r="A44" t="inlineStr">
        <is>
          <t>A 23511-2022</t>
        </is>
      </c>
      <c r="B44" s="1" t="n">
        <v>44721</v>
      </c>
      <c r="C44" s="1" t="n">
        <v>45660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HYPERLINK("https://klasma.github.io/Logging_2180/artfynd/A 23511-2022 artfynd.xlsx", "A 23511-2022")</f>
        <v/>
      </c>
      <c r="T44">
        <f>HYPERLINK("https://klasma.github.io/Logging_2180/kartor/A 23511-2022 karta.png", "A 23511-2022")</f>
        <v/>
      </c>
      <c r="V44">
        <f>HYPERLINK("https://klasma.github.io/Logging_2180/klagomål/A 23511-2022 FSC-klagomål.docx", "A 23511-2022")</f>
        <v/>
      </c>
      <c r="W44">
        <f>HYPERLINK("https://klasma.github.io/Logging_2180/klagomålsmail/A 23511-2022 FSC-klagomål mail.docx", "A 23511-2022")</f>
        <v/>
      </c>
      <c r="X44">
        <f>HYPERLINK("https://klasma.github.io/Logging_2180/tillsyn/A 23511-2022 tillsynsbegäran.docx", "A 23511-2022")</f>
        <v/>
      </c>
      <c r="Y44">
        <f>HYPERLINK("https://klasma.github.io/Logging_2180/tillsynsmail/A 23511-2022 tillsynsbegäran mail.docx", "A 23511-2022")</f>
        <v/>
      </c>
    </row>
    <row r="45" ht="15" customHeight="1">
      <c r="A45" t="inlineStr">
        <is>
          <t>A 33812-2022</t>
        </is>
      </c>
      <c r="B45" s="1" t="n">
        <v>44790</v>
      </c>
      <c r="C45" s="1" t="n">
        <v>45660</v>
      </c>
      <c r="D45" t="inlineStr">
        <is>
          <t>GÄVLEBORGS LÄN</t>
        </is>
      </c>
      <c r="E45" t="inlineStr">
        <is>
          <t>GÄVLE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Myskmadra</t>
        </is>
      </c>
      <c r="S45">
        <f>HYPERLINK("https://klasma.github.io/Logging_2180/artfynd/A 33812-2022 artfynd.xlsx", "A 33812-2022")</f>
        <v/>
      </c>
      <c r="T45">
        <f>HYPERLINK("https://klasma.github.io/Logging_2180/kartor/A 33812-2022 karta.png", "A 33812-2022")</f>
        <v/>
      </c>
      <c r="V45">
        <f>HYPERLINK("https://klasma.github.io/Logging_2180/klagomål/A 33812-2022 FSC-klagomål.docx", "A 33812-2022")</f>
        <v/>
      </c>
      <c r="W45">
        <f>HYPERLINK("https://klasma.github.io/Logging_2180/klagomålsmail/A 33812-2022 FSC-klagomål mail.docx", "A 33812-2022")</f>
        <v/>
      </c>
      <c r="X45">
        <f>HYPERLINK("https://klasma.github.io/Logging_2180/tillsyn/A 33812-2022 tillsynsbegäran.docx", "A 33812-2022")</f>
        <v/>
      </c>
      <c r="Y45">
        <f>HYPERLINK("https://klasma.github.io/Logging_2180/tillsynsmail/A 33812-2022 tillsynsbegäran mail.docx", "A 33812-2022")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45660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45660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8622-2023</t>
        </is>
      </c>
      <c r="B48" s="1" t="n">
        <v>44977</v>
      </c>
      <c r="C48" s="1" t="n">
        <v>45660</v>
      </c>
      <c r="D48" t="inlineStr">
        <is>
          <t>GÄVLEBORGS LÄN</t>
        </is>
      </c>
      <c r="E48" t="inlineStr">
        <is>
          <t>GÄVLE</t>
        </is>
      </c>
      <c r="G48" t="n">
        <v>9.199999999999999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8622-2023 artfynd.xlsx", "A 8622-2023")</f>
        <v/>
      </c>
      <c r="T48">
        <f>HYPERLINK("https://klasma.github.io/Logging_2180/kartor/A 8622-2023 karta.png", "A 8622-2023")</f>
        <v/>
      </c>
      <c r="U48">
        <f>HYPERLINK("https://klasma.github.io/Logging_2180/knärot/A 8622-2023 karta knärot.png", "A 8622-2023")</f>
        <v/>
      </c>
      <c r="V48">
        <f>HYPERLINK("https://klasma.github.io/Logging_2180/klagomål/A 8622-2023 FSC-klagomål.docx", "A 8622-2023")</f>
        <v/>
      </c>
      <c r="W48">
        <f>HYPERLINK("https://klasma.github.io/Logging_2180/klagomålsmail/A 8622-2023 FSC-klagomål mail.docx", "A 8622-2023")</f>
        <v/>
      </c>
      <c r="X48">
        <f>HYPERLINK("https://klasma.github.io/Logging_2180/tillsyn/A 8622-2023 tillsynsbegäran.docx", "A 8622-2023")</f>
        <v/>
      </c>
      <c r="Y48">
        <f>HYPERLINK("https://klasma.github.io/Logging_2180/tillsynsmail/A 8622-2023 tillsynsbegäran mail.docx", "A 8622-2023")</f>
        <v/>
      </c>
    </row>
    <row r="49" ht="15" customHeight="1">
      <c r="A49" t="inlineStr">
        <is>
          <t>A 29821-2023</t>
        </is>
      </c>
      <c r="B49" s="1" t="n">
        <v>45107</v>
      </c>
      <c r="C49" s="1" t="n">
        <v>45660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45660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36353-2023</t>
        </is>
      </c>
      <c r="B51" s="1" t="n">
        <v>45152</v>
      </c>
      <c r="C51" s="1" t="n">
        <v>45660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HYPERLINK("https://klasma.github.io/Logging_2180/artfynd/A 36353-2023 artfynd.xlsx", "A 36353-2023")</f>
        <v/>
      </c>
      <c r="T51">
        <f>HYPERLINK("https://klasma.github.io/Logging_2180/kartor/A 36353-2023 karta.png", "A 36353-2023")</f>
        <v/>
      </c>
      <c r="V51">
        <f>HYPERLINK("https://klasma.github.io/Logging_2180/klagomål/A 36353-2023 FSC-klagomål.docx", "A 36353-2023")</f>
        <v/>
      </c>
      <c r="W51">
        <f>HYPERLINK("https://klasma.github.io/Logging_2180/klagomålsmail/A 36353-2023 FSC-klagomål mail.docx", "A 36353-2023")</f>
        <v/>
      </c>
      <c r="X51">
        <f>HYPERLINK("https://klasma.github.io/Logging_2180/tillsyn/A 36353-2023 tillsynsbegäran.docx", "A 36353-2023")</f>
        <v/>
      </c>
      <c r="Y51">
        <f>HYPERLINK("https://klasma.github.io/Logging_2180/tillsynsmail/A 36353-2023 tillsynsbegäran mail.docx", "A 36353-2023")</f>
        <v/>
      </c>
    </row>
    <row r="52" ht="15" customHeight="1">
      <c r="A52" t="inlineStr">
        <is>
          <t>A 51550-2023</t>
        </is>
      </c>
      <c r="B52" s="1" t="n">
        <v>45222</v>
      </c>
      <c r="C52" s="1" t="n">
        <v>45660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16.4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51550-2023 artfynd.xlsx", "A 51550-2023")</f>
        <v/>
      </c>
      <c r="T52">
        <f>HYPERLINK("https://klasma.github.io/Logging_2180/kartor/A 51550-2023 karta.png", "A 51550-2023")</f>
        <v/>
      </c>
      <c r="V52">
        <f>HYPERLINK("https://klasma.github.io/Logging_2180/klagomål/A 51550-2023 FSC-klagomål.docx", "A 51550-2023")</f>
        <v/>
      </c>
      <c r="W52">
        <f>HYPERLINK("https://klasma.github.io/Logging_2180/klagomålsmail/A 51550-2023 FSC-klagomål mail.docx", "A 51550-2023")</f>
        <v/>
      </c>
      <c r="X52">
        <f>HYPERLINK("https://klasma.github.io/Logging_2180/tillsyn/A 51550-2023 tillsynsbegäran.docx", "A 51550-2023")</f>
        <v/>
      </c>
      <c r="Y52">
        <f>HYPERLINK("https://klasma.github.io/Logging_2180/tillsynsmail/A 51550-2023 tillsynsbegäran mail.docx", "A 51550-2023")</f>
        <v/>
      </c>
    </row>
    <row r="53" ht="15" customHeight="1">
      <c r="A53" t="inlineStr">
        <is>
          <t>A 56368-2023</t>
        </is>
      </c>
      <c r="B53" s="1" t="n">
        <v>45243</v>
      </c>
      <c r="C53" s="1" t="n">
        <v>45660</v>
      </c>
      <c r="D53" t="inlineStr">
        <is>
          <t>GÄVLEBORGS LÄN</t>
        </is>
      </c>
      <c r="E53" t="inlineStr">
        <is>
          <t>GÄVLE</t>
        </is>
      </c>
      <c r="G53" t="n">
        <v>10.8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56368-2023 artfynd.xlsx", "A 56368-2023")</f>
        <v/>
      </c>
      <c r="T53">
        <f>HYPERLINK("https://klasma.github.io/Logging_2180/kartor/A 56368-2023 karta.png", "A 56368-2023")</f>
        <v/>
      </c>
      <c r="U53">
        <f>HYPERLINK("https://klasma.github.io/Logging_2180/knärot/A 56368-2023 karta knärot.png", "A 56368-2023")</f>
        <v/>
      </c>
      <c r="V53">
        <f>HYPERLINK("https://klasma.github.io/Logging_2180/klagomål/A 56368-2023 FSC-klagomål.docx", "A 56368-2023")</f>
        <v/>
      </c>
      <c r="W53">
        <f>HYPERLINK("https://klasma.github.io/Logging_2180/klagomålsmail/A 56368-2023 FSC-klagomål mail.docx", "A 56368-2023")</f>
        <v/>
      </c>
      <c r="X53">
        <f>HYPERLINK("https://klasma.github.io/Logging_2180/tillsyn/A 56368-2023 tillsynsbegäran.docx", "A 56368-2023")</f>
        <v/>
      </c>
      <c r="Y53">
        <f>HYPERLINK("https://klasma.github.io/Logging_2180/tillsynsmail/A 56368-2023 tillsynsbegäran mail.docx", "A 56368-2023")</f>
        <v/>
      </c>
    </row>
    <row r="54" ht="15" customHeight="1">
      <c r="A54" t="inlineStr">
        <is>
          <t>A 7296-2024</t>
        </is>
      </c>
      <c r="B54" s="1" t="n">
        <v>45344</v>
      </c>
      <c r="C54" s="1" t="n">
        <v>45660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7296-2024 artfynd.xlsx", "A 7296-2024")</f>
        <v/>
      </c>
      <c r="T54">
        <f>HYPERLINK("https://klasma.github.io/Logging_2180/kartor/A 7296-2024 karta.png", "A 7296-2024")</f>
        <v/>
      </c>
      <c r="V54">
        <f>HYPERLINK("https://klasma.github.io/Logging_2180/klagomål/A 7296-2024 FSC-klagomål.docx", "A 7296-2024")</f>
        <v/>
      </c>
      <c r="W54">
        <f>HYPERLINK("https://klasma.github.io/Logging_2180/klagomålsmail/A 7296-2024 FSC-klagomål mail.docx", "A 7296-2024")</f>
        <v/>
      </c>
      <c r="X54">
        <f>HYPERLINK("https://klasma.github.io/Logging_2180/tillsyn/A 7296-2024 tillsynsbegäran.docx", "A 7296-2024")</f>
        <v/>
      </c>
      <c r="Y54">
        <f>HYPERLINK("https://klasma.github.io/Logging_2180/tillsynsmail/A 7296-2024 tillsynsbegäran mail.docx", "A 7296-2024")</f>
        <v/>
      </c>
    </row>
    <row r="55" ht="15" customHeight="1">
      <c r="A55" t="inlineStr">
        <is>
          <t>A 14726-2024</t>
        </is>
      </c>
      <c r="B55" s="1" t="n">
        <v>45397</v>
      </c>
      <c r="C55" s="1" t="n">
        <v>45660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9.9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HYPERLINK("https://klasma.github.io/Logging_2180/artfynd/A 14726-2024 artfynd.xlsx", "A 14726-2024")</f>
        <v/>
      </c>
      <c r="T55">
        <f>HYPERLINK("https://klasma.github.io/Logging_2180/kartor/A 14726-2024 karta.png", "A 14726-2024")</f>
        <v/>
      </c>
      <c r="V55">
        <f>HYPERLINK("https://klasma.github.io/Logging_2180/klagomål/A 14726-2024 FSC-klagomål.docx", "A 14726-2024")</f>
        <v/>
      </c>
      <c r="W55">
        <f>HYPERLINK("https://klasma.github.io/Logging_2180/klagomålsmail/A 14726-2024 FSC-klagomål mail.docx", "A 14726-2024")</f>
        <v/>
      </c>
      <c r="X55">
        <f>HYPERLINK("https://klasma.github.io/Logging_2180/tillsyn/A 14726-2024 tillsynsbegäran.docx", "A 14726-2024")</f>
        <v/>
      </c>
      <c r="Y55">
        <f>HYPERLINK("https://klasma.github.io/Logging_2180/tillsynsmail/A 14726-2024 tillsynsbegäran mail.docx", "A 14726-2024")</f>
        <v/>
      </c>
    </row>
    <row r="56" ht="15" customHeight="1">
      <c r="A56" t="inlineStr">
        <is>
          <t>A 14847-2024</t>
        </is>
      </c>
      <c r="B56" s="1" t="n">
        <v>45398</v>
      </c>
      <c r="C56" s="1" t="n">
        <v>45660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14847-2024 artfynd.xlsx", "A 14847-2024")</f>
        <v/>
      </c>
      <c r="T56">
        <f>HYPERLINK("https://klasma.github.io/Logging_2180/kartor/A 14847-2024 karta.png", "A 14847-2024")</f>
        <v/>
      </c>
      <c r="V56">
        <f>HYPERLINK("https://klasma.github.io/Logging_2180/klagomål/A 14847-2024 FSC-klagomål.docx", "A 14847-2024")</f>
        <v/>
      </c>
      <c r="W56">
        <f>HYPERLINK("https://klasma.github.io/Logging_2180/klagomålsmail/A 14847-2024 FSC-klagomål mail.docx", "A 14847-2024")</f>
        <v/>
      </c>
      <c r="X56">
        <f>HYPERLINK("https://klasma.github.io/Logging_2180/tillsyn/A 14847-2024 tillsynsbegäran.docx", "A 14847-2024")</f>
        <v/>
      </c>
      <c r="Y56">
        <f>HYPERLINK("https://klasma.github.io/Logging_2180/tillsynsmail/A 14847-2024 tillsynsbegäran mail.docx", "A 14847-2024")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45660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18376-2024</t>
        </is>
      </c>
      <c r="B58" s="1" t="n">
        <v>45423</v>
      </c>
      <c r="C58" s="1" t="n">
        <v>45660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HYPERLINK("https://klasma.github.io/Logging_2180/artfynd/A 18376-2024 artfynd.xlsx", "A 18376-2024")</f>
        <v/>
      </c>
      <c r="T58">
        <f>HYPERLINK("https://klasma.github.io/Logging_2180/kartor/A 18376-2024 karta.png", "A 18376-2024")</f>
        <v/>
      </c>
      <c r="V58">
        <f>HYPERLINK("https://klasma.github.io/Logging_2180/klagomål/A 18376-2024 FSC-klagomål.docx", "A 18376-2024")</f>
        <v/>
      </c>
      <c r="W58">
        <f>HYPERLINK("https://klasma.github.io/Logging_2180/klagomålsmail/A 18376-2024 FSC-klagomål mail.docx", "A 18376-2024")</f>
        <v/>
      </c>
      <c r="X58">
        <f>HYPERLINK("https://klasma.github.io/Logging_2180/tillsyn/A 18376-2024 tillsynsbegäran.docx", "A 18376-2024")</f>
        <v/>
      </c>
      <c r="Y58">
        <f>HYPERLINK("https://klasma.github.io/Logging_2180/tillsynsmail/A 18376-2024 tillsynsbegäran mail.docx", "A 18376-2024")</f>
        <v/>
      </c>
    </row>
    <row r="59" ht="15" customHeight="1">
      <c r="A59" t="inlineStr">
        <is>
          <t>A 20152-2024</t>
        </is>
      </c>
      <c r="B59" s="1" t="n">
        <v>45434</v>
      </c>
      <c r="C59" s="1" t="n">
        <v>45660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13.4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20152-2024 artfynd.xlsx", "A 20152-2024")</f>
        <v/>
      </c>
      <c r="T59">
        <f>HYPERLINK("https://klasma.github.io/Logging_2180/kartor/A 20152-2024 karta.png", "A 20152-2024")</f>
        <v/>
      </c>
      <c r="V59">
        <f>HYPERLINK("https://klasma.github.io/Logging_2180/klagomål/A 20152-2024 FSC-klagomål.docx", "A 20152-2024")</f>
        <v/>
      </c>
      <c r="W59">
        <f>HYPERLINK("https://klasma.github.io/Logging_2180/klagomålsmail/A 20152-2024 FSC-klagomål mail.docx", "A 20152-2024")</f>
        <v/>
      </c>
      <c r="X59">
        <f>HYPERLINK("https://klasma.github.io/Logging_2180/tillsyn/A 20152-2024 tillsynsbegäran.docx", "A 20152-2024")</f>
        <v/>
      </c>
      <c r="Y59">
        <f>HYPERLINK("https://klasma.github.io/Logging_2180/tillsynsmail/A 20152-2024 tillsynsbegäran mail.docx", "A 20152-2024")</f>
        <v/>
      </c>
    </row>
    <row r="60" ht="15" customHeight="1">
      <c r="A60" t="inlineStr">
        <is>
          <t>A 21282-2024</t>
        </is>
      </c>
      <c r="B60" s="1" t="n">
        <v>45440</v>
      </c>
      <c r="C60" s="1" t="n">
        <v>45660</v>
      </c>
      <c r="D60" t="inlineStr">
        <is>
          <t>GÄVLEBORGS LÄN</t>
        </is>
      </c>
      <c r="E60" t="inlineStr">
        <is>
          <t>GÄVLE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21282-2024 artfynd.xlsx", "A 21282-2024")</f>
        <v/>
      </c>
      <c r="T60">
        <f>HYPERLINK("https://klasma.github.io/Logging_2180/kartor/A 21282-2024 karta.png", "A 21282-2024")</f>
        <v/>
      </c>
      <c r="V60">
        <f>HYPERLINK("https://klasma.github.io/Logging_2180/klagomål/A 21282-2024 FSC-klagomål.docx", "A 21282-2024")</f>
        <v/>
      </c>
      <c r="W60">
        <f>HYPERLINK("https://klasma.github.io/Logging_2180/klagomålsmail/A 21282-2024 FSC-klagomål mail.docx", "A 21282-2024")</f>
        <v/>
      </c>
      <c r="X60">
        <f>HYPERLINK("https://klasma.github.io/Logging_2180/tillsyn/A 21282-2024 tillsynsbegäran.docx", "A 21282-2024")</f>
        <v/>
      </c>
      <c r="Y60">
        <f>HYPERLINK("https://klasma.github.io/Logging_2180/tillsynsmail/A 21282-2024 tillsynsbegäran mail.docx", "A 21282-2024")</f>
        <v/>
      </c>
    </row>
    <row r="61" ht="15" customHeight="1">
      <c r="A61" t="inlineStr">
        <is>
          <t>A 23700-2024</t>
        </is>
      </c>
      <c r="B61" s="1" t="n">
        <v>45454</v>
      </c>
      <c r="C61" s="1" t="n">
        <v>45660</v>
      </c>
      <c r="D61" t="inlineStr">
        <is>
          <t>GÄVLEBORGS LÄN</t>
        </is>
      </c>
      <c r="E61" t="inlineStr">
        <is>
          <t>GÄVLE</t>
        </is>
      </c>
      <c r="G61" t="n">
        <v>1.7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HYPERLINK("https://klasma.github.io/Logging_2180/artfynd/A 23700-2024 artfynd.xlsx", "A 23700-2024")</f>
        <v/>
      </c>
      <c r="T61">
        <f>HYPERLINK("https://klasma.github.io/Logging_2180/kartor/A 23700-2024 karta.png", "A 23700-2024")</f>
        <v/>
      </c>
      <c r="V61">
        <f>HYPERLINK("https://klasma.github.io/Logging_2180/klagomål/A 23700-2024 FSC-klagomål.docx", "A 23700-2024")</f>
        <v/>
      </c>
      <c r="W61">
        <f>HYPERLINK("https://klasma.github.io/Logging_2180/klagomålsmail/A 23700-2024 FSC-klagomål mail.docx", "A 23700-2024")</f>
        <v/>
      </c>
      <c r="X61">
        <f>HYPERLINK("https://klasma.github.io/Logging_2180/tillsyn/A 23700-2024 tillsynsbegäran.docx", "A 23700-2024")</f>
        <v/>
      </c>
      <c r="Y61">
        <f>HYPERLINK("https://klasma.github.io/Logging_2180/tillsynsmail/A 23700-2024 tillsynsbegäran mail.docx", "A 23700-2024")</f>
        <v/>
      </c>
    </row>
    <row r="62" ht="15" customHeight="1">
      <c r="A62" t="inlineStr">
        <is>
          <t>A 25657-2024</t>
        </is>
      </c>
      <c r="B62" s="1" t="n">
        <v>45463</v>
      </c>
      <c r="C62" s="1" t="n">
        <v>45660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39460-2024</t>
        </is>
      </c>
      <c r="B63" s="1" t="n">
        <v>45551</v>
      </c>
      <c r="C63" s="1" t="n">
        <v>45660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39460-2024 artfynd.xlsx", "A 39460-2024")</f>
        <v/>
      </c>
      <c r="T63">
        <f>HYPERLINK("https://klasma.github.io/Logging_2180/kartor/A 39460-2024 karta.png", "A 39460-2024")</f>
        <v/>
      </c>
      <c r="V63">
        <f>HYPERLINK("https://klasma.github.io/Logging_2180/klagomål/A 39460-2024 FSC-klagomål.docx", "A 39460-2024")</f>
        <v/>
      </c>
      <c r="W63">
        <f>HYPERLINK("https://klasma.github.io/Logging_2180/klagomålsmail/A 39460-2024 FSC-klagomål mail.docx", "A 39460-2024")</f>
        <v/>
      </c>
      <c r="X63">
        <f>HYPERLINK("https://klasma.github.io/Logging_2180/tillsyn/A 39460-2024 tillsynsbegäran.docx", "A 39460-2024")</f>
        <v/>
      </c>
      <c r="Y63">
        <f>HYPERLINK("https://klasma.github.io/Logging_2180/tillsynsmail/A 39460-2024 tillsynsbegäran mail.docx", "A 39460-2024")</f>
        <v/>
      </c>
      <c r="Z63">
        <f>HYPERLINK("https://klasma.github.io/Logging_2180/fåglar/A 39460-2024 prioriterade fågelarter.docx", "A 39460-2024")</f>
        <v/>
      </c>
    </row>
    <row r="64" ht="15" customHeight="1">
      <c r="A64" t="inlineStr">
        <is>
          <t>A 44434-2024</t>
        </is>
      </c>
      <c r="B64" s="1" t="n">
        <v>45574</v>
      </c>
      <c r="C64" s="1" t="n">
        <v>45660</v>
      </c>
      <c r="D64" t="inlineStr">
        <is>
          <t>GÄVLEBORGS LÄN</t>
        </is>
      </c>
      <c r="E64" t="inlineStr">
        <is>
          <t>GÄVLE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44434-2024 artfynd.xlsx", "A 44434-2024")</f>
        <v/>
      </c>
      <c r="T64">
        <f>HYPERLINK("https://klasma.github.io/Logging_2180/kartor/A 44434-2024 karta.png", "A 44434-2024")</f>
        <v/>
      </c>
      <c r="V64">
        <f>HYPERLINK("https://klasma.github.io/Logging_2180/klagomål/A 44434-2024 FSC-klagomål.docx", "A 44434-2024")</f>
        <v/>
      </c>
      <c r="W64">
        <f>HYPERLINK("https://klasma.github.io/Logging_2180/klagomålsmail/A 44434-2024 FSC-klagomål mail.docx", "A 44434-2024")</f>
        <v/>
      </c>
      <c r="X64">
        <f>HYPERLINK("https://klasma.github.io/Logging_2180/tillsyn/A 44434-2024 tillsynsbegäran.docx", "A 44434-2024")</f>
        <v/>
      </c>
      <c r="Y64">
        <f>HYPERLINK("https://klasma.github.io/Logging_2180/tillsynsmail/A 44434-2024 tillsynsbegäran mail.docx", "A 44434-2024")</f>
        <v/>
      </c>
    </row>
    <row r="65" ht="15" customHeight="1">
      <c r="A65" t="inlineStr">
        <is>
          <t>A 48800-2024</t>
        </is>
      </c>
      <c r="B65" s="1" t="n">
        <v>45593</v>
      </c>
      <c r="C65" s="1" t="n">
        <v>45660</v>
      </c>
      <c r="D65" t="inlineStr">
        <is>
          <t>GÄVLEBORGS LÄN</t>
        </is>
      </c>
      <c r="E65" t="inlineStr">
        <is>
          <t>GÄVLE</t>
        </is>
      </c>
      <c r="G65" t="n">
        <v>15.3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HYPERLINK("https://klasma.github.io/Logging_2180/artfynd/A 48800-2024 artfynd.xlsx", "A 48800-2024")</f>
        <v/>
      </c>
      <c r="T65">
        <f>HYPERLINK("https://klasma.github.io/Logging_2180/kartor/A 48800-2024 karta.png", "A 48800-2024")</f>
        <v/>
      </c>
      <c r="V65">
        <f>HYPERLINK("https://klasma.github.io/Logging_2180/klagomål/A 48800-2024 FSC-klagomål.docx", "A 48800-2024")</f>
        <v/>
      </c>
      <c r="W65">
        <f>HYPERLINK("https://klasma.github.io/Logging_2180/klagomålsmail/A 48800-2024 FSC-klagomål mail.docx", "A 48800-2024")</f>
        <v/>
      </c>
      <c r="X65">
        <f>HYPERLINK("https://klasma.github.io/Logging_2180/tillsyn/A 48800-2024 tillsynsbegäran.docx", "A 48800-2024")</f>
        <v/>
      </c>
      <c r="Y65">
        <f>HYPERLINK("https://klasma.github.io/Logging_2180/tillsynsmail/A 48800-2024 tillsynsbegäran mail.docx", "A 48800-2024")</f>
        <v/>
      </c>
      <c r="Z65">
        <f>HYPERLINK("https://klasma.github.io/Logging_2180/fåglar/A 48800-2024 prioriterade fågelarter.docx", "A 48800-2024")</f>
        <v/>
      </c>
    </row>
    <row r="66" ht="15" customHeight="1">
      <c r="A66" t="inlineStr">
        <is>
          <t>A 51508-2024</t>
        </is>
      </c>
      <c r="B66" s="1" t="n">
        <v>45604</v>
      </c>
      <c r="C66" s="1" t="n">
        <v>45660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HYPERLINK("https://klasma.github.io/Logging_2180/artfynd/A 51508-2024 artfynd.xlsx", "A 51508-2024")</f>
        <v/>
      </c>
      <c r="T66">
        <f>HYPERLINK("https://klasma.github.io/Logging_2180/kartor/A 51508-2024 karta.png", "A 51508-2024")</f>
        <v/>
      </c>
      <c r="V66">
        <f>HYPERLINK("https://klasma.github.io/Logging_2180/klagomål/A 51508-2024 FSC-klagomål.docx", "A 51508-2024")</f>
        <v/>
      </c>
      <c r="W66">
        <f>HYPERLINK("https://klasma.github.io/Logging_2180/klagomålsmail/A 51508-2024 FSC-klagomål mail.docx", "A 51508-2024")</f>
        <v/>
      </c>
      <c r="X66">
        <f>HYPERLINK("https://klasma.github.io/Logging_2180/tillsyn/A 51508-2024 tillsynsbegäran.docx", "A 51508-2024")</f>
        <v/>
      </c>
      <c r="Y66">
        <f>HYPERLINK("https://klasma.github.io/Logging_2180/tillsynsmail/A 51508-2024 tillsynsbegäran mail.docx", "A 51508-2024")</f>
        <v/>
      </c>
    </row>
    <row r="67" ht="15" customHeight="1">
      <c r="A67" t="inlineStr">
        <is>
          <t>A 53571-2024</t>
        </is>
      </c>
      <c r="B67" s="1" t="n">
        <v>45614</v>
      </c>
      <c r="C67" s="1" t="n">
        <v>45660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HYPERLINK("https://klasma.github.io/Logging_2180/artfynd/A 53571-2024 artfynd.xlsx", "A 53571-2024")</f>
        <v/>
      </c>
      <c r="T67">
        <f>HYPERLINK("https://klasma.github.io/Logging_2180/kartor/A 53571-2024 karta.png", "A 53571-2024")</f>
        <v/>
      </c>
      <c r="V67">
        <f>HYPERLINK("https://klasma.github.io/Logging_2180/klagomål/A 53571-2024 FSC-klagomål.docx", "A 53571-2024")</f>
        <v/>
      </c>
      <c r="W67">
        <f>HYPERLINK("https://klasma.github.io/Logging_2180/klagomålsmail/A 53571-2024 FSC-klagomål mail.docx", "A 53571-2024")</f>
        <v/>
      </c>
      <c r="X67">
        <f>HYPERLINK("https://klasma.github.io/Logging_2180/tillsyn/A 53571-2024 tillsynsbegäran.docx", "A 53571-2024")</f>
        <v/>
      </c>
      <c r="Y67">
        <f>HYPERLINK("https://klasma.github.io/Logging_2180/tillsynsmail/A 53571-2024 tillsynsbegäran mail.docx", "A 53571-2024")</f>
        <v/>
      </c>
    </row>
    <row r="68" ht="15" customHeight="1">
      <c r="A68" t="inlineStr">
        <is>
          <t>A 56870-2024</t>
        </is>
      </c>
      <c r="B68" s="1" t="n">
        <v>45628</v>
      </c>
      <c r="C68" s="1" t="n">
        <v>45660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HYPERLINK("https://klasma.github.io/Logging_2180/artfynd/A 56870-2024 artfynd.xlsx", "A 56870-2024")</f>
        <v/>
      </c>
      <c r="T68">
        <f>HYPERLINK("https://klasma.github.io/Logging_2180/kartor/A 56870-2024 karta.png", "A 56870-2024")</f>
        <v/>
      </c>
      <c r="V68">
        <f>HYPERLINK("https://klasma.github.io/Logging_2180/klagomål/A 56870-2024 FSC-klagomål.docx", "A 56870-2024")</f>
        <v/>
      </c>
      <c r="W68">
        <f>HYPERLINK("https://klasma.github.io/Logging_2180/klagomålsmail/A 56870-2024 FSC-klagomål mail.docx", "A 56870-2024")</f>
        <v/>
      </c>
      <c r="X68">
        <f>HYPERLINK("https://klasma.github.io/Logging_2180/tillsyn/A 56870-2024 tillsynsbegäran.docx", "A 56870-2024")</f>
        <v/>
      </c>
      <c r="Y68">
        <f>HYPERLINK("https://klasma.github.io/Logging_2180/tillsynsmail/A 56870-2024 tillsynsbegäran mail.docx", "A 56870-2024")</f>
        <v/>
      </c>
      <c r="Z68">
        <f>HYPERLINK("https://klasma.github.io/Logging_2180/fåglar/A 56870-2024 prioriterade fågelarter.docx", "A 56870-2024")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45660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45660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45660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45660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45660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45660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45660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45660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45660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45660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45660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45660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45660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45660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45660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45660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45660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45660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45660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45660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45660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45660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45660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45660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45660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45660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45660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45660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45660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45660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45660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45660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45660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45660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45660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45660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45660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45660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45660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45660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45660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45660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45660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45660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45660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45660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45660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45660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45660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45660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45660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45660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45660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45660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45660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45660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45660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45660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45660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45660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45660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45660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45660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45660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45660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45660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45660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45660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45660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45660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45660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45660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45660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45660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45660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45660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45660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45660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45660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45660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45660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45660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45660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45660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45660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45660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45660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45660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45660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45660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45660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45660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45660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45660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45660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45660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45660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45660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45660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45660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45660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45660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45660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45660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45660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45660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45660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45660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45660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45660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45660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45660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45660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45660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45660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45660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45660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45660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45660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45660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45660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45660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45660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45660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45660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45660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45660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45660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45660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45660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45660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45660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45660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45660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45660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45660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45660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45660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45660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45660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45660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45660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45660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45660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45660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45660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45660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45660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45660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45660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45660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45660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45660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45660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45660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45660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45660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45660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45660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45660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45660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45660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45660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45660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45660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45660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45660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45660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45660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45660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45660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45660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45660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45660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45660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45660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45660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45660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45660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45660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45660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45660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45660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45660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45660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45660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45660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45660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45660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45660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45660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45660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45660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45660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45660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45660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45660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45660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45660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45660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45660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45660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45660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45660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45660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45660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45660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45660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45660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45660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45660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45660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45660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45660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45660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45660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45660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45660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45660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45660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45660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45660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45660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45660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45660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45660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45660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45660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45660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45660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45660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45660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45660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45660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45660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45660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45660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45660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45660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45660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45660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45660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45660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45660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45660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45660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45660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45660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45660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45660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45660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45660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45660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45660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45660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45660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45660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45660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45660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45660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45660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45660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45660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45660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45660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45660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45660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45660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45660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45660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45660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45660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45660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45660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45660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45660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45660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45660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45660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45660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45660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45660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45660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45660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45660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45660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45660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45660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45660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45660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45660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45660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45660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45660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45660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45660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45660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45660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45660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45660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45660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45660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45660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45660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45660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45660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45660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45660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45660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45660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45660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45660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45660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45660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45660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45660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45660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45660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45660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45660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45660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45660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45660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45660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45660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45660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45660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45660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45660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45660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45660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45660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45660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45660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45660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45660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45660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45660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45660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45660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45660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45660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45660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45660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45660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45660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45660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45660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45660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45660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45660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45660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45660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45660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45660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45660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45660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45660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45660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45660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45660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45660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45660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45660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45660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45660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45660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45660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45660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45660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45660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45660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45660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45660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45660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45660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45660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45660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45660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45660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45660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45660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45660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45660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45660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45660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45660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45660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45660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45660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45660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45660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45660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45660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45660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45660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45660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45660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45660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45660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45660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45660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45660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45660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45660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45660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45660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45660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45660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45660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45660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45660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45660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45660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45660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45660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45660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45660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45660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45660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45660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45660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45660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45660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45660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45660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45660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45660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45660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45660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45660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45660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45660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45660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45660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45660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45660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45660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45660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45660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45660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45660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45660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45660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45660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45660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45660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45660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45660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45660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45660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45660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45660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45660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45660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45660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45660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45660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45660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45660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45660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45660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45660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45660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45660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45660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45660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45660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45660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45660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45660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45660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45660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45660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45660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45660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45660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45660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45660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45660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45660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45660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45660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45660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45660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45660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45660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45660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45660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45660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45660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45660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45660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45660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45660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45660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45660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45660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45660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45660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45660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45660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45660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45660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45660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45660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45660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45660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45660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45660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45660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45660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45660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45660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45660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45660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45660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45660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45660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45660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45660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45660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45660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45660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45660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45660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45660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45660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45660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45660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45660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45660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45660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45660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45660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45660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45660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45660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45660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45660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45660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45660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45660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45660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45660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45660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45660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45660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45660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45660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45660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45660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45660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45660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45660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45660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45660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45660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45660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45660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45660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45660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45660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45660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45660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45660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45660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45660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45660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45660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45660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45660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45660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45660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45660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45660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45660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45660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45660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45660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45660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45660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45660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45660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45660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45660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45660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45660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45660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45660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45660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45660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45660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45660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45660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45660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45660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45660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45660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45660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45660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45660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45660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45660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45660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45660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45660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45660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45660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45660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45660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45660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45660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45660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45660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45660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45660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45660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45660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45660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45660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45660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45660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45660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45660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45660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45660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45660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45660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45660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45660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45660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45660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45660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45660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45660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45660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45660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45660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45660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45660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45660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45660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45660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45660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45660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45660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45660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45660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45660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45660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58192-2024</t>
        </is>
      </c>
      <c r="B1182" s="1" t="n">
        <v>45632</v>
      </c>
      <c r="C1182" s="1" t="n">
        <v>45660</v>
      </c>
      <c r="D1182" t="inlineStr">
        <is>
          <t>GÄVLEBORGS LÄN</t>
        </is>
      </c>
      <c r="E1182" t="inlineStr">
        <is>
          <t>GÄVLE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58196-2024</t>
        </is>
      </c>
      <c r="B1183" s="1" t="n">
        <v>45632</v>
      </c>
      <c r="C1183" s="1" t="n">
        <v>45660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58204-2024</t>
        </is>
      </c>
      <c r="B1184" s="1" t="n">
        <v>45632</v>
      </c>
      <c r="C1184" s="1" t="n">
        <v>45660</v>
      </c>
      <c r="D1184" t="inlineStr">
        <is>
          <t>GÄVLEBORGS LÄN</t>
        </is>
      </c>
      <c r="E1184" t="inlineStr">
        <is>
          <t>GÄVLE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58373-2024</t>
        </is>
      </c>
      <c r="B1185" s="1" t="n">
        <v>45632</v>
      </c>
      <c r="C1185" s="1" t="n">
        <v>45660</v>
      </c>
      <c r="D1185" t="inlineStr">
        <is>
          <t>GÄVLEBORGS LÄN</t>
        </is>
      </c>
      <c r="E1185" t="inlineStr">
        <is>
          <t>GÄVLE</t>
        </is>
      </c>
      <c r="G1185" t="n">
        <v>13.1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45660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45660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59149-2024</t>
        </is>
      </c>
      <c r="B1188" s="1" t="n">
        <v>45637</v>
      </c>
      <c r="C1188" s="1" t="n">
        <v>45660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59099-2024</t>
        </is>
      </c>
      <c r="B1189" s="1" t="n">
        <v>45637</v>
      </c>
      <c r="C1189" s="1" t="n">
        <v>45660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öst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45660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45660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45660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60602-2024</t>
        </is>
      </c>
      <c r="B1194" s="1" t="n">
        <v>45644</v>
      </c>
      <c r="C1194" s="1" t="n">
        <v>45660</v>
      </c>
      <c r="D1194" t="inlineStr">
        <is>
          <t>GÄVLEBORGS LÄN</t>
        </is>
      </c>
      <c r="E1194" t="inlineStr">
        <is>
          <t>GÄVLE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45660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45660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45660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45660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45660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61131-2024</t>
        </is>
      </c>
      <c r="B1202" s="1" t="n">
        <v>45645</v>
      </c>
      <c r="C1202" s="1" t="n">
        <v>45660</v>
      </c>
      <c r="D1202" t="inlineStr">
        <is>
          <t>GÄVLEBORGS LÄN</t>
        </is>
      </c>
      <c r="E1202" t="inlineStr">
        <is>
          <t>GÄVLE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45660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61300-2024</t>
        </is>
      </c>
      <c r="B1204" s="1" t="n">
        <v>45645</v>
      </c>
      <c r="C1204" s="1" t="n">
        <v>45660</v>
      </c>
      <c r="D1204" t="inlineStr">
        <is>
          <t>GÄVLEBORGS LÄN</t>
        </is>
      </c>
      <c r="E1204" t="inlineStr">
        <is>
          <t>GÄVLE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45660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61301-2024</t>
        </is>
      </c>
      <c r="B1206" s="1" t="n">
        <v>45645</v>
      </c>
      <c r="C1206" s="1" t="n">
        <v>45660</v>
      </c>
      <c r="D1206" t="inlineStr">
        <is>
          <t>GÄVLEBORGS LÄN</t>
        </is>
      </c>
      <c r="E1206" t="inlineStr">
        <is>
          <t>GÄVLE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45660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45660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45660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45660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45660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45660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>
      <c r="A1213" t="inlineStr">
        <is>
          <t>A 24-2025</t>
        </is>
      </c>
      <c r="B1213" s="1" t="n">
        <v>45658</v>
      </c>
      <c r="C1213" s="1" t="n">
        <v>45660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2025-01-03T15:48:07Z</dcterms:created>
  <dcterms:modified xmlns:dcterms="http://purl.org/dc/terms/" xmlns:xsi="http://www.w3.org/2001/XMLSchema-instance" xsi:type="dcterms:W3CDTF">2025-01-03T15:48:08Z</dcterms:modified>
</cp:coreProperties>
</file>