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45811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45811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45811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45811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45811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45811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45811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45811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45811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45811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45811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45811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45811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45811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45811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45811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45811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45811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45811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45811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45811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45811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45811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45811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45811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45811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45811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45811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45811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45811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45811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45811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45811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45811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45811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45811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45811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45811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45811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45811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45811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45811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45811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45811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19891-2019</t>
        </is>
      </c>
      <c r="B46" s="1" t="n">
        <v>43567</v>
      </c>
      <c r="C46" s="1" t="n">
        <v>45811</v>
      </c>
      <c r="D46" t="inlineStr">
        <is>
          <t>GÄVLEBORGS LÄN</t>
        </is>
      </c>
      <c r="E46" t="inlineStr">
        <is>
          <t>GÄVLE</t>
        </is>
      </c>
      <c r="G46" t="n">
        <v>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HYPERLINK("https://klasma.github.io/Logging_2180/artfynd/A 19891-2019 artfynd.xlsx", "A 19891-2019")</f>
        <v/>
      </c>
      <c r="T46">
        <f>HYPERLINK("https://klasma.github.io/Logging_2180/kartor/A 19891-2019 karta.png", "A 19891-2019")</f>
        <v/>
      </c>
      <c r="V46">
        <f>HYPERLINK("https://klasma.github.io/Logging_2180/klagomål/A 19891-2019 FSC-klagomål.docx", "A 19891-2019")</f>
        <v/>
      </c>
      <c r="W46">
        <f>HYPERLINK("https://klasma.github.io/Logging_2180/klagomålsmail/A 19891-2019 FSC-klagomål mail.docx", "A 19891-2019")</f>
        <v/>
      </c>
      <c r="X46">
        <f>HYPERLINK("https://klasma.github.io/Logging_2180/tillsyn/A 19891-2019 tillsynsbegäran.docx", "A 19891-2019")</f>
        <v/>
      </c>
      <c r="Y46">
        <f>HYPERLINK("https://klasma.github.io/Logging_2180/tillsynsmail/A 19891-2019 tillsynsbegäran mail.docx", "A 19891-2019")</f>
        <v/>
      </c>
      <c r="Z46">
        <f>HYPERLINK("https://klasma.github.io/Logging_2180/fåglar/A 19891-2019 prioriterade fågelarter.docx", "A 19891-2019")</f>
        <v/>
      </c>
    </row>
    <row r="47" ht="15" customHeight="1">
      <c r="A47" t="inlineStr">
        <is>
          <t>A 22616-2019</t>
        </is>
      </c>
      <c r="B47" s="1" t="n">
        <v>43588</v>
      </c>
      <c r="C47" s="1" t="n">
        <v>45811</v>
      </c>
      <c r="D47" t="inlineStr">
        <is>
          <t>GÄVLEBORGS LÄN</t>
        </is>
      </c>
      <c r="E47" t="inlineStr">
        <is>
          <t>GÄVLE</t>
        </is>
      </c>
      <c r="F47" t="inlineStr">
        <is>
          <t>Kommuner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Sotnätfjäril</t>
        </is>
      </c>
      <c r="S47">
        <f>HYPERLINK("https://klasma.github.io/Logging_2180/artfynd/A 22616-2019 artfynd.xlsx", "A 22616-2019")</f>
        <v/>
      </c>
      <c r="T47">
        <f>HYPERLINK("https://klasma.github.io/Logging_2180/kartor/A 22616-2019 karta.png", "A 22616-2019")</f>
        <v/>
      </c>
      <c r="V47">
        <f>HYPERLINK("https://klasma.github.io/Logging_2180/klagomål/A 22616-2019 FSC-klagomål.docx", "A 22616-2019")</f>
        <v/>
      </c>
      <c r="W47">
        <f>HYPERLINK("https://klasma.github.io/Logging_2180/klagomålsmail/A 22616-2019 FSC-klagomål mail.docx", "A 22616-2019")</f>
        <v/>
      </c>
      <c r="X47">
        <f>HYPERLINK("https://klasma.github.io/Logging_2180/tillsyn/A 22616-2019 tillsynsbegäran.docx", "A 22616-2019")</f>
        <v/>
      </c>
      <c r="Y47">
        <f>HYPERLINK("https://klasma.github.io/Logging_2180/tillsynsmail/A 22616-2019 tillsynsbegäran mail.docx", "A 22616-2019")</f>
        <v/>
      </c>
    </row>
    <row r="48" ht="15" customHeight="1">
      <c r="A48" t="inlineStr">
        <is>
          <t>A 58168-2020</t>
        </is>
      </c>
      <c r="B48" s="1" t="n">
        <v>44144</v>
      </c>
      <c r="C48" s="1" t="n">
        <v>45811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3.7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58168-2020 artfynd.xlsx", "A 58168-2020")</f>
        <v/>
      </c>
      <c r="T48">
        <f>HYPERLINK("https://klasma.github.io/Logging_2180/kartor/A 58168-2020 karta.png", "A 58168-2020")</f>
        <v/>
      </c>
      <c r="U48">
        <f>HYPERLINK("https://klasma.github.io/Logging_2180/knärot/A 58168-2020 karta knärot.png", "A 58168-2020")</f>
        <v/>
      </c>
      <c r="V48">
        <f>HYPERLINK("https://klasma.github.io/Logging_2180/klagomål/A 58168-2020 FSC-klagomål.docx", "A 58168-2020")</f>
        <v/>
      </c>
      <c r="W48">
        <f>HYPERLINK("https://klasma.github.io/Logging_2180/klagomålsmail/A 58168-2020 FSC-klagomål mail.docx", "A 58168-2020")</f>
        <v/>
      </c>
      <c r="X48">
        <f>HYPERLINK("https://klasma.github.io/Logging_2180/tillsyn/A 58168-2020 tillsynsbegäran.docx", "A 58168-2020")</f>
        <v/>
      </c>
      <c r="Y48">
        <f>HYPERLINK("https://klasma.github.io/Logging_2180/tillsynsmail/A 58168-2020 tillsynsbegäran mail.docx", "A 58168-2020")</f>
        <v/>
      </c>
    </row>
    <row r="49" ht="15" customHeight="1">
      <c r="A49" t="inlineStr">
        <is>
          <t>A 62316-2020</t>
        </is>
      </c>
      <c r="B49" s="1" t="n">
        <v>44160</v>
      </c>
      <c r="C49" s="1" t="n">
        <v>45811</v>
      </c>
      <c r="D49" t="inlineStr">
        <is>
          <t>GÄVLEBORGS LÄN</t>
        </is>
      </c>
      <c r="E49" t="inlineStr">
        <is>
          <t>GÄVLE</t>
        </is>
      </c>
      <c r="F49" t="inlineStr">
        <is>
          <t>Kommuner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62316-2020 artfynd.xlsx", "A 62316-2020")</f>
        <v/>
      </c>
      <c r="T49">
        <f>HYPERLINK("https://klasma.github.io/Logging_2180/kartor/A 62316-2020 karta.png", "A 62316-2020")</f>
        <v/>
      </c>
      <c r="V49">
        <f>HYPERLINK("https://klasma.github.io/Logging_2180/klagomål/A 62316-2020 FSC-klagomål.docx", "A 62316-2020")</f>
        <v/>
      </c>
      <c r="W49">
        <f>HYPERLINK("https://klasma.github.io/Logging_2180/klagomålsmail/A 62316-2020 FSC-klagomål mail.docx", "A 62316-2020")</f>
        <v/>
      </c>
      <c r="X49">
        <f>HYPERLINK("https://klasma.github.io/Logging_2180/tillsyn/A 62316-2020 tillsynsbegäran.docx", "A 62316-2020")</f>
        <v/>
      </c>
      <c r="Y49">
        <f>HYPERLINK("https://klasma.github.io/Logging_2180/tillsynsmail/A 62316-2020 tillsynsbegäran mail.docx", "A 62316-2020")</f>
        <v/>
      </c>
    </row>
    <row r="50" ht="15" customHeight="1">
      <c r="A50" t="inlineStr">
        <is>
          <t>A 14569-2021</t>
        </is>
      </c>
      <c r="B50" s="1" t="n">
        <v>44279</v>
      </c>
      <c r="C50" s="1" t="n">
        <v>45811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HYPERLINK("https://klasma.github.io/Logging_2180/artfynd/A 14569-2021 artfynd.xlsx", "A 14569-2021")</f>
        <v/>
      </c>
      <c r="T50">
        <f>HYPERLINK("https://klasma.github.io/Logging_2180/kartor/A 14569-2021 karta.png", "A 14569-2021")</f>
        <v/>
      </c>
      <c r="V50">
        <f>HYPERLINK("https://klasma.github.io/Logging_2180/klagomål/A 14569-2021 FSC-klagomål.docx", "A 14569-2021")</f>
        <v/>
      </c>
      <c r="W50">
        <f>HYPERLINK("https://klasma.github.io/Logging_2180/klagomålsmail/A 14569-2021 FSC-klagomål mail.docx", "A 14569-2021")</f>
        <v/>
      </c>
      <c r="X50">
        <f>HYPERLINK("https://klasma.github.io/Logging_2180/tillsyn/A 14569-2021 tillsynsbegäran.docx", "A 14569-2021")</f>
        <v/>
      </c>
      <c r="Y50">
        <f>HYPERLINK("https://klasma.github.io/Logging_2180/tillsynsmail/A 14569-2021 tillsynsbegäran mail.docx", "A 14569-2021")</f>
        <v/>
      </c>
    </row>
    <row r="51" ht="15" customHeight="1">
      <c r="A51" t="inlineStr">
        <is>
          <t>A 40986-2021</t>
        </is>
      </c>
      <c r="B51" s="1" t="n">
        <v>44421</v>
      </c>
      <c r="C51" s="1" t="n">
        <v>45811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HYPERLINK("https://klasma.github.io/Logging_2180/artfynd/A 40986-2021 artfynd.xlsx", "A 40986-2021")</f>
        <v/>
      </c>
      <c r="T51">
        <f>HYPERLINK("https://klasma.github.io/Logging_2180/kartor/A 40986-2021 karta.png", "A 40986-2021")</f>
        <v/>
      </c>
      <c r="V51">
        <f>HYPERLINK("https://klasma.github.io/Logging_2180/klagomål/A 40986-2021 FSC-klagomål.docx", "A 40986-2021")</f>
        <v/>
      </c>
      <c r="W51">
        <f>HYPERLINK("https://klasma.github.io/Logging_2180/klagomålsmail/A 40986-2021 FSC-klagomål mail.docx", "A 40986-2021")</f>
        <v/>
      </c>
      <c r="X51">
        <f>HYPERLINK("https://klasma.github.io/Logging_2180/tillsyn/A 40986-2021 tillsynsbegäran.docx", "A 40986-2021")</f>
        <v/>
      </c>
      <c r="Y51">
        <f>HYPERLINK("https://klasma.github.io/Logging_2180/tillsynsmail/A 40986-2021 tillsynsbegäran mail.docx", "A 40986-2021")</f>
        <v/>
      </c>
      <c r="Z51">
        <f>HYPERLINK("https://klasma.github.io/Logging_2180/fåglar/A 40986-2021 prioriterade fågelarter.docx", "A 40986-2021")</f>
        <v/>
      </c>
    </row>
    <row r="52" ht="15" customHeight="1">
      <c r="A52" t="inlineStr">
        <is>
          <t>A 59225-2021</t>
        </is>
      </c>
      <c r="B52" s="1" t="n">
        <v>44490</v>
      </c>
      <c r="C52" s="1" t="n">
        <v>45811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59225-2021 artfynd.xlsx", "A 59225-2021")</f>
        <v/>
      </c>
      <c r="T52">
        <f>HYPERLINK("https://klasma.github.io/Logging_2180/kartor/A 59225-2021 karta.png", "A 59225-2021")</f>
        <v/>
      </c>
      <c r="V52">
        <f>HYPERLINK("https://klasma.github.io/Logging_2180/klagomål/A 59225-2021 FSC-klagomål.docx", "A 59225-2021")</f>
        <v/>
      </c>
      <c r="W52">
        <f>HYPERLINK("https://klasma.github.io/Logging_2180/klagomålsmail/A 59225-2021 FSC-klagomål mail.docx", "A 59225-2021")</f>
        <v/>
      </c>
      <c r="X52">
        <f>HYPERLINK("https://klasma.github.io/Logging_2180/tillsyn/A 59225-2021 tillsynsbegäran.docx", "A 59225-2021")</f>
        <v/>
      </c>
      <c r="Y52">
        <f>HYPERLINK("https://klasma.github.io/Logging_2180/tillsynsmail/A 59225-2021 tillsynsbegäran mail.docx", "A 59225-2021")</f>
        <v/>
      </c>
    </row>
    <row r="53" ht="15" customHeight="1">
      <c r="A53" t="inlineStr">
        <is>
          <t>A 66495-2021</t>
        </is>
      </c>
      <c r="B53" s="1" t="n">
        <v>44519</v>
      </c>
      <c r="C53" s="1" t="n">
        <v>45811</v>
      </c>
      <c r="D53" t="inlineStr">
        <is>
          <t>GÄVLEBORGS LÄN</t>
        </is>
      </c>
      <c r="E53" t="inlineStr">
        <is>
          <t>GÄVLE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HYPERLINK("https://klasma.github.io/Logging_2180/artfynd/A 66495-2021 artfynd.xlsx", "A 66495-2021")</f>
        <v/>
      </c>
      <c r="T53">
        <f>HYPERLINK("https://klasma.github.io/Logging_2180/kartor/A 66495-2021 karta.png", "A 66495-2021")</f>
        <v/>
      </c>
      <c r="V53">
        <f>HYPERLINK("https://klasma.github.io/Logging_2180/klagomål/A 66495-2021 FSC-klagomål.docx", "A 66495-2021")</f>
        <v/>
      </c>
      <c r="W53">
        <f>HYPERLINK("https://klasma.github.io/Logging_2180/klagomålsmail/A 66495-2021 FSC-klagomål mail.docx", "A 66495-2021")</f>
        <v/>
      </c>
      <c r="X53">
        <f>HYPERLINK("https://klasma.github.io/Logging_2180/tillsyn/A 66495-2021 tillsynsbegäran.docx", "A 66495-2021")</f>
        <v/>
      </c>
      <c r="Y53">
        <f>HYPERLINK("https://klasma.github.io/Logging_2180/tillsynsmail/A 66495-2021 tillsynsbegäran mail.docx", "A 66495-2021")</f>
        <v/>
      </c>
    </row>
    <row r="54" ht="15" customHeight="1">
      <c r="A54" t="inlineStr">
        <is>
          <t>A 6779-2022</t>
        </is>
      </c>
      <c r="B54" s="1" t="n">
        <v>44602</v>
      </c>
      <c r="C54" s="1" t="n">
        <v>45811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6779-2022 artfynd.xlsx", "A 6779-2022")</f>
        <v/>
      </c>
      <c r="T54">
        <f>HYPERLINK("https://klasma.github.io/Logging_2180/kartor/A 6779-2022 karta.png", "A 6779-2022")</f>
        <v/>
      </c>
      <c r="V54">
        <f>HYPERLINK("https://klasma.github.io/Logging_2180/klagomål/A 6779-2022 FSC-klagomål.docx", "A 6779-2022")</f>
        <v/>
      </c>
      <c r="W54">
        <f>HYPERLINK("https://klasma.github.io/Logging_2180/klagomålsmail/A 6779-2022 FSC-klagomål mail.docx", "A 6779-2022")</f>
        <v/>
      </c>
      <c r="X54">
        <f>HYPERLINK("https://klasma.github.io/Logging_2180/tillsyn/A 6779-2022 tillsynsbegäran.docx", "A 6779-2022")</f>
        <v/>
      </c>
      <c r="Y54">
        <f>HYPERLINK("https://klasma.github.io/Logging_2180/tillsynsmail/A 6779-2022 tillsynsbegäran mail.docx", "A 6779-2022")</f>
        <v/>
      </c>
    </row>
    <row r="55" ht="15" customHeight="1">
      <c r="A55" t="inlineStr">
        <is>
          <t>A 15102-2022</t>
        </is>
      </c>
      <c r="B55" s="1" t="n">
        <v>44658</v>
      </c>
      <c r="C55" s="1" t="n">
        <v>45811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HYPERLINK("https://klasma.github.io/Logging_2180/artfynd/A 15102-2022 artfynd.xlsx", "A 15102-2022")</f>
        <v/>
      </c>
      <c r="T55">
        <f>HYPERLINK("https://klasma.github.io/Logging_2180/kartor/A 15102-2022 karta.png", "A 15102-2022")</f>
        <v/>
      </c>
      <c r="V55">
        <f>HYPERLINK("https://klasma.github.io/Logging_2180/klagomål/A 15102-2022 FSC-klagomål.docx", "A 15102-2022")</f>
        <v/>
      </c>
      <c r="W55">
        <f>HYPERLINK("https://klasma.github.io/Logging_2180/klagomålsmail/A 15102-2022 FSC-klagomål mail.docx", "A 15102-2022")</f>
        <v/>
      </c>
      <c r="X55">
        <f>HYPERLINK("https://klasma.github.io/Logging_2180/tillsyn/A 15102-2022 tillsynsbegäran.docx", "A 15102-2022")</f>
        <v/>
      </c>
      <c r="Y55">
        <f>HYPERLINK("https://klasma.github.io/Logging_2180/tillsynsmail/A 15102-2022 tillsynsbegäran mail.docx", "A 15102-2022")</f>
        <v/>
      </c>
    </row>
    <row r="56" ht="15" customHeight="1">
      <c r="A56" t="inlineStr">
        <is>
          <t>A 23511-2022</t>
        </is>
      </c>
      <c r="B56" s="1" t="n">
        <v>44721</v>
      </c>
      <c r="C56" s="1" t="n">
        <v>45811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Grantaggsvamp</t>
        </is>
      </c>
      <c r="S56">
        <f>HYPERLINK("https://klasma.github.io/Logging_2180/artfynd/A 23511-2022 artfynd.xlsx", "A 23511-2022")</f>
        <v/>
      </c>
      <c r="T56">
        <f>HYPERLINK("https://klasma.github.io/Logging_2180/kartor/A 23511-2022 karta.png", "A 23511-2022")</f>
        <v/>
      </c>
      <c r="V56">
        <f>HYPERLINK("https://klasma.github.io/Logging_2180/klagomål/A 23511-2022 FSC-klagomål.docx", "A 23511-2022")</f>
        <v/>
      </c>
      <c r="W56">
        <f>HYPERLINK("https://klasma.github.io/Logging_2180/klagomålsmail/A 23511-2022 FSC-klagomål mail.docx", "A 23511-2022")</f>
        <v/>
      </c>
      <c r="X56">
        <f>HYPERLINK("https://klasma.github.io/Logging_2180/tillsyn/A 23511-2022 tillsynsbegäran.docx", "A 23511-2022")</f>
        <v/>
      </c>
      <c r="Y56">
        <f>HYPERLINK("https://klasma.github.io/Logging_2180/tillsynsmail/A 23511-2022 tillsynsbegäran mail.docx", "A 23511-2022")</f>
        <v/>
      </c>
    </row>
    <row r="57" ht="15" customHeight="1">
      <c r="A57" t="inlineStr">
        <is>
          <t>A 33812-2022</t>
        </is>
      </c>
      <c r="B57" s="1" t="n">
        <v>44790</v>
      </c>
      <c r="C57" s="1" t="n">
        <v>45811</v>
      </c>
      <c r="D57" t="inlineStr">
        <is>
          <t>GÄVLEBORGS LÄN</t>
        </is>
      </c>
      <c r="E57" t="inlineStr">
        <is>
          <t>GÄVLE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Myskmadra</t>
        </is>
      </c>
      <c r="S57">
        <f>HYPERLINK("https://klasma.github.io/Logging_2180/artfynd/A 33812-2022 artfynd.xlsx", "A 33812-2022")</f>
        <v/>
      </c>
      <c r="T57">
        <f>HYPERLINK("https://klasma.github.io/Logging_2180/kartor/A 33812-2022 karta.png", "A 33812-2022")</f>
        <v/>
      </c>
      <c r="V57">
        <f>HYPERLINK("https://klasma.github.io/Logging_2180/klagomål/A 33812-2022 FSC-klagomål.docx", "A 33812-2022")</f>
        <v/>
      </c>
      <c r="W57">
        <f>HYPERLINK("https://klasma.github.io/Logging_2180/klagomålsmail/A 33812-2022 FSC-klagomål mail.docx", "A 33812-2022")</f>
        <v/>
      </c>
      <c r="X57">
        <f>HYPERLINK("https://klasma.github.io/Logging_2180/tillsyn/A 33812-2022 tillsynsbegäran.docx", "A 33812-2022")</f>
        <v/>
      </c>
      <c r="Y57">
        <f>HYPERLINK("https://klasma.github.io/Logging_2180/tillsynsmail/A 33812-2022 tillsynsbegäran mail.docx", "A 33812-2022")</f>
        <v/>
      </c>
    </row>
    <row r="58" ht="15" customHeight="1">
      <c r="A58" t="inlineStr">
        <is>
          <t>A 37927-2022</t>
        </is>
      </c>
      <c r="B58" s="1" t="n">
        <v>44811</v>
      </c>
      <c r="C58" s="1" t="n">
        <v>45811</v>
      </c>
      <c r="D58" t="inlineStr">
        <is>
          <t>GÄVLEBORGS LÄN</t>
        </is>
      </c>
      <c r="E58" t="inlineStr">
        <is>
          <t>GÄVLE</t>
        </is>
      </c>
      <c r="G58" t="n">
        <v>1.6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HYPERLINK("https://klasma.github.io/Logging_2180/artfynd/A 37927-2022 artfynd.xlsx", "A 37927-2022")</f>
        <v/>
      </c>
      <c r="T58">
        <f>HYPERLINK("https://klasma.github.io/Logging_2180/kartor/A 37927-2022 karta.png", "A 37927-2022")</f>
        <v/>
      </c>
      <c r="U58">
        <f>HYPERLINK("https://klasma.github.io/Logging_2180/knärot/A 37927-2022 karta knärot.png", "A 37927-2022")</f>
        <v/>
      </c>
      <c r="V58">
        <f>HYPERLINK("https://klasma.github.io/Logging_2180/klagomål/A 37927-2022 FSC-klagomål.docx", "A 37927-2022")</f>
        <v/>
      </c>
      <c r="W58">
        <f>HYPERLINK("https://klasma.github.io/Logging_2180/klagomålsmail/A 37927-2022 FSC-klagomål mail.docx", "A 37927-2022")</f>
        <v/>
      </c>
      <c r="X58">
        <f>HYPERLINK("https://klasma.github.io/Logging_2180/tillsyn/A 37927-2022 tillsynsbegäran.docx", "A 37927-2022")</f>
        <v/>
      </c>
      <c r="Y58">
        <f>HYPERLINK("https://klasma.github.io/Logging_2180/tillsynsmail/A 37927-2022 tillsynsbegäran mail.docx", "A 37927-2022")</f>
        <v/>
      </c>
    </row>
    <row r="59" ht="15" customHeight="1">
      <c r="A59" t="inlineStr">
        <is>
          <t>A 45241-2022</t>
        </is>
      </c>
      <c r="B59" s="1" t="n">
        <v>44840</v>
      </c>
      <c r="C59" s="1" t="n">
        <v>45811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45241-2022 artfynd.xlsx", "A 45241-2022")</f>
        <v/>
      </c>
      <c r="T59">
        <f>HYPERLINK("https://klasma.github.io/Logging_2180/kartor/A 45241-2022 karta.png", "A 45241-2022")</f>
        <v/>
      </c>
      <c r="V59">
        <f>HYPERLINK("https://klasma.github.io/Logging_2180/klagomål/A 45241-2022 FSC-klagomål.docx", "A 45241-2022")</f>
        <v/>
      </c>
      <c r="W59">
        <f>HYPERLINK("https://klasma.github.io/Logging_2180/klagomålsmail/A 45241-2022 FSC-klagomål mail.docx", "A 45241-2022")</f>
        <v/>
      </c>
      <c r="X59">
        <f>HYPERLINK("https://klasma.github.io/Logging_2180/tillsyn/A 45241-2022 tillsynsbegäran.docx", "A 45241-2022")</f>
        <v/>
      </c>
      <c r="Y59">
        <f>HYPERLINK("https://klasma.github.io/Logging_2180/tillsynsmail/A 45241-2022 tillsynsbegäran mail.docx", "A 45241-2022")</f>
        <v/>
      </c>
    </row>
    <row r="60" ht="15" customHeight="1">
      <c r="A60" t="inlineStr">
        <is>
          <t>A 8622-2023</t>
        </is>
      </c>
      <c r="B60" s="1" t="n">
        <v>44977</v>
      </c>
      <c r="C60" s="1" t="n">
        <v>45811</v>
      </c>
      <c r="D60" t="inlineStr">
        <is>
          <t>GÄVLEBORGS LÄN</t>
        </is>
      </c>
      <c r="E60" t="inlineStr">
        <is>
          <t>GÄVLE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HYPERLINK("https://klasma.github.io/Logging_2180/artfynd/A 8622-2023 artfynd.xlsx", "A 8622-2023")</f>
        <v/>
      </c>
      <c r="T60">
        <f>HYPERLINK("https://klasma.github.io/Logging_2180/kartor/A 8622-2023 karta.png", "A 8622-2023")</f>
        <v/>
      </c>
      <c r="U60">
        <f>HYPERLINK("https://klasma.github.io/Logging_2180/knärot/A 8622-2023 karta knärot.png", "A 8622-2023")</f>
        <v/>
      </c>
      <c r="V60">
        <f>HYPERLINK("https://klasma.github.io/Logging_2180/klagomål/A 8622-2023 FSC-klagomål.docx", "A 8622-2023")</f>
        <v/>
      </c>
      <c r="W60">
        <f>HYPERLINK("https://klasma.github.io/Logging_2180/klagomålsmail/A 8622-2023 FSC-klagomål mail.docx", "A 8622-2023")</f>
        <v/>
      </c>
      <c r="X60">
        <f>HYPERLINK("https://klasma.github.io/Logging_2180/tillsyn/A 8622-2023 tillsynsbegäran.docx", "A 8622-2023")</f>
        <v/>
      </c>
      <c r="Y60">
        <f>HYPERLINK("https://klasma.github.io/Logging_2180/tillsynsmail/A 8622-2023 tillsynsbegäran mail.docx", "A 8622-2023")</f>
        <v/>
      </c>
    </row>
    <row r="61" ht="15" customHeight="1">
      <c r="A61" t="inlineStr">
        <is>
          <t>A 29821-2023</t>
        </is>
      </c>
      <c r="B61" s="1" t="n">
        <v>45107</v>
      </c>
      <c r="C61" s="1" t="n">
        <v>45811</v>
      </c>
      <c r="D61" t="inlineStr">
        <is>
          <t>GÄVLEBORGS LÄN</t>
        </is>
      </c>
      <c r="E61" t="inlineStr">
        <is>
          <t>GÄVLE</t>
        </is>
      </c>
      <c r="G61" t="n">
        <v>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HYPERLINK("https://klasma.github.io/Logging_2180/artfynd/A 29821-2023 artfynd.xlsx", "A 29821-2023")</f>
        <v/>
      </c>
      <c r="T61">
        <f>HYPERLINK("https://klasma.github.io/Logging_2180/kartor/A 29821-2023 karta.png", "A 29821-2023")</f>
        <v/>
      </c>
      <c r="V61">
        <f>HYPERLINK("https://klasma.github.io/Logging_2180/klagomål/A 29821-2023 FSC-klagomål.docx", "A 29821-2023")</f>
        <v/>
      </c>
      <c r="W61">
        <f>HYPERLINK("https://klasma.github.io/Logging_2180/klagomålsmail/A 29821-2023 FSC-klagomål mail.docx", "A 29821-2023")</f>
        <v/>
      </c>
      <c r="X61">
        <f>HYPERLINK("https://klasma.github.io/Logging_2180/tillsyn/A 29821-2023 tillsynsbegäran.docx", "A 29821-2023")</f>
        <v/>
      </c>
      <c r="Y61">
        <f>HYPERLINK("https://klasma.github.io/Logging_2180/tillsynsmail/A 29821-2023 tillsynsbegäran mail.docx", "A 29821-2023")</f>
        <v/>
      </c>
      <c r="Z61">
        <f>HYPERLINK("https://klasma.github.io/Logging_2180/fåglar/A 29821-2023 prioriterade fågelarter.docx", "A 29821-2023")</f>
        <v/>
      </c>
    </row>
    <row r="62" ht="15" customHeight="1">
      <c r="A62" t="inlineStr">
        <is>
          <t>A 32254-2023</t>
        </is>
      </c>
      <c r="B62" s="1" t="n">
        <v>45120</v>
      </c>
      <c r="C62" s="1" t="n">
        <v>45811</v>
      </c>
      <c r="D62" t="inlineStr">
        <is>
          <t>GÄVLEBORGS LÄN</t>
        </is>
      </c>
      <c r="E62" t="inlineStr">
        <is>
          <t>GÄVLE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HYPERLINK("https://klasma.github.io/Logging_2180/artfynd/A 32254-2023 artfynd.xlsx", "A 32254-2023")</f>
        <v/>
      </c>
      <c r="T62">
        <f>HYPERLINK("https://klasma.github.io/Logging_2180/kartor/A 32254-2023 karta.png", "A 32254-2023")</f>
        <v/>
      </c>
      <c r="V62">
        <f>HYPERLINK("https://klasma.github.io/Logging_2180/klagomål/A 32254-2023 FSC-klagomål.docx", "A 32254-2023")</f>
        <v/>
      </c>
      <c r="W62">
        <f>HYPERLINK("https://klasma.github.io/Logging_2180/klagomålsmail/A 32254-2023 FSC-klagomål mail.docx", "A 32254-2023")</f>
        <v/>
      </c>
      <c r="X62">
        <f>HYPERLINK("https://klasma.github.io/Logging_2180/tillsyn/A 32254-2023 tillsynsbegäran.docx", "A 32254-2023")</f>
        <v/>
      </c>
      <c r="Y62">
        <f>HYPERLINK("https://klasma.github.io/Logging_2180/tillsynsmail/A 32254-2023 tillsynsbegäran mail.docx", "A 32254-2023")</f>
        <v/>
      </c>
    </row>
    <row r="63" ht="15" customHeight="1">
      <c r="A63" t="inlineStr">
        <is>
          <t>A 36353-2023</t>
        </is>
      </c>
      <c r="B63" s="1" t="n">
        <v>45152</v>
      </c>
      <c r="C63" s="1" t="n">
        <v>45811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9.9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HYPERLINK("https://klasma.github.io/Logging_2180/artfynd/A 36353-2023 artfynd.xlsx", "A 36353-2023")</f>
        <v/>
      </c>
      <c r="T63">
        <f>HYPERLINK("https://klasma.github.io/Logging_2180/kartor/A 36353-2023 karta.png", "A 36353-2023")</f>
        <v/>
      </c>
      <c r="V63">
        <f>HYPERLINK("https://klasma.github.io/Logging_2180/klagomål/A 36353-2023 FSC-klagomål.docx", "A 36353-2023")</f>
        <v/>
      </c>
      <c r="W63">
        <f>HYPERLINK("https://klasma.github.io/Logging_2180/klagomålsmail/A 36353-2023 FSC-klagomål mail.docx", "A 36353-2023")</f>
        <v/>
      </c>
      <c r="X63">
        <f>HYPERLINK("https://klasma.github.io/Logging_2180/tillsyn/A 36353-2023 tillsynsbegäran.docx", "A 36353-2023")</f>
        <v/>
      </c>
      <c r="Y63">
        <f>HYPERLINK("https://klasma.github.io/Logging_2180/tillsynsmail/A 36353-2023 tillsynsbegäran mail.docx", "A 36353-2023")</f>
        <v/>
      </c>
    </row>
    <row r="64" ht="15" customHeight="1">
      <c r="A64" t="inlineStr">
        <is>
          <t>A 51550-2023</t>
        </is>
      </c>
      <c r="B64" s="1" t="n">
        <v>45222</v>
      </c>
      <c r="C64" s="1" t="n">
        <v>45811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16.4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51550-2023 artfynd.xlsx", "A 51550-2023")</f>
        <v/>
      </c>
      <c r="T64">
        <f>HYPERLINK("https://klasma.github.io/Logging_2180/kartor/A 51550-2023 karta.png", "A 51550-2023")</f>
        <v/>
      </c>
      <c r="V64">
        <f>HYPERLINK("https://klasma.github.io/Logging_2180/klagomål/A 51550-2023 FSC-klagomål.docx", "A 51550-2023")</f>
        <v/>
      </c>
      <c r="W64">
        <f>HYPERLINK("https://klasma.github.io/Logging_2180/klagomålsmail/A 51550-2023 FSC-klagomål mail.docx", "A 51550-2023")</f>
        <v/>
      </c>
      <c r="X64">
        <f>HYPERLINK("https://klasma.github.io/Logging_2180/tillsyn/A 51550-2023 tillsynsbegäran.docx", "A 51550-2023")</f>
        <v/>
      </c>
      <c r="Y64">
        <f>HYPERLINK("https://klasma.github.io/Logging_2180/tillsynsmail/A 51550-2023 tillsynsbegäran mail.docx", "A 51550-2023")</f>
        <v/>
      </c>
    </row>
    <row r="65" ht="15" customHeight="1">
      <c r="A65" t="inlineStr">
        <is>
          <t>A 56368-2023</t>
        </is>
      </c>
      <c r="B65" s="1" t="n">
        <v>45243</v>
      </c>
      <c r="C65" s="1" t="n">
        <v>45811</v>
      </c>
      <c r="D65" t="inlineStr">
        <is>
          <t>GÄVLEBORGS LÄN</t>
        </is>
      </c>
      <c r="E65" t="inlineStr">
        <is>
          <t>GÄVLE</t>
        </is>
      </c>
      <c r="G65" t="n">
        <v>10.8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HYPERLINK("https://klasma.github.io/Logging_2180/artfynd/A 56368-2023 artfynd.xlsx", "A 56368-2023")</f>
        <v/>
      </c>
      <c r="T65">
        <f>HYPERLINK("https://klasma.github.io/Logging_2180/kartor/A 56368-2023 karta.png", "A 56368-2023")</f>
        <v/>
      </c>
      <c r="U65">
        <f>HYPERLINK("https://klasma.github.io/Logging_2180/knärot/A 56368-2023 karta knärot.png", "A 56368-2023")</f>
        <v/>
      </c>
      <c r="V65">
        <f>HYPERLINK("https://klasma.github.io/Logging_2180/klagomål/A 56368-2023 FSC-klagomål.docx", "A 56368-2023")</f>
        <v/>
      </c>
      <c r="W65">
        <f>HYPERLINK("https://klasma.github.io/Logging_2180/klagomålsmail/A 56368-2023 FSC-klagomål mail.docx", "A 56368-2023")</f>
        <v/>
      </c>
      <c r="X65">
        <f>HYPERLINK("https://klasma.github.io/Logging_2180/tillsyn/A 56368-2023 tillsynsbegäran.docx", "A 56368-2023")</f>
        <v/>
      </c>
      <c r="Y65">
        <f>HYPERLINK("https://klasma.github.io/Logging_2180/tillsynsmail/A 56368-2023 tillsynsbegäran mail.docx", "A 56368-2023")</f>
        <v/>
      </c>
    </row>
    <row r="66" ht="15" customHeight="1">
      <c r="A66" t="inlineStr">
        <is>
          <t>A 7296-2024</t>
        </is>
      </c>
      <c r="B66" s="1" t="n">
        <v>45344</v>
      </c>
      <c r="C66" s="1" t="n">
        <v>45811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HYPERLINK("https://klasma.github.io/Logging_2180/artfynd/A 7296-2024 artfynd.xlsx", "A 7296-2024")</f>
        <v/>
      </c>
      <c r="T66">
        <f>HYPERLINK("https://klasma.github.io/Logging_2180/kartor/A 7296-2024 karta.png", "A 7296-2024")</f>
        <v/>
      </c>
      <c r="V66">
        <f>HYPERLINK("https://klasma.github.io/Logging_2180/klagomål/A 7296-2024 FSC-klagomål.docx", "A 7296-2024")</f>
        <v/>
      </c>
      <c r="W66">
        <f>HYPERLINK("https://klasma.github.io/Logging_2180/klagomålsmail/A 7296-2024 FSC-klagomål mail.docx", "A 7296-2024")</f>
        <v/>
      </c>
      <c r="X66">
        <f>HYPERLINK("https://klasma.github.io/Logging_2180/tillsyn/A 7296-2024 tillsynsbegäran.docx", "A 7296-2024")</f>
        <v/>
      </c>
      <c r="Y66">
        <f>HYPERLINK("https://klasma.github.io/Logging_2180/tillsynsmail/A 7296-2024 tillsynsbegäran mail.docx", "A 7296-2024")</f>
        <v/>
      </c>
    </row>
    <row r="67" ht="15" customHeight="1">
      <c r="A67" t="inlineStr">
        <is>
          <t>A 14726-2024</t>
        </is>
      </c>
      <c r="B67" s="1" t="n">
        <v>45397</v>
      </c>
      <c r="C67" s="1" t="n">
        <v>45811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9.9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HYPERLINK("https://klasma.github.io/Logging_2180/artfynd/A 14726-2024 artfynd.xlsx", "A 14726-2024")</f>
        <v/>
      </c>
      <c r="T67">
        <f>HYPERLINK("https://klasma.github.io/Logging_2180/kartor/A 14726-2024 karta.png", "A 14726-2024")</f>
        <v/>
      </c>
      <c r="V67">
        <f>HYPERLINK("https://klasma.github.io/Logging_2180/klagomål/A 14726-2024 FSC-klagomål.docx", "A 14726-2024")</f>
        <v/>
      </c>
      <c r="W67">
        <f>HYPERLINK("https://klasma.github.io/Logging_2180/klagomålsmail/A 14726-2024 FSC-klagomål mail.docx", "A 14726-2024")</f>
        <v/>
      </c>
      <c r="X67">
        <f>HYPERLINK("https://klasma.github.io/Logging_2180/tillsyn/A 14726-2024 tillsynsbegäran.docx", "A 14726-2024")</f>
        <v/>
      </c>
      <c r="Y67">
        <f>HYPERLINK("https://klasma.github.io/Logging_2180/tillsynsmail/A 14726-2024 tillsynsbegäran mail.docx", "A 14726-2024")</f>
        <v/>
      </c>
    </row>
    <row r="68" ht="15" customHeight="1">
      <c r="A68" t="inlineStr">
        <is>
          <t>A 14750-2024</t>
        </is>
      </c>
      <c r="B68" s="1" t="n">
        <v>45397</v>
      </c>
      <c r="C68" s="1" t="n">
        <v>45811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Vårärt</t>
        </is>
      </c>
      <c r="S68">
        <f>HYPERLINK("https://klasma.github.io/Logging_2180/artfynd/A 14750-2024 artfynd.xlsx", "A 14750-2024")</f>
        <v/>
      </c>
      <c r="T68">
        <f>HYPERLINK("https://klasma.github.io/Logging_2180/kartor/A 14750-2024 karta.png", "A 14750-2024")</f>
        <v/>
      </c>
      <c r="V68">
        <f>HYPERLINK("https://klasma.github.io/Logging_2180/klagomål/A 14750-2024 FSC-klagomål.docx", "A 14750-2024")</f>
        <v/>
      </c>
      <c r="W68">
        <f>HYPERLINK("https://klasma.github.io/Logging_2180/klagomålsmail/A 14750-2024 FSC-klagomål mail.docx", "A 14750-2024")</f>
        <v/>
      </c>
      <c r="X68">
        <f>HYPERLINK("https://klasma.github.io/Logging_2180/tillsyn/A 14750-2024 tillsynsbegäran.docx", "A 14750-2024")</f>
        <v/>
      </c>
      <c r="Y68">
        <f>HYPERLINK("https://klasma.github.io/Logging_2180/tillsynsmail/A 14750-2024 tillsynsbegäran mail.docx", "A 14750-2024")</f>
        <v/>
      </c>
    </row>
    <row r="69" ht="15" customHeight="1">
      <c r="A69" t="inlineStr">
        <is>
          <t>A 14847-2024</t>
        </is>
      </c>
      <c r="B69" s="1" t="n">
        <v>45398</v>
      </c>
      <c r="C69" s="1" t="n">
        <v>45811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23.2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HYPERLINK("https://klasma.github.io/Logging_2180/artfynd/A 14847-2024 artfynd.xlsx", "A 14847-2024")</f>
        <v/>
      </c>
      <c r="T69">
        <f>HYPERLINK("https://klasma.github.io/Logging_2180/kartor/A 14847-2024 karta.png", "A 14847-2024")</f>
        <v/>
      </c>
      <c r="V69">
        <f>HYPERLINK("https://klasma.github.io/Logging_2180/klagomål/A 14847-2024 FSC-klagomål.docx", "A 14847-2024")</f>
        <v/>
      </c>
      <c r="W69">
        <f>HYPERLINK("https://klasma.github.io/Logging_2180/klagomålsmail/A 14847-2024 FSC-klagomål mail.docx", "A 14847-2024")</f>
        <v/>
      </c>
      <c r="X69">
        <f>HYPERLINK("https://klasma.github.io/Logging_2180/tillsyn/A 14847-2024 tillsynsbegäran.docx", "A 14847-2024")</f>
        <v/>
      </c>
      <c r="Y69">
        <f>HYPERLINK("https://klasma.github.io/Logging_2180/tillsynsmail/A 14847-2024 tillsynsbegäran mail.docx", "A 14847-2024")</f>
        <v/>
      </c>
    </row>
    <row r="70" ht="15" customHeight="1">
      <c r="A70" t="inlineStr">
        <is>
          <t>A 18215-2024</t>
        </is>
      </c>
      <c r="B70" s="1" t="n">
        <v>45420</v>
      </c>
      <c r="C70" s="1" t="n">
        <v>45811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68.59999999999999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Huggorm</t>
        </is>
      </c>
      <c r="S70">
        <f>HYPERLINK("https://klasma.github.io/Logging_2180/artfynd/A 18215-2024 artfynd.xlsx", "A 18215-2024")</f>
        <v/>
      </c>
      <c r="T70">
        <f>HYPERLINK("https://klasma.github.io/Logging_2180/kartor/A 18215-2024 karta.png", "A 18215-2024")</f>
        <v/>
      </c>
      <c r="V70">
        <f>HYPERLINK("https://klasma.github.io/Logging_2180/klagomål/A 18215-2024 FSC-klagomål.docx", "A 18215-2024")</f>
        <v/>
      </c>
      <c r="W70">
        <f>HYPERLINK("https://klasma.github.io/Logging_2180/klagomålsmail/A 18215-2024 FSC-klagomål mail.docx", "A 18215-2024")</f>
        <v/>
      </c>
      <c r="X70">
        <f>HYPERLINK("https://klasma.github.io/Logging_2180/tillsyn/A 18215-2024 tillsynsbegäran.docx", "A 18215-2024")</f>
        <v/>
      </c>
      <c r="Y70">
        <f>HYPERLINK("https://klasma.github.io/Logging_2180/tillsynsmail/A 18215-2024 tillsynsbegäran mail.docx", "A 18215-2024")</f>
        <v/>
      </c>
    </row>
    <row r="71" ht="15" customHeight="1">
      <c r="A71" t="inlineStr">
        <is>
          <t>A 18376-2024</t>
        </is>
      </c>
      <c r="B71" s="1" t="n">
        <v>45423</v>
      </c>
      <c r="C71" s="1" t="n">
        <v>45811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 taggsvamp</t>
        </is>
      </c>
      <c r="S71">
        <f>HYPERLINK("https://klasma.github.io/Logging_2180/artfynd/A 18376-2024 artfynd.xlsx", "A 18376-2024")</f>
        <v/>
      </c>
      <c r="T71">
        <f>HYPERLINK("https://klasma.github.io/Logging_2180/kartor/A 18376-2024 karta.png", "A 18376-2024")</f>
        <v/>
      </c>
      <c r="V71">
        <f>HYPERLINK("https://klasma.github.io/Logging_2180/klagomål/A 18376-2024 FSC-klagomål.docx", "A 18376-2024")</f>
        <v/>
      </c>
      <c r="W71">
        <f>HYPERLINK("https://klasma.github.io/Logging_2180/klagomålsmail/A 18376-2024 FSC-klagomål mail.docx", "A 18376-2024")</f>
        <v/>
      </c>
      <c r="X71">
        <f>HYPERLINK("https://klasma.github.io/Logging_2180/tillsyn/A 18376-2024 tillsynsbegäran.docx", "A 18376-2024")</f>
        <v/>
      </c>
      <c r="Y71">
        <f>HYPERLINK("https://klasma.github.io/Logging_2180/tillsynsmail/A 18376-2024 tillsynsbegäran mail.docx", "A 18376-2024")</f>
        <v/>
      </c>
    </row>
    <row r="72" ht="15" customHeight="1">
      <c r="A72" t="inlineStr">
        <is>
          <t>A 20152-2024</t>
        </is>
      </c>
      <c r="B72" s="1" t="n">
        <v>45434</v>
      </c>
      <c r="C72" s="1" t="n">
        <v>45811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13.4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HYPERLINK("https://klasma.github.io/Logging_2180/artfynd/A 20152-2024 artfynd.xlsx", "A 20152-2024")</f>
        <v/>
      </c>
      <c r="T72">
        <f>HYPERLINK("https://klasma.github.io/Logging_2180/kartor/A 20152-2024 karta.png", "A 20152-2024")</f>
        <v/>
      </c>
      <c r="V72">
        <f>HYPERLINK("https://klasma.github.io/Logging_2180/klagomål/A 20152-2024 FSC-klagomål.docx", "A 20152-2024")</f>
        <v/>
      </c>
      <c r="W72">
        <f>HYPERLINK("https://klasma.github.io/Logging_2180/klagomålsmail/A 20152-2024 FSC-klagomål mail.docx", "A 20152-2024")</f>
        <v/>
      </c>
      <c r="X72">
        <f>HYPERLINK("https://klasma.github.io/Logging_2180/tillsyn/A 20152-2024 tillsynsbegäran.docx", "A 20152-2024")</f>
        <v/>
      </c>
      <c r="Y72">
        <f>HYPERLINK("https://klasma.github.io/Logging_2180/tillsynsmail/A 20152-2024 tillsynsbegäran mail.docx", "A 20152-2024")</f>
        <v/>
      </c>
    </row>
    <row r="73" ht="15" customHeight="1">
      <c r="A73" t="inlineStr">
        <is>
          <t>A 21282-2024</t>
        </is>
      </c>
      <c r="B73" s="1" t="n">
        <v>45440</v>
      </c>
      <c r="C73" s="1" t="n">
        <v>45811</v>
      </c>
      <c r="D73" t="inlineStr">
        <is>
          <t>GÄVLEBORGS LÄN</t>
        </is>
      </c>
      <c r="E73" t="inlineStr">
        <is>
          <t>GÄVLE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HYPERLINK("https://klasma.github.io/Logging_2180/artfynd/A 21282-2024 artfynd.xlsx", "A 21282-2024")</f>
        <v/>
      </c>
      <c r="T73">
        <f>HYPERLINK("https://klasma.github.io/Logging_2180/kartor/A 21282-2024 karta.png", "A 21282-2024")</f>
        <v/>
      </c>
      <c r="V73">
        <f>HYPERLINK("https://klasma.github.io/Logging_2180/klagomål/A 21282-2024 FSC-klagomål.docx", "A 21282-2024")</f>
        <v/>
      </c>
      <c r="W73">
        <f>HYPERLINK("https://klasma.github.io/Logging_2180/klagomålsmail/A 21282-2024 FSC-klagomål mail.docx", "A 21282-2024")</f>
        <v/>
      </c>
      <c r="X73">
        <f>HYPERLINK("https://klasma.github.io/Logging_2180/tillsyn/A 21282-2024 tillsynsbegäran.docx", "A 21282-2024")</f>
        <v/>
      </c>
      <c r="Y73">
        <f>HYPERLINK("https://klasma.github.io/Logging_2180/tillsynsmail/A 21282-2024 tillsynsbegäran mail.docx", "A 21282-2024")</f>
        <v/>
      </c>
    </row>
    <row r="74" ht="15" customHeight="1">
      <c r="A74" t="inlineStr">
        <is>
          <t>A 23700-2024</t>
        </is>
      </c>
      <c r="B74" s="1" t="n">
        <v>45454</v>
      </c>
      <c r="C74" s="1" t="n">
        <v>45811</v>
      </c>
      <c r="D74" t="inlineStr">
        <is>
          <t>GÄVLEBORGS LÄN</t>
        </is>
      </c>
      <c r="E74" t="inlineStr">
        <is>
          <t>GÄVLE</t>
        </is>
      </c>
      <c r="G74" t="n">
        <v>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HYPERLINK("https://klasma.github.io/Logging_2180/artfynd/A 23700-2024 artfynd.xlsx", "A 23700-2024")</f>
        <v/>
      </c>
      <c r="T74">
        <f>HYPERLINK("https://klasma.github.io/Logging_2180/kartor/A 23700-2024 karta.png", "A 23700-2024")</f>
        <v/>
      </c>
      <c r="V74">
        <f>HYPERLINK("https://klasma.github.io/Logging_2180/klagomål/A 23700-2024 FSC-klagomål.docx", "A 23700-2024")</f>
        <v/>
      </c>
      <c r="W74">
        <f>HYPERLINK("https://klasma.github.io/Logging_2180/klagomålsmail/A 23700-2024 FSC-klagomål mail.docx", "A 23700-2024")</f>
        <v/>
      </c>
      <c r="X74">
        <f>HYPERLINK("https://klasma.github.io/Logging_2180/tillsyn/A 23700-2024 tillsynsbegäran.docx", "A 23700-2024")</f>
        <v/>
      </c>
      <c r="Y74">
        <f>HYPERLINK("https://klasma.github.io/Logging_2180/tillsynsmail/A 23700-2024 tillsynsbegäran mail.docx", "A 23700-2024")</f>
        <v/>
      </c>
    </row>
    <row r="75" ht="15" customHeight="1">
      <c r="A75" t="inlineStr">
        <is>
          <t>A 25657-2024</t>
        </is>
      </c>
      <c r="B75" s="1" t="n">
        <v>45463</v>
      </c>
      <c r="C75" s="1" t="n">
        <v>45811</v>
      </c>
      <c r="D75" t="inlineStr">
        <is>
          <t>GÄVLEBORGS LÄN</t>
        </is>
      </c>
      <c r="E75" t="inlineStr">
        <is>
          <t>GÄVLE</t>
        </is>
      </c>
      <c r="G75" t="n">
        <v>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HYPERLINK("https://klasma.github.io/Logging_2180/artfynd/A 25657-2024 artfynd.xlsx", "A 25657-2024")</f>
        <v/>
      </c>
      <c r="T75">
        <f>HYPERLINK("https://klasma.github.io/Logging_2180/kartor/A 25657-2024 karta.png", "A 25657-2024")</f>
        <v/>
      </c>
      <c r="V75">
        <f>HYPERLINK("https://klasma.github.io/Logging_2180/klagomål/A 25657-2024 FSC-klagomål.docx", "A 25657-2024")</f>
        <v/>
      </c>
      <c r="W75">
        <f>HYPERLINK("https://klasma.github.io/Logging_2180/klagomålsmail/A 25657-2024 FSC-klagomål mail.docx", "A 25657-2024")</f>
        <v/>
      </c>
      <c r="X75">
        <f>HYPERLINK("https://klasma.github.io/Logging_2180/tillsyn/A 25657-2024 tillsynsbegäran.docx", "A 25657-2024")</f>
        <v/>
      </c>
      <c r="Y75">
        <f>HYPERLINK("https://klasma.github.io/Logging_2180/tillsynsmail/A 25657-2024 tillsynsbegäran mail.docx", "A 25657-2024")</f>
        <v/>
      </c>
    </row>
    <row r="76" ht="15" customHeight="1">
      <c r="A76" t="inlineStr">
        <is>
          <t>A 32328-2024</t>
        </is>
      </c>
      <c r="B76" s="1" t="n">
        <v>45512</v>
      </c>
      <c r="C76" s="1" t="n">
        <v>45811</v>
      </c>
      <c r="D76" t="inlineStr">
        <is>
          <t>GÄVLEBORGS LÄN</t>
        </is>
      </c>
      <c r="E76" t="inlineStr">
        <is>
          <t>GÄVLE</t>
        </is>
      </c>
      <c r="G76" t="n">
        <v>3.1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HYPERLINK("https://klasma.github.io/Logging_2180/artfynd/A 32328-2024 artfynd.xlsx", "A 32328-2024")</f>
        <v/>
      </c>
      <c r="T76">
        <f>HYPERLINK("https://klasma.github.io/Logging_2180/kartor/A 32328-2024 karta.png", "A 32328-2024")</f>
        <v/>
      </c>
      <c r="V76">
        <f>HYPERLINK("https://klasma.github.io/Logging_2180/klagomål/A 32328-2024 FSC-klagomål.docx", "A 32328-2024")</f>
        <v/>
      </c>
      <c r="W76">
        <f>HYPERLINK("https://klasma.github.io/Logging_2180/klagomålsmail/A 32328-2024 FSC-klagomål mail.docx", "A 32328-2024")</f>
        <v/>
      </c>
      <c r="X76">
        <f>HYPERLINK("https://klasma.github.io/Logging_2180/tillsyn/A 32328-2024 tillsynsbegäran.docx", "A 32328-2024")</f>
        <v/>
      </c>
      <c r="Y76">
        <f>HYPERLINK("https://klasma.github.io/Logging_2180/tillsynsmail/A 32328-2024 tillsynsbegäran mail.docx", "A 32328-2024")</f>
        <v/>
      </c>
      <c r="Z76">
        <f>HYPERLINK("https://klasma.github.io/Logging_2180/fåglar/A 32328-2024 prioriterade fågelarter.docx", "A 32328-2024")</f>
        <v/>
      </c>
    </row>
    <row r="77" ht="15" customHeight="1">
      <c r="A77" t="inlineStr">
        <is>
          <t>A 39460-2024</t>
        </is>
      </c>
      <c r="B77" s="1" t="n">
        <v>45551</v>
      </c>
      <c r="C77" s="1" t="n">
        <v>45811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HYPERLINK("https://klasma.github.io/Logging_2180/artfynd/A 39460-2024 artfynd.xlsx", "A 39460-2024")</f>
        <v/>
      </c>
      <c r="T77">
        <f>HYPERLINK("https://klasma.github.io/Logging_2180/kartor/A 39460-2024 karta.png", "A 39460-2024")</f>
        <v/>
      </c>
      <c r="V77">
        <f>HYPERLINK("https://klasma.github.io/Logging_2180/klagomål/A 39460-2024 FSC-klagomål.docx", "A 39460-2024")</f>
        <v/>
      </c>
      <c r="W77">
        <f>HYPERLINK("https://klasma.github.io/Logging_2180/klagomålsmail/A 39460-2024 FSC-klagomål mail.docx", "A 39460-2024")</f>
        <v/>
      </c>
      <c r="X77">
        <f>HYPERLINK("https://klasma.github.io/Logging_2180/tillsyn/A 39460-2024 tillsynsbegäran.docx", "A 39460-2024")</f>
        <v/>
      </c>
      <c r="Y77">
        <f>HYPERLINK("https://klasma.github.io/Logging_2180/tillsynsmail/A 39460-2024 tillsynsbegäran mail.docx", "A 39460-2024")</f>
        <v/>
      </c>
      <c r="Z77">
        <f>HYPERLINK("https://klasma.github.io/Logging_2180/fåglar/A 39460-2024 prioriterade fågelarter.docx", "A 39460-2024")</f>
        <v/>
      </c>
    </row>
    <row r="78" ht="15" customHeight="1">
      <c r="A78" t="inlineStr">
        <is>
          <t>A 43230-2024</t>
        </is>
      </c>
      <c r="B78" s="1" t="n">
        <v>45567</v>
      </c>
      <c r="C78" s="1" t="n">
        <v>45811</v>
      </c>
      <c r="D78" t="inlineStr">
        <is>
          <t>GÄVLEBORGS LÄN</t>
        </is>
      </c>
      <c r="E78" t="inlineStr">
        <is>
          <t>GÄVLE</t>
        </is>
      </c>
      <c r="G78" t="n">
        <v>9.5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HYPERLINK("https://klasma.github.io/Logging_2180/artfynd/A 43230-2024 artfynd.xlsx", "A 43230-2024")</f>
        <v/>
      </c>
      <c r="T78">
        <f>HYPERLINK("https://klasma.github.io/Logging_2180/kartor/A 43230-2024 karta.png", "A 43230-2024")</f>
        <v/>
      </c>
      <c r="V78">
        <f>HYPERLINK("https://klasma.github.io/Logging_2180/klagomål/A 43230-2024 FSC-klagomål.docx", "A 43230-2024")</f>
        <v/>
      </c>
      <c r="W78">
        <f>HYPERLINK("https://klasma.github.io/Logging_2180/klagomålsmail/A 43230-2024 FSC-klagomål mail.docx", "A 43230-2024")</f>
        <v/>
      </c>
      <c r="X78">
        <f>HYPERLINK("https://klasma.github.io/Logging_2180/tillsyn/A 43230-2024 tillsynsbegäran.docx", "A 43230-2024")</f>
        <v/>
      </c>
      <c r="Y78">
        <f>HYPERLINK("https://klasma.github.io/Logging_2180/tillsynsmail/A 43230-2024 tillsynsbegäran mail.docx", "A 43230-2024")</f>
        <v/>
      </c>
    </row>
    <row r="79" ht="15" customHeight="1">
      <c r="A79" t="inlineStr">
        <is>
          <t>A 44434-2024</t>
        </is>
      </c>
      <c r="B79" s="1" t="n">
        <v>45574</v>
      </c>
      <c r="C79" s="1" t="n">
        <v>45811</v>
      </c>
      <c r="D79" t="inlineStr">
        <is>
          <t>GÄVLEBORGS LÄN</t>
        </is>
      </c>
      <c r="E79" t="inlineStr">
        <is>
          <t>GÄVLE</t>
        </is>
      </c>
      <c r="G79" t="n">
        <v>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HYPERLINK("https://klasma.github.io/Logging_2180/artfynd/A 44434-2024 artfynd.xlsx", "A 44434-2024")</f>
        <v/>
      </c>
      <c r="T79">
        <f>HYPERLINK("https://klasma.github.io/Logging_2180/kartor/A 44434-2024 karta.png", "A 44434-2024")</f>
        <v/>
      </c>
      <c r="V79">
        <f>HYPERLINK("https://klasma.github.io/Logging_2180/klagomål/A 44434-2024 FSC-klagomål.docx", "A 44434-2024")</f>
        <v/>
      </c>
      <c r="W79">
        <f>HYPERLINK("https://klasma.github.io/Logging_2180/klagomålsmail/A 44434-2024 FSC-klagomål mail.docx", "A 44434-2024")</f>
        <v/>
      </c>
      <c r="X79">
        <f>HYPERLINK("https://klasma.github.io/Logging_2180/tillsyn/A 44434-2024 tillsynsbegäran.docx", "A 44434-2024")</f>
        <v/>
      </c>
      <c r="Y79">
        <f>HYPERLINK("https://klasma.github.io/Logging_2180/tillsynsmail/A 44434-2024 tillsynsbegäran mail.docx", "A 44434-2024")</f>
        <v/>
      </c>
    </row>
    <row r="80" ht="15" customHeight="1">
      <c r="A80" t="inlineStr">
        <is>
          <t>A 51508-2024</t>
        </is>
      </c>
      <c r="B80" s="1" t="n">
        <v>45604</v>
      </c>
      <c r="C80" s="1" t="n">
        <v>45811</v>
      </c>
      <c r="D80" t="inlineStr">
        <is>
          <t>GÄVLEBORGS LÄN</t>
        </is>
      </c>
      <c r="E80" t="inlineStr">
        <is>
          <t>GÄVLE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HYPERLINK("https://klasma.github.io/Logging_2180/artfynd/A 51508-2024 artfynd.xlsx", "A 51508-2024")</f>
        <v/>
      </c>
      <c r="T80">
        <f>HYPERLINK("https://klasma.github.io/Logging_2180/kartor/A 51508-2024 karta.png", "A 51508-2024")</f>
        <v/>
      </c>
      <c r="V80">
        <f>HYPERLINK("https://klasma.github.io/Logging_2180/klagomål/A 51508-2024 FSC-klagomål.docx", "A 51508-2024")</f>
        <v/>
      </c>
      <c r="W80">
        <f>HYPERLINK("https://klasma.github.io/Logging_2180/klagomålsmail/A 51508-2024 FSC-klagomål mail.docx", "A 51508-2024")</f>
        <v/>
      </c>
      <c r="X80">
        <f>HYPERLINK("https://klasma.github.io/Logging_2180/tillsyn/A 51508-2024 tillsynsbegäran.docx", "A 51508-2024")</f>
        <v/>
      </c>
      <c r="Y80">
        <f>HYPERLINK("https://klasma.github.io/Logging_2180/tillsynsmail/A 51508-2024 tillsynsbegäran mail.docx", "A 51508-2024")</f>
        <v/>
      </c>
    </row>
    <row r="81" ht="15" customHeight="1">
      <c r="A81" t="inlineStr">
        <is>
          <t>A 53571-2024</t>
        </is>
      </c>
      <c r="B81" s="1" t="n">
        <v>45614</v>
      </c>
      <c r="C81" s="1" t="n">
        <v>45811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Svavelriska</t>
        </is>
      </c>
      <c r="S81">
        <f>HYPERLINK("https://klasma.github.io/Logging_2180/artfynd/A 53571-2024 artfynd.xlsx", "A 53571-2024")</f>
        <v/>
      </c>
      <c r="T81">
        <f>HYPERLINK("https://klasma.github.io/Logging_2180/kartor/A 53571-2024 karta.png", "A 53571-2024")</f>
        <v/>
      </c>
      <c r="V81">
        <f>HYPERLINK("https://klasma.github.io/Logging_2180/klagomål/A 53571-2024 FSC-klagomål.docx", "A 53571-2024")</f>
        <v/>
      </c>
      <c r="W81">
        <f>HYPERLINK("https://klasma.github.io/Logging_2180/klagomålsmail/A 53571-2024 FSC-klagomål mail.docx", "A 53571-2024")</f>
        <v/>
      </c>
      <c r="X81">
        <f>HYPERLINK("https://klasma.github.io/Logging_2180/tillsyn/A 53571-2024 tillsynsbegäran.docx", "A 53571-2024")</f>
        <v/>
      </c>
      <c r="Y81">
        <f>HYPERLINK("https://klasma.github.io/Logging_2180/tillsynsmail/A 53571-2024 tillsynsbegäran mail.docx", "A 53571-2024")</f>
        <v/>
      </c>
    </row>
    <row r="82" ht="15" customHeight="1">
      <c r="A82" t="inlineStr">
        <is>
          <t>A 57932-2024</t>
        </is>
      </c>
      <c r="B82" s="1" t="n">
        <v>45631</v>
      </c>
      <c r="C82" s="1" t="n">
        <v>45811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48.7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HYPERLINK("https://klasma.github.io/Logging_2180/artfynd/A 57932-2024 artfynd.xlsx", "A 57932-2024")</f>
        <v/>
      </c>
      <c r="T82">
        <f>HYPERLINK("https://klasma.github.io/Logging_2180/kartor/A 57932-2024 karta.png", "A 57932-2024")</f>
        <v/>
      </c>
      <c r="V82">
        <f>HYPERLINK("https://klasma.github.io/Logging_2180/klagomål/A 57932-2024 FSC-klagomål.docx", "A 57932-2024")</f>
        <v/>
      </c>
      <c r="W82">
        <f>HYPERLINK("https://klasma.github.io/Logging_2180/klagomålsmail/A 57932-2024 FSC-klagomål mail.docx", "A 57932-2024")</f>
        <v/>
      </c>
      <c r="X82">
        <f>HYPERLINK("https://klasma.github.io/Logging_2180/tillsyn/A 57932-2024 tillsynsbegäran.docx", "A 57932-2024")</f>
        <v/>
      </c>
      <c r="Y82">
        <f>HYPERLINK("https://klasma.github.io/Logging_2180/tillsynsmail/A 57932-2024 tillsynsbegäran mail.docx", "A 57932-2024")</f>
        <v/>
      </c>
      <c r="Z82">
        <f>HYPERLINK("https://klasma.github.io/Logging_2180/fåglar/A 57932-2024 prioriterade fågelarter.docx", "A 57932-2024")</f>
        <v/>
      </c>
    </row>
    <row r="83" ht="15" customHeight="1">
      <c r="A83" t="inlineStr">
        <is>
          <t>A 59385-2024</t>
        </is>
      </c>
      <c r="B83" s="1" t="n">
        <v>45638</v>
      </c>
      <c r="C83" s="1" t="n">
        <v>45811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16.3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HYPERLINK("https://klasma.github.io/Logging_2180/artfynd/A 59385-2024 artfynd.xlsx", "A 59385-2024")</f>
        <v/>
      </c>
      <c r="T83">
        <f>HYPERLINK("https://klasma.github.io/Logging_2180/kartor/A 59385-2024 karta.png", "A 59385-2024")</f>
        <v/>
      </c>
      <c r="V83">
        <f>HYPERLINK("https://klasma.github.io/Logging_2180/klagomål/A 59385-2024 FSC-klagomål.docx", "A 59385-2024")</f>
        <v/>
      </c>
      <c r="W83">
        <f>HYPERLINK("https://klasma.github.io/Logging_2180/klagomålsmail/A 59385-2024 FSC-klagomål mail.docx", "A 59385-2024")</f>
        <v/>
      </c>
      <c r="X83">
        <f>HYPERLINK("https://klasma.github.io/Logging_2180/tillsyn/A 59385-2024 tillsynsbegäran.docx", "A 59385-2024")</f>
        <v/>
      </c>
      <c r="Y83">
        <f>HYPERLINK("https://klasma.github.io/Logging_2180/tillsynsmail/A 59385-2024 tillsynsbegäran mail.docx", "A 59385-2024")</f>
        <v/>
      </c>
    </row>
    <row r="84" ht="15" customHeight="1">
      <c r="A84" t="inlineStr">
        <is>
          <t>A 452-2025</t>
        </is>
      </c>
      <c r="B84" s="1" t="n">
        <v>45664</v>
      </c>
      <c r="C84" s="1" t="n">
        <v>45811</v>
      </c>
      <c r="D84" t="inlineStr">
        <is>
          <t>GÄVLEBORGS LÄN</t>
        </is>
      </c>
      <c r="E84" t="inlineStr">
        <is>
          <t>GÄVLE</t>
        </is>
      </c>
      <c r="G84" t="n">
        <v>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HYPERLINK("https://klasma.github.io/Logging_2180/artfynd/A 452-2025 artfynd.xlsx", "A 452-2025")</f>
        <v/>
      </c>
      <c r="T84">
        <f>HYPERLINK("https://klasma.github.io/Logging_2180/kartor/A 452-2025 karta.png", "A 452-2025")</f>
        <v/>
      </c>
      <c r="V84">
        <f>HYPERLINK("https://klasma.github.io/Logging_2180/klagomål/A 452-2025 FSC-klagomål.docx", "A 452-2025")</f>
        <v/>
      </c>
      <c r="W84">
        <f>HYPERLINK("https://klasma.github.io/Logging_2180/klagomålsmail/A 452-2025 FSC-klagomål mail.docx", "A 452-2025")</f>
        <v/>
      </c>
      <c r="X84">
        <f>HYPERLINK("https://klasma.github.io/Logging_2180/tillsyn/A 452-2025 tillsynsbegäran.docx", "A 452-2025")</f>
        <v/>
      </c>
      <c r="Y84">
        <f>HYPERLINK("https://klasma.github.io/Logging_2180/tillsynsmail/A 452-2025 tillsynsbegäran mail.docx", "A 452-2025")</f>
        <v/>
      </c>
    </row>
    <row r="85" ht="15" customHeight="1">
      <c r="A85" t="inlineStr">
        <is>
          <t>A 5576-2025</t>
        </is>
      </c>
      <c r="B85" s="1" t="n">
        <v>45693</v>
      </c>
      <c r="C85" s="1" t="n">
        <v>45811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HYPERLINK("https://klasma.github.io/Logging_2180/artfynd/A 5576-2025 artfynd.xlsx", "A 5576-2025")</f>
        <v/>
      </c>
      <c r="T85">
        <f>HYPERLINK("https://klasma.github.io/Logging_2180/kartor/A 5576-2025 karta.png", "A 5576-2025")</f>
        <v/>
      </c>
      <c r="V85">
        <f>HYPERLINK("https://klasma.github.io/Logging_2180/klagomål/A 5576-2025 FSC-klagomål.docx", "A 5576-2025")</f>
        <v/>
      </c>
      <c r="W85">
        <f>HYPERLINK("https://klasma.github.io/Logging_2180/klagomålsmail/A 5576-2025 FSC-klagomål mail.docx", "A 5576-2025")</f>
        <v/>
      </c>
      <c r="X85">
        <f>HYPERLINK("https://klasma.github.io/Logging_2180/tillsyn/A 5576-2025 tillsynsbegäran.docx", "A 5576-2025")</f>
        <v/>
      </c>
      <c r="Y85">
        <f>HYPERLINK("https://klasma.github.io/Logging_2180/tillsynsmail/A 5576-2025 tillsynsbegäran mail.docx", "A 5576-2025")</f>
        <v/>
      </c>
      <c r="Z85">
        <f>HYPERLINK("https://klasma.github.io/Logging_2180/fåglar/A 5576-2025 prioriterade fågelarter.docx", "A 5576-2025")</f>
        <v/>
      </c>
    </row>
    <row r="86" ht="15" customHeight="1">
      <c r="A86" t="inlineStr">
        <is>
          <t>A 9436-2025</t>
        </is>
      </c>
      <c r="B86" s="1" t="n">
        <v>45715</v>
      </c>
      <c r="C86" s="1" t="n">
        <v>45811</v>
      </c>
      <c r="D86" t="inlineStr">
        <is>
          <t>GÄVLEBORGS LÄN</t>
        </is>
      </c>
      <c r="E86" t="inlineStr">
        <is>
          <t>GÄVLE</t>
        </is>
      </c>
      <c r="G86" t="n">
        <v>8.199999999999999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Vågbandad barkbock</t>
        </is>
      </c>
      <c r="S86">
        <f>HYPERLINK("https://klasma.github.io/Logging_212180/artfynd/A 9436-2025 artfynd.xlsx", "A 9436-2025")</f>
        <v/>
      </c>
      <c r="T86">
        <f>HYPERLINK("https://klasma.github.io/Logging_212180/kartor/A 9436-2025 karta.png", "A 9436-2025")</f>
        <v/>
      </c>
      <c r="V86">
        <f>HYPERLINK("https://klasma.github.io/Logging_212180/klagomål/A 9436-2025 FSC-klagomål.docx", "A 9436-2025")</f>
        <v/>
      </c>
      <c r="W86">
        <f>HYPERLINK("https://klasma.github.io/Logging_212180/klagomålsmail/A 9436-2025 FSC-klagomål mail.docx", "A 9436-2025")</f>
        <v/>
      </c>
      <c r="X86">
        <f>HYPERLINK("https://klasma.github.io/Logging_212180/tillsyn/A 9436-2025 tillsynsbegäran.docx", "A 9436-2025")</f>
        <v/>
      </c>
      <c r="Y86">
        <f>HYPERLINK("https://klasma.github.io/Logging_212180/tillsynsmail/A 9436-2025 tillsynsbegäran mail.docx", "A 9436-2025")</f>
        <v/>
      </c>
    </row>
    <row r="87" ht="15" customHeight="1">
      <c r="A87" t="inlineStr">
        <is>
          <t>A 11411-2025</t>
        </is>
      </c>
      <c r="B87" s="1" t="n">
        <v>45726</v>
      </c>
      <c r="C87" s="1" t="n">
        <v>45811</v>
      </c>
      <c r="D87" t="inlineStr">
        <is>
          <t>GÄVLEBORGS LÄN</t>
        </is>
      </c>
      <c r="E87" t="inlineStr">
        <is>
          <t>GÄVLE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HYPERLINK("https://klasma.github.io/Logging_212180/artfynd/A 11411-2025 artfynd.xlsx", "A 11411-2025")</f>
        <v/>
      </c>
      <c r="T87">
        <f>HYPERLINK("https://klasma.github.io/Logging_212180/kartor/A 11411-2025 karta.png", "A 11411-2025")</f>
        <v/>
      </c>
      <c r="V87">
        <f>HYPERLINK("https://klasma.github.io/Logging_212180/klagomål/A 11411-2025 FSC-klagomål.docx", "A 11411-2025")</f>
        <v/>
      </c>
      <c r="W87">
        <f>HYPERLINK("https://klasma.github.io/Logging_212180/klagomålsmail/A 11411-2025 FSC-klagomål mail.docx", "A 11411-2025")</f>
        <v/>
      </c>
      <c r="X87">
        <f>HYPERLINK("https://klasma.github.io/Logging_212180/tillsyn/A 11411-2025 tillsynsbegäran.docx", "A 11411-2025")</f>
        <v/>
      </c>
      <c r="Y87">
        <f>HYPERLINK("https://klasma.github.io/Logging_212180/tillsynsmail/A 11411-2025 tillsynsbegäran mail.docx", "A 11411-2025")</f>
        <v/>
      </c>
    </row>
    <row r="88" ht="15" customHeight="1">
      <c r="A88" t="inlineStr">
        <is>
          <t>A 12338-2025</t>
        </is>
      </c>
      <c r="B88" s="1" t="n">
        <v>45730</v>
      </c>
      <c r="C88" s="1" t="n">
        <v>45811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HYPERLINK("https://klasma.github.io/Logging_212180/artfynd/A 12338-2025 artfynd.xlsx", "A 12338-2025")</f>
        <v/>
      </c>
      <c r="T88">
        <f>HYPERLINK("https://klasma.github.io/Logging_212180/kartor/A 12338-2025 karta.png", "A 12338-2025")</f>
        <v/>
      </c>
      <c r="V88">
        <f>HYPERLINK("https://klasma.github.io/Logging_212180/klagomål/A 12338-2025 FSC-klagomål.docx", "A 12338-2025")</f>
        <v/>
      </c>
      <c r="W88">
        <f>HYPERLINK("https://klasma.github.io/Logging_212180/klagomålsmail/A 12338-2025 FSC-klagomål mail.docx", "A 12338-2025")</f>
        <v/>
      </c>
      <c r="X88">
        <f>HYPERLINK("https://klasma.github.io/Logging_212180/tillsyn/A 12338-2025 tillsynsbegäran.docx", "A 12338-2025")</f>
        <v/>
      </c>
      <c r="Y88">
        <f>HYPERLINK("https://klasma.github.io/Logging_212180/tillsynsmail/A 12338-2025 tillsynsbegäran mail.docx", "A 12338-2025")</f>
        <v/>
      </c>
    </row>
    <row r="89" ht="15" customHeight="1">
      <c r="A89" t="inlineStr">
        <is>
          <t>A 18398-2019</t>
        </is>
      </c>
      <c r="B89" s="1" t="n">
        <v>43559</v>
      </c>
      <c r="C89" s="1" t="n">
        <v>45811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45811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45811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45811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45811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45811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45811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45811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45811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45811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45811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45811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45811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45811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45811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45811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45811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45811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45811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45811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45811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45811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45811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45811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45811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45811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45811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45811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45811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45811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45811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45811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45811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45811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45811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45811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45811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45811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45811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45811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45811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45811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45811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45811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45811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45811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45811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45811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45811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45811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45811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45811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45811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45811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45811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45811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45811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45811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45811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45811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45811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45811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45811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45811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45811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45811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45811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45811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45811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45811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45811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45811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45811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45811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45811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45811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45811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45811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45811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45811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45811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45811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45811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45811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45811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45811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45811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45811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45811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45811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45811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45811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45811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45811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45811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45811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45811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45811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45811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45811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45811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45811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45811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45811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45811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45811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45811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45811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45811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45811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45811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45811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45811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45811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45811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45811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45811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45811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45811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45811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45811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45811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45811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45811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45811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45811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45811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45811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45811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45811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45811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45811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45811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45811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45811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45811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45811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45811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45811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45811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45811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45811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45811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45811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45811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45811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45811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45811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45811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45811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45811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45811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45811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45811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45811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45811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45811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45811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45811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45811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45811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45811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45811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45811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45811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45811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45811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45811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45811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45811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45811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45811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45811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45811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45811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45811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45811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45811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45811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45811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45811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45811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45811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45811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45811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45811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45811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45811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45811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45811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45811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45811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45811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45811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45811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45811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45811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45811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45811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45811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45811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45811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45811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45811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45811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45811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45811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45811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45811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45811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45811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45811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45811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45811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45811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45811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45811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45811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45811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45811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45811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45811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45811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45811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45811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45811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45811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45811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45811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45811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45811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45811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45811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45811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45811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45811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45811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45811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45811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45811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45811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45811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45811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45811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45811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45811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45811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45811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45811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45811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45811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45811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45811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45811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45811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45811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45811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45811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45811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45811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45811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45811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45811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45811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45811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45811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45811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45811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45811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45811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45811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45811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45811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45811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45811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45811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45811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45811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45811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45811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45811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45811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45811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45811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45811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45811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45811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45811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45811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45811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45811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45811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45811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45811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45811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45811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45811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45811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45811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45811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45811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45811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45811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45811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45811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45811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45811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45811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45811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45811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45811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45811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45811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45811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45811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45811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45811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45811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45811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45811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45811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45811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45811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45811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45811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45811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45811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45811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45811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45811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45811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45811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45811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45811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45811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45811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45811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45811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45811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45811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45811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45811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45811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45811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45811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45811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45811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45811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45811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45811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45811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45811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45811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45811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45811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45811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45811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45811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45811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45811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45811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45811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45811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45811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45811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45811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45811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45811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45811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45811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45811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45811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45811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45811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45811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45811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45811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45811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45811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45811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45811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45811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45811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45811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45811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45811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45811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45811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45811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45811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45811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45811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45811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45811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45811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45811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45811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45811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45811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45811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45811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45811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45811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45811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45811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45811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45811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45811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45811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45811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45811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45811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45811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45811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45811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45811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45811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45811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45811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45811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45811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45811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45811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45811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45811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45811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45811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45811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45811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45811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45811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45811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45811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45811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45811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45811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45811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45811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45811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45811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45811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45811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45811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45811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45811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45811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45811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45811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45811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45811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45811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45811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45811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45811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45811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45811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45811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45811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45811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45811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45811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45811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45811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45811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45811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45811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45811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45811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45811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45811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45811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45811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45811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45811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45811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45811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45811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45811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45811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45811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45811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45811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45811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45811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45811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45811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45811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45811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45811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45811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45811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45811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45811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45811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45811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45811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45811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45811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45811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45811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45811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45811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45811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45811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45811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45811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45811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45811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45811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45811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45811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45811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45811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45811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45811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45811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45811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45811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45811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45811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45811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45811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45811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45811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45811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45811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45811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45811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45811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45811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45811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45811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45811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45811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45811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45811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45811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45811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45811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45811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45811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45811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45811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45811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45811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45811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45811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45811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45811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45811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45811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45811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45811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45811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45811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45811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45811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45811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45811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45811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45811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45811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45811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45811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45811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45811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45811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45811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45811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45811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45811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45811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45811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45811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45811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45811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45811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45811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45811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45811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45811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45811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45811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45811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45811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45811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45811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45811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45811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45811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45811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45811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45811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45811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45811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45811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45811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45811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45811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45811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45811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45811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45811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45811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45811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45811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45811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45811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45811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45811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45811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45811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45811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45811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45811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45811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45811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45811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45811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45811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45811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45811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45811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45811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45811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45811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45811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45811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45811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45811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45811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45811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45811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45811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45811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45811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45811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45811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45811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45811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45811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45811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45811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45811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45811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45811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45811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45811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45811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45811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45811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45811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45811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45811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45811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45811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45811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45811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45811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45811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45811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45811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45811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45811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45811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45811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45811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45811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45811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45811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45811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45811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45811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45811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45811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45811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45811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45811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45811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45811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45811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45811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45811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45811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45811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45811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45811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45811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45811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45811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45811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45811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45811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45811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45811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45811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45811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45811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45811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45811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45811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45811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45811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45811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45811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45811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45811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45811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45811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45811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45811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45811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45811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45811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45811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45811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45811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45811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45811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45811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45811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45811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45811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45811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45811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45811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45811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45811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45811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45811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45811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45811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45811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45811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45811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45811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45811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45811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45811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45811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45811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45811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45811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45811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45811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45811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45811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45811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45811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45811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45811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45811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45811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45811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45811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45811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45811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45811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45811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45811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45811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45811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45811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45811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45811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45811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45811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45811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45811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45811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45811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45811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45811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45811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45811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45811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45811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45811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45811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45811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45811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45811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45811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45811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45811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45811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45811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45811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45811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45811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45811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45811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45811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45811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45811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45811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45811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45811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45811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45811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45811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45811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45811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45811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45811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45811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45811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45811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45811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45811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45811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45811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45811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45811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45811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45811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45811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45811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45811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45811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45811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45811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45811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45811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45811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45811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45811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45811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45811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45811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45811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45811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45811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45811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45811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45811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45811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45811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45811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45811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45811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45811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45811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45811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45811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45811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45811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45811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45811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45811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45811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45811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45811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45811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45811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45811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45811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45811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45811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45811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45811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45811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45811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45811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45811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45811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45811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45811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45811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45811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45811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45811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45811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45811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45811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45811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45811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45811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45811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45811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45811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45811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45811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45811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45811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45811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45811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45811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45811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45811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45811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45811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45811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45811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45811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45811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45811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45811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45811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45811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45811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45811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45811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45811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45811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45811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45811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45811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45811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45811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45811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45811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45811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45811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45811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45811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45811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45811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45811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45811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45811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45811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45811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45811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45811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45811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45811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45811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45811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45811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45811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45811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45811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45811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45811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45811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45811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45811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45811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45811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45811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45811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45811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45811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45811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45811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45811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45811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45811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45811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45811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45811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45811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45811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45811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45811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45811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45811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45811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45811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45811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45811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45811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45811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45811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45811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45811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45811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45811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45811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45811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45811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45811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45811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45811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45811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45811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45811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45811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45811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45811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45811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45811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45811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45811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45811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45811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45811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45811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45811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45811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45811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45811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45811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45811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45811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45811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45811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45811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45811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45811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45811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45811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45811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45811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45811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45811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45811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45811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45811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45811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45811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45811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45811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45811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45811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45811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45811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45811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45811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45811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45811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45811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45811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45811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45811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45811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45811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45811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45811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45811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45811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45811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45811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45811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45811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45811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45811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45811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45811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45811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45811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45811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45811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45811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45811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45811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45811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45811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45811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45811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45811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45811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45811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45811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45811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45811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45811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45811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45811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45811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45811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45811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45811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45811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45811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45811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45811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45811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45811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45811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45811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45811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45811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45811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45811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45811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45811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45811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45811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45811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45811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45811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45811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45811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45811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45811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45811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45811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45811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45811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45811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45811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45811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45811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45811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45811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45811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45811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45811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45811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45811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45811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45811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45811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45811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45811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45811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45811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45811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45811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45811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45811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45811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45811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45811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45811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45811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45811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45811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45811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45811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45811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45811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45811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45811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45811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45811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45811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45811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45811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45811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45811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45811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45811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45811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45811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45811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45811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45811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45811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45811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45811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45811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45811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45811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45811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45811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45811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45811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45811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45811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45811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45811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45811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45811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45811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45811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45811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45811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45811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45811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45811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45811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45811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45811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45811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45811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45811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45811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45811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45811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45811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45811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45811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45811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45811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45811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45811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45811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45811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45811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45811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45811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45811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45811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45811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45811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45811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45811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45811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45811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45811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45811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45811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45811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45811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45811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45811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45811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45811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45811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45811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45811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45811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45811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45811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45811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45811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45811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45811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45811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45811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45811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45811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45811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45811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45811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45811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45811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45811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45811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45811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45811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45811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45811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45811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45811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45811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45811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45811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45811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45811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45811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45811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45811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45811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45811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45811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45811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45811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45811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45811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45811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45811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45811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45811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45811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45811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45811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45811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45811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45811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45811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45811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45811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45811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45811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45811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45811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45811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45811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45811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45811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45811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45811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45811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45811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45811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45811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45811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45811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45811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45811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45811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45811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45811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45811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45811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45811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45811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45811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45811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45811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45811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45811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45811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45811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45811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45811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45811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45811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45811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45811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45811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45811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45811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45811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45811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45811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45811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45811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45811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45811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45811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45811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45811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45811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45811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45811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45811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45811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45811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45811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45811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45811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45811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45811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45811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45811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45811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45811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45811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45811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45811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45811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45811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45811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45811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45811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45811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45811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45811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45811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45811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45811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45811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45811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45811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45811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45811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45811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45811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45811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45811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45811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18950-2025</t>
        </is>
      </c>
      <c r="B1435" s="1" t="n">
        <v>45764</v>
      </c>
      <c r="C1435" s="1" t="n">
        <v>45811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45811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18874-2025</t>
        </is>
      </c>
      <c r="B1437" s="1" t="n">
        <v>45764</v>
      </c>
      <c r="C1437" s="1" t="n">
        <v>45811</v>
      </c>
      <c r="D1437" t="inlineStr">
        <is>
          <t>GÄVLEBORGS LÄN</t>
        </is>
      </c>
      <c r="E1437" t="inlineStr">
        <is>
          <t>GÄVLE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18876-2025</t>
        </is>
      </c>
      <c r="B1438" s="1" t="n">
        <v>45764</v>
      </c>
      <c r="C1438" s="1" t="n">
        <v>45811</v>
      </c>
      <c r="D1438" t="inlineStr">
        <is>
          <t>GÄVLEBORGS LÄN</t>
        </is>
      </c>
      <c r="E1438" t="inlineStr">
        <is>
          <t>GÄVLE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19327-2025</t>
        </is>
      </c>
      <c r="B1439" s="1" t="n">
        <v>45769</v>
      </c>
      <c r="C1439" s="1" t="n">
        <v>45811</v>
      </c>
      <c r="D1439" t="inlineStr">
        <is>
          <t>GÄVLEBORGS LÄN</t>
        </is>
      </c>
      <c r="E1439" t="inlineStr">
        <is>
          <t>GÄVLE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19331-2025</t>
        </is>
      </c>
      <c r="B1440" s="1" t="n">
        <v>45769</v>
      </c>
      <c r="C1440" s="1" t="n">
        <v>45811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19333-2025</t>
        </is>
      </c>
      <c r="B1441" s="1" t="n">
        <v>45769</v>
      </c>
      <c r="C1441" s="1" t="n">
        <v>45811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19206-2025</t>
        </is>
      </c>
      <c r="B1442" s="1" t="n">
        <v>45769</v>
      </c>
      <c r="C1442" s="1" t="n">
        <v>45811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45811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45811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19454-2025</t>
        </is>
      </c>
      <c r="B1445" s="1" t="n">
        <v>45770</v>
      </c>
      <c r="C1445" s="1" t="n">
        <v>45811</v>
      </c>
      <c r="D1445" t="inlineStr">
        <is>
          <t>GÄVLEBORGS LÄN</t>
        </is>
      </c>
      <c r="E1445" t="inlineStr">
        <is>
          <t>GÄVLE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19551-2025</t>
        </is>
      </c>
      <c r="B1446" s="1" t="n">
        <v>45770</v>
      </c>
      <c r="C1446" s="1" t="n">
        <v>45811</v>
      </c>
      <c r="D1446" t="inlineStr">
        <is>
          <t>GÄVLEBORGS LÄN</t>
        </is>
      </c>
      <c r="E1446" t="inlineStr">
        <is>
          <t>GÄVLE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19518-2025</t>
        </is>
      </c>
      <c r="B1447" s="1" t="n">
        <v>45770</v>
      </c>
      <c r="C1447" s="1" t="n">
        <v>45811</v>
      </c>
      <c r="D1447" t="inlineStr">
        <is>
          <t>GÄVLEBORGS LÄN</t>
        </is>
      </c>
      <c r="E1447" t="inlineStr">
        <is>
          <t>GÄVLE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45811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45811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45811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45811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45811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45811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45811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45811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21966-2025</t>
        </is>
      </c>
      <c r="B1456" s="1" t="n">
        <v>45784</v>
      </c>
      <c r="C1456" s="1" t="n">
        <v>45811</v>
      </c>
      <c r="D1456" t="inlineStr">
        <is>
          <t>GÄVLEBORGS LÄN</t>
        </is>
      </c>
      <c r="E1456" t="inlineStr">
        <is>
          <t>GÄVLE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21978-2025</t>
        </is>
      </c>
      <c r="B1457" s="1" t="n">
        <v>45784</v>
      </c>
      <c r="C1457" s="1" t="n">
        <v>45811</v>
      </c>
      <c r="D1457" t="inlineStr">
        <is>
          <t>GÄVLEBORGS LÄN</t>
        </is>
      </c>
      <c r="E1457" t="inlineStr">
        <is>
          <t>GÄVLE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45811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22664-2025</t>
        </is>
      </c>
      <c r="B1459" s="1" t="n">
        <v>45789</v>
      </c>
      <c r="C1459" s="1" t="n">
        <v>45811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22645-2025</t>
        </is>
      </c>
      <c r="B1460" s="1" t="n">
        <v>45789</v>
      </c>
      <c r="C1460" s="1" t="n">
        <v>45811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22879-2025</t>
        </is>
      </c>
      <c r="B1461" s="1" t="n">
        <v>45790</v>
      </c>
      <c r="C1461" s="1" t="n">
        <v>45811</v>
      </c>
      <c r="D1461" t="inlineStr">
        <is>
          <t>GÄVLEBORGS LÄN</t>
        </is>
      </c>
      <c r="E1461" t="inlineStr">
        <is>
          <t>GÄVLE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22923-2025</t>
        </is>
      </c>
      <c r="B1462" s="1" t="n">
        <v>45790</v>
      </c>
      <c r="C1462" s="1" t="n">
        <v>45811</v>
      </c>
      <c r="D1462" t="inlineStr">
        <is>
          <t>GÄVLEBORGS LÄN</t>
        </is>
      </c>
      <c r="E1462" t="inlineStr">
        <is>
          <t>GÄVLE</t>
        </is>
      </c>
      <c r="G1462" t="n">
        <v>20.8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23324-2025</t>
        </is>
      </c>
      <c r="B1463" s="1" t="n">
        <v>45791</v>
      </c>
      <c r="C1463" s="1" t="n">
        <v>45811</v>
      </c>
      <c r="D1463" t="inlineStr">
        <is>
          <t>GÄVLEBORGS LÄN</t>
        </is>
      </c>
      <c r="E1463" t="inlineStr">
        <is>
          <t>GÄVLE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23304-2025</t>
        </is>
      </c>
      <c r="B1464" s="1" t="n">
        <v>45791</v>
      </c>
      <c r="C1464" s="1" t="n">
        <v>45811</v>
      </c>
      <c r="D1464" t="inlineStr">
        <is>
          <t>GÄVLEBORGS LÄN</t>
        </is>
      </c>
      <c r="E1464" t="inlineStr">
        <is>
          <t>GÄVLE</t>
        </is>
      </c>
      <c r="F1464" t="inlineStr">
        <is>
          <t>Bergvik skog väst AB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23232-2025</t>
        </is>
      </c>
      <c r="B1465" s="1" t="n">
        <v>45791</v>
      </c>
      <c r="C1465" s="1" t="n">
        <v>45811</v>
      </c>
      <c r="D1465" t="inlineStr">
        <is>
          <t>GÄVLEBORGS LÄN</t>
        </is>
      </c>
      <c r="E1465" t="inlineStr">
        <is>
          <t>GÄVLE</t>
        </is>
      </c>
      <c r="G1465" t="n">
        <v>10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23291-2025</t>
        </is>
      </c>
      <c r="B1466" s="1" t="n">
        <v>45791</v>
      </c>
      <c r="C1466" s="1" t="n">
        <v>45811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23575-2025</t>
        </is>
      </c>
      <c r="B1467" s="1" t="n">
        <v>45792</v>
      </c>
      <c r="C1467" s="1" t="n">
        <v>45811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23447-2025</t>
        </is>
      </c>
      <c r="B1468" s="1" t="n">
        <v>45792</v>
      </c>
      <c r="C1468" s="1" t="n">
        <v>45811</v>
      </c>
      <c r="D1468" t="inlineStr">
        <is>
          <t>GÄVLEBORGS LÄN</t>
        </is>
      </c>
      <c r="E1468" t="inlineStr">
        <is>
          <t>GÄVLE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23572-2025</t>
        </is>
      </c>
      <c r="B1469" s="1" t="n">
        <v>45792</v>
      </c>
      <c r="C1469" s="1" t="n">
        <v>45811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23463-2025</t>
        </is>
      </c>
      <c r="B1470" s="1" t="n">
        <v>45792</v>
      </c>
      <c r="C1470" s="1" t="n">
        <v>45811</v>
      </c>
      <c r="D1470" t="inlineStr">
        <is>
          <t>GÄVLEBORGS LÄN</t>
        </is>
      </c>
      <c r="E1470" t="inlineStr">
        <is>
          <t>GÄVLE</t>
        </is>
      </c>
      <c r="G1470" t="n">
        <v>7.2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23987-2025</t>
        </is>
      </c>
      <c r="B1471" s="1" t="n">
        <v>45796</v>
      </c>
      <c r="C1471" s="1" t="n">
        <v>45811</v>
      </c>
      <c r="D1471" t="inlineStr">
        <is>
          <t>GÄVLEBORGS LÄN</t>
        </is>
      </c>
      <c r="E1471" t="inlineStr">
        <is>
          <t>GÄVLE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24227-2025</t>
        </is>
      </c>
      <c r="B1472" s="1" t="n">
        <v>45797</v>
      </c>
      <c r="C1472" s="1" t="n">
        <v>45811</v>
      </c>
      <c r="D1472" t="inlineStr">
        <is>
          <t>GÄVLEBORGS LÄN</t>
        </is>
      </c>
      <c r="E1472" t="inlineStr">
        <is>
          <t>GÄVLE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24228-2025</t>
        </is>
      </c>
      <c r="B1473" s="1" t="n">
        <v>45797</v>
      </c>
      <c r="C1473" s="1" t="n">
        <v>45811</v>
      </c>
      <c r="D1473" t="inlineStr">
        <is>
          <t>GÄVLEBORGS LÄN</t>
        </is>
      </c>
      <c r="E1473" t="inlineStr">
        <is>
          <t>GÄVLE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24215-2025</t>
        </is>
      </c>
      <c r="B1474" s="1" t="n">
        <v>45797</v>
      </c>
      <c r="C1474" s="1" t="n">
        <v>45811</v>
      </c>
      <c r="D1474" t="inlineStr">
        <is>
          <t>GÄVLEBORGS LÄN</t>
        </is>
      </c>
      <c r="E1474" t="inlineStr">
        <is>
          <t>GÄVLE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24225-2025</t>
        </is>
      </c>
      <c r="B1475" s="1" t="n">
        <v>45797</v>
      </c>
      <c r="C1475" s="1" t="n">
        <v>45811</v>
      </c>
      <c r="D1475" t="inlineStr">
        <is>
          <t>GÄVLEBORGS LÄN</t>
        </is>
      </c>
      <c r="E1475" t="inlineStr">
        <is>
          <t>GÄVLE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24229-2025</t>
        </is>
      </c>
      <c r="B1476" s="1" t="n">
        <v>45797</v>
      </c>
      <c r="C1476" s="1" t="n">
        <v>45811</v>
      </c>
      <c r="D1476" t="inlineStr">
        <is>
          <t>GÄVLEBORGS LÄN</t>
        </is>
      </c>
      <c r="E1476" t="inlineStr">
        <is>
          <t>GÄVLE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24619-2025</t>
        </is>
      </c>
      <c r="B1477" s="1" t="n">
        <v>45798</v>
      </c>
      <c r="C1477" s="1" t="n">
        <v>45811</v>
      </c>
      <c r="D1477" t="inlineStr">
        <is>
          <t>GÄVLEBORGS LÄN</t>
        </is>
      </c>
      <c r="E1477" t="inlineStr">
        <is>
          <t>GÄVLE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24614-2025</t>
        </is>
      </c>
      <c r="B1478" s="1" t="n">
        <v>45798</v>
      </c>
      <c r="C1478" s="1" t="n">
        <v>45811</v>
      </c>
      <c r="D1478" t="inlineStr">
        <is>
          <t>GÄVLEBORGS LÄN</t>
        </is>
      </c>
      <c r="E1478" t="inlineStr">
        <is>
          <t>GÄVLE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24611-2025</t>
        </is>
      </c>
      <c r="B1479" s="1" t="n">
        <v>45798</v>
      </c>
      <c r="C1479" s="1" t="n">
        <v>45811</v>
      </c>
      <c r="D1479" t="inlineStr">
        <is>
          <t>GÄVLEBORGS LÄN</t>
        </is>
      </c>
      <c r="E1479" t="inlineStr">
        <is>
          <t>GÄVLE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24616-2025</t>
        </is>
      </c>
      <c r="B1480" s="1" t="n">
        <v>45798</v>
      </c>
      <c r="C1480" s="1" t="n">
        <v>45811</v>
      </c>
      <c r="D1480" t="inlineStr">
        <is>
          <t>GÄVLEBORGS LÄN</t>
        </is>
      </c>
      <c r="E1480" t="inlineStr">
        <is>
          <t>GÄVLE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24612-2025</t>
        </is>
      </c>
      <c r="B1481" s="1" t="n">
        <v>45798</v>
      </c>
      <c r="C1481" s="1" t="n">
        <v>45811</v>
      </c>
      <c r="D1481" t="inlineStr">
        <is>
          <t>GÄVLEBORGS LÄN</t>
        </is>
      </c>
      <c r="E1481" t="inlineStr">
        <is>
          <t>GÄVLE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25064-2025</t>
        </is>
      </c>
      <c r="B1482" s="1" t="n">
        <v>45799</v>
      </c>
      <c r="C1482" s="1" t="n">
        <v>45811</v>
      </c>
      <c r="D1482" t="inlineStr">
        <is>
          <t>GÄVLEBORGS LÄN</t>
        </is>
      </c>
      <c r="E1482" t="inlineStr">
        <is>
          <t>GÄVLE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25382-2025</t>
        </is>
      </c>
      <c r="B1483" s="1" t="n">
        <v>45800</v>
      </c>
      <c r="C1483" s="1" t="n">
        <v>45811</v>
      </c>
      <c r="D1483" t="inlineStr">
        <is>
          <t>GÄVLEBORGS LÄN</t>
        </is>
      </c>
      <c r="E1483" t="inlineStr">
        <is>
          <t>GÄVLE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25384-2025</t>
        </is>
      </c>
      <c r="B1484" s="1" t="n">
        <v>45800</v>
      </c>
      <c r="C1484" s="1" t="n">
        <v>45811</v>
      </c>
      <c r="D1484" t="inlineStr">
        <is>
          <t>GÄVLEBORGS LÄN</t>
        </is>
      </c>
      <c r="E1484" t="inlineStr">
        <is>
          <t>GÄVLE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25874-2025</t>
        </is>
      </c>
      <c r="B1485" s="1" t="n">
        <v>45804</v>
      </c>
      <c r="C1485" s="1" t="n">
        <v>45811</v>
      </c>
      <c r="D1485" t="inlineStr">
        <is>
          <t>GÄVLEBORGS LÄN</t>
        </is>
      </c>
      <c r="E1485" t="inlineStr">
        <is>
          <t>GÄVLE</t>
        </is>
      </c>
      <c r="F1485" t="inlineStr">
        <is>
          <t>Bergvik skog öst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25878-2025</t>
        </is>
      </c>
      <c r="B1486" s="1" t="n">
        <v>45804</v>
      </c>
      <c r="C1486" s="1" t="n">
        <v>45811</v>
      </c>
      <c r="D1486" t="inlineStr">
        <is>
          <t>GÄVLEBORGS LÄN</t>
        </is>
      </c>
      <c r="E1486" t="inlineStr">
        <is>
          <t>GÄVLE</t>
        </is>
      </c>
      <c r="F1486" t="inlineStr">
        <is>
          <t>Bergvik skog öst AB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>
      <c r="A1487" t="inlineStr">
        <is>
          <t>A 26094-2025</t>
        </is>
      </c>
      <c r="B1487" s="1" t="n">
        <v>45805</v>
      </c>
      <c r="C1487" s="1" t="n">
        <v>45811</v>
      </c>
      <c r="D1487" t="inlineStr">
        <is>
          <t>GÄVLEBORGS LÄN</t>
        </is>
      </c>
      <c r="E1487" t="inlineStr">
        <is>
          <t>GÄVLE</t>
        </is>
      </c>
      <c r="G1487" t="n">
        <v>12.4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2025-06-03T18:09:27Z</dcterms:created>
  <dcterms:modified xmlns:dcterms="http://purl.org/dc/terms/" xmlns:xsi="http://www.w3.org/2001/XMLSchema-instance" xsi:type="dcterms:W3CDTF">2025-06-03T18:09:28Z</dcterms:modified>
</cp:coreProperties>
</file>