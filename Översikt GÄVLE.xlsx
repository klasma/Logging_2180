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46282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46282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46282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46282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46282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46282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46282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46282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46282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46282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46282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46282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46282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46282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46282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46282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46282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46282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46282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46282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46282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46282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46282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46282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46282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46282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46282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46282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46282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46282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46282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46282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46282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46282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46282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46282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46282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14554-2026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46282</v>
      </c>
      <c r="F55" t="inlineStr">
        <is>
          <t>GÄVLEBORGS LÄN</t>
        </is>
      </c>
      <c r="G55" t="inlineStr">
        <is>
          <t>GÄVLE</t>
        </is>
      </c>
      <c r="H55" t="inlineStr">
        <is>
          <t>Övriga statliga verk och myndigheter</t>
        </is>
      </c>
      <c r="I55" t="n">
        <v>6.6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121</v>
      </c>
      <c r="U55" t="n">
        <v>0</v>
      </c>
      <c r="V55" s="2" t="inlineStr">
        <is>
          <t>Väddnätfjäril
Sotnätfjäril</t>
        </is>
      </c>
      <c r="W55">
        <f>HYPERLINK("https://klasma.github.io/Logging_2180/artfynd/A 14554-2026 artfynd.xlsx", "A 14554-2026")</f>
        <v/>
      </c>
      <c r="X55">
        <f>HYPERLINK("https://klasma.github.io/Logging_2180/kartor/A 14554-2026 karta.png", "A 14554-2026")</f>
        <v/>
      </c>
      <c r="Y55">
        <f>HYPERLINK("https://klasma.github.io/Logging_2180/kartor_geotiff/A 14554-2026 georefererad karta.tif", "A 14554-2026")</f>
        <v/>
      </c>
      <c r="AA55">
        <f>HYPERLINK("https://klasma.github.io/Logging_2180/klagomål/A 14554-2026 FSC-klagomål.docx", "A 14554-2026")</f>
        <v/>
      </c>
      <c r="AB55">
        <f>HYPERLINK("https://klasma.github.io/Logging_2180/klagomålsmail/A 14554-2026 FSC-klagomål mail.docx", "A 14554-2026")</f>
        <v/>
      </c>
      <c r="AC55">
        <f>HYPERLINK("https://klasma.github.io/Logging_2180/tillsyn/A 14554-2026 tillsynsbegäran.docx", "A 14554-2026")</f>
        <v/>
      </c>
      <c r="AD55">
        <f>HYPERLINK("https://klasma.github.io/Logging_2180/tillsynsmail/A 14554-2026 tillsynsbegäran mail.docx", "A 14554-2026")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46282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46282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46282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64533-2023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46282</v>
      </c>
      <c r="F59" t="inlineStr">
        <is>
          <t>GÄVLEBORGS LÄN</t>
        </is>
      </c>
      <c r="G59" t="inlineStr">
        <is>
          <t>GÄVLE</t>
        </is>
      </c>
      <c r="I59" t="n">
        <v>1.1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Aspvedgnagare
Jättesvampmal</t>
        </is>
      </c>
      <c r="W59">
        <f>HYPERLINK("https://klasma.github.io/Logging_2180/artfynd/A 64533-2023 artfynd.xlsx", "A 64533-2023")</f>
        <v/>
      </c>
      <c r="X59">
        <f>HYPERLINK("https://klasma.github.io/Logging_2180/kartor/A 64533-2023 karta.png", "A 64533-2023")</f>
        <v/>
      </c>
      <c r="Y59">
        <f>HYPERLINK("https://klasma.github.io/Logging_2180/kartor_geotiff/A 64533-2023 georefererad karta.tif", "A 64533-2023")</f>
        <v/>
      </c>
      <c r="AA59">
        <f>HYPERLINK("https://klasma.github.io/Logging_2180/klagomål/A 64533-2023 FSC-klagomål.docx", "A 64533-2023")</f>
        <v/>
      </c>
      <c r="AB59">
        <f>HYPERLINK("https://klasma.github.io/Logging_2180/klagomålsmail/A 64533-2023 FSC-klagomål mail.docx", "A 64533-2023")</f>
        <v/>
      </c>
      <c r="AC59">
        <f>HYPERLINK("https://klasma.github.io/Logging_2180/tillsyn/A 64533-2023 tillsynsbegäran.docx", "A 64533-2023")</f>
        <v/>
      </c>
      <c r="AD59">
        <f>HYPERLINK("https://klasma.github.io/Logging_2180/tillsynsmail/A 64533-2023 tillsynsbegäran mail.docx", "A 64533-2023")</f>
        <v/>
      </c>
    </row>
    <row r="60" ht="15" customHeight="1">
      <c r="A60" t="inlineStr">
        <is>
          <t>A 13487-2026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46282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0.6</v>
      </c>
      <c r="J60" t="n">
        <v>2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Pärluggla
Sparvuggla</t>
        </is>
      </c>
      <c r="W60">
        <f>HYPERLINK("https://klasma.github.io/Logging_2180/artfynd/A 13487-2026 artfynd.xlsx", "A 13487-2026")</f>
        <v/>
      </c>
      <c r="X60">
        <f>HYPERLINK("https://klasma.github.io/Logging_2180/kartor/A 13487-2026 karta.png", "A 13487-2026")</f>
        <v/>
      </c>
      <c r="Y60">
        <f>HYPERLINK("https://klasma.github.io/Logging_2180/kartor_geotiff/A 13487-2026 georefererad karta.tif", "A 13487-2026")</f>
        <v/>
      </c>
      <c r="AA60">
        <f>HYPERLINK("https://klasma.github.io/Logging_2180/klagomål/A 13487-2026 FSC-klagomål.docx", "A 13487-2026")</f>
        <v/>
      </c>
      <c r="AB60">
        <f>HYPERLINK("https://klasma.github.io/Logging_2180/klagomålsmail/A 13487-2026 FSC-klagomål mail.docx", "A 13487-2026")</f>
        <v/>
      </c>
      <c r="AC60">
        <f>HYPERLINK("https://klasma.github.io/Logging_2180/tillsyn/A 13487-2026 tillsynsbegäran.docx", "A 13487-2026")</f>
        <v/>
      </c>
      <c r="AD60">
        <f>HYPERLINK("https://klasma.github.io/Logging_2180/tillsynsmail/A 13487-2026 tillsynsbegäran mail.docx", "A 13487-2026")</f>
        <v/>
      </c>
      <c r="AE60">
        <f>HYPERLINK("https://klasma.github.io/Logging_2180/fåglar/A 13487-2026 prioriterade fågelarter.docx", "A 13487-2026")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46282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46282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46282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6473-2024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46282</v>
      </c>
      <c r="F64" t="inlineStr">
        <is>
          <t>GÄVLEBORGS LÄN</t>
        </is>
      </c>
      <c r="G64" t="inlineStr">
        <is>
          <t>GÄVLE</t>
        </is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Tibast
Nattviol</t>
        </is>
      </c>
      <c r="W64">
        <f>HYPERLINK("https://klasma.github.io/Logging_2180/artfynd/A 6473-2024 artfynd.xlsx", "A 6473-2024")</f>
        <v/>
      </c>
      <c r="X64">
        <f>HYPERLINK("https://klasma.github.io/Logging_2180/kartor/A 6473-2024 karta.png", "A 6473-2024")</f>
        <v/>
      </c>
      <c r="Y64">
        <f>HYPERLINK("https://klasma.github.io/Logging_2180/kartor_geotiff/A 6473-2024 georefererad karta.tif", "A 6473-2024")</f>
        <v/>
      </c>
      <c r="AA64">
        <f>HYPERLINK("https://klasma.github.io/Logging_2180/klagomål/A 6473-2024 FSC-klagomål.docx", "A 6473-2024")</f>
        <v/>
      </c>
      <c r="AB64">
        <f>HYPERLINK("https://klasma.github.io/Logging_2180/klagomålsmail/A 6473-2024 FSC-klagomål mail.docx", "A 6473-2024")</f>
        <v/>
      </c>
      <c r="AC64">
        <f>HYPERLINK("https://klasma.github.io/Logging_2180/tillsyn/A 6473-2024 tillsynsbegäran.docx", "A 6473-2024")</f>
        <v/>
      </c>
      <c r="AD64">
        <f>HYPERLINK("https://klasma.github.io/Logging_2180/tillsynsmail/A 6473-2024 tillsynsbegäran mail.docx", "A 6473-2024")</f>
        <v/>
      </c>
    </row>
    <row r="65" ht="15" customHeight="1">
      <c r="A65" t="inlineStr">
        <is>
          <t>A 14701-2026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46101</v>
      </c>
      <c r="E65" s="1" t="n">
        <v>46282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Tjäder
Fläcknycklar</t>
        </is>
      </c>
      <c r="W65">
        <f>HYPERLINK("https://klasma.github.io/Logging_2180/artfynd/A 14701-2026 artfynd.xlsx", "A 14701-2026")</f>
        <v/>
      </c>
      <c r="X65">
        <f>HYPERLINK("https://klasma.github.io/Logging_2180/kartor/A 14701-2026 karta.png", "A 14701-2026")</f>
        <v/>
      </c>
      <c r="Y65">
        <f>HYPERLINK("https://klasma.github.io/Logging_2180/kartor_geotiff/A 14701-2026 georefererad karta.tif", "A 14701-2026")</f>
        <v/>
      </c>
      <c r="AA65">
        <f>HYPERLINK("https://klasma.github.io/Logging_2180/klagomål/A 14701-2026 FSC-klagomål.docx", "A 14701-2026")</f>
        <v/>
      </c>
      <c r="AB65">
        <f>HYPERLINK("https://klasma.github.io/Logging_2180/klagomålsmail/A 14701-2026 FSC-klagomål mail.docx", "A 14701-2026")</f>
        <v/>
      </c>
      <c r="AC65">
        <f>HYPERLINK("https://klasma.github.io/Logging_2180/tillsyn/A 14701-2026 tillsynsbegäran.docx", "A 14701-2026")</f>
        <v/>
      </c>
      <c r="AD65">
        <f>HYPERLINK("https://klasma.github.io/Logging_2180/tillsynsmail/A 14701-2026 tillsynsbegäran mail.docx", "A 14701-2026")</f>
        <v/>
      </c>
      <c r="AE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46282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46282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23257-2026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46282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42.1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Kattfotslav
Havsörn</t>
        </is>
      </c>
      <c r="W68">
        <f>HYPERLINK("https://klasma.github.io/Logging_2180/artfynd/A 23257-2026 artfynd.xlsx", "A 23257-2026")</f>
        <v/>
      </c>
      <c r="X68">
        <f>HYPERLINK("https://klasma.github.io/Logging_2180/kartor/A 23257-2026 karta.png", "A 23257-2026")</f>
        <v/>
      </c>
      <c r="Y68">
        <f>HYPERLINK("https://klasma.github.io/Logging_2180/kartor_geotiff/A 23257-2026 georefererad karta.tif", "A 23257-2026")</f>
        <v/>
      </c>
      <c r="AA68">
        <f>HYPERLINK("https://klasma.github.io/Logging_2180/klagomål/A 23257-2026 FSC-klagomål.docx", "A 23257-2026")</f>
        <v/>
      </c>
      <c r="AB68">
        <f>HYPERLINK("https://klasma.github.io/Logging_2180/klagomålsmail/A 23257-2026 FSC-klagomål mail.docx", "A 23257-2026")</f>
        <v/>
      </c>
      <c r="AC68">
        <f>HYPERLINK("https://klasma.github.io/Logging_2180/tillsyn/A 23257-2026 tillsynsbegäran.docx", "A 23257-2026")</f>
        <v/>
      </c>
      <c r="AD68">
        <f>HYPERLINK("https://klasma.github.io/Logging_2180/tillsynsmail/A 23257-2026 tillsynsbegäran mail.docx", "A 23257-2026")</f>
        <v/>
      </c>
      <c r="AE68">
        <f>HYPERLINK("https://klasma.github.io/Logging_2180/fåglar/A 23257-2026 prioriterade fågelarter.docx", "A 23257-2026")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46282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46282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46282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27054-2026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46282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27054-2026 artfynd.xlsx", "A 27054-2026")</f>
        <v/>
      </c>
      <c r="X72">
        <f>HYPERLINK("https://klasma.github.io/Logging_2180/kartor/A 27054-2026 karta.png", "A 27054-2026")</f>
        <v/>
      </c>
      <c r="Y72">
        <f>HYPERLINK("https://klasma.github.io/Logging_2180/kartor_geotiff/A 27054-2026 georefererad karta.tif", "A 27054-2026")</f>
        <v/>
      </c>
      <c r="AA72">
        <f>HYPERLINK("https://klasma.github.io/Logging_2180/klagomål/A 27054-2026 FSC-klagomål.docx", "A 27054-2026")</f>
        <v/>
      </c>
      <c r="AB72">
        <f>HYPERLINK("https://klasma.github.io/Logging_2180/klagomålsmail/A 27054-2026 FSC-klagomål mail.docx", "A 27054-2026")</f>
        <v/>
      </c>
      <c r="AC72">
        <f>HYPERLINK("https://klasma.github.io/Logging_2180/tillsyn/A 27054-2026 tillsynsbegäran.docx", "A 27054-2026")</f>
        <v/>
      </c>
      <c r="AD72">
        <f>HYPERLINK("https://klasma.github.io/Logging_2180/tillsynsmail/A 27054-2026 tillsynsbegäran mail.docx", "A 27054-2026")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46282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46282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A 38046-2026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46282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4.3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Garnlav
Knärot</t>
        </is>
      </c>
      <c r="W76">
        <f>HYPERLINK("https://klasma.github.io/Logging_2180/artfynd/A 38046-2026 artfynd.xlsx", "A 38046-2026")</f>
        <v/>
      </c>
      <c r="X76">
        <f>HYPERLINK("https://klasma.github.io/Logging_2180/kartor/A 38046-2026 karta.png", "A 38046-2026")</f>
        <v/>
      </c>
      <c r="Y76">
        <f>HYPERLINK("https://klasma.github.io/Logging_2180/kartor_geotiff/A 38046-2026 georefererad karta.tif", "A 38046-2026")</f>
        <v/>
      </c>
      <c r="Z76">
        <f>HYPERLINK("https://klasma.github.io/Logging_2180/knärot/A 38046-2026 karta knärot.png", "A 38046-2026")</f>
        <v/>
      </c>
      <c r="AA76">
        <f>HYPERLINK("https://klasma.github.io/Logging_2180/klagomål/A 38046-2026 FSC-klagomål.docx", "A 38046-2026")</f>
        <v/>
      </c>
      <c r="AB76">
        <f>HYPERLINK("https://klasma.github.io/Logging_2180/klagomålsmail/A 38046-2026 FSC-klagomål mail.docx", "A 38046-2026")</f>
        <v/>
      </c>
      <c r="AC76">
        <f>HYPERLINK("https://klasma.github.io/Logging_2180/tillsyn/A 38046-2026 tillsynsbegäran.docx", "A 38046-2026")</f>
        <v/>
      </c>
      <c r="AD76">
        <f>HYPERLINK("https://klasma.github.io/Logging_2180/tillsynsmail/A 38046-2026 tillsynsbegäran mail.docx", "A 38046-2026")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46282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46282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46282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46282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46282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46282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46282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46282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46282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33812-2022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44790</v>
      </c>
      <c r="E86" s="1" t="n">
        <v>46282</v>
      </c>
      <c r="F86" t="inlineStr">
        <is>
          <t>GÄVLEBORGS LÄN</t>
        </is>
      </c>
      <c r="G86" t="inlineStr">
        <is>
          <t>GÄVLE</t>
        </is>
      </c>
      <c r="I86" t="n">
        <v>2.1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HYPERLINK("https://klasma.github.io/Logging_2180/artfynd/A 33812-2022 artfynd.xlsx", "A 33812-2022")</f>
        <v/>
      </c>
      <c r="X86">
        <f>HYPERLINK("https://klasma.github.io/Logging_2180/kartor/A 33812-2022 karta.png", "A 33812-2022")</f>
        <v/>
      </c>
      <c r="Y86">
        <f>HYPERLINK("https://klasma.github.io/Logging_2180/kartor_geotiff/A 33812-2022 georefererad karta.tif", "A 33812-2022")</f>
        <v/>
      </c>
      <c r="AA86">
        <f>HYPERLINK("https://klasma.github.io/Logging_2180/klagomål/A 33812-2022 FSC-klagomål.docx", "A 33812-2022")</f>
        <v/>
      </c>
      <c r="AB86">
        <f>HYPERLINK("https://klasma.github.io/Logging_2180/klagomålsmail/A 33812-2022 FSC-klagomål mail.docx", "A 33812-2022")</f>
        <v/>
      </c>
      <c r="AC86">
        <f>HYPERLINK("https://klasma.github.io/Logging_2180/tillsyn/A 33812-2022 tillsynsbegäran.docx", "A 33812-2022")</f>
        <v/>
      </c>
      <c r="AD86">
        <f>HYPERLINK("https://klasma.github.io/Logging_2180/tillsynsmail/A 33812-2022 tillsynsbegäran mail.docx", "A 33812-2022")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46282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47642-2024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46282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8.199999999999999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Orre</t>
        </is>
      </c>
      <c r="W88">
        <f>HYPERLINK("https://klasma.github.io/Logging_2180/artfynd/A 47642-2024 artfynd.xlsx", "A 47642-2024")</f>
        <v/>
      </c>
      <c r="X88">
        <f>HYPERLINK("https://klasma.github.io/Logging_2180/kartor/A 47642-2024 karta.png", "A 47642-2024")</f>
        <v/>
      </c>
      <c r="Y88">
        <f>HYPERLINK("https://klasma.github.io/Logging_2180/kartor_geotiff/A 47642-2024 georefererad karta.tif", "A 47642-2024")</f>
        <v/>
      </c>
      <c r="AA88">
        <f>HYPERLINK("https://klasma.github.io/Logging_2180/klagomål/A 47642-2024 FSC-klagomål.docx", "A 47642-2024")</f>
        <v/>
      </c>
      <c r="AB88">
        <f>HYPERLINK("https://klasma.github.io/Logging_2180/klagomålsmail/A 47642-2024 FSC-klagomål mail.docx", "A 47642-2024")</f>
        <v/>
      </c>
      <c r="AC88">
        <f>HYPERLINK("https://klasma.github.io/Logging_2180/tillsyn/A 47642-2024 tillsynsbegäran.docx", "A 47642-2024")</f>
        <v/>
      </c>
      <c r="AD88">
        <f>HYPERLINK("https://klasma.github.io/Logging_2180/tillsynsmail/A 47642-2024 tillsynsbegäran mail.docx", "A 47642-2024")</f>
        <v/>
      </c>
      <c r="AE88">
        <f>HYPERLINK("https://klasma.github.io/Logging_2180/fåglar/A 47642-2024 prioriterade fågelarter.docx", "A 47642-2024")</f>
        <v/>
      </c>
    </row>
    <row r="89" ht="15" customHeight="1">
      <c r="A89" t="inlineStr">
        <is>
          <t>A 12338-2025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46282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6.8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Skogsklocka</t>
        </is>
      </c>
      <c r="W89">
        <f>HYPERLINK("https://klasma.github.io/Logging_2180/artfynd/A 12338-2025 artfynd.xlsx", "A 12338-2025")</f>
        <v/>
      </c>
      <c r="X89">
        <f>HYPERLINK("https://klasma.github.io/Logging_2180/kartor/A 12338-2025 karta.png", "A 12338-2025")</f>
        <v/>
      </c>
      <c r="Y89">
        <f>HYPERLINK("https://klasma.github.io/Logging_2180/kartor_geotiff/A 12338-2025 georefererad karta.tif", "A 12338-2025")</f>
        <v/>
      </c>
      <c r="AA89">
        <f>HYPERLINK("https://klasma.github.io/Logging_2180/klagomål/A 12338-2025 FSC-klagomål.docx", "A 12338-2025")</f>
        <v/>
      </c>
      <c r="AB89">
        <f>HYPERLINK("https://klasma.github.io/Logging_2180/klagomålsmail/A 12338-2025 FSC-klagomål mail.docx", "A 12338-2025")</f>
        <v/>
      </c>
      <c r="AC89">
        <f>HYPERLINK("https://klasma.github.io/Logging_2180/tillsyn/A 12338-2025 tillsynsbegäran.docx", "A 12338-2025")</f>
        <v/>
      </c>
      <c r="AD89">
        <f>HYPERLINK("https://klasma.github.io/Logging_2180/tillsynsmail/A 12338-2025 tillsynsbegäran mail.docx", "A 12338-2025")</f>
        <v/>
      </c>
    </row>
    <row r="90" ht="15" customHeight="1">
      <c r="A90" t="inlineStr">
        <is>
          <t>A 38550-2025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46282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0.5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HYPERLINK("https://klasma.github.io/Logging_2180/artfynd/A 38550-2025 artfynd.xlsx", "A 38550-2025")</f>
        <v/>
      </c>
      <c r="X90">
        <f>HYPERLINK("https://klasma.github.io/Logging_2180/kartor/A 38550-2025 karta.png", "A 38550-2025")</f>
        <v/>
      </c>
      <c r="Y90">
        <f>HYPERLINK("https://klasma.github.io/Logging_2180/kartor_geotiff/A 38550-2025 georefererad karta.tif", "A 38550-2025")</f>
        <v/>
      </c>
      <c r="AA90">
        <f>HYPERLINK("https://klasma.github.io/Logging_2180/klagomål/A 38550-2025 FSC-klagomål.docx", "A 38550-2025")</f>
        <v/>
      </c>
      <c r="AB90">
        <f>HYPERLINK("https://klasma.github.io/Logging_2180/klagomålsmail/A 38550-2025 FSC-klagomål mail.docx", "A 38550-2025")</f>
        <v/>
      </c>
      <c r="AC90">
        <f>HYPERLINK("https://klasma.github.io/Logging_2180/tillsyn/A 38550-2025 tillsynsbegäran.docx", "A 38550-2025")</f>
        <v/>
      </c>
      <c r="AD90">
        <f>HYPERLINK("https://klasma.github.io/Logging_2180/tillsynsmail/A 38550-2025 tillsynsbegäran mail.docx", "A 38550-2025")</f>
        <v/>
      </c>
    </row>
    <row r="91" ht="15" customHeight="1">
      <c r="A91" t="inlineStr">
        <is>
          <t>A 30302-2025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46282</v>
      </c>
      <c r="F91" t="inlineStr">
        <is>
          <t>GÄVLEBORGS LÄN</t>
        </is>
      </c>
      <c r="G91" t="inlineStr">
        <is>
          <t>GÄVLE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Fläcknycklar</t>
        </is>
      </c>
      <c r="W91">
        <f>HYPERLINK("https://klasma.github.io/Logging_2180/artfynd/A 30302-2025 artfynd.xlsx", "A 30302-2025")</f>
        <v/>
      </c>
      <c r="X91">
        <f>HYPERLINK("https://klasma.github.io/Logging_2180/kartor/A 30302-2025 karta.png", "A 30302-2025")</f>
        <v/>
      </c>
      <c r="Y91">
        <f>HYPERLINK("https://klasma.github.io/Logging_2180/kartor_geotiff/A 30302-2025 georefererad karta.tif", "A 30302-2025")</f>
        <v/>
      </c>
      <c r="AA91">
        <f>HYPERLINK("https://klasma.github.io/Logging_2180/klagomål/A 30302-2025 FSC-klagomål.docx", "A 30302-2025")</f>
        <v/>
      </c>
      <c r="AB91">
        <f>HYPERLINK("https://klasma.github.io/Logging_2180/klagomålsmail/A 30302-2025 FSC-klagomål mail.docx", "A 30302-2025")</f>
        <v/>
      </c>
      <c r="AC91">
        <f>HYPERLINK("https://klasma.github.io/Logging_2180/tillsyn/A 30302-2025 tillsynsbegäran.docx", "A 30302-2025")</f>
        <v/>
      </c>
      <c r="AD91">
        <f>HYPERLINK("https://klasma.github.io/Logging_2180/tillsynsmail/A 30302-2025 tillsynsbegäran mail.docx", "A 30302-2025")</f>
        <v/>
      </c>
    </row>
    <row r="92" ht="15" customHeight="1">
      <c r="A92" t="inlineStr">
        <is>
          <t>A 28875-2025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46282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Revlummer</t>
        </is>
      </c>
      <c r="W92">
        <f>HYPERLINK("https://klasma.github.io/Logging_2180/artfynd/A 28875-2025 artfynd.xlsx", "A 28875-2025")</f>
        <v/>
      </c>
      <c r="X92">
        <f>HYPERLINK("https://klasma.github.io/Logging_2180/kartor/A 28875-2025 karta.png", "A 28875-2025")</f>
        <v/>
      </c>
      <c r="Y92">
        <f>HYPERLINK("https://klasma.github.io/Logging_2180/kartor_geotiff/A 28875-2025 georefererad karta.tif", "A 28875-2025")</f>
        <v/>
      </c>
      <c r="AA92">
        <f>HYPERLINK("https://klasma.github.io/Logging_2180/klagomål/A 28875-2025 FSC-klagomål.docx", "A 28875-2025")</f>
        <v/>
      </c>
      <c r="AB92">
        <f>HYPERLINK("https://klasma.github.io/Logging_2180/klagomålsmail/A 28875-2025 FSC-klagomål mail.docx", "A 28875-2025")</f>
        <v/>
      </c>
      <c r="AC92">
        <f>HYPERLINK("https://klasma.github.io/Logging_2180/tillsyn/A 28875-2025 tillsynsbegäran.docx", "A 28875-2025")</f>
        <v/>
      </c>
      <c r="AD92">
        <f>HYPERLINK("https://klasma.github.io/Logging_2180/tillsynsmail/A 28875-2025 tillsynsbegäran mail.docx", "A 28875-2025")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46282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49393-2025 artfynd.xlsx", "A 49393-2025")</f>
        <v/>
      </c>
      <c r="X93">
        <f>HYPERLINK("https://klasma.github.io/Logging_2180/kartor/A 49393-2025 karta.png", "A 49393-2025")</f>
        <v/>
      </c>
      <c r="Y93">
        <f>HYPERLINK("https://klasma.github.io/Logging_2180/kartor_geotiff/A 49393-2025 georefererad karta.tif", "A 49393-2025")</f>
        <v/>
      </c>
      <c r="AA93">
        <f>HYPERLINK("https://klasma.github.io/Logging_2180/klagomål/A 49393-2025 FSC-klagomål.docx", "A 49393-2025")</f>
        <v/>
      </c>
      <c r="AB93">
        <f>HYPERLINK("https://klasma.github.io/Logging_2180/klagomålsmail/A 49393-2025 FSC-klagomål mail.docx", "A 49393-2025")</f>
        <v/>
      </c>
      <c r="AC93">
        <f>HYPERLINK("https://klasma.github.io/Logging_2180/tillsyn/A 49393-2025 tillsynsbegäran.docx", "A 49393-2025")</f>
        <v/>
      </c>
      <c r="AD93">
        <f>HYPERLINK("https://klasma.github.io/Logging_2180/tillsynsmail/A 49393-2025 tillsynsbegäran mail.docx", "A 49393-2025")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46282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45241-2022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46282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22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HYPERLINK("https://klasma.github.io/Logging_2180/artfynd/A 45241-2022 artfynd.xlsx", "A 45241-2022")</f>
        <v/>
      </c>
      <c r="X95">
        <f>HYPERLINK("https://klasma.github.io/Logging_2180/kartor/A 45241-2022 karta.png", "A 45241-2022")</f>
        <v/>
      </c>
      <c r="Y95">
        <f>HYPERLINK("https://klasma.github.io/Logging_2180/kartor_geotiff/A 45241-2022 georefererad karta.tif", "A 45241-2022")</f>
        <v/>
      </c>
      <c r="AA95">
        <f>HYPERLINK("https://klasma.github.io/Logging_2180/klagomål/A 45241-2022 FSC-klagomål.docx", "A 45241-2022")</f>
        <v/>
      </c>
      <c r="AB95">
        <f>HYPERLINK("https://klasma.github.io/Logging_2180/klagomålsmail/A 45241-2022 FSC-klagomål mail.docx", "A 45241-2022")</f>
        <v/>
      </c>
      <c r="AC95">
        <f>HYPERLINK("https://klasma.github.io/Logging_2180/tillsyn/A 45241-2022 tillsynsbegäran.docx", "A 45241-2022")</f>
        <v/>
      </c>
      <c r="AD95">
        <f>HYPERLINK("https://klasma.github.io/Logging_2180/tillsynsmail/A 45241-2022 tillsynsbegäran mail.docx", "A 45241-2022")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46282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46282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46282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50052-2025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46282</v>
      </c>
      <c r="F99" t="inlineStr">
        <is>
          <t>GÄVLEBORGS LÄN</t>
        </is>
      </c>
      <c r="G99" t="inlineStr">
        <is>
          <t>GÄVLE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Mosippa</t>
        </is>
      </c>
      <c r="W99">
        <f>HYPERLINK("https://klasma.github.io/Logging_2180/artfynd/A 50052-2025 artfynd.xlsx", "A 50052-2025")</f>
        <v/>
      </c>
      <c r="X99">
        <f>HYPERLINK("https://klasma.github.io/Logging_2180/kartor/A 50052-2025 karta.png", "A 50052-2025")</f>
        <v/>
      </c>
      <c r="Y99">
        <f>HYPERLINK("https://klasma.github.io/Logging_2180/kartor_geotiff/A 50052-2025 georefererad karta.tif", "A 50052-2025")</f>
        <v/>
      </c>
      <c r="AA99">
        <f>HYPERLINK("https://klasma.github.io/Logging_2180/klagomål/A 50052-2025 FSC-klagomål.docx", "A 50052-2025")</f>
        <v/>
      </c>
      <c r="AB99">
        <f>HYPERLINK("https://klasma.github.io/Logging_2180/klagomålsmail/A 50052-2025 FSC-klagomål mail.docx", "A 50052-2025")</f>
        <v/>
      </c>
      <c r="AC99">
        <f>HYPERLINK("https://klasma.github.io/Logging_2180/tillsyn/A 50052-2025 tillsynsbegäran.docx", "A 50052-2025")</f>
        <v/>
      </c>
      <c r="AD99">
        <f>HYPERLINK("https://klasma.github.io/Logging_2180/tillsynsmail/A 50052-2025 tillsynsbegäran mail.docx", "A 50052-2025")</f>
        <v/>
      </c>
    </row>
    <row r="100" ht="15" customHeight="1">
      <c r="A100" t="inlineStr">
        <is>
          <t>A 13684-2026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46097</v>
      </c>
      <c r="E100" s="1" t="n">
        <v>46282</v>
      </c>
      <c r="F100" t="inlineStr">
        <is>
          <t>GÄVLEBORGS LÄN</t>
        </is>
      </c>
      <c r="G100" t="inlineStr">
        <is>
          <t>GÄVLE</t>
        </is>
      </c>
      <c r="I100" t="n">
        <v>21.3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HYPERLINK("https://klasma.github.io/Logging_2180/artfynd/A 13684-2026 artfynd.xlsx", "A 13684-2026")</f>
        <v/>
      </c>
      <c r="X100">
        <f>HYPERLINK("https://klasma.github.io/Logging_2180/kartor/A 13684-2026 karta.png", "A 13684-2026")</f>
        <v/>
      </c>
      <c r="Y100">
        <f>HYPERLINK("https://klasma.github.io/Logging_2180/kartor_geotiff/A 13684-2026 georefererad karta.tif", "A 13684-2026")</f>
        <v/>
      </c>
      <c r="AA100">
        <f>HYPERLINK("https://klasma.github.io/Logging_2180/klagomål/A 13684-2026 FSC-klagomål.docx", "A 13684-2026")</f>
        <v/>
      </c>
      <c r="AB100">
        <f>HYPERLINK("https://klasma.github.io/Logging_2180/klagomålsmail/A 13684-2026 FSC-klagomål mail.docx", "A 13684-2026")</f>
        <v/>
      </c>
      <c r="AC100">
        <f>HYPERLINK("https://klasma.github.io/Logging_2180/tillsyn/A 13684-2026 tillsynsbegäran.docx", "A 13684-2026")</f>
        <v/>
      </c>
      <c r="AD100">
        <f>HYPERLINK("https://klasma.github.io/Logging_2180/tillsynsmail/A 13684-2026 tillsynsbegäran mail.docx", "A 13684-2026")</f>
        <v/>
      </c>
    </row>
    <row r="101" ht="15" customHeight="1">
      <c r="A101" t="inlineStr">
        <is>
          <t>A 17251-2026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46282</v>
      </c>
      <c r="F101" t="inlineStr">
        <is>
          <t>GÄVLEBORGS LÄN</t>
        </is>
      </c>
      <c r="G101" t="inlineStr">
        <is>
          <t>GÄVLE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17251-2026 artfynd.xlsx", "A 17251-2026")</f>
        <v/>
      </c>
      <c r="X101">
        <f>HYPERLINK("https://klasma.github.io/Logging_2180/kartor/A 17251-2026 karta.png", "A 17251-2026")</f>
        <v/>
      </c>
      <c r="Y101">
        <f>HYPERLINK("https://klasma.github.io/Logging_2180/kartor_geotiff/A 17251-2026 georefererad karta.tif", "A 17251-2026")</f>
        <v/>
      </c>
      <c r="AA101">
        <f>HYPERLINK("https://klasma.github.io/Logging_2180/klagomål/A 17251-2026 FSC-klagomål.docx", "A 17251-2026")</f>
        <v/>
      </c>
      <c r="AB101">
        <f>HYPERLINK("https://klasma.github.io/Logging_2180/klagomålsmail/A 17251-2026 FSC-klagomål mail.docx", "A 17251-2026")</f>
        <v/>
      </c>
      <c r="AC101">
        <f>HYPERLINK("https://klasma.github.io/Logging_2180/tillsyn/A 17251-2026 tillsynsbegäran.docx", "A 17251-2026")</f>
        <v/>
      </c>
      <c r="AD101">
        <f>HYPERLINK("https://klasma.github.io/Logging_2180/tillsynsmail/A 17251-2026 tillsynsbegäran mail.docx", "A 17251-2026")</f>
        <v/>
      </c>
    </row>
    <row r="102" ht="15" customHeight="1">
      <c r="A102" t="inlineStr">
        <is>
          <t>A 19635-2026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46282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Skinnlav</t>
        </is>
      </c>
      <c r="W102">
        <f>HYPERLINK("https://klasma.github.io/Logging_2180/artfynd/A 19635-2026 artfynd.xlsx", "A 19635-2026")</f>
        <v/>
      </c>
      <c r="X102">
        <f>HYPERLINK("https://klasma.github.io/Logging_2180/kartor/A 19635-2026 karta.png", "A 19635-2026")</f>
        <v/>
      </c>
      <c r="Y102">
        <f>HYPERLINK("https://klasma.github.io/Logging_2180/kartor_geotiff/A 19635-2026 georefererad karta.tif", "A 19635-2026")</f>
        <v/>
      </c>
      <c r="AA102">
        <f>HYPERLINK("https://klasma.github.io/Logging_2180/klagomål/A 19635-2026 FSC-klagomål.docx", "A 19635-2026")</f>
        <v/>
      </c>
      <c r="AB102">
        <f>HYPERLINK("https://klasma.github.io/Logging_2180/klagomålsmail/A 19635-2026 FSC-klagomål mail.docx", "A 19635-2026")</f>
        <v/>
      </c>
      <c r="AC102">
        <f>HYPERLINK("https://klasma.github.io/Logging_2180/tillsyn/A 19635-2026 tillsynsbegäran.docx", "A 19635-2026")</f>
        <v/>
      </c>
      <c r="AD102">
        <f>HYPERLINK("https://klasma.github.io/Logging_2180/tillsynsmail/A 19635-2026 tillsynsbegäran mail.docx", "A 19635-2026")</f>
        <v/>
      </c>
    </row>
    <row r="103" ht="15" customHeight="1">
      <c r="A103" t="inlineStr">
        <is>
          <t>A 51508-2024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45604</v>
      </c>
      <c r="E103" s="1" t="n">
        <v>46282</v>
      </c>
      <c r="F103" t="inlineStr">
        <is>
          <t>GÄVLEBORGS LÄN</t>
        </is>
      </c>
      <c r="G103" t="inlineStr">
        <is>
          <t>GÄVLE</t>
        </is>
      </c>
      <c r="I103" t="n">
        <v>0.9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Tibast</t>
        </is>
      </c>
      <c r="W103">
        <f>HYPERLINK("https://klasma.github.io/Logging_2180/artfynd/A 51508-2024 artfynd.xlsx", "A 51508-2024")</f>
        <v/>
      </c>
      <c r="X103">
        <f>HYPERLINK("https://klasma.github.io/Logging_2180/kartor/A 51508-2024 karta.png", "A 51508-2024")</f>
        <v/>
      </c>
      <c r="Y103">
        <f>HYPERLINK("https://klasma.github.io/Logging_2180/kartor_geotiff/A 51508-2024 georefererad karta.tif", "A 51508-2024")</f>
        <v/>
      </c>
      <c r="AA103">
        <f>HYPERLINK("https://klasma.github.io/Logging_2180/klagomål/A 51508-2024 FSC-klagomål.docx", "A 51508-2024")</f>
        <v/>
      </c>
      <c r="AB103">
        <f>HYPERLINK("https://klasma.github.io/Logging_2180/klagomålsmail/A 51508-2024 FSC-klagomål mail.docx", "A 51508-2024")</f>
        <v/>
      </c>
      <c r="AC103">
        <f>HYPERLINK("https://klasma.github.io/Logging_2180/tillsyn/A 51508-2024 tillsynsbegäran.docx", "A 51508-2024")</f>
        <v/>
      </c>
      <c r="AD103">
        <f>HYPERLINK("https://klasma.github.io/Logging_2180/tillsynsmail/A 51508-2024 tillsynsbegäran mail.docx", "A 51508-2024")</f>
        <v/>
      </c>
    </row>
    <row r="104" ht="15" customHeight="1">
      <c r="A104" t="inlineStr">
        <is>
          <t>A 13396-2026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46282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HYPERLINK("https://klasma.github.io/Logging_2180/artfynd/A 13396-2026 artfynd.xlsx", "A 13396-2026")</f>
        <v/>
      </c>
      <c r="X104">
        <f>HYPERLINK("https://klasma.github.io/Logging_2180/kartor/A 13396-2026 karta.png", "A 13396-2026")</f>
        <v/>
      </c>
      <c r="Y104">
        <f>HYPERLINK("https://klasma.github.io/Logging_2180/kartor_geotiff/A 13396-2026 georefererad karta.tif", "A 13396-2026")</f>
        <v/>
      </c>
      <c r="AA104">
        <f>HYPERLINK("https://klasma.github.io/Logging_2180/klagomål/A 13396-2026 FSC-klagomål.docx", "A 13396-2026")</f>
        <v/>
      </c>
      <c r="AB104">
        <f>HYPERLINK("https://klasma.github.io/Logging_2180/klagomålsmail/A 13396-2026 FSC-klagomål mail.docx", "A 13396-2026")</f>
        <v/>
      </c>
      <c r="AC104">
        <f>HYPERLINK("https://klasma.github.io/Logging_2180/tillsyn/A 13396-2026 tillsynsbegäran.docx", "A 13396-2026")</f>
        <v/>
      </c>
      <c r="AD104">
        <f>HYPERLINK("https://klasma.github.io/Logging_2180/tillsynsmail/A 13396-2026 tillsynsbegäran mail.docx", "A 13396-2026")</f>
        <v/>
      </c>
    </row>
    <row r="105" ht="15" customHeight="1">
      <c r="A105" t="inlineStr">
        <is>
          <t>A 14730-2026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46282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8.199999999999999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14730-2026 artfynd.xlsx", "A 14730-2026")</f>
        <v/>
      </c>
      <c r="X105">
        <f>HYPERLINK("https://klasma.github.io/Logging_2180/kartor/A 14730-2026 karta.png", "A 14730-2026")</f>
        <v/>
      </c>
      <c r="Y105">
        <f>HYPERLINK("https://klasma.github.io/Logging_2180/kartor_geotiff/A 14730-2026 georefererad karta.tif", "A 14730-2026")</f>
        <v/>
      </c>
      <c r="AA105">
        <f>HYPERLINK("https://klasma.github.io/Logging_2180/klagomål/A 14730-2026 FSC-klagomål.docx", "A 14730-2026")</f>
        <v/>
      </c>
      <c r="AB105">
        <f>HYPERLINK("https://klasma.github.io/Logging_2180/klagomålsmail/A 14730-2026 FSC-klagomål mail.docx", "A 14730-2026")</f>
        <v/>
      </c>
      <c r="AC105">
        <f>HYPERLINK("https://klasma.github.io/Logging_2180/tillsyn/A 14730-2026 tillsynsbegäran.docx", "A 14730-2026")</f>
        <v/>
      </c>
      <c r="AD105">
        <f>HYPERLINK("https://klasma.github.io/Logging_2180/tillsynsmail/A 14730-2026 tillsynsbegäran mail.docx", "A 14730-2026")</f>
        <v/>
      </c>
      <c r="AE105">
        <f>HYPERLINK("https://klasma.github.io/Logging_2180/fåglar/A 14730-2026 prioriterade fågelarter.docx", "A 14730-2026")</f>
        <v/>
      </c>
    </row>
    <row r="106" ht="15" customHeight="1">
      <c r="A106" t="inlineStr">
        <is>
          <t>A 12437-2024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45379</v>
      </c>
      <c r="E106" s="1" t="n">
        <v>46282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HYPERLINK("https://klasma.github.io/Logging_2180/artfynd/A 12437-2024 artfynd.xlsx", "A 12437-2024")</f>
        <v/>
      </c>
      <c r="X106">
        <f>HYPERLINK("https://klasma.github.io/Logging_2180/kartor/A 12437-2024 karta.png", "A 12437-2024")</f>
        <v/>
      </c>
      <c r="Y106">
        <f>HYPERLINK("https://klasma.github.io/Logging_2180/kartor_geotiff/A 12437-2024 georefererad karta.tif", "A 12437-2024")</f>
        <v/>
      </c>
      <c r="AA106">
        <f>HYPERLINK("https://klasma.github.io/Logging_2180/klagomål/A 12437-2024 FSC-klagomål.docx", "A 12437-2024")</f>
        <v/>
      </c>
      <c r="AB106">
        <f>HYPERLINK("https://klasma.github.io/Logging_2180/klagomålsmail/A 12437-2024 FSC-klagomål mail.docx", "A 12437-2024")</f>
        <v/>
      </c>
      <c r="AC106">
        <f>HYPERLINK("https://klasma.github.io/Logging_2180/tillsyn/A 12437-2024 tillsynsbegäran.docx", "A 12437-2024")</f>
        <v/>
      </c>
      <c r="AD106">
        <f>HYPERLINK("https://klasma.github.io/Logging_2180/tillsynsmail/A 12437-2024 tillsynsbegäran mail.docx", "A 12437-2024")</f>
        <v/>
      </c>
    </row>
    <row r="107" ht="15" customHeight="1">
      <c r="A107" t="inlineStr">
        <is>
          <t>A 14714-2026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46282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Tjäder</t>
        </is>
      </c>
      <c r="W107">
        <f>HYPERLINK("https://klasma.github.io/Logging_2180/artfynd/A 14714-2026 artfynd.xlsx", "A 14714-2026")</f>
        <v/>
      </c>
      <c r="X107">
        <f>HYPERLINK("https://klasma.github.io/Logging_2180/kartor/A 14714-2026 karta.png", "A 14714-2026")</f>
        <v/>
      </c>
      <c r="Y107">
        <f>HYPERLINK("https://klasma.github.io/Logging_2180/kartor_geotiff/A 14714-2026 georefererad karta.tif", "A 14714-2026")</f>
        <v/>
      </c>
      <c r="AA107">
        <f>HYPERLINK("https://klasma.github.io/Logging_2180/klagomål/A 14714-2026 FSC-klagomål.docx", "A 14714-2026")</f>
        <v/>
      </c>
      <c r="AB107">
        <f>HYPERLINK("https://klasma.github.io/Logging_2180/klagomålsmail/A 14714-2026 FSC-klagomål mail.docx", "A 14714-2026")</f>
        <v/>
      </c>
      <c r="AC107">
        <f>HYPERLINK("https://klasma.github.io/Logging_2180/tillsyn/A 14714-2026 tillsynsbegäran.docx", "A 14714-2026")</f>
        <v/>
      </c>
      <c r="AD107">
        <f>HYPERLINK("https://klasma.github.io/Logging_2180/tillsynsmail/A 14714-2026 tillsynsbegäran mail.docx", "A 14714-2026")</f>
        <v/>
      </c>
      <c r="AE107">
        <f>HYPERLINK("https://klasma.github.io/Logging_2180/fåglar/A 14714-2026 prioriterade fågelarter.docx", "A 14714-2026")</f>
        <v/>
      </c>
    </row>
    <row r="108" ht="15" customHeight="1">
      <c r="A108" t="inlineStr">
        <is>
          <t>A 10333-2025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46282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Tjäder</t>
        </is>
      </c>
      <c r="W108">
        <f>HYPERLINK("https://klasma.github.io/Logging_2180/artfynd/A 10333-2025 artfynd.xlsx", "A 10333-2025")</f>
        <v/>
      </c>
      <c r="X108">
        <f>HYPERLINK("https://klasma.github.io/Logging_2180/kartor/A 10333-2025 karta.png", "A 10333-2025")</f>
        <v/>
      </c>
      <c r="Y108">
        <f>HYPERLINK("https://klasma.github.io/Logging_2180/kartor_geotiff/A 10333-2025 georefererad karta.tif", "A 10333-2025")</f>
        <v/>
      </c>
      <c r="AA108">
        <f>HYPERLINK("https://klasma.github.io/Logging_2180/klagomål/A 10333-2025 FSC-klagomål.docx", "A 10333-2025")</f>
        <v/>
      </c>
      <c r="AB108">
        <f>HYPERLINK("https://klasma.github.io/Logging_2180/klagomålsmail/A 10333-2025 FSC-klagomål mail.docx", "A 10333-2025")</f>
        <v/>
      </c>
      <c r="AC108">
        <f>HYPERLINK("https://klasma.github.io/Logging_2180/tillsyn/A 10333-2025 tillsynsbegäran.docx", "A 10333-2025")</f>
        <v/>
      </c>
      <c r="AD108">
        <f>HYPERLINK("https://klasma.github.io/Logging_2180/tillsynsmail/A 10333-2025 tillsynsbegäran mail.docx", "A 10333-2025")</f>
        <v/>
      </c>
      <c r="AE108">
        <f>HYPERLINK("https://klasma.github.io/Logging_2180/fåglar/A 10333-2025 prioriterade fågelarter.docx", "A 10333-2025")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46282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10064-2025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46282</v>
      </c>
      <c r="F110" t="inlineStr">
        <is>
          <t>GÄVLEBORGS LÄN</t>
        </is>
      </c>
      <c r="G110" t="inlineStr">
        <is>
          <t>GÄVLE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HYPERLINK("https://klasma.github.io/Logging_2180/artfynd/A 10064-2025 artfynd.xlsx", "A 10064-2025")</f>
        <v/>
      </c>
      <c r="X110">
        <f>HYPERLINK("https://klasma.github.io/Logging_2180/kartor/A 10064-2025 karta.png", "A 10064-2025")</f>
        <v/>
      </c>
      <c r="Y110">
        <f>HYPERLINK("https://klasma.github.io/Logging_2180/kartor_geotiff/A 10064-2025 georefererad karta.tif", "A 10064-2025")</f>
        <v/>
      </c>
      <c r="AA110">
        <f>HYPERLINK("https://klasma.github.io/Logging_2180/klagomål/A 10064-2025 FSC-klagomål.docx", "A 10064-2025")</f>
        <v/>
      </c>
      <c r="AB110">
        <f>HYPERLINK("https://klasma.github.io/Logging_2180/klagomålsmail/A 10064-2025 FSC-klagomål mail.docx", "A 10064-2025")</f>
        <v/>
      </c>
      <c r="AC110">
        <f>HYPERLINK("https://klasma.github.io/Logging_2180/tillsyn/A 10064-2025 tillsynsbegäran.docx", "A 10064-2025")</f>
        <v/>
      </c>
      <c r="AD110">
        <f>HYPERLINK("https://klasma.github.io/Logging_2180/tillsynsmail/A 10064-2025 tillsynsbegäran mail.docx", "A 10064-2025")</f>
        <v/>
      </c>
    </row>
    <row r="111" ht="15" customHeight="1">
      <c r="A111" t="inlineStr">
        <is>
          <t>A 20734-2026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46282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20734-2026 artfynd.xlsx", "A 20734-2026")</f>
        <v/>
      </c>
      <c r="X111">
        <f>HYPERLINK("https://klasma.github.io/Logging_2180/kartor/A 20734-2026 karta.png", "A 20734-2026")</f>
        <v/>
      </c>
      <c r="Y111">
        <f>HYPERLINK("https://klasma.github.io/Logging_2180/kartor_geotiff/A 20734-2026 georefererad karta.tif", "A 20734-2026")</f>
        <v/>
      </c>
      <c r="AA111">
        <f>HYPERLINK("https://klasma.github.io/Logging_2180/klagomål/A 20734-2026 FSC-klagomål.docx", "A 20734-2026")</f>
        <v/>
      </c>
      <c r="AB111">
        <f>HYPERLINK("https://klasma.github.io/Logging_2180/klagomålsmail/A 20734-2026 FSC-klagomål mail.docx", "A 20734-2026")</f>
        <v/>
      </c>
      <c r="AC111">
        <f>HYPERLINK("https://klasma.github.io/Logging_2180/tillsyn/A 20734-2026 tillsynsbegäran.docx", "A 20734-2026")</f>
        <v/>
      </c>
      <c r="AD111">
        <f>HYPERLINK("https://klasma.github.io/Logging_2180/tillsynsmail/A 20734-2026 tillsynsbegäran mail.docx", "A 20734-2026")</f>
        <v/>
      </c>
    </row>
    <row r="112" ht="15" customHeight="1">
      <c r="A112" t="inlineStr">
        <is>
          <t>A 14703-2026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46282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14703-2026 artfynd.xlsx", "A 14703-2026")</f>
        <v/>
      </c>
      <c r="X112">
        <f>HYPERLINK("https://klasma.github.io/Logging_2180/kartor/A 14703-2026 karta.png", "A 14703-2026")</f>
        <v/>
      </c>
      <c r="Y112">
        <f>HYPERLINK("https://klasma.github.io/Logging_2180/kartor_geotiff/A 14703-2026 georefererad karta.tif", "A 14703-2026")</f>
        <v/>
      </c>
      <c r="AA112">
        <f>HYPERLINK("https://klasma.github.io/Logging_2180/klagomål/A 14703-2026 FSC-klagomål.docx", "A 14703-2026")</f>
        <v/>
      </c>
      <c r="AB112">
        <f>HYPERLINK("https://klasma.github.io/Logging_2180/klagomålsmail/A 14703-2026 FSC-klagomål mail.docx", "A 14703-2026")</f>
        <v/>
      </c>
      <c r="AC112">
        <f>HYPERLINK("https://klasma.github.io/Logging_2180/tillsyn/A 14703-2026 tillsynsbegäran.docx", "A 14703-2026")</f>
        <v/>
      </c>
      <c r="AD112">
        <f>HYPERLINK("https://klasma.github.io/Logging_2180/tillsynsmail/A 14703-2026 tillsynsbegäran mail.docx", "A 14703-2026")</f>
        <v/>
      </c>
      <c r="AE112">
        <f>HYPERLINK("https://klasma.github.io/Logging_2180/fåglar/A 14703-2026 prioriterade fågelarter.docx", "A 14703-2026")</f>
        <v/>
      </c>
    </row>
    <row r="113" ht="15" customHeight="1">
      <c r="A113" t="inlineStr">
        <is>
          <t>A 13269-2026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46282</v>
      </c>
      <c r="F113" t="inlineStr">
        <is>
          <t>GÄVLEBORGS LÄN</t>
        </is>
      </c>
      <c r="G113" t="inlineStr">
        <is>
          <t>GÄVLE</t>
        </is>
      </c>
      <c r="I113" t="n">
        <v>0.9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HYPERLINK("https://klasma.github.io/Logging_2180/artfynd/A 13269-2026 artfynd.xlsx", "A 13269-2026")</f>
        <v/>
      </c>
      <c r="X113">
        <f>HYPERLINK("https://klasma.github.io/Logging_2180/kartor/A 13269-2026 karta.png", "A 13269-2026")</f>
        <v/>
      </c>
      <c r="Y113">
        <f>HYPERLINK("https://klasma.github.io/Logging_2180/kartor_geotiff/A 13269-2026 georefererad karta.tif", "A 13269-2026")</f>
        <v/>
      </c>
      <c r="AA113">
        <f>HYPERLINK("https://klasma.github.io/Logging_2180/klagomål/A 13269-2026 FSC-klagomål.docx", "A 13269-2026")</f>
        <v/>
      </c>
      <c r="AB113">
        <f>HYPERLINK("https://klasma.github.io/Logging_2180/klagomålsmail/A 13269-2026 FSC-klagomål mail.docx", "A 13269-2026")</f>
        <v/>
      </c>
      <c r="AC113">
        <f>HYPERLINK("https://klasma.github.io/Logging_2180/tillsyn/A 13269-2026 tillsynsbegäran.docx", "A 13269-2026")</f>
        <v/>
      </c>
      <c r="AD113">
        <f>HYPERLINK("https://klasma.github.io/Logging_2180/tillsynsmail/A 13269-2026 tillsynsbegäran mail.docx", "A 13269-2026")</f>
        <v/>
      </c>
      <c r="AE113">
        <f>HYPERLINK("https://klasma.github.io/Logging_2180/fåglar/A 13269-2026 prioriterade fågelarter.docx", "A 13269-2026")</f>
        <v/>
      </c>
    </row>
    <row r="114" ht="15" customHeight="1">
      <c r="A114" t="inlineStr">
        <is>
          <t>A 22052-2026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46282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22052-2026 artfynd.xlsx", "A 22052-2026")</f>
        <v/>
      </c>
      <c r="X114">
        <f>HYPERLINK("https://klasma.github.io/Logging_2180/kartor/A 22052-2026 karta.png", "A 22052-2026")</f>
        <v/>
      </c>
      <c r="Y114">
        <f>HYPERLINK("https://klasma.github.io/Logging_2180/kartor_geotiff/A 22052-2026 georefererad karta.tif", "A 22052-2026")</f>
        <v/>
      </c>
      <c r="AA114">
        <f>HYPERLINK("https://klasma.github.io/Logging_2180/klagomål/A 22052-2026 FSC-klagomål.docx", "A 22052-2026")</f>
        <v/>
      </c>
      <c r="AB114">
        <f>HYPERLINK("https://klasma.github.io/Logging_2180/klagomålsmail/A 22052-2026 FSC-klagomål mail.docx", "A 22052-2026")</f>
        <v/>
      </c>
      <c r="AC114">
        <f>HYPERLINK("https://klasma.github.io/Logging_2180/tillsyn/A 22052-2026 tillsynsbegäran.docx", "A 22052-2026")</f>
        <v/>
      </c>
      <c r="AD114">
        <f>HYPERLINK("https://klasma.github.io/Logging_2180/tillsynsmail/A 22052-2026 tillsynsbegäran mail.docx", "A 22052-2026")</f>
        <v/>
      </c>
    </row>
    <row r="115" ht="15" customHeight="1">
      <c r="A115" t="inlineStr">
        <is>
          <t>A 12381-2023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44999</v>
      </c>
      <c r="E115" s="1" t="n">
        <v>46282</v>
      </c>
      <c r="F115" t="inlineStr">
        <is>
          <t>GÄVLEBORGS LÄN</t>
        </is>
      </c>
      <c r="G115" t="inlineStr">
        <is>
          <t>GÄVLE</t>
        </is>
      </c>
      <c r="I115" t="n">
        <v>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Brunlångöra</t>
        </is>
      </c>
      <c r="W115">
        <f>HYPERLINK("https://klasma.github.io/Logging_2180/artfynd/A 12381-2023 artfynd.xlsx", "A 12381-2023")</f>
        <v/>
      </c>
      <c r="X115">
        <f>HYPERLINK("https://klasma.github.io/Logging_2180/kartor/A 12381-2023 karta.png", "A 12381-2023")</f>
        <v/>
      </c>
      <c r="Y115">
        <f>HYPERLINK("https://klasma.github.io/Logging_2180/kartor_geotiff/A 12381-2023 georefererad karta.tif", "A 12381-2023")</f>
        <v/>
      </c>
      <c r="AA115">
        <f>HYPERLINK("https://klasma.github.io/Logging_2180/klagomål/A 12381-2023 FSC-klagomål.docx", "A 12381-2023")</f>
        <v/>
      </c>
      <c r="AB115">
        <f>HYPERLINK("https://klasma.github.io/Logging_2180/klagomålsmail/A 12381-2023 FSC-klagomål mail.docx", "A 12381-2023")</f>
        <v/>
      </c>
      <c r="AC115">
        <f>HYPERLINK("https://klasma.github.io/Logging_2180/tillsyn/A 12381-2023 tillsynsbegäran.docx", "A 12381-2023")</f>
        <v/>
      </c>
      <c r="AD115">
        <f>HYPERLINK("https://klasma.github.io/Logging_2180/tillsynsmail/A 12381-2023 tillsynsbegäran mail.docx", "A 12381-2023")</f>
        <v/>
      </c>
    </row>
    <row r="116" ht="15" customHeight="1">
      <c r="A116" t="inlineStr">
        <is>
          <t>A 21282-2024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46282</v>
      </c>
      <c r="F116" t="inlineStr">
        <is>
          <t>GÄVLEBORGS LÄN</t>
        </is>
      </c>
      <c r="G116" t="inlineStr">
        <is>
          <t>GÄVLE</t>
        </is>
      </c>
      <c r="I116" t="n">
        <v>7.4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1</v>
      </c>
      <c r="V116" s="2" t="inlineStr">
        <is>
          <t>Skogsklocka</t>
        </is>
      </c>
      <c r="W116">
        <f>HYPERLINK("https://klasma.github.io/Logging_2180/artfynd/A 21282-2024 artfynd.xlsx", "A 21282-2024")</f>
        <v/>
      </c>
      <c r="X116">
        <f>HYPERLINK("https://klasma.github.io/Logging_2180/kartor/A 21282-2024 karta.png", "A 21282-2024")</f>
        <v/>
      </c>
      <c r="Y116">
        <f>HYPERLINK("https://klasma.github.io/Logging_2180/kartor_geotiff/A 21282-2024 georefererad karta.tif", "A 21282-2024")</f>
        <v/>
      </c>
      <c r="AA116">
        <f>HYPERLINK("https://klasma.github.io/Logging_2180/klagomål/A 21282-2024 FSC-klagomål.docx", "A 21282-2024")</f>
        <v/>
      </c>
      <c r="AB116">
        <f>HYPERLINK("https://klasma.github.io/Logging_2180/klagomålsmail/A 21282-2024 FSC-klagomål mail.docx", "A 21282-2024")</f>
        <v/>
      </c>
      <c r="AC116">
        <f>HYPERLINK("https://klasma.github.io/Logging_2180/tillsyn/A 21282-2024 tillsynsbegäran.docx", "A 21282-2024")</f>
        <v/>
      </c>
      <c r="AD116">
        <f>HYPERLINK("https://klasma.github.io/Logging_2180/tillsynsmail/A 21282-2024 tillsynsbegäran mail.docx", "A 21282-2024")</f>
        <v/>
      </c>
    </row>
    <row r="117" ht="15" customHeight="1">
      <c r="A117" t="inlineStr">
        <is>
          <t>A 57932-2024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46282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48.7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Tjäder</t>
        </is>
      </c>
      <c r="W117">
        <f>HYPERLINK("https://klasma.github.io/Logging_2180/artfynd/A 57932-2024 artfynd.xlsx", "A 57932-2024")</f>
        <v/>
      </c>
      <c r="X117">
        <f>HYPERLINK("https://klasma.github.io/Logging_2180/kartor/A 57932-2024 karta.png", "A 57932-2024")</f>
        <v/>
      </c>
      <c r="Y117">
        <f>HYPERLINK("https://klasma.github.io/Logging_2180/kartor_geotiff/A 57932-2024 georefererad karta.tif", "A 57932-2024")</f>
        <v/>
      </c>
      <c r="AA117">
        <f>HYPERLINK("https://klasma.github.io/Logging_2180/klagomål/A 57932-2024 FSC-klagomål.docx", "A 57932-2024")</f>
        <v/>
      </c>
      <c r="AB117">
        <f>HYPERLINK("https://klasma.github.io/Logging_2180/klagomålsmail/A 57932-2024 FSC-klagomål mail.docx", "A 57932-2024")</f>
        <v/>
      </c>
      <c r="AC117">
        <f>HYPERLINK("https://klasma.github.io/Logging_2180/tillsyn/A 57932-2024 tillsynsbegäran.docx", "A 57932-2024")</f>
        <v/>
      </c>
      <c r="AD117">
        <f>HYPERLINK("https://klasma.github.io/Logging_2180/tillsynsmail/A 57932-2024 tillsynsbegäran mail.docx", "A 57932-2024")</f>
        <v/>
      </c>
      <c r="AE117">
        <f>HYPERLINK("https://klasma.github.io/Logging_2180/fåglar/A 57932-2024 prioriterade fågelarter.docx", "A 57932-2024")</f>
        <v/>
      </c>
    </row>
    <row r="118" ht="15" customHeight="1">
      <c r="A118" t="inlineStr">
        <is>
          <t>A 22892-2026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46282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HYPERLINK("https://klasma.github.io/Logging_2180/artfynd/A 22892-2026 artfynd.xlsx", "A 22892-2026")</f>
        <v/>
      </c>
      <c r="X118">
        <f>HYPERLINK("https://klasma.github.io/Logging_2180/kartor/A 22892-2026 karta.png", "A 22892-2026")</f>
        <v/>
      </c>
      <c r="Y118">
        <f>HYPERLINK("https://klasma.github.io/Logging_2180/kartor_geotiff/A 22892-2026 georefererad karta.tif", "A 22892-2026")</f>
        <v/>
      </c>
      <c r="AA118">
        <f>HYPERLINK("https://klasma.github.io/Logging_2180/klagomål/A 22892-2026 FSC-klagomål.docx", "A 22892-2026")</f>
        <v/>
      </c>
      <c r="AB118">
        <f>HYPERLINK("https://klasma.github.io/Logging_2180/klagomålsmail/A 22892-2026 FSC-klagomål mail.docx", "A 22892-2026")</f>
        <v/>
      </c>
      <c r="AC118">
        <f>HYPERLINK("https://klasma.github.io/Logging_2180/tillsyn/A 22892-2026 tillsynsbegäran.docx", "A 22892-2026")</f>
        <v/>
      </c>
      <c r="AD118">
        <f>HYPERLINK("https://klasma.github.io/Logging_2180/tillsynsmail/A 22892-2026 tillsynsbegäran mail.docx", "A 22892-2026")</f>
        <v/>
      </c>
      <c r="AE118">
        <f>HYPERLINK("https://klasma.github.io/Logging_2180/fåglar/A 22892-2026 prioriterade fågelarter.docx", "A 22892-2026")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46282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46282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46282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46282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11407-2025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46282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Myskmadra</t>
        </is>
      </c>
      <c r="W123">
        <f>HYPERLINK("https://klasma.github.io/Logging_2180/artfynd/A 11407-2025 artfynd.xlsx", "A 11407-2025")</f>
        <v/>
      </c>
      <c r="X123">
        <f>HYPERLINK("https://klasma.github.io/Logging_2180/kartor/A 11407-2025 karta.png", "A 11407-2025")</f>
        <v/>
      </c>
      <c r="Y123">
        <f>HYPERLINK("https://klasma.github.io/Logging_2180/kartor_geotiff/A 11407-2025 georefererad karta.tif", "A 11407-2025")</f>
        <v/>
      </c>
      <c r="AA123">
        <f>HYPERLINK("https://klasma.github.io/Logging_2180/klagomål/A 11407-2025 FSC-klagomål.docx", "A 11407-2025")</f>
        <v/>
      </c>
      <c r="AB123">
        <f>HYPERLINK("https://klasma.github.io/Logging_2180/klagomålsmail/A 11407-2025 FSC-klagomål mail.docx", "A 11407-2025")</f>
        <v/>
      </c>
      <c r="AC123">
        <f>HYPERLINK("https://klasma.github.io/Logging_2180/tillsyn/A 11407-2025 tillsynsbegäran.docx", "A 11407-2025")</f>
        <v/>
      </c>
      <c r="AD123">
        <f>HYPERLINK("https://klasma.github.io/Logging_2180/tillsynsmail/A 11407-2025 tillsynsbegäran mail.docx", "A 11407-2025")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46282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33832-2026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46251</v>
      </c>
      <c r="E125" s="1" t="n">
        <v>46282</v>
      </c>
      <c r="F125" t="inlineStr">
        <is>
          <t>GÄVLEBORGS LÄN</t>
        </is>
      </c>
      <c r="G125" t="inlineStr">
        <is>
          <t>GÄVLE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HYPERLINK("https://klasma.github.io/Logging_2180/artfynd/A 33832-2026 artfynd.xlsx", "A 33832-2026")</f>
        <v/>
      </c>
      <c r="X125">
        <f>HYPERLINK("https://klasma.github.io/Logging_2180/kartor/A 33832-2026 karta.png", "A 33832-2026")</f>
        <v/>
      </c>
      <c r="Y125">
        <f>HYPERLINK("https://klasma.github.io/Logging_2180/kartor_geotiff/A 33832-2026 georefererad karta.tif", "A 33832-2026")</f>
        <v/>
      </c>
      <c r="AA125">
        <f>HYPERLINK("https://klasma.github.io/Logging_2180/klagomål/A 33832-2026 FSC-klagomål.docx", "A 33832-2026")</f>
        <v/>
      </c>
      <c r="AB125">
        <f>HYPERLINK("https://klasma.github.io/Logging_2180/klagomålsmail/A 33832-2026 FSC-klagomål mail.docx", "A 33832-2026")</f>
        <v/>
      </c>
      <c r="AC125">
        <f>HYPERLINK("https://klasma.github.io/Logging_2180/tillsyn/A 33832-2026 tillsynsbegäran.docx", "A 33832-2026")</f>
        <v/>
      </c>
      <c r="AD125">
        <f>HYPERLINK("https://klasma.github.io/Logging_2180/tillsynsmail/A 33832-2026 tillsynsbegäran mail.docx", "A 33832-2026")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46282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34589-2026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46255</v>
      </c>
      <c r="E127" s="1" t="n">
        <v>46282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15.3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HYPERLINK("https://klasma.github.io/Logging_2180/artfynd/A 34589-2026 artfynd.xlsx", "A 34589-2026")</f>
        <v/>
      </c>
      <c r="X127">
        <f>HYPERLINK("https://klasma.github.io/Logging_2180/kartor/A 34589-2026 karta.png", "A 34589-2026")</f>
        <v/>
      </c>
      <c r="Y127">
        <f>HYPERLINK("https://klasma.github.io/Logging_2180/kartor_geotiff/A 34589-2026 georefererad karta.tif", "A 34589-2026")</f>
        <v/>
      </c>
      <c r="AA127">
        <f>HYPERLINK("https://klasma.github.io/Logging_2180/klagomål/A 34589-2026 FSC-klagomål.docx", "A 34589-2026")</f>
        <v/>
      </c>
      <c r="AB127">
        <f>HYPERLINK("https://klasma.github.io/Logging_2180/klagomålsmail/A 34589-2026 FSC-klagomål mail.docx", "A 34589-2026")</f>
        <v/>
      </c>
      <c r="AC127">
        <f>HYPERLINK("https://klasma.github.io/Logging_2180/tillsyn/A 34589-2026 tillsynsbegäran.docx", "A 34589-2026")</f>
        <v/>
      </c>
      <c r="AD127">
        <f>HYPERLINK("https://klasma.github.io/Logging_2180/tillsynsmail/A 34589-2026 tillsynsbegäran mail.docx", "A 34589-2026")</f>
        <v/>
      </c>
    </row>
    <row r="128" ht="15" customHeight="1">
      <c r="A128" t="inlineStr">
        <is>
          <t>A 18216-2024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46282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Dofttaggsvamp</t>
        </is>
      </c>
      <c r="W128">
        <f>HYPERLINK("https://klasma.github.io/Logging_2180/artfynd/A 18216-2024 artfynd.xlsx", "A 18216-2024")</f>
        <v/>
      </c>
      <c r="X128">
        <f>HYPERLINK("https://klasma.github.io/Logging_2180/kartor/A 18216-2024 karta.png", "A 18216-2024")</f>
        <v/>
      </c>
      <c r="Y128">
        <f>HYPERLINK("https://klasma.github.io/Logging_2180/kartor_geotiff/A 18216-2024 georefererad karta.tif", "A 18216-2024")</f>
        <v/>
      </c>
      <c r="AA128">
        <f>HYPERLINK("https://klasma.github.io/Logging_2180/klagomål/A 18216-2024 FSC-klagomål.docx", "A 18216-2024")</f>
        <v/>
      </c>
      <c r="AB128">
        <f>HYPERLINK("https://klasma.github.io/Logging_2180/klagomålsmail/A 18216-2024 FSC-klagomål mail.docx", "A 18216-2024")</f>
        <v/>
      </c>
      <c r="AC128">
        <f>HYPERLINK("https://klasma.github.io/Logging_2180/tillsyn/A 18216-2024 tillsynsbegäran.docx", "A 18216-2024")</f>
        <v/>
      </c>
      <c r="AD128">
        <f>HYPERLINK("https://klasma.github.io/Logging_2180/tillsynsmail/A 18216-2024 tillsynsbegäran mail.docx", "A 18216-2024")</f>
        <v/>
      </c>
    </row>
    <row r="129" ht="15" customHeight="1">
      <c r="A129" t="inlineStr">
        <is>
          <t>A 31448-2026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46217</v>
      </c>
      <c r="E129" s="1" t="n">
        <v>46282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tåtelsmygare</t>
        </is>
      </c>
      <c r="W129">
        <f>HYPERLINK("https://klasma.github.io/Logging_2180/artfynd/A 31448-2026 artfynd.xlsx", "A 31448-2026")</f>
        <v/>
      </c>
      <c r="X129">
        <f>HYPERLINK("https://klasma.github.io/Logging_2180/kartor/A 31448-2026 karta.png", "A 31448-2026")</f>
        <v/>
      </c>
      <c r="Y129">
        <f>HYPERLINK("https://klasma.github.io/Logging_2180/kartor_geotiff/A 31448-2026 georefererad karta.tif", "A 31448-2026")</f>
        <v/>
      </c>
      <c r="AA129">
        <f>HYPERLINK("https://klasma.github.io/Logging_2180/klagomål/A 31448-2026 FSC-klagomål.docx", "A 31448-2026")</f>
        <v/>
      </c>
      <c r="AB129">
        <f>HYPERLINK("https://klasma.github.io/Logging_2180/klagomålsmail/A 31448-2026 FSC-klagomål mail.docx", "A 31448-2026")</f>
        <v/>
      </c>
      <c r="AC129">
        <f>HYPERLINK("https://klasma.github.io/Logging_2180/tillsyn/A 31448-2026 tillsynsbegäran.docx", "A 31448-2026")</f>
        <v/>
      </c>
      <c r="AD129">
        <f>HYPERLINK("https://klasma.github.io/Logging_2180/tillsynsmail/A 31448-2026 tillsynsbegäran mail.docx", "A 31448-2026")</f>
        <v/>
      </c>
    </row>
    <row r="130" ht="15" customHeight="1">
      <c r="A130" t="inlineStr">
        <is>
          <t>A 37927-2022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46282</v>
      </c>
      <c r="F130" t="inlineStr">
        <is>
          <t>GÄVLEBORGS LÄN</t>
        </is>
      </c>
      <c r="G130" t="inlineStr">
        <is>
          <t>GÄVLE</t>
        </is>
      </c>
      <c r="I130" t="n">
        <v>1.6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10</v>
      </c>
      <c r="U130" t="n">
        <v>10</v>
      </c>
      <c r="V130" s="2" t="inlineStr">
        <is>
          <t>Knärot</t>
        </is>
      </c>
      <c r="W130">
        <f>HYPERLINK("https://klasma.github.io/Logging_2180/artfynd/A 37927-2022 artfynd.xlsx", "A 37927-2022")</f>
        <v/>
      </c>
      <c r="X130">
        <f>HYPERLINK("https://klasma.github.io/Logging_2180/kartor/A 37927-2022 karta.png", "A 37927-2022")</f>
        <v/>
      </c>
      <c r="Y130">
        <f>HYPERLINK("https://klasma.github.io/Logging_2180/kartor_geotiff/A 37927-2022 georefererad karta.tif", "A 37927-2022")</f>
        <v/>
      </c>
      <c r="Z130">
        <f>HYPERLINK("https://klasma.github.io/Logging_2180/knärot/A 37927-2022 karta knärot.png", "A 37927-2022")</f>
        <v/>
      </c>
      <c r="AA130">
        <f>HYPERLINK("https://klasma.github.io/Logging_2180/klagomål/A 37927-2022 FSC-klagomål.docx", "A 37927-2022")</f>
        <v/>
      </c>
      <c r="AB130">
        <f>HYPERLINK("https://klasma.github.io/Logging_2180/klagomålsmail/A 37927-2022 FSC-klagomål mail.docx", "A 37927-2022")</f>
        <v/>
      </c>
      <c r="AC130">
        <f>HYPERLINK("https://klasma.github.io/Logging_2180/tillsyn/A 37927-2022 tillsynsbegäran.docx", "A 37927-2022")</f>
        <v/>
      </c>
      <c r="AD130">
        <f>HYPERLINK("https://klasma.github.io/Logging_2180/tillsynsmail/A 37927-2022 tillsynsbegäran mail.docx", "A 37927-2022")</f>
        <v/>
      </c>
    </row>
    <row r="131" ht="15" customHeight="1">
      <c r="A131" t="inlineStr">
        <is>
          <t>A 36090-2026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46282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HYPERLINK("https://klasma.github.io/Logging_2180/artfynd/A 36090-2026 artfynd.xlsx", "A 36090-2026")</f>
        <v/>
      </c>
      <c r="X131">
        <f>HYPERLINK("https://klasma.github.io/Logging_2180/kartor/A 36090-2026 karta.png", "A 36090-2026")</f>
        <v/>
      </c>
      <c r="Y131">
        <f>HYPERLINK("https://klasma.github.io/Logging_2180/kartor_geotiff/A 36090-2026 georefererad karta.tif", "A 36090-2026")</f>
        <v/>
      </c>
      <c r="AA131">
        <f>HYPERLINK("https://klasma.github.io/Logging_2180/klagomål/A 36090-2026 FSC-klagomål.docx", "A 36090-2026")</f>
        <v/>
      </c>
      <c r="AB131">
        <f>HYPERLINK("https://klasma.github.io/Logging_2180/klagomålsmail/A 36090-2026 FSC-klagomål mail.docx", "A 36090-2026")</f>
        <v/>
      </c>
      <c r="AC131">
        <f>HYPERLINK("https://klasma.github.io/Logging_2180/tillsyn/A 36090-2026 tillsynsbegäran.docx", "A 36090-2026")</f>
        <v/>
      </c>
      <c r="AD131">
        <f>HYPERLINK("https://klasma.github.io/Logging_2180/tillsynsmail/A 36090-2026 tillsynsbegäran mail.docx", "A 36090-2026")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46282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46282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37220-2026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46274</v>
      </c>
      <c r="E134" s="1" t="n">
        <v>46282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5.1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HYPERLINK("https://klasma.github.io/Logging_2180/artfynd/A 37220-2026 artfynd.xlsx", "A 37220-2026")</f>
        <v/>
      </c>
      <c r="X134">
        <f>HYPERLINK("https://klasma.github.io/Logging_2180/kartor/A 37220-2026 karta.png", "A 37220-2026")</f>
        <v/>
      </c>
      <c r="Y134">
        <f>HYPERLINK("https://klasma.github.io/Logging_2180/kartor_geotiff/A 37220-2026 georefererad karta.tif", "A 37220-2026")</f>
        <v/>
      </c>
      <c r="AA134">
        <f>HYPERLINK("https://klasma.github.io/Logging_2180/klagomål/A 37220-2026 FSC-klagomål.docx", "A 37220-2026")</f>
        <v/>
      </c>
      <c r="AB134">
        <f>HYPERLINK("https://klasma.github.io/Logging_2180/klagomålsmail/A 37220-2026 FSC-klagomål mail.docx", "A 37220-2026")</f>
        <v/>
      </c>
      <c r="AC134">
        <f>HYPERLINK("https://klasma.github.io/Logging_2180/tillsyn/A 37220-2026 tillsynsbegäran.docx", "A 37220-2026")</f>
        <v/>
      </c>
      <c r="AD134">
        <f>HYPERLINK("https://klasma.github.io/Logging_2180/tillsynsmail/A 37220-2026 tillsynsbegäran mail.docx", "A 37220-2026")</f>
        <v/>
      </c>
    </row>
    <row r="135" ht="15" customHeight="1">
      <c r="A135" t="inlineStr">
        <is>
          <t>A 12083-2025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46282</v>
      </c>
      <c r="F135" t="inlineStr">
        <is>
          <t>GÄVLEBORGS LÄN</t>
        </is>
      </c>
      <c r="G135" t="inlineStr">
        <is>
          <t>GÄVLE</t>
        </is>
      </c>
      <c r="I135" t="n">
        <v>6.3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Grönsiska</t>
        </is>
      </c>
      <c r="W135">
        <f>HYPERLINK("https://klasma.github.io/Logging_2180/artfynd/A 12083-2025 artfynd.xlsx", "A 12083-2025")</f>
        <v/>
      </c>
      <c r="X135">
        <f>HYPERLINK("https://klasma.github.io/Logging_2180/kartor/A 12083-2025 karta.png", "A 12083-2025")</f>
        <v/>
      </c>
      <c r="Y135">
        <f>HYPERLINK("https://klasma.github.io/Logging_2180/kartor_geotiff/A 12083-2025 georefererad karta.tif", "A 12083-2025")</f>
        <v/>
      </c>
      <c r="AA135">
        <f>HYPERLINK("https://klasma.github.io/Logging_2180/klagomål/A 12083-2025 FSC-klagomål.docx", "A 12083-2025")</f>
        <v/>
      </c>
      <c r="AB135">
        <f>HYPERLINK("https://klasma.github.io/Logging_2180/klagomålsmail/A 12083-2025 FSC-klagomål mail.docx", "A 12083-2025")</f>
        <v/>
      </c>
      <c r="AC135">
        <f>HYPERLINK("https://klasma.github.io/Logging_2180/tillsyn/A 12083-2025 tillsynsbegäran.docx", "A 12083-2025")</f>
        <v/>
      </c>
      <c r="AD135">
        <f>HYPERLINK("https://klasma.github.io/Logging_2180/tillsynsmail/A 12083-2025 tillsynsbegäran mail.docx", "A 12083-2025")</f>
        <v/>
      </c>
    </row>
    <row r="136" ht="15" customHeight="1">
      <c r="A136" t="inlineStr">
        <is>
          <t>A 13227-2024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46282</v>
      </c>
      <c r="F136" t="inlineStr">
        <is>
          <t>GÄVLEBORGS LÄN</t>
        </is>
      </c>
      <c r="G136" t="inlineStr">
        <is>
          <t>GÄVLE</t>
        </is>
      </c>
      <c r="H136" t="inlineStr">
        <is>
          <t>Övriga statliga verk och myndigheter</t>
        </is>
      </c>
      <c r="I136" t="n">
        <v>5.9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Större vattensalamander</t>
        </is>
      </c>
      <c r="W136">
        <f>HYPERLINK("https://klasma.github.io/Logging_2180/artfynd/A 13227-2024 artfynd.xlsx", "A 13227-2024")</f>
        <v/>
      </c>
      <c r="X136">
        <f>HYPERLINK("https://klasma.github.io/Logging_2180/kartor/A 13227-2024 karta.png", "A 13227-2024")</f>
        <v/>
      </c>
      <c r="Y136">
        <f>HYPERLINK("https://klasma.github.io/Logging_2180/kartor_geotiff/A 13227-2024 georefererad karta.tif", "A 13227-2024")</f>
        <v/>
      </c>
      <c r="AA136">
        <f>HYPERLINK("https://klasma.github.io/Logging_2180/klagomål/A 13227-2024 FSC-klagomål.docx", "A 13227-2024")</f>
        <v/>
      </c>
      <c r="AB136">
        <f>HYPERLINK("https://klasma.github.io/Logging_2180/klagomålsmail/A 13227-2024 FSC-klagomål mail.docx", "A 13227-2024")</f>
        <v/>
      </c>
      <c r="AC136">
        <f>HYPERLINK("https://klasma.github.io/Logging_2180/tillsyn/A 13227-2024 tillsynsbegäran.docx", "A 13227-2024")</f>
        <v/>
      </c>
      <c r="AD136">
        <f>HYPERLINK("https://klasma.github.io/Logging_2180/tillsynsmail/A 13227-2024 tillsynsbegäran mail.docx", "A 13227-2024")</f>
        <v/>
      </c>
    </row>
    <row r="137" ht="15" customHeight="1">
      <c r="A137" t="inlineStr">
        <is>
          <t>S 399-2022</t>
        </is>
      </c>
      <c r="B137" t="inlineStr">
        <is>
          <t>samrådsanmälan</t>
        </is>
      </c>
      <c r="C137" t="inlineStr">
        <is>
          <t>Skogsgödsling</t>
        </is>
      </c>
      <c r="D137" s="1" t="n">
        <v>44585</v>
      </c>
      <c r="E137" s="1" t="n">
        <v>46282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44.4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HYPERLINK("https://klasma.github.io/Logging_2180/artfynd/S 399-2022 artfynd.xlsx", "S 399-2022")</f>
        <v/>
      </c>
      <c r="X137">
        <f>HYPERLINK("https://klasma.github.io/Logging_2180/kartor/S 399-2022 karta.png", "S 399-2022")</f>
        <v/>
      </c>
      <c r="Y137">
        <f>HYPERLINK("https://klasma.github.io/Logging_2180/kartor_geotiff/S 399-2022 georefererad karta.tif", "S 399-2022")</f>
        <v/>
      </c>
      <c r="AA137">
        <f>HYPERLINK("https://klasma.github.io/Logging_2180/klagomål/S 399-2022 FSC-klagomål.docx", "S 399-2022")</f>
        <v/>
      </c>
      <c r="AB137">
        <f>HYPERLINK("https://klasma.github.io/Logging_2180/klagomålsmail/S 399-2022 FSC-klagomål mail.docx", "S 399-2022")</f>
        <v/>
      </c>
      <c r="AC137">
        <f>HYPERLINK("https://klasma.github.io/Logging_2180/tillsyn/S 399-2022 tillsynsbegäran.docx", "S 399-2022")</f>
        <v/>
      </c>
      <c r="AD137">
        <f>HYPERLINK("https://klasma.github.io/Logging_2180/tillsynsmail/S 399-2022 tillsynsbegäran mail.docx", "S 399-2022")</f>
        <v/>
      </c>
    </row>
    <row r="138" ht="15" customHeight="1">
      <c r="A138" t="inlineStr">
        <is>
          <t>S 235-2025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45680</v>
      </c>
      <c r="E138" s="1" t="n">
        <v>46282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12.7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HYPERLINK("https://klasma.github.io/Logging_2180/artfynd/S 235-2025 artfynd.xlsx", "S 235-2025")</f>
        <v/>
      </c>
      <c r="X138">
        <f>HYPERLINK("https://klasma.github.io/Logging_2180/kartor/S 235-2025 karta.png", "S 235-2025")</f>
        <v/>
      </c>
      <c r="Y138">
        <f>HYPERLINK("https://klasma.github.io/Logging_2180/kartor_geotiff/S 235-2025 georefererad karta.tif", "S 235-2025")</f>
        <v/>
      </c>
      <c r="AA138">
        <f>HYPERLINK("https://klasma.github.io/Logging_2180/klagomål/S 235-2025 FSC-klagomål.docx", "S 235-2025")</f>
        <v/>
      </c>
      <c r="AB138">
        <f>HYPERLINK("https://klasma.github.io/Logging_2180/klagomålsmail/S 235-2025 FSC-klagomål mail.docx", "S 235-2025")</f>
        <v/>
      </c>
      <c r="AC138">
        <f>HYPERLINK("https://klasma.github.io/Logging_2180/tillsyn/S 235-2025 tillsynsbegäran.docx", "S 235-2025")</f>
        <v/>
      </c>
      <c r="AD138">
        <f>HYPERLINK("https://klasma.github.io/Logging_2180/tillsynsmail/S 235-2025 tillsynsbegäran mail.docx", "S 235-2025")</f>
        <v/>
      </c>
    </row>
    <row r="139" ht="15" customHeight="1">
      <c r="A139" t="inlineStr">
        <is>
          <t>S 3895-2024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45562</v>
      </c>
      <c r="E139" s="1" t="n">
        <v>46282</v>
      </c>
      <c r="F139" t="inlineStr">
        <is>
          <t>GÄVLEBORGS LÄN</t>
        </is>
      </c>
      <c r="G139" t="inlineStr">
        <is>
          <t>GÄVLE</t>
        </is>
      </c>
      <c r="I139" t="n">
        <v>14.3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16</v>
      </c>
      <c r="U139" t="n">
        <v>3</v>
      </c>
      <c r="V139" s="2" t="inlineStr">
        <is>
          <t>Väddnätfjäril</t>
        </is>
      </c>
      <c r="W139">
        <f>HYPERLINK("https://klasma.github.io/Logging_2180/artfynd/S 3895-2024 artfynd.xlsx", "S 3895-2024")</f>
        <v/>
      </c>
      <c r="X139">
        <f>HYPERLINK("https://klasma.github.io/Logging_2180/kartor/S 3895-2024 karta.png", "S 3895-2024")</f>
        <v/>
      </c>
      <c r="Y139">
        <f>HYPERLINK("https://klasma.github.io/Logging_2180/kartor_geotiff/S 3895-2024 georefererad karta.tif", "S 3895-2024")</f>
        <v/>
      </c>
      <c r="AA139">
        <f>HYPERLINK("https://klasma.github.io/Logging_2180/klagomål/S 3895-2024 FSC-klagomål.docx", "S 3895-2024")</f>
        <v/>
      </c>
      <c r="AB139">
        <f>HYPERLINK("https://klasma.github.io/Logging_2180/klagomålsmail/S 3895-2024 FSC-klagomål mail.docx", "S 3895-2024")</f>
        <v/>
      </c>
      <c r="AC139">
        <f>HYPERLINK("https://klasma.github.io/Logging_2180/tillsyn/S 3895-2024 tillsynsbegäran.docx", "S 3895-2024")</f>
        <v/>
      </c>
      <c r="AD139">
        <f>HYPERLINK("https://klasma.github.io/Logging_2180/tillsynsmail/S 3895-2024 tillsynsbegäran mail.docx", "S 3895-2024")</f>
        <v/>
      </c>
    </row>
    <row r="140" ht="15" customHeight="1">
      <c r="A140" t="inlineStr">
        <is>
          <t>S 952-2026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46113</v>
      </c>
      <c r="E140" s="1" t="n">
        <v>46282</v>
      </c>
      <c r="F140" t="inlineStr">
        <is>
          <t>GÄVLEBORGS LÄN</t>
        </is>
      </c>
      <c r="G140" t="inlineStr">
        <is>
          <t>GÄVLE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3</v>
      </c>
      <c r="U140" t="n">
        <v>0</v>
      </c>
      <c r="V140" s="2" t="inlineStr">
        <is>
          <t>Mosippa</t>
        </is>
      </c>
      <c r="W140">
        <f>HYPERLINK("https://klasma.github.io/Logging_2180/artfynd/S 952-2026 artfynd.xlsx", "S 952-2026")</f>
        <v/>
      </c>
      <c r="X140">
        <f>HYPERLINK("https://klasma.github.io/Logging_2180/kartor/S 952-2026 karta.png", "S 952-2026")</f>
        <v/>
      </c>
      <c r="Y140">
        <f>HYPERLINK("https://klasma.github.io/Logging_2180/kartor_geotiff/S 952-2026 georefererad karta.tif", "S 952-2026")</f>
        <v/>
      </c>
      <c r="AA140">
        <f>HYPERLINK("https://klasma.github.io/Logging_2180/klagomål/S 952-2026 FSC-klagomål.docx", "S 952-2026")</f>
        <v/>
      </c>
      <c r="AB140">
        <f>HYPERLINK("https://klasma.github.io/Logging_2180/klagomålsmail/S 952-2026 FSC-klagomål mail.docx", "S 952-2026")</f>
        <v/>
      </c>
      <c r="AC140">
        <f>HYPERLINK("https://klasma.github.io/Logging_2180/tillsyn/S 952-2026 tillsynsbegäran.docx", "S 952-2026")</f>
        <v/>
      </c>
      <c r="AD140">
        <f>HYPERLINK("https://klasma.github.io/Logging_2180/tillsynsmail/S 952-2026 tillsynsbegäran mail.docx", "S 952-2026")</f>
        <v/>
      </c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46282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46282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46282</v>
      </c>
      <c r="F143" t="inlineStr">
        <is>
          <t>GÄVLEBORGS LÄN</t>
        </is>
      </c>
      <c r="G143" t="inlineStr">
        <is>
          <t>GÄVLE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46282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46282</v>
      </c>
      <c r="F145" t="inlineStr">
        <is>
          <t>GÄVLEBORGS LÄN</t>
        </is>
      </c>
      <c r="G145" t="inlineStr">
        <is>
          <t>GÄVLE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44805</v>
      </c>
      <c r="E146" s="1" t="n">
        <v>46282</v>
      </c>
      <c r="F146" t="inlineStr">
        <is>
          <t>GÄVLEBORGS LÄN</t>
        </is>
      </c>
      <c r="G146" t="inlineStr">
        <is>
          <t>GÄVLE</t>
        </is>
      </c>
      <c r="H146" t="inlineStr">
        <is>
          <t>Kyrkan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46282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46282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46282</v>
      </c>
      <c r="F149" t="inlineStr">
        <is>
          <t>GÄVLEBORGS LÄN</t>
        </is>
      </c>
      <c r="G149" t="inlineStr">
        <is>
          <t>GÄVLE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44462</v>
      </c>
      <c r="E150" s="1" t="n">
        <v>46282</v>
      </c>
      <c r="F150" t="inlineStr">
        <is>
          <t>GÄVLEBORGS LÄN</t>
        </is>
      </c>
      <c r="G150" t="inlineStr">
        <is>
          <t>GÄVLE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44663</v>
      </c>
      <c r="E151" s="1" t="n">
        <v>46282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46282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44573</v>
      </c>
      <c r="E153" s="1" t="n">
        <v>46282</v>
      </c>
      <c r="F153" t="inlineStr">
        <is>
          <t>GÄVLEBORGS LÄN</t>
        </is>
      </c>
      <c r="G153" t="inlineStr">
        <is>
          <t>GÄVLE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46282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44813</v>
      </c>
      <c r="E155" s="1" t="n">
        <v>46282</v>
      </c>
      <c r="F155" t="inlineStr">
        <is>
          <t>GÄVLEBORGS LÄN</t>
        </is>
      </c>
      <c r="G155" t="inlineStr">
        <is>
          <t>GÄVLE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46282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44671</v>
      </c>
      <c r="E157" s="1" t="n">
        <v>46282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46282</v>
      </c>
      <c r="F158" t="inlineStr">
        <is>
          <t>GÄVLEBORGS LÄN</t>
        </is>
      </c>
      <c r="G158" t="inlineStr">
        <is>
          <t>GÄVLE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46282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46282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46282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46282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46282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46282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46282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46282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46282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46282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46282</v>
      </c>
      <c r="F169" t="inlineStr">
        <is>
          <t>GÄVLEBORGS LÄN</t>
        </is>
      </c>
      <c r="G169" t="inlineStr">
        <is>
          <t>GÄVLE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46282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46282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51249-2021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44461</v>
      </c>
      <c r="E172" s="1" t="n">
        <v>46282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46282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46282</v>
      </c>
      <c r="F174" t="inlineStr">
        <is>
          <t>GÄVLEBORGS LÄN</t>
        </is>
      </c>
      <c r="G174" t="inlineStr">
        <is>
          <t>GÄVLE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44684</v>
      </c>
      <c r="E175" s="1" t="n">
        <v>46282</v>
      </c>
      <c r="F175" t="inlineStr">
        <is>
          <t>GÄVLEBORGS LÄN</t>
        </is>
      </c>
      <c r="G175" t="inlineStr">
        <is>
          <t>GÄVLE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44795</v>
      </c>
      <c r="E176" s="1" t="n">
        <v>46282</v>
      </c>
      <c r="F176" t="inlineStr">
        <is>
          <t>GÄVLEBORGS LÄN</t>
        </is>
      </c>
      <c r="G176" t="inlineStr">
        <is>
          <t>GÄVLE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59515-2021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44491</v>
      </c>
      <c r="E177" s="1" t="n">
        <v>46282</v>
      </c>
      <c r="F177" t="inlineStr">
        <is>
          <t>GÄVLEBORGS LÄN</t>
        </is>
      </c>
      <c r="G177" t="inlineStr">
        <is>
          <t>GÄVLE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46282</v>
      </c>
      <c r="F178" t="inlineStr">
        <is>
          <t>GÄVLEBORGS LÄN</t>
        </is>
      </c>
      <c r="G178" t="inlineStr">
        <is>
          <t>GÄVLE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46282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46282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46282</v>
      </c>
      <c r="F181" t="inlineStr">
        <is>
          <t>GÄVLEBORGS LÄN</t>
        </is>
      </c>
      <c r="G181" t="inlineStr">
        <is>
          <t>GÄVLE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46282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46282</v>
      </c>
      <c r="F183" t="inlineStr">
        <is>
          <t>GÄVLEBORGS LÄN</t>
        </is>
      </c>
      <c r="G183" t="inlineStr">
        <is>
          <t>GÄVLE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46282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46282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46282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46282</v>
      </c>
      <c r="F187" t="inlineStr">
        <is>
          <t>GÄVLEBORGS LÄN</t>
        </is>
      </c>
      <c r="G187" t="inlineStr">
        <is>
          <t>GÄVLE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46282</v>
      </c>
      <c r="F188" t="inlineStr">
        <is>
          <t>GÄVLEBORGS LÄN</t>
        </is>
      </c>
      <c r="G188" t="inlineStr">
        <is>
          <t>GÄVLE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46282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46282</v>
      </c>
      <c r="F190" t="inlineStr">
        <is>
          <t>GÄVLEBORGS LÄN</t>
        </is>
      </c>
      <c r="G190" t="inlineStr">
        <is>
          <t>GÄVLE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46282</v>
      </c>
      <c r="F191" t="inlineStr">
        <is>
          <t>GÄVLEBORGS LÄN</t>
        </is>
      </c>
      <c r="G191" t="inlineStr">
        <is>
          <t>GÄVLE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46282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45706</v>
      </c>
      <c r="E193" s="1" t="n">
        <v>46282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46282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46282</v>
      </c>
      <c r="F195" t="inlineStr">
        <is>
          <t>GÄVLEBORGS LÄN</t>
        </is>
      </c>
      <c r="G195" t="inlineStr">
        <is>
          <t>GÄVLE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46282</v>
      </c>
      <c r="F196" t="inlineStr">
        <is>
          <t>GÄVLEBORGS LÄN</t>
        </is>
      </c>
      <c r="G196" t="inlineStr">
        <is>
          <t>GÄVLE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45158</v>
      </c>
      <c r="E197" s="1" t="n">
        <v>46282</v>
      </c>
      <c r="F197" t="inlineStr">
        <is>
          <t>GÄVLEBORGS LÄN</t>
        </is>
      </c>
      <c r="G197" t="inlineStr">
        <is>
          <t>GÄVLE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46282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46282</v>
      </c>
      <c r="F199" t="inlineStr">
        <is>
          <t>GÄVLEBORGS LÄN</t>
        </is>
      </c>
      <c r="G199" t="inlineStr">
        <is>
          <t>GÄVLE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46282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46282</v>
      </c>
      <c r="F201" t="inlineStr">
        <is>
          <t>GÄVLEBORGS LÄN</t>
        </is>
      </c>
      <c r="G201" t="inlineStr">
        <is>
          <t>GÄVLE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46282</v>
      </c>
      <c r="F202" t="inlineStr">
        <is>
          <t>GÄVLEBORGS LÄN</t>
        </is>
      </c>
      <c r="G202" t="inlineStr">
        <is>
          <t>GÄVLE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46282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44942</v>
      </c>
      <c r="E204" s="1" t="n">
        <v>46282</v>
      </c>
      <c r="F204" t="inlineStr">
        <is>
          <t>GÄVLEBORGS LÄN</t>
        </is>
      </c>
      <c r="G204" t="inlineStr">
        <is>
          <t>GÄVLE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19095-2022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44691</v>
      </c>
      <c r="E205" s="1" t="n">
        <v>46282</v>
      </c>
      <c r="F205" t="inlineStr">
        <is>
          <t>GÄVLEBORGS LÄN</t>
        </is>
      </c>
      <c r="G205" t="inlineStr">
        <is>
          <t>GÄVLE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45184</v>
      </c>
      <c r="E206" s="1" t="n">
        <v>46282</v>
      </c>
      <c r="F206" t="inlineStr">
        <is>
          <t>GÄVLEBORGS LÄN</t>
        </is>
      </c>
      <c r="G206" t="inlineStr">
        <is>
          <t>GÄVLE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46282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46282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46282</v>
      </c>
      <c r="F209" t="inlineStr">
        <is>
          <t>GÄVLEBORGS LÄN</t>
        </is>
      </c>
      <c r="G209" t="inlineStr">
        <is>
          <t>GÄVLE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46282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46282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46282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46282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46282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26564-2022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44739</v>
      </c>
      <c r="E215" s="1" t="n">
        <v>46282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46282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46282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71249-2021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44539</v>
      </c>
      <c r="E218" s="1" t="n">
        <v>46282</v>
      </c>
      <c r="F218" t="inlineStr">
        <is>
          <t>GÄVLEBORGS LÄN</t>
        </is>
      </c>
      <c r="G218" t="inlineStr">
        <is>
          <t>GÄVLE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46282</v>
      </c>
      <c r="F219" t="inlineStr">
        <is>
          <t>GÄVLEBORGS LÄN</t>
        </is>
      </c>
      <c r="G219" t="inlineStr">
        <is>
          <t>GÄVLE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46282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46282</v>
      </c>
      <c r="F221" t="inlineStr">
        <is>
          <t>GÄVLEBORGS LÄN</t>
        </is>
      </c>
      <c r="G221" t="inlineStr">
        <is>
          <t>GÄVLE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46282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46282</v>
      </c>
      <c r="F223" t="inlineStr">
        <is>
          <t>GÄVLEBORGS LÄN</t>
        </is>
      </c>
      <c r="G223" t="inlineStr">
        <is>
          <t>GÄVLE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50871-2022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44867</v>
      </c>
      <c r="E224" s="1" t="n">
        <v>46282</v>
      </c>
      <c r="F224" t="inlineStr">
        <is>
          <t>GÄVLEBORGS LÄN</t>
        </is>
      </c>
      <c r="G224" t="inlineStr">
        <is>
          <t>GÄVLE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46282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44693</v>
      </c>
      <c r="E226" s="1" t="n">
        <v>46282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46282</v>
      </c>
      <c r="F227" t="inlineStr">
        <is>
          <t>GÄVLEBORGS LÄN</t>
        </is>
      </c>
      <c r="G227" t="inlineStr">
        <is>
          <t>GÄVLE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46282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46282</v>
      </c>
      <c r="F229" t="inlineStr">
        <is>
          <t>GÄVLEBORGS LÄN</t>
        </is>
      </c>
      <c r="G229" t="inlineStr">
        <is>
          <t>GÄVLE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46282</v>
      </c>
      <c r="F230" t="inlineStr">
        <is>
          <t>GÄVLEBORGS LÄN</t>
        </is>
      </c>
      <c r="G230" t="inlineStr">
        <is>
          <t>GÄVLE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46282</v>
      </c>
      <c r="F231" t="inlineStr">
        <is>
          <t>GÄVLEBORGS LÄN</t>
        </is>
      </c>
      <c r="G231" t="inlineStr">
        <is>
          <t>GÄVLE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10001-2025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46282</v>
      </c>
      <c r="F232" t="inlineStr">
        <is>
          <t>GÄVLEBORGS LÄN</t>
        </is>
      </c>
      <c r="G232" t="inlineStr">
        <is>
          <t>GÄVLE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46282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46282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40297-2025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45895</v>
      </c>
      <c r="E235" s="1" t="n">
        <v>46282</v>
      </c>
      <c r="F235" t="inlineStr">
        <is>
          <t>GÄVLEBORGS LÄN</t>
        </is>
      </c>
      <c r="G235" t="inlineStr">
        <is>
          <t>GÄVLE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46282</v>
      </c>
      <c r="F236" t="inlineStr">
        <is>
          <t>GÄVLEBORGS LÄN</t>
        </is>
      </c>
      <c r="G236" t="inlineStr">
        <is>
          <t>GÄVLE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46282</v>
      </c>
      <c r="F237" t="inlineStr">
        <is>
          <t>GÄVLEBORGS LÄN</t>
        </is>
      </c>
      <c r="G237" t="inlineStr">
        <is>
          <t>GÄVLE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46282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46282</v>
      </c>
      <c r="F239" t="inlineStr">
        <is>
          <t>GÄVLEBORGS LÄN</t>
        </is>
      </c>
      <c r="G239" t="inlineStr">
        <is>
          <t>GÄVLE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46282</v>
      </c>
      <c r="F240" t="inlineStr">
        <is>
          <t>GÄVLEBORGS LÄN</t>
        </is>
      </c>
      <c r="G240" t="inlineStr">
        <is>
          <t>GÄVLE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25768-2022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44733</v>
      </c>
      <c r="E241" s="1" t="n">
        <v>46282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46282</v>
      </c>
      <c r="F242" t="inlineStr">
        <is>
          <t>GÄVLEBORGS LÄN</t>
        </is>
      </c>
      <c r="G242" t="inlineStr">
        <is>
          <t>GÄVLE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45827</v>
      </c>
      <c r="E243" s="1" t="n">
        <v>46282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46282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46282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45749</v>
      </c>
      <c r="E246" s="1" t="n">
        <v>46282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46282</v>
      </c>
      <c r="F247" t="inlineStr">
        <is>
          <t>GÄVLEBORGS LÄN</t>
        </is>
      </c>
      <c r="G247" t="inlineStr">
        <is>
          <t>GÄVLE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46282</v>
      </c>
      <c r="F248" t="inlineStr">
        <is>
          <t>GÄVLEBORGS LÄN</t>
        </is>
      </c>
      <c r="G248" t="inlineStr">
        <is>
          <t>GÄVLE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46282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46282</v>
      </c>
      <c r="F250" t="inlineStr">
        <is>
          <t>GÄVLEBORGS LÄN</t>
        </is>
      </c>
      <c r="G250" t="inlineStr">
        <is>
          <t>GÄVLE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46282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46282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46282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46282</v>
      </c>
      <c r="F254" t="inlineStr">
        <is>
          <t>GÄVLEBORGS LÄN</t>
        </is>
      </c>
      <c r="G254" t="inlineStr">
        <is>
          <t>GÄVLE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46282</v>
      </c>
      <c r="F255" t="inlineStr">
        <is>
          <t>GÄVLEBORGS LÄN</t>
        </is>
      </c>
      <c r="G255" t="inlineStr">
        <is>
          <t>GÄVLE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45652</v>
      </c>
      <c r="E256" s="1" t="n">
        <v>46282</v>
      </c>
      <c r="F256" t="inlineStr">
        <is>
          <t>GÄVLEBORGS LÄN</t>
        </is>
      </c>
      <c r="G256" t="inlineStr">
        <is>
          <t>GÄVLE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46282</v>
      </c>
      <c r="F257" t="inlineStr">
        <is>
          <t>GÄVLEBORGS LÄN</t>
        </is>
      </c>
      <c r="G257" t="inlineStr">
        <is>
          <t>GÄVLE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45485</v>
      </c>
      <c r="E258" s="1" t="n">
        <v>46282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46282</v>
      </c>
      <c r="F259" t="inlineStr">
        <is>
          <t>GÄVLEBORGS LÄN</t>
        </is>
      </c>
      <c r="G259" t="inlineStr">
        <is>
          <t>GÄVLE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44823</v>
      </c>
      <c r="E260" s="1" t="n">
        <v>46282</v>
      </c>
      <c r="F260" t="inlineStr">
        <is>
          <t>GÄVLEBORGS LÄN</t>
        </is>
      </c>
      <c r="G260" t="inlineStr">
        <is>
          <t>GÄVLE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46282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46282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44988</v>
      </c>
      <c r="E263" s="1" t="n">
        <v>46282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45832</v>
      </c>
      <c r="E264" s="1" t="n">
        <v>46282</v>
      </c>
      <c r="F264" t="inlineStr">
        <is>
          <t>GÄVLEBORGS LÄN</t>
        </is>
      </c>
      <c r="G264" t="inlineStr">
        <is>
          <t>GÄVLE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45030</v>
      </c>
      <c r="E265" s="1" t="n">
        <v>46282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46282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46282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46282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46282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46282</v>
      </c>
      <c r="F270" t="inlineStr">
        <is>
          <t>GÄVLEBORGS LÄN</t>
        </is>
      </c>
      <c r="G270" t="inlineStr">
        <is>
          <t>GÄVLE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46282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46282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46282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45835</v>
      </c>
      <c r="E274" s="1" t="n">
        <v>46282</v>
      </c>
      <c r="F274" t="inlineStr">
        <is>
          <t>GÄVLEBORGS LÄN</t>
        </is>
      </c>
      <c r="G274" t="inlineStr">
        <is>
          <t>GÄVLE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44589</v>
      </c>
      <c r="E275" s="1" t="n">
        <v>46282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46282</v>
      </c>
      <c r="F276" t="inlineStr">
        <is>
          <t>GÄVLEBORGS LÄN</t>
        </is>
      </c>
      <c r="G276" t="inlineStr">
        <is>
          <t>GÄVLE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46282</v>
      </c>
      <c r="F277" t="inlineStr">
        <is>
          <t>GÄVLEBORGS LÄN</t>
        </is>
      </c>
      <c r="G277" t="inlineStr">
        <is>
          <t>GÄVLE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46282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46282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39022-2025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46282</v>
      </c>
      <c r="F280" t="inlineStr">
        <is>
          <t>GÄVLEBORGS LÄN</t>
        </is>
      </c>
      <c r="G280" t="inlineStr">
        <is>
          <t>GÄVLE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45784</v>
      </c>
      <c r="E281" s="1" t="n">
        <v>46282</v>
      </c>
      <c r="F281" t="inlineStr">
        <is>
          <t>GÄVLEBORGS LÄN</t>
        </is>
      </c>
      <c r="G281" t="inlineStr">
        <is>
          <t>GÄVLE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45850-2025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45923</v>
      </c>
      <c r="E282" s="1" t="n">
        <v>46282</v>
      </c>
      <c r="F282" t="inlineStr">
        <is>
          <t>GÄVLEBORGS LÄN</t>
        </is>
      </c>
      <c r="G282" t="inlineStr">
        <is>
          <t>GÄVLE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46282</v>
      </c>
      <c r="F283" t="inlineStr">
        <is>
          <t>GÄVLEBORGS LÄN</t>
        </is>
      </c>
      <c r="G283" t="inlineStr">
        <is>
          <t>GÄVLE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45324</v>
      </c>
      <c r="E284" s="1" t="n">
        <v>46282</v>
      </c>
      <c r="F284" t="inlineStr">
        <is>
          <t>GÄVLEBORGS LÄN</t>
        </is>
      </c>
      <c r="G284" t="inlineStr">
        <is>
          <t>GÄVLE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46282</v>
      </c>
      <c r="F285" t="inlineStr">
        <is>
          <t>GÄVLEBORGS LÄN</t>
        </is>
      </c>
      <c r="G285" t="inlineStr">
        <is>
          <t>GÄVLE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46282</v>
      </c>
      <c r="F286" t="inlineStr">
        <is>
          <t>GÄVLEBORGS LÄN</t>
        </is>
      </c>
      <c r="G286" t="inlineStr">
        <is>
          <t>GÄVLE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46282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46282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45261</v>
      </c>
      <c r="E289" s="1" t="n">
        <v>46282</v>
      </c>
      <c r="F289" t="inlineStr">
        <is>
          <t>GÄVLEBORGS LÄN</t>
        </is>
      </c>
      <c r="G289" t="inlineStr">
        <is>
          <t>GÄVLE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45848</v>
      </c>
      <c r="E290" s="1" t="n">
        <v>46282</v>
      </c>
      <c r="F290" t="inlineStr">
        <is>
          <t>GÄVLEBORGS LÄN</t>
        </is>
      </c>
      <c r="G290" t="inlineStr">
        <is>
          <t>GÄVLE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46282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45848</v>
      </c>
      <c r="E292" s="1" t="n">
        <v>46282</v>
      </c>
      <c r="F292" t="inlineStr">
        <is>
          <t>GÄVLEBORGS LÄN</t>
        </is>
      </c>
      <c r="G292" t="inlineStr">
        <is>
          <t>GÄVLE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46282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45540</v>
      </c>
      <c r="E294" s="1" t="n">
        <v>46282</v>
      </c>
      <c r="F294" t="inlineStr">
        <is>
          <t>GÄVLEBORGS LÄN</t>
        </is>
      </c>
      <c r="G294" t="inlineStr">
        <is>
          <t>GÄVLE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46282</v>
      </c>
      <c r="F295" t="inlineStr">
        <is>
          <t>GÄVLEBORGS LÄN</t>
        </is>
      </c>
      <c r="G295" t="inlineStr">
        <is>
          <t>GÄVLE</t>
        </is>
      </c>
      <c r="H295" t="inlineStr">
        <is>
          <t>Kyrkan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46282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46282</v>
      </c>
      <c r="F297" t="inlineStr">
        <is>
          <t>GÄVLEBORGS LÄN</t>
        </is>
      </c>
      <c r="G297" t="inlineStr">
        <is>
          <t>GÄVLE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46282</v>
      </c>
      <c r="F298" t="inlineStr">
        <is>
          <t>GÄVLEBORGS LÄN</t>
        </is>
      </c>
      <c r="G298" t="inlineStr">
        <is>
          <t>GÄVLE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35337-2025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45854</v>
      </c>
      <c r="E299" s="1" t="n">
        <v>46282</v>
      </c>
      <c r="F299" t="inlineStr">
        <is>
          <t>GÄVLEBORGS LÄN</t>
        </is>
      </c>
      <c r="G299" t="inlineStr">
        <is>
          <t>GÄVLE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46282</v>
      </c>
      <c r="F300" t="inlineStr">
        <is>
          <t>GÄVLEBORGS LÄN</t>
        </is>
      </c>
      <c r="G300" t="inlineStr">
        <is>
          <t>GÄVLE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46282</v>
      </c>
      <c r="F301" t="inlineStr">
        <is>
          <t>GÄVLEBORGS LÄN</t>
        </is>
      </c>
      <c r="G301" t="inlineStr">
        <is>
          <t>GÄVLE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45859</v>
      </c>
      <c r="E302" s="1" t="n">
        <v>46282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46282</v>
      </c>
      <c r="F303" t="inlineStr">
        <is>
          <t>GÄVLEBORGS LÄN</t>
        </is>
      </c>
      <c r="G303" t="inlineStr">
        <is>
          <t>GÄVLE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46282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45862</v>
      </c>
      <c r="E305" s="1" t="n">
        <v>46282</v>
      </c>
      <c r="F305" t="inlineStr">
        <is>
          <t>GÄVLEBORGS LÄN</t>
        </is>
      </c>
      <c r="G305" t="inlineStr">
        <is>
          <t>GÄVLE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45862</v>
      </c>
      <c r="E306" s="1" t="n">
        <v>46282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46282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35919-2025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45862</v>
      </c>
      <c r="E308" s="1" t="n">
        <v>46282</v>
      </c>
      <c r="F308" t="inlineStr">
        <is>
          <t>GÄVLEBORGS LÄN</t>
        </is>
      </c>
      <c r="G308" t="inlineStr">
        <is>
          <t>GÄVLE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46041</v>
      </c>
      <c r="E309" s="1" t="n">
        <v>46282</v>
      </c>
      <c r="F309" t="inlineStr">
        <is>
          <t>GÄVLEBORGS LÄN</t>
        </is>
      </c>
      <c r="G309" t="inlineStr">
        <is>
          <t>GÄVLE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46282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46282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48002-2025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45932</v>
      </c>
      <c r="E312" s="1" t="n">
        <v>46282</v>
      </c>
      <c r="F312" t="inlineStr">
        <is>
          <t>GÄVLEBORGS LÄN</t>
        </is>
      </c>
      <c r="G312" t="inlineStr">
        <is>
          <t>GÄVLE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46282</v>
      </c>
      <c r="F313" t="inlineStr">
        <is>
          <t>GÄVLEBORGS LÄN</t>
        </is>
      </c>
      <c r="G313" t="inlineStr">
        <is>
          <t>GÄVLE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46282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45867</v>
      </c>
      <c r="E315" s="1" t="n">
        <v>46282</v>
      </c>
      <c r="F315" t="inlineStr">
        <is>
          <t>GÄVLEBORGS LÄN</t>
        </is>
      </c>
      <c r="G315" t="inlineStr">
        <is>
          <t>GÄVLE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46282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46282</v>
      </c>
      <c r="F317" t="inlineStr">
        <is>
          <t>GÄVLEBORGS LÄN</t>
        </is>
      </c>
      <c r="G317" t="inlineStr">
        <is>
          <t>GÄVLE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46282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45869</v>
      </c>
      <c r="E319" s="1" t="n">
        <v>46282</v>
      </c>
      <c r="F319" t="inlineStr">
        <is>
          <t>GÄVLEBORGS LÄN</t>
        </is>
      </c>
      <c r="G319" t="inlineStr">
        <is>
          <t>GÄVLE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46282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46282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46282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45916</v>
      </c>
      <c r="E323" s="1" t="n">
        <v>46282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44951</v>
      </c>
      <c r="E324" s="1" t="n">
        <v>46282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45873</v>
      </c>
      <c r="E325" s="1" t="n">
        <v>46282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46282</v>
      </c>
      <c r="F326" t="inlineStr">
        <is>
          <t>GÄVLEBORGS LÄN</t>
        </is>
      </c>
      <c r="G326" t="inlineStr">
        <is>
          <t>GÄVLE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46282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46282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18217-2024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45420</v>
      </c>
      <c r="E329" s="1" t="n">
        <v>46282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49934-2025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46282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49842-2025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45940</v>
      </c>
      <c r="E331" s="1" t="n">
        <v>46282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46282</v>
      </c>
      <c r="F332" t="inlineStr">
        <is>
          <t>GÄVLEBORGS LÄN</t>
        </is>
      </c>
      <c r="G332" t="inlineStr">
        <is>
          <t>GÄVLE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46282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46282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46282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46282</v>
      </c>
      <c r="F336" t="inlineStr">
        <is>
          <t>GÄVLEBORGS LÄN</t>
        </is>
      </c>
      <c r="G336" t="inlineStr">
        <is>
          <t>GÄVLE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46282</v>
      </c>
      <c r="F337" t="inlineStr">
        <is>
          <t>GÄVLEBORGS LÄN</t>
        </is>
      </c>
      <c r="G337" t="inlineStr">
        <is>
          <t>GÄVLE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46282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46282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46282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10352-2025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45720</v>
      </c>
      <c r="E341" s="1" t="n">
        <v>46282</v>
      </c>
      <c r="F341" t="inlineStr">
        <is>
          <t>GÄVLEBORGS LÄN</t>
        </is>
      </c>
      <c r="G341" t="inlineStr">
        <is>
          <t>GÄVLE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46282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46282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46282</v>
      </c>
      <c r="F344" t="inlineStr">
        <is>
          <t>GÄVLEBORGS LÄN</t>
        </is>
      </c>
      <c r="G344" t="inlineStr">
        <is>
          <t>GÄVLE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44960</v>
      </c>
      <c r="E345" s="1" t="n">
        <v>46282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46282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46282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46282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52970-2025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45957</v>
      </c>
      <c r="E349" s="1" t="n">
        <v>46282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45084</v>
      </c>
      <c r="E350" s="1" t="n">
        <v>46282</v>
      </c>
      <c r="F350" t="inlineStr">
        <is>
          <t>GÄVLEBORGS LÄN</t>
        </is>
      </c>
      <c r="G350" t="inlineStr">
        <is>
          <t>GÄVLE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46282</v>
      </c>
      <c r="F351" t="inlineStr">
        <is>
          <t>GÄVLEBORGS LÄN</t>
        </is>
      </c>
      <c r="G351" t="inlineStr">
        <is>
          <t>GÄVLE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46282</v>
      </c>
      <c r="F352" t="inlineStr">
        <is>
          <t>GÄVLEBORGS LÄN</t>
        </is>
      </c>
      <c r="G352" t="inlineStr">
        <is>
          <t>GÄVLE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45957</v>
      </c>
      <c r="E353" s="1" t="n">
        <v>46282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46282</v>
      </c>
      <c r="F354" t="inlineStr">
        <is>
          <t>GÄVLEBORGS LÄN</t>
        </is>
      </c>
      <c r="G354" t="inlineStr">
        <is>
          <t>GÄVLE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46282</v>
      </c>
      <c r="F355" t="inlineStr">
        <is>
          <t>GÄVLEBORGS LÄN</t>
        </is>
      </c>
      <c r="G355" t="inlineStr">
        <is>
          <t>GÄVLE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45356</v>
      </c>
      <c r="E356" s="1" t="n">
        <v>46282</v>
      </c>
      <c r="F356" t="inlineStr">
        <is>
          <t>GÄVLEBORGS LÄN</t>
        </is>
      </c>
      <c r="G356" t="inlineStr">
        <is>
          <t>GÄVLE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65879-2021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44517</v>
      </c>
      <c r="E357" s="1" t="n">
        <v>46282</v>
      </c>
      <c r="F357" t="inlineStr">
        <is>
          <t>GÄVLEBORGS LÄN</t>
        </is>
      </c>
      <c r="G357" t="inlineStr">
        <is>
          <t>GÄVLE</t>
        </is>
      </c>
      <c r="H357" t="inlineStr">
        <is>
          <t>Kyrkan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46282</v>
      </c>
      <c r="F358" t="inlineStr">
        <is>
          <t>GÄVLEBORGS LÄN</t>
        </is>
      </c>
      <c r="G358" t="inlineStr">
        <is>
          <t>GÄVLE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46282</v>
      </c>
      <c r="F359" t="inlineStr">
        <is>
          <t>GÄVLEBORGS LÄN</t>
        </is>
      </c>
      <c r="G359" t="inlineStr">
        <is>
          <t>GÄVLE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46282</v>
      </c>
      <c r="F360" t="inlineStr">
        <is>
          <t>GÄVLEBORGS LÄN</t>
        </is>
      </c>
      <c r="G360" t="inlineStr">
        <is>
          <t>GÄVLE</t>
        </is>
      </c>
      <c r="H360" t="inlineStr">
        <is>
          <t>Övriga statliga verk och myndigheter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46282</v>
      </c>
      <c r="F361" t="inlineStr">
        <is>
          <t>GÄVLEBORGS LÄN</t>
        </is>
      </c>
      <c r="G361" t="inlineStr">
        <is>
          <t>GÄVLE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45964</v>
      </c>
      <c r="E362" s="1" t="n">
        <v>46282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46282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46282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8303-2026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46282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70043-2021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44533</v>
      </c>
      <c r="E366" s="1" t="n">
        <v>46282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46282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46282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46282</v>
      </c>
      <c r="F369" t="inlineStr">
        <is>
          <t>GÄVLEBORGS LÄN</t>
        </is>
      </c>
      <c r="G369" t="inlineStr">
        <is>
          <t>GÄVLE</t>
        </is>
      </c>
      <c r="H369" t="inlineStr">
        <is>
          <t>Kyrkan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46282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46282</v>
      </c>
      <c r="F371" t="inlineStr">
        <is>
          <t>GÄVLEBORGS LÄN</t>
        </is>
      </c>
      <c r="G371" t="inlineStr">
        <is>
          <t>GÄVLE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46282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8301-2026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46282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46282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46282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46282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45526</v>
      </c>
      <c r="E377" s="1" t="n">
        <v>46282</v>
      </c>
      <c r="F377" t="inlineStr">
        <is>
          <t>GÄVLEBORGS LÄN</t>
        </is>
      </c>
      <c r="G377" t="inlineStr">
        <is>
          <t>GÄVLE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46282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46282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46282</v>
      </c>
      <c r="F380" t="inlineStr">
        <is>
          <t>GÄVLEBORGS LÄN</t>
        </is>
      </c>
      <c r="G380" t="inlineStr">
        <is>
          <t>GÄVLE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48834-2024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46282</v>
      </c>
      <c r="F381" t="inlineStr">
        <is>
          <t>GÄVLEBORGS LÄN</t>
        </is>
      </c>
      <c r="G381" t="inlineStr">
        <is>
          <t>GÄVLE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55432-2025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46282</v>
      </c>
      <c r="F382" t="inlineStr">
        <is>
          <t>GÄVLEBORGS LÄN</t>
        </is>
      </c>
      <c r="G382" t="inlineStr">
        <is>
          <t>GÄVLE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46282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8558-2026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46065</v>
      </c>
      <c r="E384" s="1" t="n">
        <v>46282</v>
      </c>
      <c r="F384" t="inlineStr">
        <is>
          <t>GÄVLEBORGS LÄN</t>
        </is>
      </c>
      <c r="G384" t="inlineStr">
        <is>
          <t>GÄVLE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55221-2025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46282</v>
      </c>
      <c r="F385" t="inlineStr">
        <is>
          <t>GÄVLEBORGS LÄN</t>
        </is>
      </c>
      <c r="G385" t="inlineStr">
        <is>
          <t>GÄVLE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46282</v>
      </c>
      <c r="F386" t="inlineStr">
        <is>
          <t>GÄVLEBORGS LÄN</t>
        </is>
      </c>
      <c r="G386" t="inlineStr">
        <is>
          <t>GÄVLE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46282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45245</v>
      </c>
      <c r="E388" s="1" t="n">
        <v>46282</v>
      </c>
      <c r="F388" t="inlineStr">
        <is>
          <t>GÄVLEBORGS LÄN</t>
        </is>
      </c>
      <c r="G388" t="inlineStr">
        <is>
          <t>GÄVLE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44684</v>
      </c>
      <c r="E389" s="1" t="n">
        <v>46282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46282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56122-2025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46282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46282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10.5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46282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46282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46282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46282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46282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46282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46282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46282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46282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46282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46282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46282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46282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46282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46282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46282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46282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46282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46282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31062-2023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45113</v>
      </c>
      <c r="E412" s="1" t="n">
        <v>46282</v>
      </c>
      <c r="F412" t="inlineStr">
        <is>
          <t>GÄVLEBORGS LÄN</t>
        </is>
      </c>
      <c r="G412" t="inlineStr">
        <is>
          <t>GÄVLE</t>
        </is>
      </c>
      <c r="H412" t="inlineStr">
        <is>
          <t>Kommuner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26249-2022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44735</v>
      </c>
      <c r="E413" s="1" t="n">
        <v>46282</v>
      </c>
      <c r="F413" t="inlineStr">
        <is>
          <t>GÄVLEBORGS LÄN</t>
        </is>
      </c>
      <c r="G413" t="inlineStr">
        <is>
          <t>GÄVLE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45223</v>
      </c>
      <c r="E414" s="1" t="n">
        <v>46282</v>
      </c>
      <c r="F414" t="inlineStr">
        <is>
          <t>GÄVLEBORGS LÄN</t>
        </is>
      </c>
      <c r="G414" t="inlineStr">
        <is>
          <t>GÄVLE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46282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46282</v>
      </c>
      <c r="F416" t="inlineStr">
        <is>
          <t>GÄVLEBORGS LÄN</t>
        </is>
      </c>
      <c r="G416" t="inlineStr">
        <is>
          <t>GÄVLE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43771-2025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46282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45912</v>
      </c>
      <c r="E418" s="1" t="n">
        <v>46282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46282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45448-2025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45922</v>
      </c>
      <c r="E420" s="1" t="n">
        <v>46282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46282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45548-2025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46282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45410-2025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45922</v>
      </c>
      <c r="E423" s="1" t="n">
        <v>46282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45922</v>
      </c>
      <c r="E424" s="1" t="n">
        <v>46282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46282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46282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43774-2025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45912</v>
      </c>
      <c r="E427" s="1" t="n">
        <v>46282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46282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45546-2025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46282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45415-2025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46282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46282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46282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46282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46282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44693</v>
      </c>
      <c r="E435" s="1" t="n">
        <v>46282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45401</v>
      </c>
      <c r="E437" s="1" t="n">
        <v>46282</v>
      </c>
      <c r="F437" t="inlineStr">
        <is>
          <t>GÄVLEBORGS LÄN</t>
        </is>
      </c>
      <c r="G437" t="inlineStr">
        <is>
          <t>GÄVLE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46282</v>
      </c>
      <c r="F438" t="inlineStr">
        <is>
          <t>GÄVLEBORGS LÄN</t>
        </is>
      </c>
      <c r="G438" t="inlineStr">
        <is>
          <t>GÄVLE</t>
        </is>
      </c>
      <c r="H438" t="inlineStr">
        <is>
          <t>Kommuner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46282</v>
      </c>
      <c r="F439" t="inlineStr">
        <is>
          <t>GÄVLEBORGS LÄN</t>
        </is>
      </c>
      <c r="G439" t="inlineStr">
        <is>
          <t>GÄVLE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45454</v>
      </c>
      <c r="E440" s="1" t="n">
        <v>46282</v>
      </c>
      <c r="F440" t="inlineStr">
        <is>
          <t>GÄVLEBORGS LÄN</t>
        </is>
      </c>
      <c r="G440" t="inlineStr">
        <is>
          <t>GÄVLE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45595</v>
      </c>
      <c r="E441" s="1" t="n">
        <v>46282</v>
      </c>
      <c r="F441" t="inlineStr">
        <is>
          <t>GÄVLEBORGS LÄN</t>
        </is>
      </c>
      <c r="G441" t="inlineStr">
        <is>
          <t>GÄVLE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45742</v>
      </c>
      <c r="E442" s="1" t="n">
        <v>46282</v>
      </c>
      <c r="F442" t="inlineStr">
        <is>
          <t>GÄVLEBORGS LÄN</t>
        </is>
      </c>
      <c r="G442" t="inlineStr">
        <is>
          <t>GÄVLE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46282</v>
      </c>
      <c r="F443" t="inlineStr">
        <is>
          <t>GÄVLEBORGS LÄN</t>
        </is>
      </c>
      <c r="G443" t="inlineStr">
        <is>
          <t>GÄVLE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59627-2025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46282</v>
      </c>
      <c r="F444" t="inlineStr">
        <is>
          <t>GÄVLEBORGS LÄN</t>
        </is>
      </c>
      <c r="G444" t="inlineStr">
        <is>
          <t>GÄVLE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45994</v>
      </c>
      <c r="E445" s="1" t="n">
        <v>46282</v>
      </c>
      <c r="F445" t="inlineStr">
        <is>
          <t>GÄVLEBORGS LÄN</t>
        </is>
      </c>
      <c r="G445" t="inlineStr">
        <is>
          <t>GÄVLE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45995</v>
      </c>
      <c r="E446" s="1" t="n">
        <v>46282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44585</v>
      </c>
      <c r="E447" s="1" t="n">
        <v>46282</v>
      </c>
      <c r="F447" t="inlineStr">
        <is>
          <t>GÄVLEBORGS LÄN</t>
        </is>
      </c>
      <c r="G447" t="inlineStr">
        <is>
          <t>GÄVLE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46282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45995</v>
      </c>
      <c r="E449" s="1" t="n">
        <v>46282</v>
      </c>
      <c r="F449" t="inlineStr">
        <is>
          <t>GÄVLEBORGS LÄN</t>
        </is>
      </c>
      <c r="G449" t="inlineStr">
        <is>
          <t>GÄVLE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45968</v>
      </c>
      <c r="E450" s="1" t="n">
        <v>46282</v>
      </c>
      <c r="F450" t="inlineStr">
        <is>
          <t>GÄVLEBORGS LÄN</t>
        </is>
      </c>
      <c r="G450" t="inlineStr">
        <is>
          <t>GÄVLE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60536-2025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45995</v>
      </c>
      <c r="E451" s="1" t="n">
        <v>46282</v>
      </c>
      <c r="F451" t="inlineStr">
        <is>
          <t>GÄVLEBORGS LÄN</t>
        </is>
      </c>
      <c r="G451" t="inlineStr">
        <is>
          <t>GÄVLE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46282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46282</v>
      </c>
      <c r="F453" t="inlineStr">
        <is>
          <t>GÄVLEBORGS LÄN</t>
        </is>
      </c>
      <c r="G453" t="inlineStr">
        <is>
          <t>GÄVLE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46282</v>
      </c>
      <c r="F454" t="inlineStr">
        <is>
          <t>GÄVLEBORGS LÄN</t>
        </is>
      </c>
      <c r="G454" t="inlineStr">
        <is>
          <t>GÄVLE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46282</v>
      </c>
      <c r="F455" t="inlineStr">
        <is>
          <t>GÄVLEBORGS LÄN</t>
        </is>
      </c>
      <c r="G455" t="inlineStr">
        <is>
          <t>GÄVLE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46282</v>
      </c>
      <c r="F456" t="inlineStr">
        <is>
          <t>GÄVLEBORGS LÄN</t>
        </is>
      </c>
      <c r="G456" t="inlineStr">
        <is>
          <t>GÄVLE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20999-2022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44701</v>
      </c>
      <c r="E457" s="1" t="n">
        <v>46282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45511</v>
      </c>
      <c r="E458" s="1" t="n">
        <v>46282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61880-2025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46282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46002</v>
      </c>
      <c r="E460" s="1" t="n">
        <v>46282</v>
      </c>
      <c r="F460" t="inlineStr">
        <is>
          <t>GÄVLEBORGS LÄN</t>
        </is>
      </c>
      <c r="G460" t="inlineStr">
        <is>
          <t>GÄVLE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45630</v>
      </c>
      <c r="E461" s="1" t="n">
        <v>46282</v>
      </c>
      <c r="F461" t="inlineStr">
        <is>
          <t>GÄVLEBORGS LÄN</t>
        </is>
      </c>
      <c r="G461" t="inlineStr">
        <is>
          <t>GÄVLE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61648-2025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46002</v>
      </c>
      <c r="E462" s="1" t="n">
        <v>46282</v>
      </c>
      <c r="F462" t="inlineStr">
        <is>
          <t>GÄVLEBORGS LÄN</t>
        </is>
      </c>
      <c r="G462" t="inlineStr">
        <is>
          <t>GÄVLE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61651-2025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46002</v>
      </c>
      <c r="E463" s="1" t="n">
        <v>46282</v>
      </c>
      <c r="F463" t="inlineStr">
        <is>
          <t>GÄVLEBORGS LÄN</t>
        </is>
      </c>
      <c r="G463" t="inlineStr">
        <is>
          <t>GÄVLE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61879-2025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46003</v>
      </c>
      <c r="E464" s="1" t="n">
        <v>46282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62226-2025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46282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46282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18168-2022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44684</v>
      </c>
      <c r="E467" s="1" t="n">
        <v>46282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62742-2025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46008</v>
      </c>
      <c r="E468" s="1" t="n">
        <v>46282</v>
      </c>
      <c r="F468" t="inlineStr">
        <is>
          <t>GÄVLEBORGS LÄN</t>
        </is>
      </c>
      <c r="G468" t="inlineStr">
        <is>
          <t>GÄVLE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46282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46282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46282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46282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44694</v>
      </c>
      <c r="E473" s="1" t="n">
        <v>46282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46282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34233-2023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45138</v>
      </c>
      <c r="E475" s="1" t="n">
        <v>46282</v>
      </c>
      <c r="F475" t="inlineStr">
        <is>
          <t>GÄVLEBORGS LÄN</t>
        </is>
      </c>
      <c r="G475" t="inlineStr">
        <is>
          <t>GÄVLE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45855</v>
      </c>
      <c r="E476" s="1" t="n">
        <v>46282</v>
      </c>
      <c r="F476" t="inlineStr">
        <is>
          <t>GÄVLEBORGS LÄN</t>
        </is>
      </c>
      <c r="G476" t="inlineStr">
        <is>
          <t>GÄVLE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46282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46282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40091-2023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45168</v>
      </c>
      <c r="E479" s="1" t="n">
        <v>46282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46282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46019</v>
      </c>
      <c r="E481" s="1" t="n">
        <v>46282</v>
      </c>
      <c r="F481" t="inlineStr">
        <is>
          <t>GÄVLEBORGS LÄN</t>
        </is>
      </c>
      <c r="G481" t="inlineStr">
        <is>
          <t>GÄVLE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46282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54953-2025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45967</v>
      </c>
      <c r="E483" s="1" t="n">
        <v>46282</v>
      </c>
      <c r="F483" t="inlineStr">
        <is>
          <t>GÄVLEBORGS LÄN</t>
        </is>
      </c>
      <c r="G483" t="inlineStr">
        <is>
          <t>GÄVLE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46282</v>
      </c>
      <c r="F484" t="inlineStr">
        <is>
          <t>GÄVLEBORGS LÄN</t>
        </is>
      </c>
      <c r="G484" t="inlineStr">
        <is>
          <t>GÄVLE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46282</v>
      </c>
      <c r="F485" t="inlineStr">
        <is>
          <t>GÄVLEBORGS LÄN</t>
        </is>
      </c>
      <c r="G485" t="inlineStr">
        <is>
          <t>GÄVLE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44951</v>
      </c>
      <c r="E486" s="1" t="n">
        <v>46282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44951</v>
      </c>
      <c r="E487" s="1" t="n">
        <v>46282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46282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46019</v>
      </c>
      <c r="E489" s="1" t="n">
        <v>46282</v>
      </c>
      <c r="F489" t="inlineStr">
        <is>
          <t>GÄVLEBORGS LÄN</t>
        </is>
      </c>
      <c r="G489" t="inlineStr">
        <is>
          <t>GÄVLE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42788-2025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45908</v>
      </c>
      <c r="E490" s="1" t="n">
        <v>46282</v>
      </c>
      <c r="F490" t="inlineStr">
        <is>
          <t>GÄVLEBORGS LÄN</t>
        </is>
      </c>
      <c r="G490" t="inlineStr">
        <is>
          <t>GÄVLE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46282</v>
      </c>
      <c r="F491" t="inlineStr">
        <is>
          <t>GÄVLEBORGS LÄN</t>
        </is>
      </c>
      <c r="G491" t="inlineStr">
        <is>
          <t>GÄVLE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13389-2026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46282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46282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48864-2025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45937</v>
      </c>
      <c r="E494" s="1" t="n">
        <v>46282</v>
      </c>
      <c r="F494" t="inlineStr">
        <is>
          <t>GÄVLEBORGS LÄN</t>
        </is>
      </c>
      <c r="G494" t="inlineStr">
        <is>
          <t>GÄVLE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45908</v>
      </c>
      <c r="E495" s="1" t="n">
        <v>46282</v>
      </c>
      <c r="F495" t="inlineStr">
        <is>
          <t>GÄVLEBORGS LÄN</t>
        </is>
      </c>
      <c r="G495" t="inlineStr">
        <is>
          <t>GÄVLE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47694-2025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45931</v>
      </c>
      <c r="E496" s="1" t="n">
        <v>46282</v>
      </c>
      <c r="F496" t="inlineStr">
        <is>
          <t>GÄVLEBORGS LÄN</t>
        </is>
      </c>
      <c r="G496" t="inlineStr">
        <is>
          <t>GÄVLE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47916-2025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46282</v>
      </c>
      <c r="F497" t="inlineStr">
        <is>
          <t>GÄVLEBORGS LÄN</t>
        </is>
      </c>
      <c r="G497" t="inlineStr">
        <is>
          <t>GÄVLE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64142-2025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46022</v>
      </c>
      <c r="E498" s="1" t="n">
        <v>46282</v>
      </c>
      <c r="F498" t="inlineStr">
        <is>
          <t>GÄVLEBORGS LÄN</t>
        </is>
      </c>
      <c r="G498" t="inlineStr">
        <is>
          <t>GÄVLE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46282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46282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46095</v>
      </c>
      <c r="E501" s="1" t="n">
        <v>46282</v>
      </c>
      <c r="F501" t="inlineStr">
        <is>
          <t>GÄVLEBORGS LÄN</t>
        </is>
      </c>
      <c r="G501" t="inlineStr">
        <is>
          <t>GÄVLE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46282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46282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46282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59322-2022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44904</v>
      </c>
      <c r="E505" s="1" t="n">
        <v>46282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44962</v>
      </c>
      <c r="E506" s="1" t="n">
        <v>46282</v>
      </c>
      <c r="F506" t="inlineStr">
        <is>
          <t>GÄVLEBORGS LÄN</t>
        </is>
      </c>
      <c r="G506" t="inlineStr">
        <is>
          <t>GÄVLE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45660</v>
      </c>
      <c r="E507" s="1" t="n">
        <v>46282</v>
      </c>
      <c r="F507" t="inlineStr">
        <is>
          <t>GÄVLEBORGS LÄN</t>
        </is>
      </c>
      <c r="G507" t="inlineStr">
        <is>
          <t>GÄVLE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14963-2026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46104</v>
      </c>
      <c r="E508" s="1" t="n">
        <v>46282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46282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46282</v>
      </c>
      <c r="F510" t="inlineStr">
        <is>
          <t>GÄVLEBORGS LÄN</t>
        </is>
      </c>
      <c r="G510" t="inlineStr">
        <is>
          <t>GÄVLE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46282</v>
      </c>
      <c r="F511" t="inlineStr">
        <is>
          <t>GÄVLEBORGS LÄN</t>
        </is>
      </c>
      <c r="G511" t="inlineStr">
        <is>
          <t>GÄVLE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45586</v>
      </c>
      <c r="E512" s="1" t="n">
        <v>46282</v>
      </c>
      <c r="F512" t="inlineStr">
        <is>
          <t>GÄVLEBORGS LÄN</t>
        </is>
      </c>
      <c r="G512" t="inlineStr">
        <is>
          <t>GÄVLE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46282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45440</v>
      </c>
      <c r="E514" s="1" t="n">
        <v>46282</v>
      </c>
      <c r="F514" t="inlineStr">
        <is>
          <t>GÄVLEBORGS LÄN</t>
        </is>
      </c>
      <c r="G514" t="inlineStr">
        <is>
          <t>GÄVLE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46282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47746-2023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45203</v>
      </c>
      <c r="E516" s="1" t="n">
        <v>46282</v>
      </c>
      <c r="F516" t="inlineStr">
        <is>
          <t>GÄVLEBORGS LÄN</t>
        </is>
      </c>
      <c r="G516" t="inlineStr">
        <is>
          <t>GÄVLE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15097-2026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46105</v>
      </c>
      <c r="E517" s="1" t="n">
        <v>46282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46282</v>
      </c>
      <c r="F518" t="inlineStr">
        <is>
          <t>GÄVLEBORGS LÄN</t>
        </is>
      </c>
      <c r="G518" t="inlineStr">
        <is>
          <t>GÄVLE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52495-2021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44466</v>
      </c>
      <c r="E519" s="1" t="n">
        <v>46282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34668-2024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45526</v>
      </c>
      <c r="E520" s="1" t="n">
        <v>46282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45666</v>
      </c>
      <c r="E521" s="1" t="n">
        <v>46282</v>
      </c>
      <c r="F521" t="inlineStr">
        <is>
          <t>GÄVLEBORGS LÄN</t>
        </is>
      </c>
      <c r="G521" t="inlineStr">
        <is>
          <t>GÄVLE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20689-2024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45436</v>
      </c>
      <c r="E522" s="1" t="n">
        <v>46282</v>
      </c>
      <c r="F522" t="inlineStr">
        <is>
          <t>GÄVLEBORGS LÄN</t>
        </is>
      </c>
      <c r="G522" t="inlineStr">
        <is>
          <t>GÄVLE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45120</v>
      </c>
      <c r="E523" s="1" t="n">
        <v>46282</v>
      </c>
      <c r="F523" t="inlineStr">
        <is>
          <t>GÄVLEBORGS LÄN</t>
        </is>
      </c>
      <c r="G523" t="inlineStr">
        <is>
          <t>GÄVLE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46108</v>
      </c>
      <c r="E524" s="1" t="n">
        <v>46282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46282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61301-2024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45645</v>
      </c>
      <c r="E526" s="1" t="n">
        <v>46282</v>
      </c>
      <c r="F526" t="inlineStr">
        <is>
          <t>GÄVLEBORGS LÄN</t>
        </is>
      </c>
      <c r="G526" t="inlineStr">
        <is>
          <t>GÄVLE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46120</v>
      </c>
      <c r="E527" s="1" t="n">
        <v>46282</v>
      </c>
      <c r="F527" t="inlineStr">
        <is>
          <t>GÄVLEBORGS LÄN</t>
        </is>
      </c>
      <c r="G527" t="inlineStr">
        <is>
          <t>GÄVLE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46282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46282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46282</v>
      </c>
      <c r="F530" t="inlineStr">
        <is>
          <t>GÄVLEBORGS LÄN</t>
        </is>
      </c>
      <c r="G530" t="inlineStr">
        <is>
          <t>GÄVLE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64868-2023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45282</v>
      </c>
      <c r="E531" s="1" t="n">
        <v>46282</v>
      </c>
      <c r="F531" t="inlineStr">
        <is>
          <t>GÄVLEBORGS LÄN</t>
        </is>
      </c>
      <c r="G531" t="inlineStr">
        <is>
          <t>GÄVLE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46282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46125</v>
      </c>
      <c r="E533" s="1" t="n">
        <v>46282</v>
      </c>
      <c r="F533" t="inlineStr">
        <is>
          <t>GÄVLEBORGS LÄN</t>
        </is>
      </c>
      <c r="G533" t="inlineStr">
        <is>
          <t>GÄVLE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46124</v>
      </c>
      <c r="E534" s="1" t="n">
        <v>46282</v>
      </c>
      <c r="F534" t="inlineStr">
        <is>
          <t>GÄVLEBORGS LÄN</t>
        </is>
      </c>
      <c r="G534" t="inlineStr">
        <is>
          <t>GÄVLE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46282</v>
      </c>
      <c r="F535" t="inlineStr">
        <is>
          <t>GÄVLEBORGS LÄN</t>
        </is>
      </c>
      <c r="G535" t="inlineStr">
        <is>
          <t>GÄVLE</t>
        </is>
      </c>
      <c r="H535" t="inlineStr">
        <is>
          <t>Kyrkan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46124</v>
      </c>
      <c r="E536" s="1" t="n">
        <v>46282</v>
      </c>
      <c r="F536" t="inlineStr">
        <is>
          <t>GÄVLEBORGS LÄN</t>
        </is>
      </c>
      <c r="G536" t="inlineStr">
        <is>
          <t>GÄVLE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46124</v>
      </c>
      <c r="E537" s="1" t="n">
        <v>46282</v>
      </c>
      <c r="F537" t="inlineStr">
        <is>
          <t>GÄVLEBORGS LÄN</t>
        </is>
      </c>
      <c r="G537" t="inlineStr">
        <is>
          <t>GÄVLE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46093</v>
      </c>
      <c r="E538" s="1" t="n">
        <v>46282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18657-2026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46282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46282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46282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45422</v>
      </c>
      <c r="E542" s="1" t="n">
        <v>46282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46282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46128</v>
      </c>
      <c r="E544" s="1" t="n">
        <v>46282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46282</v>
      </c>
      <c r="F545" t="inlineStr">
        <is>
          <t>GÄVLEBORGS LÄN</t>
        </is>
      </c>
      <c r="G545" t="inlineStr">
        <is>
          <t>GÄVLE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46282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46282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46282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45058</v>
      </c>
      <c r="E549" s="1" t="n">
        <v>46282</v>
      </c>
      <c r="F549" t="inlineStr">
        <is>
          <t>GÄVLEBORGS LÄN</t>
        </is>
      </c>
      <c r="G549" t="inlineStr">
        <is>
          <t>GÄVLE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44586</v>
      </c>
      <c r="E550" s="1" t="n">
        <v>46282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46282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36.3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46282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46282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46282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45658</v>
      </c>
      <c r="E555" s="1" t="n">
        <v>46282</v>
      </c>
      <c r="F555" t="inlineStr">
        <is>
          <t>GÄVLEBORGS LÄN</t>
        </is>
      </c>
      <c r="G555" t="inlineStr">
        <is>
          <t>GÄVLE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46282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66351-2021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44518</v>
      </c>
      <c r="E557" s="1" t="n">
        <v>46282</v>
      </c>
      <c r="F557" t="inlineStr">
        <is>
          <t>GÄVLEBORGS LÄN</t>
        </is>
      </c>
      <c r="G557" t="inlineStr">
        <is>
          <t>GÄVLE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19370-2026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46282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45084</v>
      </c>
      <c r="E559" s="1" t="n">
        <v>46282</v>
      </c>
      <c r="F559" t="inlineStr">
        <is>
          <t>GÄVLEBORGS LÄN</t>
        </is>
      </c>
      <c r="G559" t="inlineStr">
        <is>
          <t>GÄVLE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46132</v>
      </c>
      <c r="E560" s="1" t="n">
        <v>46282</v>
      </c>
      <c r="F560" t="inlineStr">
        <is>
          <t>GÄVLEBORGS LÄN</t>
        </is>
      </c>
      <c r="G560" t="inlineStr">
        <is>
          <t>GÄVLE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46282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46134</v>
      </c>
      <c r="E562" s="1" t="n">
        <v>46282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46282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46282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46282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46282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29929-2022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44756</v>
      </c>
      <c r="E567" s="1" t="n">
        <v>46282</v>
      </c>
      <c r="F567" t="inlineStr">
        <is>
          <t>GÄVLEBORGS LÄN</t>
        </is>
      </c>
      <c r="G567" t="inlineStr">
        <is>
          <t>GÄVLE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46282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46282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46282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38673-2024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46282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46282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44936</v>
      </c>
      <c r="E573" s="1" t="n">
        <v>46282</v>
      </c>
      <c r="F573" t="inlineStr">
        <is>
          <t>GÄVLEBORGS LÄN</t>
        </is>
      </c>
      <c r="G573" t="inlineStr">
        <is>
          <t>GÄVLE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44000-2025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45915</v>
      </c>
      <c r="E574" s="1" t="n">
        <v>46282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46105</v>
      </c>
      <c r="E575" s="1" t="n">
        <v>46282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46029</v>
      </c>
      <c r="E576" s="1" t="n">
        <v>46282</v>
      </c>
      <c r="F576" t="inlineStr">
        <is>
          <t>GÄVLEBORGS LÄN</t>
        </is>
      </c>
      <c r="G576" t="inlineStr">
        <is>
          <t>GÄVLE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60442-2022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44911</v>
      </c>
      <c r="E577" s="1" t="n">
        <v>46282</v>
      </c>
      <c r="F577" t="inlineStr">
        <is>
          <t>GÄVLEBORGS LÄN</t>
        </is>
      </c>
      <c r="G577" t="inlineStr">
        <is>
          <t>GÄVLE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46282</v>
      </c>
      <c r="F578" t="inlineStr">
        <is>
          <t>GÄVLEBORGS LÄN</t>
        </is>
      </c>
      <c r="G578" t="inlineStr">
        <is>
          <t>GÄVLE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15835-2026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46282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61786-2024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45649</v>
      </c>
      <c r="E580" s="1" t="n">
        <v>46282</v>
      </c>
      <c r="F580" t="inlineStr">
        <is>
          <t>GÄVLEBORGS LÄN</t>
        </is>
      </c>
      <c r="G580" t="inlineStr">
        <is>
          <t>GÄVLE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46282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45945</v>
      </c>
      <c r="E582" s="1" t="n">
        <v>46282</v>
      </c>
      <c r="F582" t="inlineStr">
        <is>
          <t>GÄVLEBORGS LÄN</t>
        </is>
      </c>
      <c r="G582" t="inlineStr">
        <is>
          <t>GÄVLE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15801-2026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46107</v>
      </c>
      <c r="E583" s="1" t="n">
        <v>46282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26094-2025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45805</v>
      </c>
      <c r="E584" s="1" t="n">
        <v>46282</v>
      </c>
      <c r="F584" t="inlineStr">
        <is>
          <t>GÄVLEBORGS LÄN</t>
        </is>
      </c>
      <c r="G584" t="inlineStr">
        <is>
          <t>GÄVLE</t>
        </is>
      </c>
      <c r="I584" t="n">
        <v>12.4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3615-2024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45320</v>
      </c>
      <c r="E585" s="1" t="n">
        <v>46282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46282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35916-2025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45862</v>
      </c>
      <c r="E587" s="1" t="n">
        <v>46282</v>
      </c>
      <c r="F587" t="inlineStr">
        <is>
          <t>GÄVLEBORGS LÄN</t>
        </is>
      </c>
      <c r="G587" t="inlineStr">
        <is>
          <t>GÄVLE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46031</v>
      </c>
      <c r="E588" s="1" t="n">
        <v>46282</v>
      </c>
      <c r="F588" t="inlineStr">
        <is>
          <t>GÄVLEBORGS LÄN</t>
        </is>
      </c>
      <c r="G588" t="inlineStr">
        <is>
          <t>GÄVLE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45744</v>
      </c>
      <c r="E589" s="1" t="n">
        <v>46282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42592-2025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45905</v>
      </c>
      <c r="E590" s="1" t="n">
        <v>46282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45715</v>
      </c>
      <c r="E591" s="1" t="n">
        <v>46282</v>
      </c>
      <c r="F591" t="inlineStr">
        <is>
          <t>GÄVLEBORGS LÄN</t>
        </is>
      </c>
      <c r="G591" t="inlineStr">
        <is>
          <t>GÄVLE</t>
        </is>
      </c>
      <c r="H591" t="inlineStr">
        <is>
          <t>Kyrkan</t>
        </is>
      </c>
      <c r="I591" t="n">
        <v>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46282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46077</v>
      </c>
      <c r="E593" s="1" t="n">
        <v>46282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46282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46105</v>
      </c>
      <c r="E595" s="1" t="n">
        <v>46282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32255-2023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45120</v>
      </c>
      <c r="E596" s="1" t="n">
        <v>46282</v>
      </c>
      <c r="F596" t="inlineStr">
        <is>
          <t>GÄVLEBORGS LÄN</t>
        </is>
      </c>
      <c r="G596" t="inlineStr">
        <is>
          <t>GÄVLE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46282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44800-2024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45574</v>
      </c>
      <c r="E598" s="1" t="n">
        <v>46282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46282</v>
      </c>
      <c r="F599" t="inlineStr">
        <is>
          <t>GÄVLEBORGS LÄN</t>
        </is>
      </c>
      <c r="G599" t="inlineStr">
        <is>
          <t>GÄVLE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8568-2026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46065</v>
      </c>
      <c r="E600" s="1" t="n">
        <v>46282</v>
      </c>
      <c r="F600" t="inlineStr">
        <is>
          <t>GÄVLEBORGS LÄN</t>
        </is>
      </c>
      <c r="G600" t="inlineStr">
        <is>
          <t>GÄVLE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46282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15275-2026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46105</v>
      </c>
      <c r="E602" s="1" t="n">
        <v>46282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45312</v>
      </c>
      <c r="E603" s="1" t="n">
        <v>46282</v>
      </c>
      <c r="F603" t="inlineStr">
        <is>
          <t>GÄVLEBORGS LÄN</t>
        </is>
      </c>
      <c r="G603" t="inlineStr">
        <is>
          <t>GÄVLE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46282</v>
      </c>
      <c r="F604" t="inlineStr">
        <is>
          <t>GÄVLEBORGS LÄN</t>
        </is>
      </c>
      <c r="G604" t="inlineStr">
        <is>
          <t>GÄVLE</t>
        </is>
      </c>
      <c r="I604" t="n">
        <v>12.7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59817-2023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45257</v>
      </c>
      <c r="E605" s="1" t="n">
        <v>46282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44651</v>
      </c>
      <c r="E606" s="1" t="n">
        <v>46282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45869</v>
      </c>
      <c r="E607" s="1" t="n">
        <v>46282</v>
      </c>
      <c r="F607" t="inlineStr">
        <is>
          <t>GÄVLEBORGS LÄN</t>
        </is>
      </c>
      <c r="G607" t="inlineStr">
        <is>
          <t>GÄVLE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42876-2023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45182</v>
      </c>
      <c r="E608" s="1" t="n">
        <v>46282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17404-2025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45757</v>
      </c>
      <c r="E610" s="1" t="n">
        <v>46282</v>
      </c>
      <c r="F610" t="inlineStr">
        <is>
          <t>GÄVLEBORGS LÄN</t>
        </is>
      </c>
      <c r="G610" t="inlineStr">
        <is>
          <t>GÄVLE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44600</v>
      </c>
      <c r="E611" s="1" t="n">
        <v>46282</v>
      </c>
      <c r="F611" t="inlineStr">
        <is>
          <t>GÄVLEBORGS LÄN</t>
        </is>
      </c>
      <c r="G611" t="inlineStr">
        <is>
          <t>GÄVLE</t>
        </is>
      </c>
      <c r="H611" t="inlineStr">
        <is>
          <t>Kyrkan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46282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45539</v>
      </c>
      <c r="E613" s="1" t="n">
        <v>46282</v>
      </c>
      <c r="F613" t="inlineStr">
        <is>
          <t>GÄVLEBORGS LÄN</t>
        </is>
      </c>
      <c r="G613" t="inlineStr">
        <is>
          <t>GÄVLE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45660</v>
      </c>
      <c r="E614" s="1" t="n">
        <v>46282</v>
      </c>
      <c r="F614" t="inlineStr">
        <is>
          <t>GÄVLEBORGS LÄN</t>
        </is>
      </c>
      <c r="G614" t="inlineStr">
        <is>
          <t>GÄVLE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20589-2026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46140</v>
      </c>
      <c r="E615" s="1" t="n">
        <v>46282</v>
      </c>
      <c r="F615" t="inlineStr">
        <is>
          <t>GÄVLEBORGS LÄN</t>
        </is>
      </c>
      <c r="G615" t="inlineStr">
        <is>
          <t>GÄVLE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46030</v>
      </c>
      <c r="E616" s="1" t="n">
        <v>46282</v>
      </c>
      <c r="F616" t="inlineStr">
        <is>
          <t>GÄVLEBORGS LÄN</t>
        </is>
      </c>
      <c r="G616" t="inlineStr">
        <is>
          <t>GÄVLE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10487-2026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46077</v>
      </c>
      <c r="E617" s="1" t="n">
        <v>46282</v>
      </c>
      <c r="F617" t="inlineStr">
        <is>
          <t>GÄVLEBORGS LÄN</t>
        </is>
      </c>
      <c r="G617" t="inlineStr">
        <is>
          <t>GÄVLE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16190-2026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46111</v>
      </c>
      <c r="E618" s="1" t="n">
        <v>46282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16263-2026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46111</v>
      </c>
      <c r="E619" s="1" t="n">
        <v>46282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46282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2373-2025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45673</v>
      </c>
      <c r="E621" s="1" t="n">
        <v>46282</v>
      </c>
      <c r="F621" t="inlineStr">
        <is>
          <t>GÄVLEBORGS LÄN</t>
        </is>
      </c>
      <c r="G621" t="inlineStr">
        <is>
          <t>GÄVLE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45673</v>
      </c>
      <c r="E622" s="1" t="n">
        <v>46282</v>
      </c>
      <c r="F622" t="inlineStr">
        <is>
          <t>GÄVLEBORGS LÄN</t>
        </is>
      </c>
      <c r="G622" t="inlineStr">
        <is>
          <t>GÄVLE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20736-2026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46282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46033</v>
      </c>
      <c r="E624" s="1" t="n">
        <v>46282</v>
      </c>
      <c r="F624" t="inlineStr">
        <is>
          <t>GÄVLEBORGS LÄN</t>
        </is>
      </c>
      <c r="G624" t="inlineStr">
        <is>
          <t>GÄVLE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46282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7441-2025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45705</v>
      </c>
      <c r="E626" s="1" t="n">
        <v>46282</v>
      </c>
      <c r="F626" t="inlineStr">
        <is>
          <t>GÄVLEBORGS LÄN</t>
        </is>
      </c>
      <c r="G626" t="inlineStr">
        <is>
          <t>GÄVLE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21966-2025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45784</v>
      </c>
      <c r="E627" s="1" t="n">
        <v>46282</v>
      </c>
      <c r="F627" t="inlineStr">
        <is>
          <t>GÄVLEBORGS LÄN</t>
        </is>
      </c>
      <c r="G627" t="inlineStr">
        <is>
          <t>GÄVLE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20685-2026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46282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46282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61501-2024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45646</v>
      </c>
      <c r="E630" s="1" t="n">
        <v>46282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47458-2022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44853</v>
      </c>
      <c r="E631" s="1" t="n">
        <v>46282</v>
      </c>
      <c r="F631" t="inlineStr">
        <is>
          <t>GÄVLEBORGS LÄN</t>
        </is>
      </c>
      <c r="G631" t="inlineStr">
        <is>
          <t>GÄVLE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46142</v>
      </c>
      <c r="E632" s="1" t="n">
        <v>46282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46142</v>
      </c>
      <c r="E633" s="1" t="n">
        <v>46282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44938-2022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44841</v>
      </c>
      <c r="E634" s="1" t="n">
        <v>46282</v>
      </c>
      <c r="F634" t="inlineStr">
        <is>
          <t>GÄVLEBORGS LÄN</t>
        </is>
      </c>
      <c r="G634" t="inlineStr">
        <is>
          <t>GÄVLE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46045</v>
      </c>
      <c r="E635" s="1" t="n">
        <v>46282</v>
      </c>
      <c r="F635" t="inlineStr">
        <is>
          <t>GÄVLEBORGS LÄN</t>
        </is>
      </c>
      <c r="G635" t="inlineStr">
        <is>
          <t>GÄVLE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21364-2026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46147</v>
      </c>
      <c r="E636" s="1" t="n">
        <v>46282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45330</v>
      </c>
      <c r="E637" s="1" t="n">
        <v>46282</v>
      </c>
      <c r="F637" t="inlineStr">
        <is>
          <t>GÄVLEBORGS LÄN</t>
        </is>
      </c>
      <c r="G637" t="inlineStr">
        <is>
          <t>GÄVLE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46146</v>
      </c>
      <c r="E638" s="1" t="n">
        <v>46282</v>
      </c>
      <c r="F638" t="inlineStr">
        <is>
          <t>GÄVLEBORGS LÄN</t>
        </is>
      </c>
      <c r="G638" t="inlineStr">
        <is>
          <t>GÄVLE</t>
        </is>
      </c>
      <c r="H638" t="inlineStr">
        <is>
          <t>Kyrkan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14707-2026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46282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46282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22111-2026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46153</v>
      </c>
      <c r="E641" s="1" t="n">
        <v>46282</v>
      </c>
      <c r="F641" t="inlineStr">
        <is>
          <t>GÄVLEBORGS LÄN</t>
        </is>
      </c>
      <c r="G641" t="inlineStr">
        <is>
          <t>GÄVLE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50582-2023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45217</v>
      </c>
      <c r="E642" s="1" t="n">
        <v>46282</v>
      </c>
      <c r="F642" t="inlineStr">
        <is>
          <t>GÄVLEBORGS LÄN</t>
        </is>
      </c>
      <c r="G642" t="inlineStr">
        <is>
          <t>GÄVLE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9235-2022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44616</v>
      </c>
      <c r="E643" s="1" t="n">
        <v>46282</v>
      </c>
      <c r="F643" t="inlineStr">
        <is>
          <t>GÄVLEBORGS LÄN</t>
        </is>
      </c>
      <c r="G643" t="inlineStr">
        <is>
          <t>GÄVLE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53082-2022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44876</v>
      </c>
      <c r="E644" s="1" t="n">
        <v>46282</v>
      </c>
      <c r="F644" t="inlineStr">
        <is>
          <t>GÄVLEBORGS LÄN</t>
        </is>
      </c>
      <c r="G644" t="inlineStr">
        <is>
          <t>GÄVLE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46282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72734-2021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44546</v>
      </c>
      <c r="E646" s="1" t="n">
        <v>46282</v>
      </c>
      <c r="F646" t="inlineStr">
        <is>
          <t>GÄVLEBORGS LÄN</t>
        </is>
      </c>
      <c r="G646" t="inlineStr">
        <is>
          <t>GÄVLE</t>
        </is>
      </c>
      <c r="H646" t="inlineStr">
        <is>
          <t>Kommuner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46282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53432-2021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44468</v>
      </c>
      <c r="E648" s="1" t="n">
        <v>46282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46282</v>
      </c>
      <c r="F649" t="inlineStr">
        <is>
          <t>GÄVLEBORGS LÄN</t>
        </is>
      </c>
      <c r="G649" t="inlineStr">
        <is>
          <t>GÄVLE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46282</v>
      </c>
      <c r="F650" t="inlineStr">
        <is>
          <t>GÄVLEBORGS LÄN</t>
        </is>
      </c>
      <c r="G650" t="inlineStr">
        <is>
          <t>GÄVLE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15158-2026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46282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22545-2026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46282</v>
      </c>
      <c r="F652" t="inlineStr">
        <is>
          <t>GÄVLEBORGS LÄN</t>
        </is>
      </c>
      <c r="G652" t="inlineStr">
        <is>
          <t>GÄVLE</t>
        </is>
      </c>
      <c r="H652" t="inlineStr">
        <is>
          <t>Kyrkan</t>
        </is>
      </c>
      <c r="I652" t="n">
        <v>10.1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58445-2021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44488</v>
      </c>
      <c r="E653" s="1" t="n">
        <v>46282</v>
      </c>
      <c r="F653" t="inlineStr">
        <is>
          <t>GÄVLEBORGS LÄN</t>
        </is>
      </c>
      <c r="G653" t="inlineStr">
        <is>
          <t>GÄVLE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46282</v>
      </c>
      <c r="F654" t="inlineStr">
        <is>
          <t>GÄVLEBORGS LÄN</t>
        </is>
      </c>
      <c r="G654" t="inlineStr">
        <is>
          <t>GÄVLE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66493-2021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44519</v>
      </c>
      <c r="E655" s="1" t="n">
        <v>46282</v>
      </c>
      <c r="F655" t="inlineStr">
        <is>
          <t>GÄVLEBORGS LÄN</t>
        </is>
      </c>
      <c r="G655" t="inlineStr">
        <is>
          <t>GÄVLE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15152-2026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46105</v>
      </c>
      <c r="E656" s="1" t="n">
        <v>46282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46282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22342-2026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46154</v>
      </c>
      <c r="E658" s="1" t="n">
        <v>46282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15790-2026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46282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46282</v>
      </c>
      <c r="F660" t="inlineStr">
        <is>
          <t>GÄVLEBORGS LÄN</t>
        </is>
      </c>
      <c r="G660" t="inlineStr">
        <is>
          <t>GÄVLE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46282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45312</v>
      </c>
      <c r="E662" s="1" t="n">
        <v>46282</v>
      </c>
      <c r="F662" t="inlineStr">
        <is>
          <t>GÄVLEBORGS LÄN</t>
        </is>
      </c>
      <c r="G662" t="inlineStr">
        <is>
          <t>GÄVLE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44936</v>
      </c>
      <c r="E663" s="1" t="n">
        <v>46282</v>
      </c>
      <c r="F663" t="inlineStr">
        <is>
          <t>GÄVLEBORGS LÄN</t>
        </is>
      </c>
      <c r="G663" t="inlineStr">
        <is>
          <t>GÄVLE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15469-2026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46282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15167-2026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46282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15711-2026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46107</v>
      </c>
      <c r="E666" s="1" t="n">
        <v>46282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46282</v>
      </c>
      <c r="F667" t="inlineStr">
        <is>
          <t>GÄVLEBORGS LÄN</t>
        </is>
      </c>
      <c r="G667" t="inlineStr">
        <is>
          <t>GÄVLE</t>
        </is>
      </c>
      <c r="H667" t="inlineStr">
        <is>
          <t>Kyrkan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2457-2024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45312</v>
      </c>
      <c r="E668" s="1" t="n">
        <v>46282</v>
      </c>
      <c r="F668" t="inlineStr">
        <is>
          <t>GÄVLEBORGS LÄN</t>
        </is>
      </c>
      <c r="G668" t="inlineStr">
        <is>
          <t>GÄVLE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46282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51071-2023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45218</v>
      </c>
      <c r="E670" s="1" t="n">
        <v>46282</v>
      </c>
      <c r="F670" t="inlineStr">
        <is>
          <t>GÄVLEBORGS LÄN</t>
        </is>
      </c>
      <c r="G670" t="inlineStr">
        <is>
          <t>GÄVLE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23591-2026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46163</v>
      </c>
      <c r="E671" s="1" t="n">
        <v>46282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17113-2024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45412</v>
      </c>
      <c r="E672" s="1" t="n">
        <v>46282</v>
      </c>
      <c r="F672" t="inlineStr">
        <is>
          <t>GÄVLEBORGS LÄN</t>
        </is>
      </c>
      <c r="G672" t="inlineStr">
        <is>
          <t>GÄVLE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49401-2024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45595</v>
      </c>
      <c r="E673" s="1" t="n">
        <v>46282</v>
      </c>
      <c r="F673" t="inlineStr">
        <is>
          <t>GÄVLEBORGS LÄN</t>
        </is>
      </c>
      <c r="G673" t="inlineStr">
        <is>
          <t>GÄVLE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23956-2026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46167</v>
      </c>
      <c r="E674" s="1" t="n">
        <v>46282</v>
      </c>
      <c r="F674" t="inlineStr">
        <is>
          <t>GÄVLEBORGS LÄN</t>
        </is>
      </c>
      <c r="G674" t="inlineStr">
        <is>
          <t>GÄVLE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64871-2023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45282</v>
      </c>
      <c r="E675" s="1" t="n">
        <v>46282</v>
      </c>
      <c r="F675" t="inlineStr">
        <is>
          <t>GÄVLEBORGS LÄN</t>
        </is>
      </c>
      <c r="G675" t="inlineStr">
        <is>
          <t>GÄVLE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64875-2023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45282</v>
      </c>
      <c r="E676" s="1" t="n">
        <v>46282</v>
      </c>
      <c r="F676" t="inlineStr">
        <is>
          <t>GÄVLEBORGS LÄN</t>
        </is>
      </c>
      <c r="G676" t="inlineStr">
        <is>
          <t>GÄVLE</t>
        </is>
      </c>
      <c r="I676" t="n">
        <v>0.1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64878-2023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45282</v>
      </c>
      <c r="E677" s="1" t="n">
        <v>46282</v>
      </c>
      <c r="F677" t="inlineStr">
        <is>
          <t>GÄVLEBORGS LÄN</t>
        </is>
      </c>
      <c r="G677" t="inlineStr">
        <is>
          <t>GÄVLE</t>
        </is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24325-2026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46169</v>
      </c>
      <c r="E678" s="1" t="n">
        <v>46282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46282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46282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46282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46282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24089-2026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46282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42934-2023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45182</v>
      </c>
      <c r="E684" s="1" t="n">
        <v>46282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36638-2022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44804</v>
      </c>
      <c r="E685" s="1" t="n">
        <v>46282</v>
      </c>
      <c r="F685" t="inlineStr">
        <is>
          <t>GÄVLEBORGS LÄN</t>
        </is>
      </c>
      <c r="G685" t="inlineStr">
        <is>
          <t>GÄVLE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46282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45628-2022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44845</v>
      </c>
      <c r="E687" s="1" t="n">
        <v>46282</v>
      </c>
      <c r="F687" t="inlineStr">
        <is>
          <t>GÄVLEBORGS LÄN</t>
        </is>
      </c>
      <c r="G687" t="inlineStr">
        <is>
          <t>GÄVLE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24090-2026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46282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46282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46282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46282</v>
      </c>
      <c r="F691" t="inlineStr">
        <is>
          <t>GÄVLEBORGS LÄN</t>
        </is>
      </c>
      <c r="G691" t="inlineStr">
        <is>
          <t>GÄVLE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45644</v>
      </c>
      <c r="E692" s="1" t="n">
        <v>46282</v>
      </c>
      <c r="F692" t="inlineStr">
        <is>
          <t>GÄVLEBORGS LÄN</t>
        </is>
      </c>
      <c r="G692" t="inlineStr">
        <is>
          <t>GÄVLE</t>
        </is>
      </c>
      <c r="H692" t="inlineStr">
        <is>
          <t>Kyrkan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45644</v>
      </c>
      <c r="E693" s="1" t="n">
        <v>46282</v>
      </c>
      <c r="F693" t="inlineStr">
        <is>
          <t>GÄVLEBORGS LÄN</t>
        </is>
      </c>
      <c r="G693" t="inlineStr">
        <is>
          <t>GÄVLE</t>
        </is>
      </c>
      <c r="H693" t="inlineStr">
        <is>
          <t>Kyrkan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24810-2026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46173</v>
      </c>
      <c r="E694" s="1" t="n">
        <v>46282</v>
      </c>
      <c r="F694" t="inlineStr">
        <is>
          <t>GÄVLEBORGS LÄN</t>
        </is>
      </c>
      <c r="G694" t="inlineStr">
        <is>
          <t>GÄVLE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22577-2022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44713</v>
      </c>
      <c r="E695" s="1" t="n">
        <v>46282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10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46282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15207-2024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45400</v>
      </c>
      <c r="E697" s="1" t="n">
        <v>46282</v>
      </c>
      <c r="F697" t="inlineStr">
        <is>
          <t>GÄVLEBORGS LÄN</t>
        </is>
      </c>
      <c r="G697" t="inlineStr">
        <is>
          <t>GÄVLE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24669-2026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46282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21.4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21365-2026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46147</v>
      </c>
      <c r="E699" s="1" t="n">
        <v>46282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29016-2023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45104</v>
      </c>
      <c r="E700" s="1" t="n">
        <v>46282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46282</v>
      </c>
      <c r="F701" t="inlineStr">
        <is>
          <t>GÄVLEBORGS LÄN</t>
        </is>
      </c>
      <c r="G701" t="inlineStr">
        <is>
          <t>GÄVLE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60396-2022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44910</v>
      </c>
      <c r="E702" s="1" t="n">
        <v>46282</v>
      </c>
      <c r="F702" t="inlineStr">
        <is>
          <t>GÄVLEBORGS LÄN</t>
        </is>
      </c>
      <c r="G702" t="inlineStr">
        <is>
          <t>GÄVLE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46282</v>
      </c>
      <c r="F703" t="inlineStr">
        <is>
          <t>GÄVLEBORGS LÄN</t>
        </is>
      </c>
      <c r="G703" t="inlineStr">
        <is>
          <t>GÄVLE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25276-2024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45462</v>
      </c>
      <c r="E704" s="1" t="n">
        <v>46282</v>
      </c>
      <c r="F704" t="inlineStr">
        <is>
          <t>GÄVLEBORGS LÄN</t>
        </is>
      </c>
      <c r="G704" t="inlineStr">
        <is>
          <t>GÄVLE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45660</v>
      </c>
      <c r="E705" s="1" t="n">
        <v>46282</v>
      </c>
      <c r="F705" t="inlineStr">
        <is>
          <t>GÄVLEBORGS LÄN</t>
        </is>
      </c>
      <c r="G705" t="inlineStr">
        <is>
          <t>GÄVLE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45660</v>
      </c>
      <c r="E706" s="1" t="n">
        <v>46282</v>
      </c>
      <c r="F706" t="inlineStr">
        <is>
          <t>GÄVLEBORGS LÄN</t>
        </is>
      </c>
      <c r="G706" t="inlineStr">
        <is>
          <t>GÄVLE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27182-2022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44741</v>
      </c>
      <c r="E707" s="1" t="n">
        <v>46282</v>
      </c>
      <c r="F707" t="inlineStr">
        <is>
          <t>GÄVLEBORGS LÄN</t>
        </is>
      </c>
      <c r="G707" t="inlineStr">
        <is>
          <t>GÄVLE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25808-2026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46282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46282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25500-2026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46282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20676-2026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46141</v>
      </c>
      <c r="E711" s="1" t="n">
        <v>46282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46177</v>
      </c>
      <c r="E712" s="1" t="n">
        <v>46282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25582-2026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46177</v>
      </c>
      <c r="E713" s="1" t="n">
        <v>46282</v>
      </c>
      <c r="F713" t="inlineStr">
        <is>
          <t>GÄVLEBORGS LÄN</t>
        </is>
      </c>
      <c r="G713" t="inlineStr">
        <is>
          <t>GÄVLE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8031-2024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45350</v>
      </c>
      <c r="E714" s="1" t="n">
        <v>46282</v>
      </c>
      <c r="F714" t="inlineStr">
        <is>
          <t>GÄVLEBORGS LÄN</t>
        </is>
      </c>
      <c r="G714" t="inlineStr">
        <is>
          <t>GÄVLE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25829-2026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46282</v>
      </c>
      <c r="F715" t="inlineStr">
        <is>
          <t>GÄVLEBORGS LÄN</t>
        </is>
      </c>
      <c r="G715" t="inlineStr">
        <is>
          <t>GÄVLE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61351-2021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44498</v>
      </c>
      <c r="E716" s="1" t="n">
        <v>46282</v>
      </c>
      <c r="F716" t="inlineStr">
        <is>
          <t>GÄVLEBORGS LÄN</t>
        </is>
      </c>
      <c r="G716" t="inlineStr">
        <is>
          <t>GÄVLE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25623-2026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46282</v>
      </c>
      <c r="F717" t="inlineStr">
        <is>
          <t>GÄVLEBORGS LÄN</t>
        </is>
      </c>
      <c r="G717" t="inlineStr">
        <is>
          <t>GÄVLE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26016-2026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46282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53281-2024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45614</v>
      </c>
      <c r="E719" s="1" t="n">
        <v>46282</v>
      </c>
      <c r="F719" t="inlineStr">
        <is>
          <t>GÄVLEBORGS LÄN</t>
        </is>
      </c>
      <c r="G719" t="inlineStr">
        <is>
          <t>GÄVLE</t>
        </is>
      </c>
      <c r="I719" t="n">
        <v>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60879-2023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45261</v>
      </c>
      <c r="E720" s="1" t="n">
        <v>46282</v>
      </c>
      <c r="F720" t="inlineStr">
        <is>
          <t>GÄVLEBORGS LÄN</t>
        </is>
      </c>
      <c r="G720" t="inlineStr">
        <is>
          <t>GÄVLE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15312-2023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45019</v>
      </c>
      <c r="E721" s="1" t="n">
        <v>46282</v>
      </c>
      <c r="F721" t="inlineStr">
        <is>
          <t>GÄVLEBORGS LÄN</t>
        </is>
      </c>
      <c r="G721" t="inlineStr">
        <is>
          <t>GÄVLE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26600-2026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46282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52387-2022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44874</v>
      </c>
      <c r="E723" s="1" t="n">
        <v>46282</v>
      </c>
      <c r="F723" t="inlineStr">
        <is>
          <t>GÄVLEBORGS LÄN</t>
        </is>
      </c>
      <c r="G723" t="inlineStr">
        <is>
          <t>GÄVLE</t>
        </is>
      </c>
      <c r="H723" t="inlineStr">
        <is>
          <t>Kommuner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31011-2023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45113</v>
      </c>
      <c r="E724" s="1" t="n">
        <v>46282</v>
      </c>
      <c r="F724" t="inlineStr">
        <is>
          <t>GÄVLEBORGS LÄN</t>
        </is>
      </c>
      <c r="G724" t="inlineStr">
        <is>
          <t>GÄVLE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46282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46282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26991-2026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46282</v>
      </c>
      <c r="F727" t="inlineStr">
        <is>
          <t>GÄVLEBORGS LÄN</t>
        </is>
      </c>
      <c r="G727" t="inlineStr">
        <is>
          <t>GÄVLE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22466-2023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45070</v>
      </c>
      <c r="E728" s="1" t="n">
        <v>46282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46282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46282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27065-2026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46282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27067-2026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46282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27053-2026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46282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46282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16023-2023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45026</v>
      </c>
      <c r="E735" s="1" t="n">
        <v>46282</v>
      </c>
      <c r="F735" t="inlineStr">
        <is>
          <t>GÄVLEBORGS LÄN</t>
        </is>
      </c>
      <c r="G735" t="inlineStr">
        <is>
          <t>GÄVLE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46282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46282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46188</v>
      </c>
      <c r="E738" s="1" t="n">
        <v>46282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46282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27051-2026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46282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27042-2026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46282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27056-2026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46282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46282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27069-2026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46282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45467</v>
      </c>
      <c r="E745" s="1" t="n">
        <v>46282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7235-2025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45702</v>
      </c>
      <c r="E746" s="1" t="n">
        <v>46282</v>
      </c>
      <c r="F746" t="inlineStr">
        <is>
          <t>GÄVLEBORGS LÄN</t>
        </is>
      </c>
      <c r="G746" t="inlineStr">
        <is>
          <t>GÄVLE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27359-2026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46188</v>
      </c>
      <c r="E747" s="1" t="n">
        <v>46282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27360-2026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46282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71215-2021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44539</v>
      </c>
      <c r="E749" s="1" t="n">
        <v>46282</v>
      </c>
      <c r="F749" t="inlineStr">
        <is>
          <t>GÄVLEBORGS LÄN</t>
        </is>
      </c>
      <c r="G749" t="inlineStr">
        <is>
          <t>GÄVLE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26885-2026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46282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26942-2026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46282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27046-2026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46282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27040-2026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46282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46282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27059-2026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46282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46282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61879-2024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45652</v>
      </c>
      <c r="E757" s="1" t="n">
        <v>46282</v>
      </c>
      <c r="F757" t="inlineStr">
        <is>
          <t>GÄVLEBORGS LÄN</t>
        </is>
      </c>
      <c r="G757" t="inlineStr">
        <is>
          <t>GÄVLE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19712-2022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44694</v>
      </c>
      <c r="E758" s="1" t="n">
        <v>46282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39509-2022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44818</v>
      </c>
      <c r="E759" s="1" t="n">
        <v>46282</v>
      </c>
      <c r="F759" t="inlineStr">
        <is>
          <t>GÄVLEBORGS LÄN</t>
        </is>
      </c>
      <c r="G759" t="inlineStr">
        <is>
          <t>GÄVLE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30662-2022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44763</v>
      </c>
      <c r="E760" s="1" t="n">
        <v>46282</v>
      </c>
      <c r="F760" t="inlineStr">
        <is>
          <t>GÄVLEBORGS LÄN</t>
        </is>
      </c>
      <c r="G760" t="inlineStr">
        <is>
          <t>GÄVLE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19164-2026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46132</v>
      </c>
      <c r="E761" s="1" t="n">
        <v>46282</v>
      </c>
      <c r="F761" t="inlineStr">
        <is>
          <t>GÄVLEBORGS LÄN</t>
        </is>
      </c>
      <c r="G761" t="inlineStr">
        <is>
          <t>GÄVLE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61004-2024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45645</v>
      </c>
      <c r="E762" s="1" t="n">
        <v>46282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46282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46282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28379-2026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46282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37352-2024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45540</v>
      </c>
      <c r="E766" s="1" t="n">
        <v>46282</v>
      </c>
      <c r="F766" t="inlineStr">
        <is>
          <t>GÄVLEBORGS LÄN</t>
        </is>
      </c>
      <c r="G766" t="inlineStr">
        <is>
          <t>GÄVLE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17605-2025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45757</v>
      </c>
      <c r="E767" s="1" t="n">
        <v>46282</v>
      </c>
      <c r="F767" t="inlineStr">
        <is>
          <t>GÄVLEBORGS LÄN</t>
        </is>
      </c>
      <c r="G767" t="inlineStr">
        <is>
          <t>GÄVLE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45757</v>
      </c>
      <c r="E768" s="1" t="n">
        <v>46282</v>
      </c>
      <c r="F768" t="inlineStr">
        <is>
          <t>GÄVLEBORGS LÄN</t>
        </is>
      </c>
      <c r="G768" t="inlineStr">
        <is>
          <t>GÄVLE</t>
        </is>
      </c>
      <c r="I768" t="n">
        <v>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46282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46195</v>
      </c>
      <c r="E770" s="1" t="n">
        <v>46282</v>
      </c>
      <c r="F770" t="inlineStr">
        <is>
          <t>GÄVLEBORGS LÄN</t>
        </is>
      </c>
      <c r="G770" t="inlineStr">
        <is>
          <t>GÄVLE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22968-2026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46160</v>
      </c>
      <c r="E771" s="1" t="n">
        <v>46282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56487-2023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45243</v>
      </c>
      <c r="E772" s="1" t="n">
        <v>46282</v>
      </c>
      <c r="F772" t="inlineStr">
        <is>
          <t>GÄVLEBORGS LÄN</t>
        </is>
      </c>
      <c r="G772" t="inlineStr">
        <is>
          <t>GÄVLE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9307-2022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44616</v>
      </c>
      <c r="E773" s="1" t="n">
        <v>46282</v>
      </c>
      <c r="F773" t="inlineStr">
        <is>
          <t>GÄVLEBORGS LÄN</t>
        </is>
      </c>
      <c r="G773" t="inlineStr">
        <is>
          <t>GÄVLE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29494-2026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46282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46282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52.7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28654-2026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46198</v>
      </c>
      <c r="E776" s="1" t="n">
        <v>46282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45735</v>
      </c>
      <c r="E777" s="1" t="n">
        <v>46282</v>
      </c>
      <c r="F777" t="inlineStr">
        <is>
          <t>GÄVLEBORGS LÄN</t>
        </is>
      </c>
      <c r="G777" t="inlineStr">
        <is>
          <t>GÄVLE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28485-2026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46197</v>
      </c>
      <c r="E778" s="1" t="n">
        <v>46282</v>
      </c>
      <c r="F778" t="inlineStr">
        <is>
          <t>GÄVLEBORGS LÄN</t>
        </is>
      </c>
      <c r="G778" t="inlineStr">
        <is>
          <t>GÄVLE</t>
        </is>
      </c>
      <c r="H778" t="inlineStr">
        <is>
          <t>BillerudKorsnäs AB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46282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46282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31866-2023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45106</v>
      </c>
      <c r="E781" s="1" t="n">
        <v>46282</v>
      </c>
      <c r="F781" t="inlineStr">
        <is>
          <t>GÄVLEBORGS LÄN</t>
        </is>
      </c>
      <c r="G781" t="inlineStr">
        <is>
          <t>GÄVLE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14807-2023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45014</v>
      </c>
      <c r="E782" s="1" t="n">
        <v>46282</v>
      </c>
      <c r="F782" t="inlineStr">
        <is>
          <t>GÄVLEBORGS LÄN</t>
        </is>
      </c>
      <c r="G782" t="inlineStr">
        <is>
          <t>GÄVLE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46198</v>
      </c>
      <c r="E783" s="1" t="n">
        <v>46282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46282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28658-2026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46282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32890-2026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46244</v>
      </c>
      <c r="E786" s="1" t="n">
        <v>46282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46202</v>
      </c>
      <c r="E787" s="1" t="n">
        <v>46282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46202</v>
      </c>
      <c r="E788" s="1" t="n">
        <v>46282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33880-2022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44790</v>
      </c>
      <c r="E789" s="1" t="n">
        <v>46282</v>
      </c>
      <c r="F789" t="inlineStr">
        <is>
          <t>GÄVLEBORGS LÄN</t>
        </is>
      </c>
      <c r="G789" t="inlineStr">
        <is>
          <t>GÄVLE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32887-2026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46244</v>
      </c>
      <c r="E790" s="1" t="n">
        <v>46282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32888-2026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46244</v>
      </c>
      <c r="E791" s="1" t="n">
        <v>46282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6370-2025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45699</v>
      </c>
      <c r="E792" s="1" t="n">
        <v>46282</v>
      </c>
      <c r="F792" t="inlineStr">
        <is>
          <t>GÄVLEBORGS LÄN</t>
        </is>
      </c>
      <c r="G792" t="inlineStr">
        <is>
          <t>GÄVLE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46282</v>
      </c>
      <c r="F793" t="inlineStr">
        <is>
          <t>GÄVLEBORGS LÄN</t>
        </is>
      </c>
      <c r="G793" t="inlineStr">
        <is>
          <t>GÄVLE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29364-2026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46203</v>
      </c>
      <c r="E794" s="1" t="n">
        <v>46282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46246</v>
      </c>
      <c r="E795" s="1" t="n">
        <v>46282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11691-2024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45373</v>
      </c>
      <c r="E796" s="1" t="n">
        <v>46282</v>
      </c>
      <c r="F796" t="inlineStr">
        <is>
          <t>GÄVLEBORGS LÄN</t>
        </is>
      </c>
      <c r="G796" t="inlineStr">
        <is>
          <t>GÄVLE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62766-2022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44885</v>
      </c>
      <c r="E797" s="1" t="n">
        <v>46282</v>
      </c>
      <c r="F797" t="inlineStr">
        <is>
          <t>GÄVLEBORGS LÄN</t>
        </is>
      </c>
      <c r="G797" t="inlineStr">
        <is>
          <t>GÄVLE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64873-2023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45282</v>
      </c>
      <c r="E798" s="1" t="n">
        <v>46282</v>
      </c>
      <c r="F798" t="inlineStr">
        <is>
          <t>GÄVLEBORGS LÄN</t>
        </is>
      </c>
      <c r="G798" t="inlineStr">
        <is>
          <t>GÄVLE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46246</v>
      </c>
      <c r="E799" s="1" t="n">
        <v>46282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33349-2026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46246</v>
      </c>
      <c r="E800" s="1" t="n">
        <v>46282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33231-2026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46246</v>
      </c>
      <c r="E801" s="1" t="n">
        <v>46282</v>
      </c>
      <c r="F801" t="inlineStr">
        <is>
          <t>GÄVLEBORGS LÄN</t>
        </is>
      </c>
      <c r="G801" t="inlineStr">
        <is>
          <t>GÄVLE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33347-2026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46246</v>
      </c>
      <c r="E802" s="1" t="n">
        <v>46282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46282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33719-2026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46251</v>
      </c>
      <c r="E804" s="1" t="n">
        <v>46282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15456-2026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46106</v>
      </c>
      <c r="E805" s="1" t="n">
        <v>46282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51758-2025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45950</v>
      </c>
      <c r="E806" s="1" t="n">
        <v>46282</v>
      </c>
      <c r="F806" t="inlineStr">
        <is>
          <t>GÄVLEBORGS LÄN</t>
        </is>
      </c>
      <c r="G806" t="inlineStr">
        <is>
          <t>GÄVLE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29862-2023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45107</v>
      </c>
      <c r="E807" s="1" t="n">
        <v>46282</v>
      </c>
      <c r="F807" t="inlineStr">
        <is>
          <t>GÄVLEBORGS LÄN</t>
        </is>
      </c>
      <c r="G807" t="inlineStr">
        <is>
          <t>GÄVLE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33586-2026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46248</v>
      </c>
      <c r="E808" s="1" t="n">
        <v>46282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31019-2026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46282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30324-2026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46207</v>
      </c>
      <c r="E810" s="1" t="n">
        <v>46282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22363-2026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46154</v>
      </c>
      <c r="E811" s="1" t="n">
        <v>46282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33664-2026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46248</v>
      </c>
      <c r="E812" s="1" t="n">
        <v>46282</v>
      </c>
      <c r="F812" t="inlineStr">
        <is>
          <t>GÄVLEBORGS LÄN</t>
        </is>
      </c>
      <c r="G812" t="inlineStr">
        <is>
          <t>GÄVLE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24478-2023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45082</v>
      </c>
      <c r="E813" s="1" t="n">
        <v>46282</v>
      </c>
      <c r="F813" t="inlineStr">
        <is>
          <t>GÄVLEBORGS LÄN</t>
        </is>
      </c>
      <c r="G813" t="inlineStr">
        <is>
          <t>GÄVLE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17088-2023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45034</v>
      </c>
      <c r="E814" s="1" t="n">
        <v>46282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7792-2023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44973</v>
      </c>
      <c r="E815" s="1" t="n">
        <v>46282</v>
      </c>
      <c r="F815" t="inlineStr">
        <is>
          <t>GÄVLEBORGS LÄN</t>
        </is>
      </c>
      <c r="G815" t="inlineStr">
        <is>
          <t>GÄVLE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14735-2024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45397</v>
      </c>
      <c r="E816" s="1" t="n">
        <v>46282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33662-2026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46248</v>
      </c>
      <c r="E817" s="1" t="n">
        <v>46282</v>
      </c>
      <c r="F817" t="inlineStr">
        <is>
          <t>GÄVLEBORGS LÄN</t>
        </is>
      </c>
      <c r="G817" t="inlineStr">
        <is>
          <t>GÄVLE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33585-2026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46282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9.5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24367-2026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46169</v>
      </c>
      <c r="E819" s="1" t="n">
        <v>46282</v>
      </c>
      <c r="F819" t="inlineStr">
        <is>
          <t>GÄVLEBORGS LÄN</t>
        </is>
      </c>
      <c r="G819" t="inlineStr">
        <is>
          <t>GÄVLE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35761-2022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44800</v>
      </c>
      <c r="E820" s="1" t="n">
        <v>46282</v>
      </c>
      <c r="F820" t="inlineStr">
        <is>
          <t>GÄVLEBORGS LÄN</t>
        </is>
      </c>
      <c r="G820" t="inlineStr">
        <is>
          <t>GÄVLE</t>
        </is>
      </c>
      <c r="I820" t="n">
        <v>8.199999999999999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34033-2026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46252</v>
      </c>
      <c r="E821" s="1" t="n">
        <v>46282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46210</v>
      </c>
      <c r="E822" s="1" t="n">
        <v>46282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46210</v>
      </c>
      <c r="E823" s="1" t="n">
        <v>46282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46282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34590-2026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46255</v>
      </c>
      <c r="E825" s="1" t="n">
        <v>46282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46255</v>
      </c>
      <c r="E826" s="1" t="n">
        <v>46282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34593-2026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46255</v>
      </c>
      <c r="E827" s="1" t="n">
        <v>46282</v>
      </c>
      <c r="F827" t="inlineStr">
        <is>
          <t>GÄVLEBORGS LÄN</t>
        </is>
      </c>
      <c r="G827" t="inlineStr">
        <is>
          <t>GÄVLE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61918-2023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45266</v>
      </c>
      <c r="E828" s="1" t="n">
        <v>46282</v>
      </c>
      <c r="F828" t="inlineStr">
        <is>
          <t>GÄVLEBORGS LÄN</t>
        </is>
      </c>
      <c r="G828" t="inlineStr">
        <is>
          <t>GÄVLE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17245-2024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45414</v>
      </c>
      <c r="E829" s="1" t="n">
        <v>46282</v>
      </c>
      <c r="F829" t="inlineStr">
        <is>
          <t>GÄVLEBORGS LÄN</t>
        </is>
      </c>
      <c r="G829" t="inlineStr">
        <is>
          <t>GÄVLE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46254</v>
      </c>
      <c r="E830" s="1" t="n">
        <v>46282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46282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34733-2026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46258</v>
      </c>
      <c r="E832" s="1" t="n">
        <v>46282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62255-2022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44922</v>
      </c>
      <c r="E833" s="1" t="n">
        <v>46282</v>
      </c>
      <c r="F833" t="inlineStr">
        <is>
          <t>GÄVLEBORGS LÄN</t>
        </is>
      </c>
      <c r="G833" t="inlineStr">
        <is>
          <t>GÄVLE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34822-2026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46258</v>
      </c>
      <c r="E834" s="1" t="n">
        <v>46282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31445-2026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46217</v>
      </c>
      <c r="E835" s="1" t="n">
        <v>46282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57928-2024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45631</v>
      </c>
      <c r="E836" s="1" t="n">
        <v>46282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9422-2025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45715</v>
      </c>
      <c r="E837" s="1" t="n">
        <v>46282</v>
      </c>
      <c r="F837" t="inlineStr">
        <is>
          <t>GÄVLEBORGS LÄN</t>
        </is>
      </c>
      <c r="G837" t="inlineStr">
        <is>
          <t>GÄVLE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61843-2023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45266</v>
      </c>
      <c r="E838" s="1" t="n">
        <v>46282</v>
      </c>
      <c r="F838" t="inlineStr">
        <is>
          <t>GÄVLEBORGS LÄN</t>
        </is>
      </c>
      <c r="G838" t="inlineStr">
        <is>
          <t>GÄVLE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45660</v>
      </c>
      <c r="E839" s="1" t="n">
        <v>46282</v>
      </c>
      <c r="F839" t="inlineStr">
        <is>
          <t>GÄVLEBORGS LÄN</t>
        </is>
      </c>
      <c r="G839" t="inlineStr">
        <is>
          <t>GÄVLE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30948-2026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46213</v>
      </c>
      <c r="E840" s="1" t="n">
        <v>46282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34686-2026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46258</v>
      </c>
      <c r="E841" s="1" t="n">
        <v>46282</v>
      </c>
      <c r="F841" t="inlineStr">
        <is>
          <t>GÄVLEBORGS LÄN</t>
        </is>
      </c>
      <c r="G841" t="inlineStr">
        <is>
          <t>GÄVLE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33449-2024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45519</v>
      </c>
      <c r="E842" s="1" t="n">
        <v>46282</v>
      </c>
      <c r="F842" t="inlineStr">
        <is>
          <t>GÄVLEBORGS LÄN</t>
        </is>
      </c>
      <c r="G842" t="inlineStr">
        <is>
          <t>GÄVLE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30969-2026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46213</v>
      </c>
      <c r="E843" s="1" t="n">
        <v>46282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45146</v>
      </c>
      <c r="E844" s="1" t="n">
        <v>46282</v>
      </c>
      <c r="F844" t="inlineStr">
        <is>
          <t>GÄVLEBORGS LÄN</t>
        </is>
      </c>
      <c r="G844" t="inlineStr">
        <is>
          <t>GÄVLE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3662-2022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44586</v>
      </c>
      <c r="E845" s="1" t="n">
        <v>46282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7410-2025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45705</v>
      </c>
      <c r="E846" s="1" t="n">
        <v>46282</v>
      </c>
      <c r="F846" t="inlineStr">
        <is>
          <t>GÄVLEBORGS LÄN</t>
        </is>
      </c>
      <c r="G846" t="inlineStr">
        <is>
          <t>GÄVLE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30951-2026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46282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35331-2024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45530</v>
      </c>
      <c r="E848" s="1" t="n">
        <v>46282</v>
      </c>
      <c r="F848" t="inlineStr">
        <is>
          <t>GÄVLEBORGS LÄN</t>
        </is>
      </c>
      <c r="G848" t="inlineStr">
        <is>
          <t>GÄVLE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44927</v>
      </c>
      <c r="E849" s="1" t="n">
        <v>46282</v>
      </c>
      <c r="F849" t="inlineStr">
        <is>
          <t>GÄVLEBORGS LÄN</t>
        </is>
      </c>
      <c r="G849" t="inlineStr">
        <is>
          <t>GÄVLE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44806-2024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45574</v>
      </c>
      <c r="E850" s="1" t="n">
        <v>46282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31234-2026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46217</v>
      </c>
      <c r="E851" s="1" t="n">
        <v>46282</v>
      </c>
      <c r="F851" t="inlineStr">
        <is>
          <t>GÄVLEBORGS LÄN</t>
        </is>
      </c>
      <c r="G851" t="inlineStr">
        <is>
          <t>GÄVLE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46282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35120-2026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46260</v>
      </c>
      <c r="E853" s="1" t="n">
        <v>46282</v>
      </c>
      <c r="F853" t="inlineStr">
        <is>
          <t>GÄVLEBORGS LÄN</t>
        </is>
      </c>
      <c r="G853" t="inlineStr">
        <is>
          <t>GÄVLE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35302-2026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46282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52250-2024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45608</v>
      </c>
      <c r="E855" s="1" t="n">
        <v>46282</v>
      </c>
      <c r="F855" t="inlineStr">
        <is>
          <t>GÄVLEBORGS LÄN</t>
        </is>
      </c>
      <c r="G855" t="inlineStr">
        <is>
          <t>GÄVLE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46282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46282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30875-2022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44767</v>
      </c>
      <c r="E858" s="1" t="n">
        <v>46282</v>
      </c>
      <c r="F858" t="inlineStr">
        <is>
          <t>GÄVLEBORGS LÄN</t>
        </is>
      </c>
      <c r="G858" t="inlineStr">
        <is>
          <t>GÄVLE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60349-2022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44910</v>
      </c>
      <c r="E859" s="1" t="n">
        <v>46282</v>
      </c>
      <c r="F859" t="inlineStr">
        <is>
          <t>GÄVLEBORGS LÄN</t>
        </is>
      </c>
      <c r="G859" t="inlineStr">
        <is>
          <t>GÄVLE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41100-2024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45559</v>
      </c>
      <c r="E860" s="1" t="n">
        <v>46282</v>
      </c>
      <c r="F860" t="inlineStr">
        <is>
          <t>GÄVLEBORGS LÄN</t>
        </is>
      </c>
      <c r="G860" t="inlineStr">
        <is>
          <t>GÄVLE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35780-2026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46265</v>
      </c>
      <c r="E861" s="1" t="n">
        <v>46282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35541-2026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46262</v>
      </c>
      <c r="E862" s="1" t="n">
        <v>46282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31528-2026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46220</v>
      </c>
      <c r="E863" s="1" t="n">
        <v>46282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11.4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35205-2024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45530</v>
      </c>
      <c r="E864" s="1" t="n">
        <v>46282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35495-2026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46262</v>
      </c>
      <c r="E865" s="1" t="n">
        <v>46282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35818-2026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46265</v>
      </c>
      <c r="E866" s="1" t="n">
        <v>46282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31566-2026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46223</v>
      </c>
      <c r="E867" s="1" t="n">
        <v>46282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10.2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35577-2026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46262</v>
      </c>
      <c r="E868" s="1" t="n">
        <v>46282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35561-2026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46262</v>
      </c>
      <c r="E869" s="1" t="n">
        <v>46282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46267</v>
      </c>
      <c r="E870" s="1" t="n">
        <v>46282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16401-2025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45751</v>
      </c>
      <c r="E871" s="1" t="n">
        <v>46282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36132-2026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46267</v>
      </c>
      <c r="E872" s="1" t="n">
        <v>46282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36089-2026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46267</v>
      </c>
      <c r="E873" s="1" t="n">
        <v>46282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5633-2024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45334</v>
      </c>
      <c r="E874" s="1" t="n">
        <v>46282</v>
      </c>
      <c r="F874" t="inlineStr">
        <is>
          <t>GÄVLEBORGS LÄN</t>
        </is>
      </c>
      <c r="G874" t="inlineStr">
        <is>
          <t>GÄVLE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13961-2024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45392</v>
      </c>
      <c r="E875" s="1" t="n">
        <v>46282</v>
      </c>
      <c r="F875" t="inlineStr">
        <is>
          <t>GÄVLEBORGS LÄN</t>
        </is>
      </c>
      <c r="G875" t="inlineStr">
        <is>
          <t>GÄVLE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36093-2026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46267</v>
      </c>
      <c r="E876" s="1" t="n">
        <v>46282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25466-2023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45089</v>
      </c>
      <c r="E877" s="1" t="n">
        <v>46282</v>
      </c>
      <c r="F877" t="inlineStr">
        <is>
          <t>GÄVLEBORGS LÄN</t>
        </is>
      </c>
      <c r="G877" t="inlineStr">
        <is>
          <t>GÄVLE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36086-2026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46267</v>
      </c>
      <c r="E878" s="1" t="n">
        <v>46282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7060-2022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44603</v>
      </c>
      <c r="E879" s="1" t="n">
        <v>46282</v>
      </c>
      <c r="F879" t="inlineStr">
        <is>
          <t>GÄVLEBORGS LÄN</t>
        </is>
      </c>
      <c r="G879" t="inlineStr">
        <is>
          <t>GÄVLE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36512-2026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46269</v>
      </c>
      <c r="E880" s="1" t="n">
        <v>46282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36522-2026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46269</v>
      </c>
      <c r="E881" s="1" t="n">
        <v>46282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41708-2023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45176</v>
      </c>
      <c r="E882" s="1" t="n">
        <v>46282</v>
      </c>
      <c r="F882" t="inlineStr">
        <is>
          <t>GÄVLEBORGS LÄN</t>
        </is>
      </c>
      <c r="G882" t="inlineStr">
        <is>
          <t>GÄVLE</t>
        </is>
      </c>
      <c r="I882" t="n">
        <v>6.5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41712-2023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45176</v>
      </c>
      <c r="E883" s="1" t="n">
        <v>46282</v>
      </c>
      <c r="F883" t="inlineStr">
        <is>
          <t>GÄVLEBORGS LÄN</t>
        </is>
      </c>
      <c r="G883" t="inlineStr">
        <is>
          <t>GÄVLE</t>
        </is>
      </c>
      <c r="I883" t="n">
        <v>7.8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44959</v>
      </c>
      <c r="E884" s="1" t="n">
        <v>46282</v>
      </c>
      <c r="F884" t="inlineStr">
        <is>
          <t>GÄVLEBORGS LÄN</t>
        </is>
      </c>
      <c r="G884" t="inlineStr">
        <is>
          <t>GÄVLE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36558-2026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46269</v>
      </c>
      <c r="E885" s="1" t="n">
        <v>46282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4235-2025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45685</v>
      </c>
      <c r="E886" s="1" t="n">
        <v>46282</v>
      </c>
      <c r="F886" t="inlineStr">
        <is>
          <t>GÄVLEBORGS LÄN</t>
        </is>
      </c>
      <c r="G886" t="inlineStr">
        <is>
          <t>GÄVLE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36530-2026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46269</v>
      </c>
      <c r="E887" s="1" t="n">
        <v>46282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46282</v>
      </c>
      <c r="F888" t="inlineStr">
        <is>
          <t>GÄVLEBORGS LÄN</t>
        </is>
      </c>
      <c r="G888" t="inlineStr">
        <is>
          <t>GÄVLE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14974-2026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46104</v>
      </c>
      <c r="E889" s="1" t="n">
        <v>46282</v>
      </c>
      <c r="F889" t="inlineStr">
        <is>
          <t>GÄVLEBORGS LÄN</t>
        </is>
      </c>
      <c r="G889" t="inlineStr">
        <is>
          <t>GÄVLE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56138-2023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45240</v>
      </c>
      <c r="E890" s="1" t="n">
        <v>46282</v>
      </c>
      <c r="F890" t="inlineStr">
        <is>
          <t>GÄVLEBORGS LÄN</t>
        </is>
      </c>
      <c r="G890" t="inlineStr">
        <is>
          <t>GÄVLE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36909-2026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46273</v>
      </c>
      <c r="E891" s="1" t="n">
        <v>46282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36945-2026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46282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36957-2026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46273</v>
      </c>
      <c r="E893" s="1" t="n">
        <v>46282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36962-2026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46282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33635-2024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46282</v>
      </c>
      <c r="F895" t="inlineStr">
        <is>
          <t>GÄVLEBORGS LÄN</t>
        </is>
      </c>
      <c r="G895" t="inlineStr">
        <is>
          <t>GÄVLE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33637-2024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45520</v>
      </c>
      <c r="E896" s="1" t="n">
        <v>46282</v>
      </c>
      <c r="F896" t="inlineStr">
        <is>
          <t>GÄVLEBORGS LÄN</t>
        </is>
      </c>
      <c r="G896" t="inlineStr">
        <is>
          <t>GÄVLE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36920-2026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46282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25645-2023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45089</v>
      </c>
      <c r="E898" s="1" t="n">
        <v>46282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7998-2023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44973</v>
      </c>
      <c r="E899" s="1" t="n">
        <v>46282</v>
      </c>
      <c r="F899" t="inlineStr">
        <is>
          <t>GÄVLEBORGS LÄN</t>
        </is>
      </c>
      <c r="G899" t="inlineStr">
        <is>
          <t>GÄVLE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36739-2026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46272</v>
      </c>
      <c r="E900" s="1" t="n">
        <v>46282</v>
      </c>
      <c r="F900" t="inlineStr">
        <is>
          <t>GÄVLEBORGS LÄN</t>
        </is>
      </c>
      <c r="G900" t="inlineStr">
        <is>
          <t>GÄVLE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36732-2026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46272</v>
      </c>
      <c r="E901" s="1" t="n">
        <v>46282</v>
      </c>
      <c r="F901" t="inlineStr">
        <is>
          <t>GÄVLEBORGS LÄN</t>
        </is>
      </c>
      <c r="G901" t="inlineStr">
        <is>
          <t>GÄVLE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36935-2026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46273</v>
      </c>
      <c r="E902" s="1" t="n">
        <v>46282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6.1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54207-2023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45232</v>
      </c>
      <c r="E903" s="1" t="n">
        <v>46282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15935-2025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45749</v>
      </c>
      <c r="E904" s="1" t="n">
        <v>46282</v>
      </c>
      <c r="F904" t="inlineStr">
        <is>
          <t>GÄVLEBORGS LÄN</t>
        </is>
      </c>
      <c r="G904" t="inlineStr">
        <is>
          <t>GÄVLE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36784-2026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46272</v>
      </c>
      <c r="E905" s="1" t="n">
        <v>46282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37223-2026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46274</v>
      </c>
      <c r="E906" s="1" t="n">
        <v>46282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25814-2023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45090</v>
      </c>
      <c r="E907" s="1" t="n">
        <v>46282</v>
      </c>
      <c r="F907" t="inlineStr">
        <is>
          <t>GÄVLEBORGS LÄN</t>
        </is>
      </c>
      <c r="G907" t="inlineStr">
        <is>
          <t>GÄVLE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14792-2023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45014</v>
      </c>
      <c r="E908" s="1" t="n">
        <v>46282</v>
      </c>
      <c r="F908" t="inlineStr">
        <is>
          <t>GÄVLEBORGS LÄN</t>
        </is>
      </c>
      <c r="G908" t="inlineStr">
        <is>
          <t>GÄVLE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37391-2026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46275</v>
      </c>
      <c r="E909" s="1" t="n">
        <v>46282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37401-2026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46275</v>
      </c>
      <c r="E910" s="1" t="n">
        <v>46282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19.1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12079-2025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45728</v>
      </c>
      <c r="E911" s="1" t="n">
        <v>46282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45306</v>
      </c>
      <c r="E912" s="1" t="n">
        <v>46282</v>
      </c>
      <c r="F912" t="inlineStr">
        <is>
          <t>GÄVLEBORGS LÄN</t>
        </is>
      </c>
      <c r="G912" t="inlineStr">
        <is>
          <t>GÄVLE</t>
        </is>
      </c>
      <c r="I912" t="n">
        <v>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37134-2026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46274</v>
      </c>
      <c r="E913" s="1" t="n">
        <v>46282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37150-2026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46274</v>
      </c>
      <c r="E914" s="1" t="n">
        <v>46282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37611-2026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46276</v>
      </c>
      <c r="E915" s="1" t="n">
        <v>46282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62983-2023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46282</v>
      </c>
      <c r="F916" t="inlineStr">
        <is>
          <t>GÄVLEBORGS LÄN</t>
        </is>
      </c>
      <c r="G916" t="inlineStr">
        <is>
          <t>GÄVLE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37640-2026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46276</v>
      </c>
      <c r="E917" s="1" t="n">
        <v>46282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6.5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33901-2024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45523</v>
      </c>
      <c r="E918" s="1" t="n">
        <v>46282</v>
      </c>
      <c r="F918" t="inlineStr">
        <is>
          <t>GÄVLEBORGS LÄN</t>
        </is>
      </c>
      <c r="G918" t="inlineStr">
        <is>
          <t>GÄVLE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37573-2026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46276</v>
      </c>
      <c r="E919" s="1" t="n">
        <v>46282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37759-2026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46279</v>
      </c>
      <c r="E920" s="1" t="n">
        <v>46282</v>
      </c>
      <c r="F920" t="inlineStr">
        <is>
          <t>GÄVLEBORGS LÄN</t>
        </is>
      </c>
      <c r="G920" t="inlineStr">
        <is>
          <t>GÄVLE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37553-2026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46276</v>
      </c>
      <c r="E921" s="1" t="n">
        <v>46282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37765-2026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46279</v>
      </c>
      <c r="E922" s="1" t="n">
        <v>46282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38012-2026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46280</v>
      </c>
      <c r="E923" s="1" t="n">
        <v>46282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38045-2026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46280</v>
      </c>
      <c r="E924" s="1" t="n">
        <v>46282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20621-2025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45776</v>
      </c>
      <c r="E925" s="1" t="n">
        <v>46282</v>
      </c>
      <c r="F925" t="inlineStr">
        <is>
          <t>GÄVLEBORGS LÄN</t>
        </is>
      </c>
      <c r="G925" t="inlineStr">
        <is>
          <t>GÄVLE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45938-2024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45580</v>
      </c>
      <c r="E926" s="1" t="n">
        <v>46282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5.3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37938-2026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46280</v>
      </c>
      <c r="E927" s="1" t="n">
        <v>46282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38051-2026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46280</v>
      </c>
      <c r="E928" s="1" t="n">
        <v>46282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37935-2026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46280</v>
      </c>
      <c r="E929" s="1" t="n">
        <v>46282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37937-2026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46280</v>
      </c>
      <c r="E930" s="1" t="n">
        <v>46282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38195-2026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46281</v>
      </c>
      <c r="E931" s="1" t="n">
        <v>46282</v>
      </c>
      <c r="F931" t="inlineStr">
        <is>
          <t>GÄVLEBORGS LÄN</t>
        </is>
      </c>
      <c r="G931" t="inlineStr">
        <is>
          <t>GÄVLE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21431-2025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45782</v>
      </c>
      <c r="E932" s="1" t="n">
        <v>46282</v>
      </c>
      <c r="F932" t="inlineStr">
        <is>
          <t>GÄVLEBORGS LÄN</t>
        </is>
      </c>
      <c r="G932" t="inlineStr">
        <is>
          <t>GÄVLE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38130-2026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46281</v>
      </c>
      <c r="E933" s="1" t="n">
        <v>46282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5.8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38049-2026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46280</v>
      </c>
      <c r="E934" s="1" t="n">
        <v>46282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37934-2026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46280</v>
      </c>
      <c r="E935" s="1" t="n">
        <v>46282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4.3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38144-2026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46281</v>
      </c>
      <c r="E936" s="1" t="n">
        <v>46282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32436-2026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46239</v>
      </c>
      <c r="E937" s="1" t="n">
        <v>46282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7202-2025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45702</v>
      </c>
      <c r="E938" s="1" t="n">
        <v>46282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32437-2026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46239</v>
      </c>
      <c r="E939" s="1" t="n">
        <v>46282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59044-2023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45252</v>
      </c>
      <c r="E940" s="1" t="n">
        <v>46282</v>
      </c>
      <c r="F940" t="inlineStr">
        <is>
          <t>GÄVLEBORGS LÄN</t>
        </is>
      </c>
      <c r="G940" t="inlineStr">
        <is>
          <t>GÄVLE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38014-2026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46280</v>
      </c>
      <c r="E941" s="1" t="n">
        <v>46282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45322</v>
      </c>
      <c r="E942" s="1" t="n">
        <v>46282</v>
      </c>
      <c r="F942" t="inlineStr">
        <is>
          <t>GÄVLEBORGS LÄN</t>
        </is>
      </c>
      <c r="G942" t="inlineStr">
        <is>
          <t>GÄVLE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7451-2025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45705</v>
      </c>
      <c r="E943" s="1" t="n">
        <v>46282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23291-2025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45791</v>
      </c>
      <c r="E944" s="1" t="n">
        <v>46282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23232-2025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45791</v>
      </c>
      <c r="E945" s="1" t="n">
        <v>46282</v>
      </c>
      <c r="F945" t="inlineStr">
        <is>
          <t>GÄVLEBORGS LÄN</t>
        </is>
      </c>
      <c r="G945" t="inlineStr">
        <is>
          <t>GÄVLE</t>
        </is>
      </c>
      <c r="I945" t="n">
        <v>10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22879-2025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45790</v>
      </c>
      <c r="E946" s="1" t="n">
        <v>46282</v>
      </c>
      <c r="F946" t="inlineStr">
        <is>
          <t>GÄVLEBORGS LÄN</t>
        </is>
      </c>
      <c r="G946" t="inlineStr">
        <is>
          <t>GÄVLE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23324-2025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45791</v>
      </c>
      <c r="E947" s="1" t="n">
        <v>46282</v>
      </c>
      <c r="F947" t="inlineStr">
        <is>
          <t>GÄVLEBORGS LÄN</t>
        </is>
      </c>
      <c r="G947" t="inlineStr">
        <is>
          <t>GÄVLE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22923-2025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45790</v>
      </c>
      <c r="E948" s="1" t="n">
        <v>46282</v>
      </c>
      <c r="F948" t="inlineStr">
        <is>
          <t>GÄVLEBORGS LÄN</t>
        </is>
      </c>
      <c r="G948" t="inlineStr">
        <is>
          <t>GÄVLE</t>
        </is>
      </c>
      <c r="I948" t="n">
        <v>20.8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45660</v>
      </c>
      <c r="E949" s="1" t="n">
        <v>46282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24228-2025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45797</v>
      </c>
      <c r="E950" s="1" t="n">
        <v>46282</v>
      </c>
      <c r="F950" t="inlineStr">
        <is>
          <t>GÄVLEBORGS LÄN</t>
        </is>
      </c>
      <c r="G950" t="inlineStr">
        <is>
          <t>GÄVLE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55878-2024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45623</v>
      </c>
      <c r="E951" s="1" t="n">
        <v>46282</v>
      </c>
      <c r="F951" t="inlineStr">
        <is>
          <t>GÄVLEBORGS LÄN</t>
        </is>
      </c>
      <c r="G951" t="inlineStr">
        <is>
          <t>GÄVLE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48913-2024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45594</v>
      </c>
      <c r="E952" s="1" t="n">
        <v>46282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24225-2025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45797</v>
      </c>
      <c r="E953" s="1" t="n">
        <v>46282</v>
      </c>
      <c r="F953" t="inlineStr">
        <is>
          <t>GÄVLEBORGS LÄN</t>
        </is>
      </c>
      <c r="G953" t="inlineStr">
        <is>
          <t>GÄVLE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S 3425-2023</t>
        </is>
      </c>
      <c r="B954" t="inlineStr">
        <is>
          <t>samrådsanmälan</t>
        </is>
      </c>
      <c r="C954" t="inlineStr">
        <is>
          <t>Annan skogsbruksåtgärd</t>
        </is>
      </c>
      <c r="D954" s="1" t="n">
        <v>45205</v>
      </c>
      <c r="E954" s="1" t="n">
        <v>46282</v>
      </c>
      <c r="F954" t="inlineStr">
        <is>
          <t>GÄVLEBORGS LÄN</t>
        </is>
      </c>
      <c r="G954" t="inlineStr">
        <is>
          <t>GÄVLE</t>
        </is>
      </c>
      <c r="I954" t="n">
        <v>0.2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  <c r="Z954">
        <f>HYPERLINK("https://klasma.github.io/Logging_2180/knärot/S 3425-2023 karta knärot.png", "S 3425-2023")</f>
        <v/>
      </c>
      <c r="AA954">
        <f>HYPERLINK("https://klasma.github.io/Logging_2180/klagomål/S 3425-2023 FSC-klagomål.docx", "S 3425-2023")</f>
        <v/>
      </c>
      <c r="AB954">
        <f>HYPERLINK("https://klasma.github.io/Logging_2180/klagomålsmail/S 3425-2023 FSC-klagomål mail.docx", "S 3425-2023")</f>
        <v/>
      </c>
      <c r="AC954">
        <f>HYPERLINK("https://klasma.github.io/Logging_2180/tillsyn/S 3425-2023 tillsynsbegäran.docx", "S 3425-2023")</f>
        <v/>
      </c>
      <c r="AD954">
        <f>HYPERLINK("https://klasma.github.io/Logging_2180/tillsynsmail/S 3425-2023 tillsynsbegäran mail.docx", "S 3425-2023")</f>
        <v/>
      </c>
    </row>
    <row r="955" ht="15" customHeight="1">
      <c r="A955" t="inlineStr">
        <is>
          <t>S 889-2023</t>
        </is>
      </c>
      <c r="B955" t="inlineStr">
        <is>
          <t>samrådsanmälan</t>
        </is>
      </c>
      <c r="C955" t="inlineStr">
        <is>
          <t>Skogsgödsling</t>
        </is>
      </c>
      <c r="D955" s="1" t="n">
        <v>44995</v>
      </c>
      <c r="E955" s="1" t="n">
        <v>46282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väst AB</t>
        </is>
      </c>
      <c r="I955" t="n">
        <v>13.3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S 886-2024</t>
        </is>
      </c>
      <c r="B956" t="inlineStr">
        <is>
          <t>samrådsanmälan</t>
        </is>
      </c>
      <c r="C956" t="inlineStr">
        <is>
          <t>Annan skogsbruksåtgärd</t>
        </is>
      </c>
      <c r="D956" s="1" t="n">
        <v>45376</v>
      </c>
      <c r="E956" s="1" t="n">
        <v>46282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S 2464-2024</t>
        </is>
      </c>
      <c r="B957" t="inlineStr">
        <is>
          <t>samrådsanmälan</t>
        </is>
      </c>
      <c r="C957" t="inlineStr">
        <is>
          <t>Skogsbilväg</t>
        </is>
      </c>
      <c r="D957" s="1" t="n">
        <v>45470</v>
      </c>
      <c r="E957" s="1" t="n">
        <v>46282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>
      <c r="A958" t="inlineStr">
        <is>
          <t>S 644-2026</t>
        </is>
      </c>
      <c r="B958" t="inlineStr">
        <is>
          <t>samrådsanmälan</t>
        </is>
      </c>
      <c r="C958" t="inlineStr">
        <is>
          <t>Skogsgödsling</t>
        </is>
      </c>
      <c r="D958" s="1" t="n">
        <v>46089</v>
      </c>
      <c r="E958" s="1" t="n">
        <v>46282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29.2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2026-09-17T02:03:52Z</dcterms:created>
  <dcterms:modified xmlns:dcterms="http://purl.org/dc/terms/" xmlns:xsi="http://www.w3.org/2001/XMLSchema-instance" xsi:type="dcterms:W3CDTF">2026-09-17T02:03:53Z</dcterms:modified>
</cp:coreProperties>
</file>