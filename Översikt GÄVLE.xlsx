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46290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46290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46290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46290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48800-2024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45593</v>
      </c>
      <c r="E10" s="1" t="n">
        <v>46290</v>
      </c>
      <c r="F10" t="inlineStr">
        <is>
          <t>GÄVLEBORGS LÄN</t>
        </is>
      </c>
      <c r="G10" t="inlineStr">
        <is>
          <t>GÄVLE</t>
        </is>
      </c>
      <c r="I10" t="n">
        <v>15.3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9</v>
      </c>
      <c r="V10" s="2" t="inlineStr">
        <is>
          <t>Rosenticka
Rynkskinn
Ullticka
Järpe
Spillkråka
Tjäder
Fläcknycklar</t>
        </is>
      </c>
      <c r="W10">
        <f>HYPERLINK("https://klasma.github.io/Logging_2180/artfynd/A 48800-2024 artfynd.xlsx", "A 48800-2024")</f>
        <v/>
      </c>
      <c r="X10">
        <f>HYPERLINK("https://klasma.github.io/Logging_2180/kartor/A 48800-2024 karta.png", "A 48800-2024")</f>
        <v/>
      </c>
      <c r="Y10">
        <f>HYPERLINK("https://klasma.github.io/Logging_2180/kartor_geotiff/A 48800-2024 georefererad karta.tif", "A 48800-2024")</f>
        <v/>
      </c>
      <c r="AA10">
        <f>HYPERLINK("https://klasma.github.io/Logging_2180/klagomål/A 48800-2024 FSC-klagomål.docx", "A 48800-2024")</f>
        <v/>
      </c>
      <c r="AB10">
        <f>HYPERLINK("https://klasma.github.io/Logging_2180/klagomålsmail/A 48800-2024 FSC-klagomål mail.docx", "A 48800-2024")</f>
        <v/>
      </c>
      <c r="AC10">
        <f>HYPERLINK("https://klasma.github.io/Logging_2180/tillsyn/A 48800-2024 tillsynsbegäran.docx", "A 48800-2024")</f>
        <v/>
      </c>
      <c r="AD10">
        <f>HYPERLINK("https://klasma.github.io/Logging_2180/tillsynsmail/A 48800-2024 tillsynsbegäran mail.docx", "A 48800-2024")</f>
        <v/>
      </c>
      <c r="AE10">
        <f>HYPERLINK("https://klasma.github.io/Logging_2180/fåglar/A 48800-2024 prioriterade fågelarter.docx", "A 48800-2024")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46290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46290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46290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46290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46290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45107</v>
      </c>
      <c r="E19" s="1" t="n">
        <v>46290</v>
      </c>
      <c r="F19" t="inlineStr">
        <is>
          <t>GÄVLEBORGS LÄN</t>
        </is>
      </c>
      <c r="G19" t="inlineStr">
        <is>
          <t>GÄVLE</t>
        </is>
      </c>
      <c r="I19" t="n">
        <v>1.4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5</v>
      </c>
      <c r="V19" s="2" t="inlineStr">
        <is>
          <t>Brunlångöra
Järnsparv
Nordfladdermus
Kungsfågel
Vattenfladdermus</t>
        </is>
      </c>
      <c r="W19">
        <f>HYPERLINK("https://klasma.github.io/Logging_2180/artfynd/A 29840-2023 artfynd.xlsx", "A 29840-2023")</f>
        <v/>
      </c>
      <c r="X19">
        <f>HYPERLINK("https://klasma.github.io/Logging_2180/kartor/A 29840-2023 karta.png", "A 29840-2023")</f>
        <v/>
      </c>
      <c r="Y19">
        <f>HYPERLINK("https://klasma.github.io/Logging_2180/kartor_geotiff/A 29840-2023 georefererad karta.tif", "A 29840-2023")</f>
        <v/>
      </c>
      <c r="AA19">
        <f>HYPERLINK("https://klasma.github.io/Logging_2180/klagomål/A 29840-2023 FSC-klagomål.docx", "A 29840-2023")</f>
        <v/>
      </c>
      <c r="AB19">
        <f>HYPERLINK("https://klasma.github.io/Logging_2180/klagomålsmail/A 29840-2023 FSC-klagomål mail.docx", "A 29840-2023")</f>
        <v/>
      </c>
      <c r="AC19">
        <f>HYPERLINK("https://klasma.github.io/Logging_2180/tillsyn/A 29840-2023 tillsynsbegäran.docx", "A 29840-2023")</f>
        <v/>
      </c>
      <c r="AD19">
        <f>HYPERLINK("https://klasma.github.io/Logging_2180/tillsynsmail/A 29840-2023 tillsynsbegäran mail.docx", "A 29840-2023")</f>
        <v/>
      </c>
      <c r="AE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46290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46290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46290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46290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46290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46290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46290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t="n">
        <v>22</v>
      </c>
      <c r="V29" s="2" t="inlineStr">
        <is>
          <t>Knärot
Lunglav
Tallticka
Tretåig hackspett</t>
        </is>
      </c>
      <c r="W29">
        <f>HYPERLINK("https://klasma.github.io/Logging_2180/artfynd/A 9570-2025 artfynd.xlsx", "A 9570-2025")</f>
        <v/>
      </c>
      <c r="X29">
        <f>HYPERLINK("https://klasma.github.io/Logging_2180/kartor/A 9570-2025 karta.png", "A 9570-2025")</f>
        <v/>
      </c>
      <c r="Y29">
        <f>HYPERLINK("https://klasma.github.io/Logging_2180/kartor_geotiff/A 9570-2025 georefererad karta.tif", "A 9570-2025")</f>
        <v/>
      </c>
      <c r="Z29">
        <f>HYPERLINK("https://klasma.github.io/Logging_2180/knärot/A 9570-2025 karta knärot.png", "A 9570-2025")</f>
        <v/>
      </c>
      <c r="AA29">
        <f>HYPERLINK("https://klasma.github.io/Logging_2180/klagomål/A 9570-2025 FSC-klagomål.docx", "A 9570-2025")</f>
        <v/>
      </c>
      <c r="AB29">
        <f>HYPERLINK("https://klasma.github.io/Logging_2180/klagomålsmail/A 9570-2025 FSC-klagomål mail.docx", "A 9570-2025")</f>
        <v/>
      </c>
      <c r="AC29">
        <f>HYPERLINK("https://klasma.github.io/Logging_2180/tillsyn/A 9570-2025 tillsynsbegäran.docx", "A 9570-2025")</f>
        <v/>
      </c>
      <c r="AD29">
        <f>HYPERLINK("https://klasma.github.io/Logging_2180/tillsynsmail/A 9570-2025 tillsynsbegäran mail.docx", "A 9570-2025")</f>
        <v/>
      </c>
      <c r="AE29">
        <f>HYPERLINK("https://klasma.github.io/Logging_2180/fåglar/A 9570-2025 prioriterade fågelarter.docx", "A 9570-2025")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46290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46290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46290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46290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46290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46290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46290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38344-2026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46290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3.9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Topplåsbräken
Höstlåsbräken
Månlåsbräken
Mattlummer</t>
        </is>
      </c>
      <c r="W37">
        <f>HYPERLINK("https://klasma.github.io/Logging_2180/artfynd/A 38344-2026 artfynd.xlsx", "A 38344-2026")</f>
        <v/>
      </c>
      <c r="X37">
        <f>HYPERLINK("https://klasma.github.io/Logging_2180/kartor/A 38344-2026 karta.png", "A 38344-2026")</f>
        <v/>
      </c>
      <c r="Y37">
        <f>HYPERLINK("https://klasma.github.io/Logging_2180/kartor_geotiff/A 38344-2026 georefererad karta.tif", "A 38344-2026")</f>
        <v/>
      </c>
      <c r="AA37">
        <f>HYPERLINK("https://klasma.github.io/Logging_2180/klagomål/A 38344-2026 FSC-klagomål.docx", "A 38344-2026")</f>
        <v/>
      </c>
      <c r="AB37">
        <f>HYPERLINK("https://klasma.github.io/Logging_2180/klagomålsmail/A 38344-2026 FSC-klagomål mail.docx", "A 38344-2026")</f>
        <v/>
      </c>
      <c r="AC37">
        <f>HYPERLINK("https://klasma.github.io/Logging_2180/tillsyn/A 38344-2026 tillsynsbegäran.docx", "A 38344-2026")</f>
        <v/>
      </c>
      <c r="AD37">
        <f>HYPERLINK("https://klasma.github.io/Logging_2180/tillsynsmail/A 38344-2026 tillsynsbegäran mail.docx", "A 38344-2026")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15757-2026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46290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5.8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Älg
Spillkråka
Tjäder</t>
        </is>
      </c>
      <c r="W39">
        <f>HYPERLINK("https://klasma.github.io/Logging_2180/artfynd/A 15757-2026 artfynd.xlsx", "A 15757-2026")</f>
        <v/>
      </c>
      <c r="X39">
        <f>HYPERLINK("https://klasma.github.io/Logging_2180/kartor/A 15757-2026 karta.png", "A 15757-2026")</f>
        <v/>
      </c>
      <c r="Y39">
        <f>HYPERLINK("https://klasma.github.io/Logging_2180/kartor_geotiff/A 15757-2026 georefererad karta.tif", "A 15757-2026")</f>
        <v/>
      </c>
      <c r="AA39">
        <f>HYPERLINK("https://klasma.github.io/Logging_2180/klagomål/A 15757-2026 FSC-klagomål.docx", "A 15757-2026")</f>
        <v/>
      </c>
      <c r="AB39">
        <f>HYPERLINK("https://klasma.github.io/Logging_2180/klagomålsmail/A 15757-2026 FSC-klagomål mail.docx", "A 15757-2026")</f>
        <v/>
      </c>
      <c r="AC39">
        <f>HYPERLINK("https://klasma.github.io/Logging_2180/tillsyn/A 15757-2026 tillsynsbegäran.docx", "A 15757-2026")</f>
        <v/>
      </c>
      <c r="AD39">
        <f>HYPERLINK("https://klasma.github.io/Logging_2180/tillsynsmail/A 15757-2026 tillsynsbegäran mail.docx", "A 15757-2026")</f>
        <v/>
      </c>
      <c r="AE39">
        <f>HYPERLINK("https://klasma.github.io/Logging_2180/fåglar/A 15757-2026 prioriterade fågelarter.docx", "A 15757-2026")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46290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46290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46290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46290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46290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46290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29626-2025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46290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22.2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Brunklöver
Höstlåsbräken
Mattlummer</t>
        </is>
      </c>
      <c r="W46">
        <f>HYPERLINK("https://klasma.github.io/Logging_2180/artfynd/A 29626-2025 artfynd.xlsx", "A 29626-2025")</f>
        <v/>
      </c>
      <c r="X46">
        <f>HYPERLINK("https://klasma.github.io/Logging_2180/kartor/A 29626-2025 karta.png", "A 29626-2025")</f>
        <v/>
      </c>
      <c r="Y46">
        <f>HYPERLINK("https://klasma.github.io/Logging_2180/kartor_geotiff/A 29626-2025 georefererad karta.tif", "A 29626-2025")</f>
        <v/>
      </c>
      <c r="AA46">
        <f>HYPERLINK("https://klasma.github.io/Logging_2180/klagomål/A 29626-2025 FSC-klagomål.docx", "A 29626-2025")</f>
        <v/>
      </c>
      <c r="AB46">
        <f>HYPERLINK("https://klasma.github.io/Logging_2180/klagomålsmail/A 29626-2025 FSC-klagomål mail.docx", "A 29626-2025")</f>
        <v/>
      </c>
      <c r="AC46">
        <f>HYPERLINK("https://klasma.github.io/Logging_2180/tillsyn/A 29626-2025 tillsynsbegäran.docx", "A 29626-2025")</f>
        <v/>
      </c>
      <c r="AD46">
        <f>HYPERLINK("https://klasma.github.io/Logging_2180/tillsynsmail/A 29626-2025 tillsynsbegäran mail.docx", "A 29626-2025")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46290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46290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46290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46290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46290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46290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46290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20323-2026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46290</v>
      </c>
      <c r="F54" t="inlineStr">
        <is>
          <t>GÄVLEBORGS LÄN</t>
        </is>
      </c>
      <c r="G54" t="inlineStr">
        <is>
          <t>GÄVLE</t>
        </is>
      </c>
      <c r="I54" t="n">
        <v>1.4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Grön sköldmossa
Tjäder</t>
        </is>
      </c>
      <c r="W54">
        <f>HYPERLINK("https://klasma.github.io/Logging_2180/artfynd/A 20323-2026 artfynd.xlsx", "A 20323-2026")</f>
        <v/>
      </c>
      <c r="X54">
        <f>HYPERLINK("https://klasma.github.io/Logging_2180/kartor/A 20323-2026 karta.png", "A 20323-2026")</f>
        <v/>
      </c>
      <c r="Y54">
        <f>HYPERLINK("https://klasma.github.io/Logging_2180/kartor_geotiff/A 20323-2026 georefererad karta.tif", "A 20323-2026")</f>
        <v/>
      </c>
      <c r="AA54">
        <f>HYPERLINK("https://klasma.github.io/Logging_2180/klagomål/A 20323-2026 FSC-klagomål.docx", "A 20323-2026")</f>
        <v/>
      </c>
      <c r="AB54">
        <f>HYPERLINK("https://klasma.github.io/Logging_2180/klagomålsmail/A 20323-2026 FSC-klagomål mail.docx", "A 20323-2026")</f>
        <v/>
      </c>
      <c r="AC54">
        <f>HYPERLINK("https://klasma.github.io/Logging_2180/tillsyn/A 20323-2026 tillsynsbegäran.docx", "A 20323-2026")</f>
        <v/>
      </c>
      <c r="AD54">
        <f>HYPERLINK("https://klasma.github.io/Logging_2180/tillsynsmail/A 20323-2026 tillsynsbegäran mail.docx", "A 20323-2026")</f>
        <v/>
      </c>
      <c r="AE54">
        <f>HYPERLINK("https://klasma.github.io/Logging_2180/fåglar/A 20323-2026 prioriterade fågelarter.docx", "A 20323-2026")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46290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46290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46290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50049-2025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46290</v>
      </c>
      <c r="F58" t="inlineStr">
        <is>
          <t>GÄVLEBORGS LÄN</t>
        </is>
      </c>
      <c r="G58" t="inlineStr">
        <is>
          <t>GÄVLE</t>
        </is>
      </c>
      <c r="H58" t="inlineStr">
        <is>
          <t>Kyrkan</t>
        </is>
      </c>
      <c r="I58" t="n">
        <v>10.3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Vårärt
Blåsippa</t>
        </is>
      </c>
      <c r="W58">
        <f>HYPERLINK("https://klasma.github.io/Logging_2180/artfynd/A 50049-2025 artfynd.xlsx", "A 50049-2025")</f>
        <v/>
      </c>
      <c r="X58">
        <f>HYPERLINK("https://klasma.github.io/Logging_2180/kartor/A 50049-2025 karta.png", "A 50049-2025")</f>
        <v/>
      </c>
      <c r="Y58">
        <f>HYPERLINK("https://klasma.github.io/Logging_2180/kartor_geotiff/A 50049-2025 georefererad karta.tif", "A 50049-2025")</f>
        <v/>
      </c>
      <c r="AA58">
        <f>HYPERLINK("https://klasma.github.io/Logging_2180/klagomål/A 50049-2025 FSC-klagomål.docx", "A 50049-2025")</f>
        <v/>
      </c>
      <c r="AB58">
        <f>HYPERLINK("https://klasma.github.io/Logging_2180/klagomålsmail/A 50049-2025 FSC-klagomål mail.docx", "A 50049-2025")</f>
        <v/>
      </c>
      <c r="AC58">
        <f>HYPERLINK("https://klasma.github.io/Logging_2180/tillsyn/A 50049-2025 tillsynsbegäran.docx", "A 50049-2025")</f>
        <v/>
      </c>
      <c r="AD58">
        <f>HYPERLINK("https://klasma.github.io/Logging_2180/tillsynsmail/A 50049-2025 tillsynsbegäran mail.docx", "A 50049-2025")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46290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46290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46290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46290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6473-2024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46290</v>
      </c>
      <c r="F63" t="inlineStr">
        <is>
          <t>GÄVLEBORGS LÄN</t>
        </is>
      </c>
      <c r="G63" t="inlineStr">
        <is>
          <t>GÄVLE</t>
        </is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Tibast
Nattviol</t>
        </is>
      </c>
      <c r="W63">
        <f>HYPERLINK("https://klasma.github.io/Logging_2180/artfynd/A 6473-2024 artfynd.xlsx", "A 6473-2024")</f>
        <v/>
      </c>
      <c r="X63">
        <f>HYPERLINK("https://klasma.github.io/Logging_2180/kartor/A 6473-2024 karta.png", "A 6473-2024")</f>
        <v/>
      </c>
      <c r="Y63">
        <f>HYPERLINK("https://klasma.github.io/Logging_2180/kartor_geotiff/A 6473-2024 georefererad karta.tif", "A 6473-2024")</f>
        <v/>
      </c>
      <c r="AA63">
        <f>HYPERLINK("https://klasma.github.io/Logging_2180/klagomål/A 6473-2024 FSC-klagomål.docx", "A 6473-2024")</f>
        <v/>
      </c>
      <c r="AB63">
        <f>HYPERLINK("https://klasma.github.io/Logging_2180/klagomålsmail/A 6473-2024 FSC-klagomål mail.docx", "A 6473-2024")</f>
        <v/>
      </c>
      <c r="AC63">
        <f>HYPERLINK("https://klasma.github.io/Logging_2180/tillsyn/A 6473-2024 tillsynsbegäran.docx", "A 6473-2024")</f>
        <v/>
      </c>
      <c r="AD63">
        <f>HYPERLINK("https://klasma.github.io/Logging_2180/tillsynsmail/A 6473-2024 tillsynsbegäran mail.docx", "A 6473-2024")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46290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46290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14554-2026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46290</v>
      </c>
      <c r="F66" t="inlineStr">
        <is>
          <t>GÄVLEBORGS LÄN</t>
        </is>
      </c>
      <c r="G66" t="inlineStr">
        <is>
          <t>GÄVLE</t>
        </is>
      </c>
      <c r="H66" t="inlineStr">
        <is>
          <t>Övriga statliga verk och myndigheter</t>
        </is>
      </c>
      <c r="I66" t="n">
        <v>6.6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121</v>
      </c>
      <c r="U66" t="n">
        <v>0</v>
      </c>
      <c r="V66" s="2" t="inlineStr">
        <is>
          <t>Väddnätfjäril
Sotnätfjäril</t>
        </is>
      </c>
      <c r="W66">
        <f>HYPERLINK("https://klasma.github.io/Logging_2180/artfynd/A 14554-2026 artfynd.xlsx", "A 14554-2026")</f>
        <v/>
      </c>
      <c r="X66">
        <f>HYPERLINK("https://klasma.github.io/Logging_2180/kartor/A 14554-2026 karta.png", "A 14554-2026")</f>
        <v/>
      </c>
      <c r="Y66">
        <f>HYPERLINK("https://klasma.github.io/Logging_2180/kartor_geotiff/A 14554-2026 georefererad karta.tif", "A 14554-2026")</f>
        <v/>
      </c>
      <c r="AA66">
        <f>HYPERLINK("https://klasma.github.io/Logging_2180/klagomål/A 14554-2026 FSC-klagomål.docx", "A 14554-2026")</f>
        <v/>
      </c>
      <c r="AB66">
        <f>HYPERLINK("https://klasma.github.io/Logging_2180/klagomålsmail/A 14554-2026 FSC-klagomål mail.docx", "A 14554-2026")</f>
        <v/>
      </c>
      <c r="AC66">
        <f>HYPERLINK("https://klasma.github.io/Logging_2180/tillsyn/A 14554-2026 tillsynsbegäran.docx", "A 14554-2026")</f>
        <v/>
      </c>
      <c r="AD66">
        <f>HYPERLINK("https://klasma.github.io/Logging_2180/tillsynsmail/A 14554-2026 tillsynsbegäran mail.docx", "A 14554-2026")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13487-2026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46290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Pärluggla
Sparvuggla</t>
        </is>
      </c>
      <c r="W68">
        <f>HYPERLINK("https://klasma.github.io/Logging_2180/artfynd/A 13487-2026 artfynd.xlsx", "A 13487-2026")</f>
        <v/>
      </c>
      <c r="X68">
        <f>HYPERLINK("https://klasma.github.io/Logging_2180/kartor/A 13487-2026 karta.png", "A 13487-2026")</f>
        <v/>
      </c>
      <c r="Y68">
        <f>HYPERLINK("https://klasma.github.io/Logging_2180/kartor_geotiff/A 13487-2026 georefererad karta.tif", "A 13487-2026")</f>
        <v/>
      </c>
      <c r="AA68">
        <f>HYPERLINK("https://klasma.github.io/Logging_2180/klagomål/A 13487-2026 FSC-klagomål.docx", "A 13487-2026")</f>
        <v/>
      </c>
      <c r="AB68">
        <f>HYPERLINK("https://klasma.github.io/Logging_2180/klagomålsmail/A 13487-2026 FSC-klagomål mail.docx", "A 13487-2026")</f>
        <v/>
      </c>
      <c r="AC68">
        <f>HYPERLINK("https://klasma.github.io/Logging_2180/tillsyn/A 13487-2026 tillsynsbegäran.docx", "A 13487-2026")</f>
        <v/>
      </c>
      <c r="AD68">
        <f>HYPERLINK("https://klasma.github.io/Logging_2180/tillsynsmail/A 13487-2026 tillsynsbegäran mail.docx", "A 13487-2026")</f>
        <v/>
      </c>
      <c r="AE68">
        <f>HYPERLINK("https://klasma.github.io/Logging_2180/fåglar/A 13487-2026 prioriterade fågelarter.docx", "A 13487-2026")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46290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46290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13248-2026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2.8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Fläcknycklar</t>
        </is>
      </c>
      <c r="W71">
        <f>HYPERLINK("https://klasma.github.io/Logging_2180/artfynd/A 13248-2026 artfynd.xlsx", "A 13248-2026")</f>
        <v/>
      </c>
      <c r="X71">
        <f>HYPERLINK("https://klasma.github.io/Logging_2180/kartor/A 13248-2026 karta.png", "A 13248-2026")</f>
        <v/>
      </c>
      <c r="Y71">
        <f>HYPERLINK("https://klasma.github.io/Logging_2180/kartor_geotiff/A 13248-2026 georefererad karta.tif", "A 13248-2026")</f>
        <v/>
      </c>
      <c r="AA71">
        <f>HYPERLINK("https://klasma.github.io/Logging_2180/klagomål/A 13248-2026 FSC-klagomål.docx", "A 13248-2026")</f>
        <v/>
      </c>
      <c r="AB71">
        <f>HYPERLINK("https://klasma.github.io/Logging_2180/klagomålsmail/A 13248-2026 FSC-klagomål mail.docx", "A 13248-2026")</f>
        <v/>
      </c>
      <c r="AC71">
        <f>HYPERLINK("https://klasma.github.io/Logging_2180/tillsyn/A 13248-2026 tillsynsbegäran.docx", "A 13248-2026")</f>
        <v/>
      </c>
      <c r="AD71">
        <f>HYPERLINK("https://klasma.github.io/Logging_2180/tillsynsmail/A 13248-2026 tillsynsbegäran mail.docx", "A 13248-2026")</f>
        <v/>
      </c>
    </row>
    <row r="72" ht="15" customHeight="1">
      <c r="A72" t="inlineStr">
        <is>
          <t>A 19718-2026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46290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10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Rödvingetrast
Nattskärra</t>
        </is>
      </c>
      <c r="W72">
        <f>HYPERLINK("https://klasma.github.io/Logging_2180/artfynd/A 19718-2026 artfynd.xlsx", "A 19718-2026")</f>
        <v/>
      </c>
      <c r="X72">
        <f>HYPERLINK("https://klasma.github.io/Logging_2180/kartor/A 19718-2026 karta.png", "A 19718-2026")</f>
        <v/>
      </c>
      <c r="Y72">
        <f>HYPERLINK("https://klasma.github.io/Logging_2180/kartor_geotiff/A 19718-2026 georefererad karta.tif", "A 19718-2026")</f>
        <v/>
      </c>
      <c r="AA72">
        <f>HYPERLINK("https://klasma.github.io/Logging_2180/klagomål/A 19718-2026 FSC-klagomål.docx", "A 19718-2026")</f>
        <v/>
      </c>
      <c r="AB72">
        <f>HYPERLINK("https://klasma.github.io/Logging_2180/klagomålsmail/A 19718-2026 FSC-klagomål mail.docx", "A 19718-2026")</f>
        <v/>
      </c>
      <c r="AC72">
        <f>HYPERLINK("https://klasma.github.io/Logging_2180/tillsyn/A 19718-2026 tillsynsbegäran.docx", "A 19718-2026")</f>
        <v/>
      </c>
      <c r="AD72">
        <f>HYPERLINK("https://klasma.github.io/Logging_2180/tillsynsmail/A 19718-2026 tillsynsbegäran mail.docx", "A 19718-2026")</f>
        <v/>
      </c>
      <c r="AE72">
        <f>HYPERLINK("https://klasma.github.io/Logging_2180/fåglar/A 19718-2026 prioriterade fågelarter.docx", "A 19718-2026")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46290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46290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46290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35989-2024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46290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3.1</v>
      </c>
      <c r="J76" t="n">
        <v>1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Knärot
Jättesvampmal</t>
        </is>
      </c>
      <c r="W76">
        <f>HYPERLINK("https://klasma.github.io/Logging_2180/artfynd/A 35989-2024 artfynd.xlsx", "A 35989-2024")</f>
        <v/>
      </c>
      <c r="X76">
        <f>HYPERLINK("https://klasma.github.io/Logging_2180/kartor/A 35989-2024 karta.png", "A 35989-2024")</f>
        <v/>
      </c>
      <c r="Y76">
        <f>HYPERLINK("https://klasma.github.io/Logging_2180/kartor_geotiff/A 35989-2024 georefererad karta.tif", "A 35989-2024")</f>
        <v/>
      </c>
      <c r="Z76">
        <f>HYPERLINK("https://klasma.github.io/Logging_2180/knärot/A 35989-2024 karta knärot.png", "A 35989-2024")</f>
        <v/>
      </c>
      <c r="AA76">
        <f>HYPERLINK("https://klasma.github.io/Logging_2180/klagomål/A 35989-2024 FSC-klagomål.docx", "A 35989-2024")</f>
        <v/>
      </c>
      <c r="AB76">
        <f>HYPERLINK("https://klasma.github.io/Logging_2180/klagomålsmail/A 35989-2024 FSC-klagomål mail.docx", "A 35989-2024")</f>
        <v/>
      </c>
      <c r="AC76">
        <f>HYPERLINK("https://klasma.github.io/Logging_2180/tillsyn/A 35989-2024 tillsynsbegäran.docx", "A 35989-2024")</f>
        <v/>
      </c>
      <c r="AD76">
        <f>HYPERLINK("https://klasma.github.io/Logging_2180/tillsynsmail/A 35989-2024 tillsynsbegäran mail.docx", "A 35989-2024")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46290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46290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46290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46290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46290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46290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Ängsblåvinge</t>
        </is>
      </c>
      <c r="W83">
        <f>HYPERLINK("https://klasma.github.io/Logging_2180/artfynd/A 15001-2023 artfynd.xlsx", "A 15001-2023")</f>
        <v/>
      </c>
      <c r="X83">
        <f>HYPERLINK("https://klasma.github.io/Logging_2180/kartor/A 15001-2023 karta.png", "A 15001-2023")</f>
        <v/>
      </c>
      <c r="Y83">
        <f>HYPERLINK("https://klasma.github.io/Logging_2180/kartor_geotiff/A 15001-2023 georefererad karta.tif", "A 15001-2023")</f>
        <v/>
      </c>
      <c r="AA83">
        <f>HYPERLINK("https://klasma.github.io/Logging_2180/klagomål/A 15001-2023 FSC-klagomål.docx", "A 15001-2023")</f>
        <v/>
      </c>
      <c r="AB83">
        <f>HYPERLINK("https://klasma.github.io/Logging_2180/klagomålsmail/A 15001-2023 FSC-klagomål mail.docx", "A 15001-2023")</f>
        <v/>
      </c>
      <c r="AC83">
        <f>HYPERLINK("https://klasma.github.io/Logging_2180/tillsyn/A 15001-2023 tillsynsbegäran.docx", "A 15001-2023")</f>
        <v/>
      </c>
      <c r="AD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46290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46290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32254-2023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46290</v>
      </c>
      <c r="F86" t="inlineStr">
        <is>
          <t>GÄVLEBORGS LÄN</t>
        </is>
      </c>
      <c r="G86" t="inlineStr">
        <is>
          <t>GÄVLE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HYPERLINK("https://klasma.github.io/Logging_2180/artfynd/A 32254-2023 artfynd.xlsx", "A 32254-2023")</f>
        <v/>
      </c>
      <c r="X86">
        <f>HYPERLINK("https://klasma.github.io/Logging_2180/kartor/A 32254-2023 karta.png", "A 32254-2023")</f>
        <v/>
      </c>
      <c r="Y86">
        <f>HYPERLINK("https://klasma.github.io/Logging_2180/kartor_geotiff/A 32254-2023 georefererad karta.tif", "A 32254-2023")</f>
        <v/>
      </c>
      <c r="AA86">
        <f>HYPERLINK("https://klasma.github.io/Logging_2180/klagomål/A 32254-2023 FSC-klagomål.docx", "A 32254-2023")</f>
        <v/>
      </c>
      <c r="AB86">
        <f>HYPERLINK("https://klasma.github.io/Logging_2180/klagomålsmail/A 32254-2023 FSC-klagomål mail.docx", "A 32254-2023")</f>
        <v/>
      </c>
      <c r="AC86">
        <f>HYPERLINK("https://klasma.github.io/Logging_2180/tillsyn/A 32254-2023 tillsynsbegäran.docx", "A 32254-2023")</f>
        <v/>
      </c>
      <c r="AD86">
        <f>HYPERLINK("https://klasma.github.io/Logging_2180/tillsynsmail/A 32254-2023 tillsynsbegäran mail.docx", "A 32254-2023")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46290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45241-2022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22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45241-2022 artfynd.xlsx", "A 45241-2022")</f>
        <v/>
      </c>
      <c r="X88">
        <f>HYPERLINK("https://klasma.github.io/Logging_2180/kartor/A 45241-2022 karta.png", "A 45241-2022")</f>
        <v/>
      </c>
      <c r="Y88">
        <f>HYPERLINK("https://klasma.github.io/Logging_2180/kartor_geotiff/A 45241-2022 georefererad karta.tif", "A 45241-2022")</f>
        <v/>
      </c>
      <c r="AA88">
        <f>HYPERLINK("https://klasma.github.io/Logging_2180/klagomål/A 45241-2022 FSC-klagomål.docx", "A 45241-2022")</f>
        <v/>
      </c>
      <c r="AB88">
        <f>HYPERLINK("https://klasma.github.io/Logging_2180/klagomålsmail/A 45241-2022 FSC-klagomål mail.docx", "A 45241-2022")</f>
        <v/>
      </c>
      <c r="AC88">
        <f>HYPERLINK("https://klasma.github.io/Logging_2180/tillsyn/A 45241-2022 tillsynsbegäran.docx", "A 45241-2022")</f>
        <v/>
      </c>
      <c r="AD88">
        <f>HYPERLINK("https://klasma.github.io/Logging_2180/tillsynsmail/A 45241-2022 tillsynsbegäran mail.docx", "A 45241-2022")</f>
        <v/>
      </c>
    </row>
    <row r="89" ht="15" customHeight="1">
      <c r="A89" t="inlineStr">
        <is>
          <t>A 11411-2025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46290</v>
      </c>
      <c r="F89" t="inlineStr">
        <is>
          <t>GÄVLEBORGS LÄN</t>
        </is>
      </c>
      <c r="G89" t="inlineStr">
        <is>
          <t>GÄVLE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11411-2025 artfynd.xlsx", "A 11411-2025")</f>
        <v/>
      </c>
      <c r="X89">
        <f>HYPERLINK("https://klasma.github.io/Logging_2180/kartor/A 11411-2025 karta.png", "A 11411-2025")</f>
        <v/>
      </c>
      <c r="Y89">
        <f>HYPERLINK("https://klasma.github.io/Logging_2180/kartor_geotiff/A 11411-2025 georefererad karta.tif", "A 11411-2025")</f>
        <v/>
      </c>
      <c r="AA89">
        <f>HYPERLINK("https://klasma.github.io/Logging_2180/klagomål/A 11411-2025 FSC-klagomål.docx", "A 11411-2025")</f>
        <v/>
      </c>
      <c r="AB89">
        <f>HYPERLINK("https://klasma.github.io/Logging_2180/klagomålsmail/A 11411-2025 FSC-klagomål mail.docx", "A 11411-2025")</f>
        <v/>
      </c>
      <c r="AC89">
        <f>HYPERLINK("https://klasma.github.io/Logging_2180/tillsyn/A 11411-2025 tillsynsbegäran.docx", "A 11411-2025")</f>
        <v/>
      </c>
      <c r="AD89">
        <f>HYPERLINK("https://klasma.github.io/Logging_2180/tillsynsmail/A 11411-2025 tillsynsbegäran mail.docx", "A 11411-2025")</f>
        <v/>
      </c>
    </row>
    <row r="90" ht="15" customHeight="1">
      <c r="A90" t="inlineStr">
        <is>
          <t>A 38550-2025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46290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0.5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HYPERLINK("https://klasma.github.io/Logging_2180/artfynd/A 38550-2025 artfynd.xlsx", "A 38550-2025")</f>
        <v/>
      </c>
      <c r="X90">
        <f>HYPERLINK("https://klasma.github.io/Logging_2180/kartor/A 38550-2025 karta.png", "A 38550-2025")</f>
        <v/>
      </c>
      <c r="Y90">
        <f>HYPERLINK("https://klasma.github.io/Logging_2180/kartor_geotiff/A 38550-2025 georefererad karta.tif", "A 38550-2025")</f>
        <v/>
      </c>
      <c r="AA90">
        <f>HYPERLINK("https://klasma.github.io/Logging_2180/klagomål/A 38550-2025 FSC-klagomål.docx", "A 38550-2025")</f>
        <v/>
      </c>
      <c r="AB90">
        <f>HYPERLINK("https://klasma.github.io/Logging_2180/klagomålsmail/A 38550-2025 FSC-klagomål mail.docx", "A 38550-2025")</f>
        <v/>
      </c>
      <c r="AC90">
        <f>HYPERLINK("https://klasma.github.io/Logging_2180/tillsyn/A 38550-2025 tillsynsbegäran.docx", "A 38550-2025")</f>
        <v/>
      </c>
      <c r="AD90">
        <f>HYPERLINK("https://klasma.github.io/Logging_2180/tillsynsmail/A 38550-2025 tillsynsbegäran mail.docx", "A 38550-2025")</f>
        <v/>
      </c>
    </row>
    <row r="91" ht="15" customHeight="1">
      <c r="A91" t="inlineStr">
        <is>
          <t>A 13396-2026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46290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Fläcknycklar</t>
        </is>
      </c>
      <c r="W91">
        <f>HYPERLINK("https://klasma.github.io/Logging_2180/artfynd/A 13396-2026 artfynd.xlsx", "A 13396-2026")</f>
        <v/>
      </c>
      <c r="X91">
        <f>HYPERLINK("https://klasma.github.io/Logging_2180/kartor/A 13396-2026 karta.png", "A 13396-2026")</f>
        <v/>
      </c>
      <c r="Y91">
        <f>HYPERLINK("https://klasma.github.io/Logging_2180/kartor_geotiff/A 13396-2026 georefererad karta.tif", "A 13396-2026")</f>
        <v/>
      </c>
      <c r="AA91">
        <f>HYPERLINK("https://klasma.github.io/Logging_2180/klagomål/A 13396-2026 FSC-klagomål.docx", "A 13396-2026")</f>
        <v/>
      </c>
      <c r="AB91">
        <f>HYPERLINK("https://klasma.github.io/Logging_2180/klagomålsmail/A 13396-2026 FSC-klagomål mail.docx", "A 13396-2026")</f>
        <v/>
      </c>
      <c r="AC91">
        <f>HYPERLINK("https://klasma.github.io/Logging_2180/tillsyn/A 13396-2026 tillsynsbegäran.docx", "A 13396-2026")</f>
        <v/>
      </c>
      <c r="AD91">
        <f>HYPERLINK("https://klasma.github.io/Logging_2180/tillsynsmail/A 13396-2026 tillsynsbegäran mail.docx", "A 13396-2026")</f>
        <v/>
      </c>
    </row>
    <row r="92" ht="15" customHeight="1">
      <c r="A92" t="inlineStr">
        <is>
          <t>A 14730-2026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46290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8.199999999999999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HYPERLINK("https://klasma.github.io/Logging_2180/artfynd/A 14730-2026 artfynd.xlsx", "A 14730-2026")</f>
        <v/>
      </c>
      <c r="X92">
        <f>HYPERLINK("https://klasma.github.io/Logging_2180/kartor/A 14730-2026 karta.png", "A 14730-2026")</f>
        <v/>
      </c>
      <c r="Y92">
        <f>HYPERLINK("https://klasma.github.io/Logging_2180/kartor_geotiff/A 14730-2026 georefererad karta.tif", "A 14730-2026")</f>
        <v/>
      </c>
      <c r="AA92">
        <f>HYPERLINK("https://klasma.github.io/Logging_2180/klagomål/A 14730-2026 FSC-klagomål.docx", "A 14730-2026")</f>
        <v/>
      </c>
      <c r="AB92">
        <f>HYPERLINK("https://klasma.github.io/Logging_2180/klagomålsmail/A 14730-2026 FSC-klagomål mail.docx", "A 14730-2026")</f>
        <v/>
      </c>
      <c r="AC92">
        <f>HYPERLINK("https://klasma.github.io/Logging_2180/tillsyn/A 14730-2026 tillsynsbegäran.docx", "A 14730-2026")</f>
        <v/>
      </c>
      <c r="AD92">
        <f>HYPERLINK("https://klasma.github.io/Logging_2180/tillsynsmail/A 14730-2026 tillsynsbegäran mail.docx", "A 14730-2026")</f>
        <v/>
      </c>
      <c r="AE92">
        <f>HYPERLINK("https://klasma.github.io/Logging_2180/fåglar/A 14730-2026 prioriterade fågelarter.docx", "A 14730-2026")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46290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14714-2026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46290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Tjäder</t>
        </is>
      </c>
      <c r="W94">
        <f>HYPERLINK("https://klasma.github.io/Logging_2180/artfynd/A 14714-2026 artfynd.xlsx", "A 14714-2026")</f>
        <v/>
      </c>
      <c r="X94">
        <f>HYPERLINK("https://klasma.github.io/Logging_2180/kartor/A 14714-2026 karta.png", "A 14714-2026")</f>
        <v/>
      </c>
      <c r="Y94">
        <f>HYPERLINK("https://klasma.github.io/Logging_2180/kartor_geotiff/A 14714-2026 georefererad karta.tif", "A 14714-2026")</f>
        <v/>
      </c>
      <c r="AA94">
        <f>HYPERLINK("https://klasma.github.io/Logging_2180/klagomål/A 14714-2026 FSC-klagomål.docx", "A 14714-2026")</f>
        <v/>
      </c>
      <c r="AB94">
        <f>HYPERLINK("https://klasma.github.io/Logging_2180/klagomålsmail/A 14714-2026 FSC-klagomål mail.docx", "A 14714-2026")</f>
        <v/>
      </c>
      <c r="AC94">
        <f>HYPERLINK("https://klasma.github.io/Logging_2180/tillsyn/A 14714-2026 tillsynsbegäran.docx", "A 14714-2026")</f>
        <v/>
      </c>
      <c r="AD94">
        <f>HYPERLINK("https://klasma.github.io/Logging_2180/tillsynsmail/A 14714-2026 tillsynsbegäran mail.docx", "A 14714-2026")</f>
        <v/>
      </c>
      <c r="AE94">
        <f>HYPERLINK("https://klasma.github.io/Logging_2180/fåglar/A 14714-2026 prioriterade fågelarter.docx", "A 14714-2026")</f>
        <v/>
      </c>
    </row>
    <row r="95" ht="15" customHeight="1">
      <c r="A95" t="inlineStr">
        <is>
          <t>A 49393-2025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46290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49393-2025 artfynd.xlsx", "A 49393-2025")</f>
        <v/>
      </c>
      <c r="X95">
        <f>HYPERLINK("https://klasma.github.io/Logging_2180/kartor/A 49393-2025 karta.png", "A 49393-2025")</f>
        <v/>
      </c>
      <c r="Y95">
        <f>HYPERLINK("https://klasma.github.io/Logging_2180/kartor_geotiff/A 49393-2025 georefererad karta.tif", "A 49393-2025")</f>
        <v/>
      </c>
      <c r="AA95">
        <f>HYPERLINK("https://klasma.github.io/Logging_2180/klagomål/A 49393-2025 FSC-klagomål.docx", "A 49393-2025")</f>
        <v/>
      </c>
      <c r="AB95">
        <f>HYPERLINK("https://klasma.github.io/Logging_2180/klagomålsmail/A 49393-2025 FSC-klagomål mail.docx", "A 49393-2025")</f>
        <v/>
      </c>
      <c r="AC95">
        <f>HYPERLINK("https://klasma.github.io/Logging_2180/tillsyn/A 49393-2025 tillsynsbegäran.docx", "A 49393-2025")</f>
        <v/>
      </c>
      <c r="AD95">
        <f>HYPERLINK("https://klasma.github.io/Logging_2180/tillsynsmail/A 49393-2025 tillsynsbegäran mail.docx", "A 49393-2025")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46290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14711-2026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46290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spiklav</t>
        </is>
      </c>
      <c r="W97">
        <f>HYPERLINK("https://klasma.github.io/Logging_2180/artfynd/A 14711-2026 artfynd.xlsx", "A 14711-2026")</f>
        <v/>
      </c>
      <c r="X97">
        <f>HYPERLINK("https://klasma.github.io/Logging_2180/kartor/A 14711-2026 karta.png", "A 14711-2026")</f>
        <v/>
      </c>
      <c r="Y97">
        <f>HYPERLINK("https://klasma.github.io/Logging_2180/kartor_geotiff/A 14711-2026 georefererad karta.tif", "A 14711-2026")</f>
        <v/>
      </c>
      <c r="AA97">
        <f>HYPERLINK("https://klasma.github.io/Logging_2180/klagomål/A 14711-2026 FSC-klagomål.docx", "A 14711-2026")</f>
        <v/>
      </c>
      <c r="AB97">
        <f>HYPERLINK("https://klasma.github.io/Logging_2180/klagomålsmail/A 14711-2026 FSC-klagomål mail.docx", "A 14711-2026")</f>
        <v/>
      </c>
      <c r="AC97">
        <f>HYPERLINK("https://klasma.github.io/Logging_2180/tillsyn/A 14711-2026 tillsynsbegäran.docx", "A 14711-2026")</f>
        <v/>
      </c>
      <c r="AD97">
        <f>HYPERLINK("https://klasma.github.io/Logging_2180/tillsynsmail/A 14711-2026 tillsynsbegäran mail.docx", "A 14711-2026")</f>
        <v/>
      </c>
    </row>
    <row r="98" ht="15" customHeight="1">
      <c r="A98" t="inlineStr">
        <is>
          <t>A 10064-2025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46290</v>
      </c>
      <c r="F98" t="inlineStr">
        <is>
          <t>GÄVLEBORGS LÄN</t>
        </is>
      </c>
      <c r="G98" t="inlineStr">
        <is>
          <t>GÄVLE</t>
        </is>
      </c>
      <c r="I98" t="n">
        <v>4.6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Älg</t>
        </is>
      </c>
      <c r="W98">
        <f>HYPERLINK("https://klasma.github.io/Logging_2180/artfynd/A 10064-2025 artfynd.xlsx", "A 10064-2025")</f>
        <v/>
      </c>
      <c r="X98">
        <f>HYPERLINK("https://klasma.github.io/Logging_2180/kartor/A 10064-2025 karta.png", "A 10064-2025")</f>
        <v/>
      </c>
      <c r="Y98">
        <f>HYPERLINK("https://klasma.github.io/Logging_2180/kartor_geotiff/A 10064-2025 georefererad karta.tif", "A 10064-2025")</f>
        <v/>
      </c>
      <c r="AA98">
        <f>HYPERLINK("https://klasma.github.io/Logging_2180/klagomål/A 10064-2025 FSC-klagomål.docx", "A 10064-2025")</f>
        <v/>
      </c>
      <c r="AB98">
        <f>HYPERLINK("https://klasma.github.io/Logging_2180/klagomålsmail/A 10064-2025 FSC-klagomål mail.docx", "A 10064-2025")</f>
        <v/>
      </c>
      <c r="AC98">
        <f>HYPERLINK("https://klasma.github.io/Logging_2180/tillsyn/A 10064-2025 tillsynsbegäran.docx", "A 10064-2025")</f>
        <v/>
      </c>
      <c r="AD98">
        <f>HYPERLINK("https://klasma.github.io/Logging_2180/tillsynsmail/A 10064-2025 tillsynsbegäran mail.docx", "A 10064-2025")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46290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20734-2026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46290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HYPERLINK("https://klasma.github.io/Logging_2180/artfynd/A 20734-2026 artfynd.xlsx", "A 20734-2026")</f>
        <v/>
      </c>
      <c r="X100">
        <f>HYPERLINK("https://klasma.github.io/Logging_2180/kartor/A 20734-2026 karta.png", "A 20734-2026")</f>
        <v/>
      </c>
      <c r="Y100">
        <f>HYPERLINK("https://klasma.github.io/Logging_2180/kartor_geotiff/A 20734-2026 georefererad karta.tif", "A 20734-2026")</f>
        <v/>
      </c>
      <c r="AA100">
        <f>HYPERLINK("https://klasma.github.io/Logging_2180/klagomål/A 20734-2026 FSC-klagomål.docx", "A 20734-2026")</f>
        <v/>
      </c>
      <c r="AB100">
        <f>HYPERLINK("https://klasma.github.io/Logging_2180/klagomålsmail/A 20734-2026 FSC-klagomål mail.docx", "A 20734-2026")</f>
        <v/>
      </c>
      <c r="AC100">
        <f>HYPERLINK("https://klasma.github.io/Logging_2180/tillsyn/A 20734-2026 tillsynsbegäran.docx", "A 20734-2026")</f>
        <v/>
      </c>
      <c r="AD100">
        <f>HYPERLINK("https://klasma.github.io/Logging_2180/tillsynsmail/A 20734-2026 tillsynsbegäran mail.docx", "A 20734-2026")</f>
        <v/>
      </c>
    </row>
    <row r="101" ht="15" customHeight="1">
      <c r="A101" t="inlineStr">
        <is>
          <t>A 58204-2025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45984</v>
      </c>
      <c r="E101" s="1" t="n">
        <v>46290</v>
      </c>
      <c r="F101" t="inlineStr">
        <is>
          <t>GÄVLEBORGS LÄN</t>
        </is>
      </c>
      <c r="G101" t="inlineStr">
        <is>
          <t>GÄVLE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HYPERLINK("https://klasma.github.io/Logging_2180/artfynd/A 58204-2025 artfynd.xlsx", "A 58204-2025")</f>
        <v/>
      </c>
      <c r="X101">
        <f>HYPERLINK("https://klasma.github.io/Logging_2180/kartor/A 58204-2025 karta.png", "A 58204-2025")</f>
        <v/>
      </c>
      <c r="Y101">
        <f>HYPERLINK("https://klasma.github.io/Logging_2180/kartor_geotiff/A 58204-2025 georefererad karta.tif", "A 58204-2025")</f>
        <v/>
      </c>
      <c r="AA101">
        <f>HYPERLINK("https://klasma.github.io/Logging_2180/klagomål/A 58204-2025 FSC-klagomål.docx", "A 58204-2025")</f>
        <v/>
      </c>
      <c r="AB101">
        <f>HYPERLINK("https://klasma.github.io/Logging_2180/klagomålsmail/A 58204-2025 FSC-klagomål mail.docx", "A 58204-2025")</f>
        <v/>
      </c>
      <c r="AC101">
        <f>HYPERLINK("https://klasma.github.io/Logging_2180/tillsyn/A 58204-2025 tillsynsbegäran.docx", "A 58204-2025")</f>
        <v/>
      </c>
      <c r="AD101">
        <f>HYPERLINK("https://klasma.github.io/Logging_2180/tillsynsmail/A 58204-2025 tillsynsbegäran mail.docx", "A 58204-2025")</f>
        <v/>
      </c>
      <c r="AE101">
        <f>HYPERLINK("https://klasma.github.io/Logging_2180/fåglar/A 58204-2025 prioriterade fågelarter.docx", "A 58204-2025")</f>
        <v/>
      </c>
    </row>
    <row r="102" ht="15" customHeight="1">
      <c r="A102" t="inlineStr">
        <is>
          <t>A 14703-2026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46290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14703-2026 artfynd.xlsx", "A 14703-2026")</f>
        <v/>
      </c>
      <c r="X102">
        <f>HYPERLINK("https://klasma.github.io/Logging_2180/kartor/A 14703-2026 karta.png", "A 14703-2026")</f>
        <v/>
      </c>
      <c r="Y102">
        <f>HYPERLINK("https://klasma.github.io/Logging_2180/kartor_geotiff/A 14703-2026 georefererad karta.tif", "A 14703-2026")</f>
        <v/>
      </c>
      <c r="AA102">
        <f>HYPERLINK("https://klasma.github.io/Logging_2180/klagomål/A 14703-2026 FSC-klagomål.docx", "A 14703-2026")</f>
        <v/>
      </c>
      <c r="AB102">
        <f>HYPERLINK("https://klasma.github.io/Logging_2180/klagomålsmail/A 14703-2026 FSC-klagomål mail.docx", "A 14703-2026")</f>
        <v/>
      </c>
      <c r="AC102">
        <f>HYPERLINK("https://klasma.github.io/Logging_2180/tillsyn/A 14703-2026 tillsynsbegäran.docx", "A 14703-2026")</f>
        <v/>
      </c>
      <c r="AD102">
        <f>HYPERLINK("https://klasma.github.io/Logging_2180/tillsynsmail/A 14703-2026 tillsynsbegäran mail.docx", "A 14703-2026")</f>
        <v/>
      </c>
      <c r="AE102">
        <f>HYPERLINK("https://klasma.github.io/Logging_2180/fåglar/A 14703-2026 prioriterade fågelarter.docx", "A 14703-2026")</f>
        <v/>
      </c>
    </row>
    <row r="103" ht="15" customHeight="1">
      <c r="A103" t="inlineStr">
        <is>
          <t>A 13269-2026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46290</v>
      </c>
      <c r="F103" t="inlineStr">
        <is>
          <t>GÄVLEBORGS LÄN</t>
        </is>
      </c>
      <c r="G103" t="inlineStr">
        <is>
          <t>GÄVLE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HYPERLINK("https://klasma.github.io/Logging_2180/artfynd/A 13269-2026 artfynd.xlsx", "A 13269-2026")</f>
        <v/>
      </c>
      <c r="X103">
        <f>HYPERLINK("https://klasma.github.io/Logging_2180/kartor/A 13269-2026 karta.png", "A 13269-2026")</f>
        <v/>
      </c>
      <c r="Y103">
        <f>HYPERLINK("https://klasma.github.io/Logging_2180/kartor_geotiff/A 13269-2026 georefererad karta.tif", "A 13269-2026")</f>
        <v/>
      </c>
      <c r="AA103">
        <f>HYPERLINK("https://klasma.github.io/Logging_2180/klagomål/A 13269-2026 FSC-klagomål.docx", "A 13269-2026")</f>
        <v/>
      </c>
      <c r="AB103">
        <f>HYPERLINK("https://klasma.github.io/Logging_2180/klagomålsmail/A 13269-2026 FSC-klagomål mail.docx", "A 13269-2026")</f>
        <v/>
      </c>
      <c r="AC103">
        <f>HYPERLINK("https://klasma.github.io/Logging_2180/tillsyn/A 13269-2026 tillsynsbegäran.docx", "A 13269-2026")</f>
        <v/>
      </c>
      <c r="AD103">
        <f>HYPERLINK("https://klasma.github.io/Logging_2180/tillsynsmail/A 13269-2026 tillsynsbegäran mail.docx", "A 13269-2026")</f>
        <v/>
      </c>
      <c r="AE103">
        <f>HYPERLINK("https://klasma.github.io/Logging_2180/fåglar/A 13269-2026 prioriterade fågelarter.docx", "A 13269-2026")</f>
        <v/>
      </c>
    </row>
    <row r="104" ht="15" customHeight="1">
      <c r="A104" t="inlineStr">
        <is>
          <t>A 22052-2026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46290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Gullpudra</t>
        </is>
      </c>
      <c r="W104">
        <f>HYPERLINK("https://klasma.github.io/Logging_2180/artfynd/A 22052-2026 artfynd.xlsx", "A 22052-2026")</f>
        <v/>
      </c>
      <c r="X104">
        <f>HYPERLINK("https://klasma.github.io/Logging_2180/kartor/A 22052-2026 karta.png", "A 22052-2026")</f>
        <v/>
      </c>
      <c r="Y104">
        <f>HYPERLINK("https://klasma.github.io/Logging_2180/kartor_geotiff/A 22052-2026 georefererad karta.tif", "A 22052-2026")</f>
        <v/>
      </c>
      <c r="AA104">
        <f>HYPERLINK("https://klasma.github.io/Logging_2180/klagomål/A 22052-2026 FSC-klagomål.docx", "A 22052-2026")</f>
        <v/>
      </c>
      <c r="AB104">
        <f>HYPERLINK("https://klasma.github.io/Logging_2180/klagomålsmail/A 22052-2026 FSC-klagomål mail.docx", "A 22052-2026")</f>
        <v/>
      </c>
      <c r="AC104">
        <f>HYPERLINK("https://klasma.github.io/Logging_2180/tillsyn/A 22052-2026 tillsynsbegäran.docx", "A 22052-2026")</f>
        <v/>
      </c>
      <c r="AD104">
        <f>HYPERLINK("https://klasma.github.io/Logging_2180/tillsynsmail/A 22052-2026 tillsynsbegäran mail.docx", "A 22052-2026")</f>
        <v/>
      </c>
    </row>
    <row r="105" ht="15" customHeight="1">
      <c r="A105" t="inlineStr">
        <is>
          <t>A 51508-2024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46290</v>
      </c>
      <c r="F105" t="inlineStr">
        <is>
          <t>GÄVLEBORGS LÄN</t>
        </is>
      </c>
      <c r="G105" t="inlineStr">
        <is>
          <t>GÄVLE</t>
        </is>
      </c>
      <c r="I105" t="n">
        <v>0.9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HYPERLINK("https://klasma.github.io/Logging_2180/artfynd/A 51508-2024 artfynd.xlsx", "A 51508-2024")</f>
        <v/>
      </c>
      <c r="X105">
        <f>HYPERLINK("https://klasma.github.io/Logging_2180/kartor/A 51508-2024 karta.png", "A 51508-2024")</f>
        <v/>
      </c>
      <c r="Y105">
        <f>HYPERLINK("https://klasma.github.io/Logging_2180/kartor_geotiff/A 51508-2024 georefererad karta.tif", "A 51508-2024")</f>
        <v/>
      </c>
      <c r="AA105">
        <f>HYPERLINK("https://klasma.github.io/Logging_2180/klagomål/A 51508-2024 FSC-klagomål.docx", "A 51508-2024")</f>
        <v/>
      </c>
      <c r="AB105">
        <f>HYPERLINK("https://klasma.github.io/Logging_2180/klagomålsmail/A 51508-2024 FSC-klagomål mail.docx", "A 51508-2024")</f>
        <v/>
      </c>
      <c r="AC105">
        <f>HYPERLINK("https://klasma.github.io/Logging_2180/tillsyn/A 51508-2024 tillsynsbegäran.docx", "A 51508-2024")</f>
        <v/>
      </c>
      <c r="AD105">
        <f>HYPERLINK("https://klasma.github.io/Logging_2180/tillsynsmail/A 51508-2024 tillsynsbegäran mail.docx", "A 51508-2024")</f>
        <v/>
      </c>
    </row>
    <row r="106" ht="15" customHeight="1">
      <c r="A106" t="inlineStr">
        <is>
          <t>A 22892-2026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46290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22892-2026 artfynd.xlsx", "A 22892-2026")</f>
        <v/>
      </c>
      <c r="X106">
        <f>HYPERLINK("https://klasma.github.io/Logging_2180/kartor/A 22892-2026 karta.png", "A 22892-2026")</f>
        <v/>
      </c>
      <c r="Y106">
        <f>HYPERLINK("https://klasma.github.io/Logging_2180/kartor_geotiff/A 22892-2026 georefererad karta.tif", "A 22892-2026")</f>
        <v/>
      </c>
      <c r="AA106">
        <f>HYPERLINK("https://klasma.github.io/Logging_2180/klagomål/A 22892-2026 FSC-klagomål.docx", "A 22892-2026")</f>
        <v/>
      </c>
      <c r="AB106">
        <f>HYPERLINK("https://klasma.github.io/Logging_2180/klagomålsmail/A 22892-2026 FSC-klagomål mail.docx", "A 22892-2026")</f>
        <v/>
      </c>
      <c r="AC106">
        <f>HYPERLINK("https://klasma.github.io/Logging_2180/tillsyn/A 22892-2026 tillsynsbegäran.docx", "A 22892-2026")</f>
        <v/>
      </c>
      <c r="AD106">
        <f>HYPERLINK("https://klasma.github.io/Logging_2180/tillsynsmail/A 22892-2026 tillsynsbegäran mail.docx", "A 22892-2026")</f>
        <v/>
      </c>
      <c r="AE106">
        <f>HYPERLINK("https://klasma.github.io/Logging_2180/fåglar/A 22892-2026 prioriterade fågelarter.docx", "A 22892-2026")</f>
        <v/>
      </c>
    </row>
    <row r="107" ht="15" customHeight="1">
      <c r="A107" t="inlineStr">
        <is>
          <t>A 12437-2024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45379</v>
      </c>
      <c r="E107" s="1" t="n">
        <v>46290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HYPERLINK("https://klasma.github.io/Logging_2180/artfynd/A 12437-2024 artfynd.xlsx", "A 12437-2024")</f>
        <v/>
      </c>
      <c r="X107">
        <f>HYPERLINK("https://klasma.github.io/Logging_2180/kartor/A 12437-2024 karta.png", "A 12437-2024")</f>
        <v/>
      </c>
      <c r="Y107">
        <f>HYPERLINK("https://klasma.github.io/Logging_2180/kartor_geotiff/A 12437-2024 georefererad karta.tif", "A 12437-2024")</f>
        <v/>
      </c>
      <c r="AA107">
        <f>HYPERLINK("https://klasma.github.io/Logging_2180/klagomål/A 12437-2024 FSC-klagomål.docx", "A 12437-2024")</f>
        <v/>
      </c>
      <c r="AB107">
        <f>HYPERLINK("https://klasma.github.io/Logging_2180/klagomålsmail/A 12437-2024 FSC-klagomål mail.docx", "A 12437-2024")</f>
        <v/>
      </c>
      <c r="AC107">
        <f>HYPERLINK("https://klasma.github.io/Logging_2180/tillsyn/A 12437-2024 tillsynsbegäran.docx", "A 12437-2024")</f>
        <v/>
      </c>
      <c r="AD107">
        <f>HYPERLINK("https://klasma.github.io/Logging_2180/tillsynsmail/A 12437-2024 tillsynsbegäran mail.docx", "A 12437-2024")</f>
        <v/>
      </c>
    </row>
    <row r="108" ht="15" customHeight="1">
      <c r="A108" t="inlineStr">
        <is>
          <t>A 10333-2025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46290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Tjäder</t>
        </is>
      </c>
      <c r="W108">
        <f>HYPERLINK("https://klasma.github.io/Logging_2180/artfynd/A 10333-2025 artfynd.xlsx", "A 10333-2025")</f>
        <v/>
      </c>
      <c r="X108">
        <f>HYPERLINK("https://klasma.github.io/Logging_2180/kartor/A 10333-2025 karta.png", "A 10333-2025")</f>
        <v/>
      </c>
      <c r="Y108">
        <f>HYPERLINK("https://klasma.github.io/Logging_2180/kartor_geotiff/A 10333-2025 georefererad karta.tif", "A 10333-2025")</f>
        <v/>
      </c>
      <c r="AA108">
        <f>HYPERLINK("https://klasma.github.io/Logging_2180/klagomål/A 10333-2025 FSC-klagomål.docx", "A 10333-2025")</f>
        <v/>
      </c>
      <c r="AB108">
        <f>HYPERLINK("https://klasma.github.io/Logging_2180/klagomålsmail/A 10333-2025 FSC-klagomål mail.docx", "A 10333-2025")</f>
        <v/>
      </c>
      <c r="AC108">
        <f>HYPERLINK("https://klasma.github.io/Logging_2180/tillsyn/A 10333-2025 tillsynsbegäran.docx", "A 10333-2025")</f>
        <v/>
      </c>
      <c r="AD108">
        <f>HYPERLINK("https://klasma.github.io/Logging_2180/tillsynsmail/A 10333-2025 tillsynsbegäran mail.docx", "A 10333-2025")</f>
        <v/>
      </c>
      <c r="AE108">
        <f>HYPERLINK("https://klasma.github.io/Logging_2180/fåglar/A 10333-2025 prioriterade fågelarter.docx", "A 10333-2025")</f>
        <v/>
      </c>
    </row>
    <row r="109" ht="15" customHeight="1">
      <c r="A109" t="inlineStr">
        <is>
          <t>A 12381-2023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46290</v>
      </c>
      <c r="F109" t="inlineStr">
        <is>
          <t>GÄVLEBORGS LÄN</t>
        </is>
      </c>
      <c r="G109" t="inlineStr">
        <is>
          <t>GÄVLE</t>
        </is>
      </c>
      <c r="I109" t="n">
        <v>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Brunlångöra</t>
        </is>
      </c>
      <c r="W109">
        <f>HYPERLINK("https://klasma.github.io/Logging_2180/artfynd/A 12381-2023 artfynd.xlsx", "A 12381-2023")</f>
        <v/>
      </c>
      <c r="X109">
        <f>HYPERLINK("https://klasma.github.io/Logging_2180/kartor/A 12381-2023 karta.png", "A 12381-2023")</f>
        <v/>
      </c>
      <c r="Y109">
        <f>HYPERLINK("https://klasma.github.io/Logging_2180/kartor_geotiff/A 12381-2023 georefererad karta.tif", "A 12381-2023")</f>
        <v/>
      </c>
      <c r="AA109">
        <f>HYPERLINK("https://klasma.github.io/Logging_2180/klagomål/A 12381-2023 FSC-klagomål.docx", "A 12381-2023")</f>
        <v/>
      </c>
      <c r="AB109">
        <f>HYPERLINK("https://klasma.github.io/Logging_2180/klagomålsmail/A 12381-2023 FSC-klagomål mail.docx", "A 12381-2023")</f>
        <v/>
      </c>
      <c r="AC109">
        <f>HYPERLINK("https://klasma.github.io/Logging_2180/tillsyn/A 12381-2023 tillsynsbegäran.docx", "A 12381-2023")</f>
        <v/>
      </c>
      <c r="AD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46290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46290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50052-2025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45943</v>
      </c>
      <c r="E112" s="1" t="n">
        <v>46290</v>
      </c>
      <c r="F112" t="inlineStr">
        <is>
          <t>GÄVLEBORGS LÄN</t>
        </is>
      </c>
      <c r="G112" t="inlineStr">
        <is>
          <t>GÄVLE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Mosippa</t>
        </is>
      </c>
      <c r="W112">
        <f>HYPERLINK("https://klasma.github.io/Logging_2180/artfynd/A 50052-2025 artfynd.xlsx", "A 50052-2025")</f>
        <v/>
      </c>
      <c r="X112">
        <f>HYPERLINK("https://klasma.github.io/Logging_2180/kartor/A 50052-2025 karta.png", "A 50052-2025")</f>
        <v/>
      </c>
      <c r="Y112">
        <f>HYPERLINK("https://klasma.github.io/Logging_2180/kartor_geotiff/A 50052-2025 georefererad karta.tif", "A 50052-2025")</f>
        <v/>
      </c>
      <c r="AA112">
        <f>HYPERLINK("https://klasma.github.io/Logging_2180/klagomål/A 50052-2025 FSC-klagomål.docx", "A 50052-2025")</f>
        <v/>
      </c>
      <c r="AB112">
        <f>HYPERLINK("https://klasma.github.io/Logging_2180/klagomålsmail/A 50052-2025 FSC-klagomål mail.docx", "A 50052-2025")</f>
        <v/>
      </c>
      <c r="AC112">
        <f>HYPERLINK("https://klasma.github.io/Logging_2180/tillsyn/A 50052-2025 tillsynsbegäran.docx", "A 50052-2025")</f>
        <v/>
      </c>
      <c r="AD112">
        <f>HYPERLINK("https://klasma.github.io/Logging_2180/tillsynsmail/A 50052-2025 tillsynsbegäran mail.docx", "A 50052-2025")</f>
        <v/>
      </c>
    </row>
    <row r="113" ht="15" customHeight="1">
      <c r="A113" t="inlineStr">
        <is>
          <t>A 13684-2026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46097</v>
      </c>
      <c r="E113" s="1" t="n">
        <v>46290</v>
      </c>
      <c r="F113" t="inlineStr">
        <is>
          <t>GÄVLEBORGS LÄN</t>
        </is>
      </c>
      <c r="G113" t="inlineStr">
        <is>
          <t>GÄVLE</t>
        </is>
      </c>
      <c r="I113" t="n">
        <v>21.3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Igelkott</t>
        </is>
      </c>
      <c r="W113">
        <f>HYPERLINK("https://klasma.github.io/Logging_2180/artfynd/A 13684-2026 artfynd.xlsx", "A 13684-2026")</f>
        <v/>
      </c>
      <c r="X113">
        <f>HYPERLINK("https://klasma.github.io/Logging_2180/kartor/A 13684-2026 karta.png", "A 13684-2026")</f>
        <v/>
      </c>
      <c r="Y113">
        <f>HYPERLINK("https://klasma.github.io/Logging_2180/kartor_geotiff/A 13684-2026 georefererad karta.tif", "A 13684-2026")</f>
        <v/>
      </c>
      <c r="AA113">
        <f>HYPERLINK("https://klasma.github.io/Logging_2180/klagomål/A 13684-2026 FSC-klagomål.docx", "A 13684-2026")</f>
        <v/>
      </c>
      <c r="AB113">
        <f>HYPERLINK("https://klasma.github.io/Logging_2180/klagomålsmail/A 13684-2026 FSC-klagomål mail.docx", "A 13684-2026")</f>
        <v/>
      </c>
      <c r="AC113">
        <f>HYPERLINK("https://klasma.github.io/Logging_2180/tillsyn/A 13684-2026 tillsynsbegäran.docx", "A 13684-2026")</f>
        <v/>
      </c>
      <c r="AD113">
        <f>HYPERLINK("https://klasma.github.io/Logging_2180/tillsynsmail/A 13684-2026 tillsynsbegäran mail.docx", "A 13684-2026")</f>
        <v/>
      </c>
    </row>
    <row r="114" ht="15" customHeight="1">
      <c r="A114" t="inlineStr">
        <is>
          <t>A 27063-2026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46290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27063-2026 artfynd.xlsx", "A 27063-2026")</f>
        <v/>
      </c>
      <c r="X114">
        <f>HYPERLINK("https://klasma.github.io/Logging_2180/kartor/A 27063-2026 karta.png", "A 27063-2026")</f>
        <v/>
      </c>
      <c r="Y114">
        <f>HYPERLINK("https://klasma.github.io/Logging_2180/kartor_geotiff/A 27063-2026 georefererad karta.tif", "A 27063-2026")</f>
        <v/>
      </c>
      <c r="AA114">
        <f>HYPERLINK("https://klasma.github.io/Logging_2180/klagomål/A 27063-2026 FSC-klagomål.docx", "A 27063-2026")</f>
        <v/>
      </c>
      <c r="AB114">
        <f>HYPERLINK("https://klasma.github.io/Logging_2180/klagomålsmail/A 27063-2026 FSC-klagomål mail.docx", "A 27063-2026")</f>
        <v/>
      </c>
      <c r="AC114">
        <f>HYPERLINK("https://klasma.github.io/Logging_2180/tillsyn/A 27063-2026 tillsynsbegäran.docx", "A 27063-2026")</f>
        <v/>
      </c>
      <c r="AD114">
        <f>HYPERLINK("https://klasma.github.io/Logging_2180/tillsynsmail/A 27063-2026 tillsynsbegäran mail.docx", "A 27063-2026")</f>
        <v/>
      </c>
    </row>
    <row r="115" ht="15" customHeight="1">
      <c r="A115" t="inlineStr">
        <is>
          <t>A 27058-2026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27058-2026 artfynd.xlsx", "A 27058-2026")</f>
        <v/>
      </c>
      <c r="X115">
        <f>HYPERLINK("https://klasma.github.io/Logging_2180/kartor/A 27058-2026 karta.png", "A 27058-2026")</f>
        <v/>
      </c>
      <c r="Y115">
        <f>HYPERLINK("https://klasma.github.io/Logging_2180/kartor_geotiff/A 27058-2026 georefererad karta.tif", "A 27058-2026")</f>
        <v/>
      </c>
      <c r="AA115">
        <f>HYPERLINK("https://klasma.github.io/Logging_2180/klagomål/A 27058-2026 FSC-klagomål.docx", "A 27058-2026")</f>
        <v/>
      </c>
      <c r="AB115">
        <f>HYPERLINK("https://klasma.github.io/Logging_2180/klagomålsmail/A 27058-2026 FSC-klagomål mail.docx", "A 27058-2026")</f>
        <v/>
      </c>
      <c r="AC115">
        <f>HYPERLINK("https://klasma.github.io/Logging_2180/tillsyn/A 27058-2026 tillsynsbegäran.docx", "A 27058-2026")</f>
        <v/>
      </c>
      <c r="AD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46290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27043-2026 artfynd.xlsx", "A 27043-2026")</f>
        <v/>
      </c>
      <c r="X116">
        <f>HYPERLINK("https://klasma.github.io/Logging_2180/kartor/A 27043-2026 karta.png", "A 27043-2026")</f>
        <v/>
      </c>
      <c r="Y116">
        <f>HYPERLINK("https://klasma.github.io/Logging_2180/kartor_geotiff/A 27043-2026 georefererad karta.tif", "A 27043-2026")</f>
        <v/>
      </c>
      <c r="AA116">
        <f>HYPERLINK("https://klasma.github.io/Logging_2180/klagomål/A 27043-2026 FSC-klagomål.docx", "A 27043-2026")</f>
        <v/>
      </c>
      <c r="AB116">
        <f>HYPERLINK("https://klasma.github.io/Logging_2180/klagomålsmail/A 27043-2026 FSC-klagomål mail.docx", "A 27043-2026")</f>
        <v/>
      </c>
      <c r="AC116">
        <f>HYPERLINK("https://klasma.github.io/Logging_2180/tillsyn/A 27043-2026 tillsynsbegäran.docx", "A 27043-2026")</f>
        <v/>
      </c>
      <c r="AD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17251-2026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46290</v>
      </c>
      <c r="F117" t="inlineStr">
        <is>
          <t>GÄVLEBORGS LÄN</t>
        </is>
      </c>
      <c r="G117" t="inlineStr">
        <is>
          <t>GÄVLE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17251-2026 artfynd.xlsx", "A 17251-2026")</f>
        <v/>
      </c>
      <c r="X117">
        <f>HYPERLINK("https://klasma.github.io/Logging_2180/kartor/A 17251-2026 karta.png", "A 17251-2026")</f>
        <v/>
      </c>
      <c r="Y117">
        <f>HYPERLINK("https://klasma.github.io/Logging_2180/kartor_geotiff/A 17251-2026 georefererad karta.tif", "A 17251-2026")</f>
        <v/>
      </c>
      <c r="AA117">
        <f>HYPERLINK("https://klasma.github.io/Logging_2180/klagomål/A 17251-2026 FSC-klagomål.docx", "A 17251-2026")</f>
        <v/>
      </c>
      <c r="AB117">
        <f>HYPERLINK("https://klasma.github.io/Logging_2180/klagomålsmail/A 17251-2026 FSC-klagomål mail.docx", "A 17251-2026")</f>
        <v/>
      </c>
      <c r="AC117">
        <f>HYPERLINK("https://klasma.github.io/Logging_2180/tillsyn/A 17251-2026 tillsynsbegäran.docx", "A 17251-2026")</f>
        <v/>
      </c>
      <c r="AD117">
        <f>HYPERLINK("https://klasma.github.io/Logging_2180/tillsynsmail/A 17251-2026 tillsynsbegäran mail.docx", "A 17251-2026")</f>
        <v/>
      </c>
    </row>
    <row r="118" ht="15" customHeight="1">
      <c r="A118" t="inlineStr">
        <is>
          <t>A 19635-2026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46290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Skinnlav</t>
        </is>
      </c>
      <c r="W118">
        <f>HYPERLINK("https://klasma.github.io/Logging_2180/artfynd/A 19635-2026 artfynd.xlsx", "A 19635-2026")</f>
        <v/>
      </c>
      <c r="X118">
        <f>HYPERLINK("https://klasma.github.io/Logging_2180/kartor/A 19635-2026 karta.png", "A 19635-2026")</f>
        <v/>
      </c>
      <c r="Y118">
        <f>HYPERLINK("https://klasma.github.io/Logging_2180/kartor_geotiff/A 19635-2026 georefererad karta.tif", "A 19635-2026")</f>
        <v/>
      </c>
      <c r="AA118">
        <f>HYPERLINK("https://klasma.github.io/Logging_2180/klagomål/A 19635-2026 FSC-klagomål.docx", "A 19635-2026")</f>
        <v/>
      </c>
      <c r="AB118">
        <f>HYPERLINK("https://klasma.github.io/Logging_2180/klagomålsmail/A 19635-2026 FSC-klagomål mail.docx", "A 19635-2026")</f>
        <v/>
      </c>
      <c r="AC118">
        <f>HYPERLINK("https://klasma.github.io/Logging_2180/tillsyn/A 19635-2026 tillsynsbegäran.docx", "A 19635-2026")</f>
        <v/>
      </c>
      <c r="AD118">
        <f>HYPERLINK("https://klasma.github.io/Logging_2180/tillsynsmail/A 19635-2026 tillsynsbegäran mail.docx", "A 19635-2026")</f>
        <v/>
      </c>
    </row>
    <row r="119" ht="15" customHeight="1">
      <c r="A119" t="inlineStr">
        <is>
          <t>A 28546-2026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46290</v>
      </c>
      <c r="F119" t="inlineStr">
        <is>
          <t>GÄVLEBORGS LÄN</t>
        </is>
      </c>
      <c r="G119" t="inlineStr">
        <is>
          <t>GÄVLE</t>
        </is>
      </c>
      <c r="H119" t="inlineStr">
        <is>
          <t>BillerudKorsnäs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Fiskgjuse</t>
        </is>
      </c>
      <c r="W119">
        <f>HYPERLINK("https://klasma.github.io/Logging_2180/artfynd/A 28546-2026 artfynd.xlsx", "A 28546-2026")</f>
        <v/>
      </c>
      <c r="X119">
        <f>HYPERLINK("https://klasma.github.io/Logging_2180/kartor/A 28546-2026 karta.png", "A 28546-2026")</f>
        <v/>
      </c>
      <c r="Y119">
        <f>HYPERLINK("https://klasma.github.io/Logging_2180/kartor_geotiff/A 28546-2026 georefererad karta.tif", "A 28546-2026")</f>
        <v/>
      </c>
      <c r="AA119">
        <f>HYPERLINK("https://klasma.github.io/Logging_2180/klagomål/A 28546-2026 FSC-klagomål.docx", "A 28546-2026")</f>
        <v/>
      </c>
      <c r="AB119">
        <f>HYPERLINK("https://klasma.github.io/Logging_2180/klagomålsmail/A 28546-2026 FSC-klagomål mail.docx", "A 28546-2026")</f>
        <v/>
      </c>
      <c r="AC119">
        <f>HYPERLINK("https://klasma.github.io/Logging_2180/tillsyn/A 28546-2026 tillsynsbegäran.docx", "A 28546-2026")</f>
        <v/>
      </c>
      <c r="AD119">
        <f>HYPERLINK("https://klasma.github.io/Logging_2180/tillsynsmail/A 28546-2026 tillsynsbegäran mail.docx", "A 28546-2026")</f>
        <v/>
      </c>
      <c r="AE119">
        <f>HYPERLINK("https://klasma.github.io/Logging_2180/fåglar/A 28546-2026 prioriterade fågelarter.docx", "A 28546-2026")</f>
        <v/>
      </c>
    </row>
    <row r="120" ht="15" customHeight="1">
      <c r="A120" t="inlineStr">
        <is>
          <t>A 11407-2025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46290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Myskmadra</t>
        </is>
      </c>
      <c r="W120">
        <f>HYPERLINK("https://klasma.github.io/Logging_2180/artfynd/A 11407-2025 artfynd.xlsx", "A 11407-2025")</f>
        <v/>
      </c>
      <c r="X120">
        <f>HYPERLINK("https://klasma.github.io/Logging_2180/kartor/A 11407-2025 karta.png", "A 11407-2025")</f>
        <v/>
      </c>
      <c r="Y120">
        <f>HYPERLINK("https://klasma.github.io/Logging_2180/kartor_geotiff/A 11407-2025 georefererad karta.tif", "A 11407-2025")</f>
        <v/>
      </c>
      <c r="AA120">
        <f>HYPERLINK("https://klasma.github.io/Logging_2180/klagomål/A 11407-2025 FSC-klagomål.docx", "A 11407-2025")</f>
        <v/>
      </c>
      <c r="AB120">
        <f>HYPERLINK("https://klasma.github.io/Logging_2180/klagomålsmail/A 11407-2025 FSC-klagomål mail.docx", "A 11407-2025")</f>
        <v/>
      </c>
      <c r="AC120">
        <f>HYPERLINK("https://klasma.github.io/Logging_2180/tillsyn/A 11407-2025 tillsynsbegäran.docx", "A 11407-2025")</f>
        <v/>
      </c>
      <c r="AD120">
        <f>HYPERLINK("https://klasma.github.io/Logging_2180/tillsynsmail/A 11407-2025 tillsynsbegäran mail.docx", "A 11407-2025")</f>
        <v/>
      </c>
    </row>
    <row r="121" ht="15" customHeight="1">
      <c r="A121" t="inlineStr">
        <is>
          <t>A 33832-2026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46290</v>
      </c>
      <c r="F121" t="inlineStr">
        <is>
          <t>GÄVLEBORGS LÄN</t>
        </is>
      </c>
      <c r="G121" t="inlineStr">
        <is>
          <t>GÄVLE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HYPERLINK("https://klasma.github.io/Logging_2180/artfynd/A 33832-2026 artfynd.xlsx", "A 33832-2026")</f>
        <v/>
      </c>
      <c r="X121">
        <f>HYPERLINK("https://klasma.github.io/Logging_2180/kartor/A 33832-2026 karta.png", "A 33832-2026")</f>
        <v/>
      </c>
      <c r="Y121">
        <f>HYPERLINK("https://klasma.github.io/Logging_2180/kartor_geotiff/A 33832-2026 georefererad karta.tif", "A 33832-2026")</f>
        <v/>
      </c>
      <c r="AA121">
        <f>HYPERLINK("https://klasma.github.io/Logging_2180/klagomål/A 33832-2026 FSC-klagomål.docx", "A 33832-2026")</f>
        <v/>
      </c>
      <c r="AB121">
        <f>HYPERLINK("https://klasma.github.io/Logging_2180/klagomålsmail/A 33832-2026 FSC-klagomål mail.docx", "A 33832-2026")</f>
        <v/>
      </c>
      <c r="AC121">
        <f>HYPERLINK("https://klasma.github.io/Logging_2180/tillsyn/A 33832-2026 tillsynsbegäran.docx", "A 33832-2026")</f>
        <v/>
      </c>
      <c r="AD121">
        <f>HYPERLINK("https://klasma.github.io/Logging_2180/tillsynsmail/A 33832-2026 tillsynsbegäran mail.docx", "A 33832-2026")</f>
        <v/>
      </c>
    </row>
    <row r="122" ht="15" customHeight="1">
      <c r="A122" t="inlineStr">
        <is>
          <t>A 34086-2026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46252</v>
      </c>
      <c r="E122" s="1" t="n">
        <v>46290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6.1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Gullgröppa</t>
        </is>
      </c>
      <c r="W122">
        <f>HYPERLINK("https://klasma.github.io/Logging_2180/artfynd/A 34086-2026 artfynd.xlsx", "A 34086-2026")</f>
        <v/>
      </c>
      <c r="X122">
        <f>HYPERLINK("https://klasma.github.io/Logging_2180/kartor/A 34086-2026 karta.png", "A 34086-2026")</f>
        <v/>
      </c>
      <c r="Y122">
        <f>HYPERLINK("https://klasma.github.io/Logging_2180/kartor_geotiff/A 34086-2026 georefererad karta.tif", "A 34086-2026")</f>
        <v/>
      </c>
      <c r="AA122">
        <f>HYPERLINK("https://klasma.github.io/Logging_2180/klagomål/A 34086-2026 FSC-klagomål.docx", "A 34086-2026")</f>
        <v/>
      </c>
      <c r="AB122">
        <f>HYPERLINK("https://klasma.github.io/Logging_2180/klagomålsmail/A 34086-2026 FSC-klagomål mail.docx", "A 34086-2026")</f>
        <v/>
      </c>
      <c r="AC122">
        <f>HYPERLINK("https://klasma.github.io/Logging_2180/tillsyn/A 34086-2026 tillsynsbegäran.docx", "A 34086-2026")</f>
        <v/>
      </c>
      <c r="AD122">
        <f>HYPERLINK("https://klasma.github.io/Logging_2180/tillsynsmail/A 34086-2026 tillsynsbegäran mail.docx", "A 34086-2026")</f>
        <v/>
      </c>
    </row>
    <row r="123" ht="15" customHeight="1">
      <c r="A123" t="inlineStr">
        <is>
          <t>A 34589-2026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46255</v>
      </c>
      <c r="E123" s="1" t="n">
        <v>46290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15.3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HYPERLINK("https://klasma.github.io/Logging_2180/artfynd/A 34589-2026 artfynd.xlsx", "A 34589-2026")</f>
        <v/>
      </c>
      <c r="X123">
        <f>HYPERLINK("https://klasma.github.io/Logging_2180/kartor/A 34589-2026 karta.png", "A 34589-2026")</f>
        <v/>
      </c>
      <c r="Y123">
        <f>HYPERLINK("https://klasma.github.io/Logging_2180/kartor_geotiff/A 34589-2026 georefererad karta.tif", "A 34589-2026")</f>
        <v/>
      </c>
      <c r="AA123">
        <f>HYPERLINK("https://klasma.github.io/Logging_2180/klagomål/A 34589-2026 FSC-klagomål.docx", "A 34589-2026")</f>
        <v/>
      </c>
      <c r="AB123">
        <f>HYPERLINK("https://klasma.github.io/Logging_2180/klagomålsmail/A 34589-2026 FSC-klagomål mail.docx", "A 34589-2026")</f>
        <v/>
      </c>
      <c r="AC123">
        <f>HYPERLINK("https://klasma.github.io/Logging_2180/tillsyn/A 34589-2026 tillsynsbegäran.docx", "A 34589-2026")</f>
        <v/>
      </c>
      <c r="AD123">
        <f>HYPERLINK("https://klasma.github.io/Logging_2180/tillsynsmail/A 34589-2026 tillsynsbegäran mail.docx", "A 34589-2026")</f>
        <v/>
      </c>
    </row>
    <row r="124" ht="15" customHeight="1">
      <c r="A124" t="inlineStr">
        <is>
          <t>A 31448-2026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46217</v>
      </c>
      <c r="E124" s="1" t="n">
        <v>46290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6.8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Mindre tåtelsmygare</t>
        </is>
      </c>
      <c r="W124">
        <f>HYPERLINK("https://klasma.github.io/Logging_2180/artfynd/A 31448-2026 artfynd.xlsx", "A 31448-2026")</f>
        <v/>
      </c>
      <c r="X124">
        <f>HYPERLINK("https://klasma.github.io/Logging_2180/kartor/A 31448-2026 karta.png", "A 31448-2026")</f>
        <v/>
      </c>
      <c r="Y124">
        <f>HYPERLINK("https://klasma.github.io/Logging_2180/kartor_geotiff/A 31448-2026 georefererad karta.tif", "A 31448-2026")</f>
        <v/>
      </c>
      <c r="AA124">
        <f>HYPERLINK("https://klasma.github.io/Logging_2180/klagomål/A 31448-2026 FSC-klagomål.docx", "A 31448-2026")</f>
        <v/>
      </c>
      <c r="AB124">
        <f>HYPERLINK("https://klasma.github.io/Logging_2180/klagomålsmail/A 31448-2026 FSC-klagomål mail.docx", "A 31448-2026")</f>
        <v/>
      </c>
      <c r="AC124">
        <f>HYPERLINK("https://klasma.github.io/Logging_2180/tillsyn/A 31448-2026 tillsynsbegäran.docx", "A 31448-2026")</f>
        <v/>
      </c>
      <c r="AD124">
        <f>HYPERLINK("https://klasma.github.io/Logging_2180/tillsynsmail/A 31448-2026 tillsynsbegäran mail.docx", "A 31448-2026")</f>
        <v/>
      </c>
    </row>
    <row r="125" ht="15" customHeight="1">
      <c r="A125" t="inlineStr">
        <is>
          <t>A 18216-2024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46290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Dofttaggsvamp</t>
        </is>
      </c>
      <c r="W125">
        <f>HYPERLINK("https://klasma.github.io/Logging_2180/artfynd/A 18216-2024 artfynd.xlsx", "A 18216-2024")</f>
        <v/>
      </c>
      <c r="X125">
        <f>HYPERLINK("https://klasma.github.io/Logging_2180/kartor/A 18216-2024 karta.png", "A 18216-2024")</f>
        <v/>
      </c>
      <c r="Y125">
        <f>HYPERLINK("https://klasma.github.io/Logging_2180/kartor_geotiff/A 18216-2024 georefererad karta.tif", "A 18216-2024")</f>
        <v/>
      </c>
      <c r="AA125">
        <f>HYPERLINK("https://klasma.github.io/Logging_2180/klagomål/A 18216-2024 FSC-klagomål.docx", "A 18216-2024")</f>
        <v/>
      </c>
      <c r="AB125">
        <f>HYPERLINK("https://klasma.github.io/Logging_2180/klagomålsmail/A 18216-2024 FSC-klagomål mail.docx", "A 18216-2024")</f>
        <v/>
      </c>
      <c r="AC125">
        <f>HYPERLINK("https://klasma.github.io/Logging_2180/tillsyn/A 18216-2024 tillsynsbegäran.docx", "A 18216-2024")</f>
        <v/>
      </c>
      <c r="AD125">
        <f>HYPERLINK("https://klasma.github.io/Logging_2180/tillsynsmail/A 18216-2024 tillsynsbegäran mail.docx", "A 18216-2024")</f>
        <v/>
      </c>
    </row>
    <row r="126" ht="15" customHeight="1">
      <c r="A126" t="inlineStr">
        <is>
          <t>A 36090-2026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46267</v>
      </c>
      <c r="E126" s="1" t="n">
        <v>46290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Tvåblad</t>
        </is>
      </c>
      <c r="W126">
        <f>HYPERLINK("https://klasma.github.io/Logging_2180/artfynd/A 36090-2026 artfynd.xlsx", "A 36090-2026")</f>
        <v/>
      </c>
      <c r="X126">
        <f>HYPERLINK("https://klasma.github.io/Logging_2180/kartor/A 36090-2026 karta.png", "A 36090-2026")</f>
        <v/>
      </c>
      <c r="Y126">
        <f>HYPERLINK("https://klasma.github.io/Logging_2180/kartor_geotiff/A 36090-2026 georefererad karta.tif", "A 36090-2026")</f>
        <v/>
      </c>
      <c r="AA126">
        <f>HYPERLINK("https://klasma.github.io/Logging_2180/klagomål/A 36090-2026 FSC-klagomål.docx", "A 36090-2026")</f>
        <v/>
      </c>
      <c r="AB126">
        <f>HYPERLINK("https://klasma.github.io/Logging_2180/klagomålsmail/A 36090-2026 FSC-klagomål mail.docx", "A 36090-2026")</f>
        <v/>
      </c>
      <c r="AC126">
        <f>HYPERLINK("https://klasma.github.io/Logging_2180/tillsyn/A 36090-2026 tillsynsbegäran.docx", "A 36090-2026")</f>
        <v/>
      </c>
      <c r="AD126">
        <f>HYPERLINK("https://klasma.github.io/Logging_2180/tillsynsmail/A 36090-2026 tillsynsbegäran mail.docx", "A 36090-2026")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46290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46290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34890-2026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46259</v>
      </c>
      <c r="E129" s="1" t="n">
        <v>46290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18.3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4</v>
      </c>
      <c r="U129" t="n">
        <v>0</v>
      </c>
      <c r="V129" s="2" t="inlineStr">
        <is>
          <t>Spillkråka</t>
        </is>
      </c>
      <c r="W129">
        <f>HYPERLINK("https://klasma.github.io/Logging_2180/artfynd/A 34890-2026 artfynd.xlsx", "A 34890-2026")</f>
        <v/>
      </c>
      <c r="X129">
        <f>HYPERLINK("https://klasma.github.io/Logging_2180/kartor/A 34890-2026 karta.png", "A 34890-2026")</f>
        <v/>
      </c>
      <c r="Y129">
        <f>HYPERLINK("https://klasma.github.io/Logging_2180/kartor_geotiff/A 34890-2026 georefererad karta.tif", "A 34890-2026")</f>
        <v/>
      </c>
      <c r="AA129">
        <f>HYPERLINK("https://klasma.github.io/Logging_2180/klagomål/A 34890-2026 FSC-klagomål.docx", "A 34890-2026")</f>
        <v/>
      </c>
      <c r="AB129">
        <f>HYPERLINK("https://klasma.github.io/Logging_2180/klagomålsmail/A 34890-2026 FSC-klagomål mail.docx", "A 34890-2026")</f>
        <v/>
      </c>
      <c r="AC129">
        <f>HYPERLINK("https://klasma.github.io/Logging_2180/tillsyn/A 34890-2026 tillsynsbegäran.docx", "A 34890-2026")</f>
        <v/>
      </c>
      <c r="AD129">
        <f>HYPERLINK("https://klasma.github.io/Logging_2180/tillsynsmail/A 34890-2026 tillsynsbegäran mail.docx", "A 34890-2026")</f>
        <v/>
      </c>
      <c r="AE129">
        <f>HYPERLINK("https://klasma.github.io/Logging_2180/fåglar/A 34890-2026 prioriterade fågelarter.docx", "A 34890-2026")</f>
        <v/>
      </c>
    </row>
    <row r="130" ht="15" customHeight="1">
      <c r="A130" t="inlineStr">
        <is>
          <t>A 37220-2026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46274</v>
      </c>
      <c r="E130" s="1" t="n">
        <v>46290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HYPERLINK("https://klasma.github.io/Logging_2180/artfynd/A 37220-2026 artfynd.xlsx", "A 37220-2026")</f>
        <v/>
      </c>
      <c r="X130">
        <f>HYPERLINK("https://klasma.github.io/Logging_2180/kartor/A 37220-2026 karta.png", "A 37220-2026")</f>
        <v/>
      </c>
      <c r="Y130">
        <f>HYPERLINK("https://klasma.github.io/Logging_2180/kartor_geotiff/A 37220-2026 georefererad karta.tif", "A 37220-2026")</f>
        <v/>
      </c>
      <c r="AA130">
        <f>HYPERLINK("https://klasma.github.io/Logging_2180/klagomål/A 37220-2026 FSC-klagomål.docx", "A 37220-2026")</f>
        <v/>
      </c>
      <c r="AB130">
        <f>HYPERLINK("https://klasma.github.io/Logging_2180/klagomålsmail/A 37220-2026 FSC-klagomål mail.docx", "A 37220-2026")</f>
        <v/>
      </c>
      <c r="AC130">
        <f>HYPERLINK("https://klasma.github.io/Logging_2180/tillsyn/A 37220-2026 tillsynsbegäran.docx", "A 37220-2026")</f>
        <v/>
      </c>
      <c r="AD130">
        <f>HYPERLINK("https://klasma.github.io/Logging_2180/tillsynsmail/A 37220-2026 tillsynsbegäran mail.docx", "A 37220-2026")</f>
        <v/>
      </c>
    </row>
    <row r="131" ht="15" customHeight="1">
      <c r="A131" t="inlineStr">
        <is>
          <t>A 12083-2025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46290</v>
      </c>
      <c r="F131" t="inlineStr">
        <is>
          <t>GÄVLEBORGS LÄN</t>
        </is>
      </c>
      <c r="G131" t="inlineStr">
        <is>
          <t>GÄVLE</t>
        </is>
      </c>
      <c r="I131" t="n">
        <v>6.3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Grönsiska</t>
        </is>
      </c>
      <c r="W131">
        <f>HYPERLINK("https://klasma.github.io/Logging_2180/artfynd/A 12083-2025 artfynd.xlsx", "A 12083-2025")</f>
        <v/>
      </c>
      <c r="X131">
        <f>HYPERLINK("https://klasma.github.io/Logging_2180/kartor/A 12083-2025 karta.png", "A 12083-2025")</f>
        <v/>
      </c>
      <c r="Y131">
        <f>HYPERLINK("https://klasma.github.io/Logging_2180/kartor_geotiff/A 12083-2025 georefererad karta.tif", "A 12083-2025")</f>
        <v/>
      </c>
      <c r="AA131">
        <f>HYPERLINK("https://klasma.github.io/Logging_2180/klagomål/A 12083-2025 FSC-klagomål.docx", "A 12083-2025")</f>
        <v/>
      </c>
      <c r="AB131">
        <f>HYPERLINK("https://klasma.github.io/Logging_2180/klagomålsmail/A 12083-2025 FSC-klagomål mail.docx", "A 12083-2025")</f>
        <v/>
      </c>
      <c r="AC131">
        <f>HYPERLINK("https://klasma.github.io/Logging_2180/tillsyn/A 12083-2025 tillsynsbegäran.docx", "A 12083-2025")</f>
        <v/>
      </c>
      <c r="AD131">
        <f>HYPERLINK("https://klasma.github.io/Logging_2180/tillsynsmail/A 12083-2025 tillsynsbegäran mail.docx", "A 12083-2025")</f>
        <v/>
      </c>
    </row>
    <row r="132" ht="15" customHeight="1">
      <c r="A132" t="inlineStr">
        <is>
          <t>A 13227-2024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46290</v>
      </c>
      <c r="F132" t="inlineStr">
        <is>
          <t>GÄVLEBORGS LÄN</t>
        </is>
      </c>
      <c r="G132" t="inlineStr">
        <is>
          <t>GÄVLE</t>
        </is>
      </c>
      <c r="H132" t="inlineStr">
        <is>
          <t>Övriga statliga verk och myndigheter</t>
        </is>
      </c>
      <c r="I132" t="n">
        <v>5.9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Större vattensalamander</t>
        </is>
      </c>
      <c r="W132">
        <f>HYPERLINK("https://klasma.github.io/Logging_2180/artfynd/A 13227-2024 artfynd.xlsx", "A 13227-2024")</f>
        <v/>
      </c>
      <c r="X132">
        <f>HYPERLINK("https://klasma.github.io/Logging_2180/kartor/A 13227-2024 karta.png", "A 13227-2024")</f>
        <v/>
      </c>
      <c r="Y132">
        <f>HYPERLINK("https://klasma.github.io/Logging_2180/kartor_geotiff/A 13227-2024 georefererad karta.tif", "A 13227-2024")</f>
        <v/>
      </c>
      <c r="AA132">
        <f>HYPERLINK("https://klasma.github.io/Logging_2180/klagomål/A 13227-2024 FSC-klagomål.docx", "A 13227-2024")</f>
        <v/>
      </c>
      <c r="AB132">
        <f>HYPERLINK("https://klasma.github.io/Logging_2180/klagomålsmail/A 13227-2024 FSC-klagomål mail.docx", "A 13227-2024")</f>
        <v/>
      </c>
      <c r="AC132">
        <f>HYPERLINK("https://klasma.github.io/Logging_2180/tillsyn/A 13227-2024 tillsynsbegäran.docx", "A 13227-2024")</f>
        <v/>
      </c>
      <c r="AD132">
        <f>HYPERLINK("https://klasma.github.io/Logging_2180/tillsynsmail/A 13227-2024 tillsynsbegäran mail.docx", "A 13227-2024")</f>
        <v/>
      </c>
    </row>
    <row r="133" ht="15" customHeight="1">
      <c r="A133" t="inlineStr">
        <is>
          <t>A 38571-2026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46283</v>
      </c>
      <c r="E133" s="1" t="n">
        <v>46290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 spretmossa</t>
        </is>
      </c>
      <c r="W133">
        <f>HYPERLINK("https://klasma.github.io/Logging_2180/artfynd/A 38571-2026 artfynd.xlsx", "A 38571-2026")</f>
        <v/>
      </c>
      <c r="X133">
        <f>HYPERLINK("https://klasma.github.io/Logging_2180/kartor/A 38571-2026 karta.png", "A 38571-2026")</f>
        <v/>
      </c>
      <c r="Y133">
        <f>HYPERLINK("https://klasma.github.io/Logging_2180/kartor_geotiff/A 38571-2026 georefererad karta.tif", "A 38571-2026")</f>
        <v/>
      </c>
      <c r="AA133">
        <f>HYPERLINK("https://klasma.github.io/Logging_2180/klagomål/A 38571-2026 FSC-klagomål.docx", "A 38571-2026")</f>
        <v/>
      </c>
      <c r="AB133">
        <f>HYPERLINK("https://klasma.github.io/Logging_2180/klagomålsmail/A 38571-2026 FSC-klagomål mail.docx", "A 38571-2026")</f>
        <v/>
      </c>
      <c r="AC133">
        <f>HYPERLINK("https://klasma.github.io/Logging_2180/tillsyn/A 38571-2026 tillsynsbegäran.docx", "A 38571-2026")</f>
        <v/>
      </c>
      <c r="AD133">
        <f>HYPERLINK("https://klasma.github.io/Logging_2180/tillsynsmail/A 38571-2026 tillsynsbegäran mail.docx", "A 38571-2026")</f>
        <v/>
      </c>
    </row>
    <row r="134" ht="15" customHeight="1">
      <c r="A134" t="inlineStr">
        <is>
          <t>A 35830-2026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46290</v>
      </c>
      <c r="F134" t="inlineStr">
        <is>
          <t>GÄVLEBORGS LÄN</t>
        </is>
      </c>
      <c r="G134" t="inlineStr">
        <is>
          <t>GÄVLE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Bredgentiana</t>
        </is>
      </c>
      <c r="W134">
        <f>HYPERLINK("https://klasma.github.io/Logging_2180/artfynd/A 35830-2026 artfynd.xlsx", "A 35830-2026")</f>
        <v/>
      </c>
      <c r="X134">
        <f>HYPERLINK("https://klasma.github.io/Logging_2180/kartor/A 35830-2026 karta.png", "A 35830-2026")</f>
        <v/>
      </c>
      <c r="Y134">
        <f>HYPERLINK("https://klasma.github.io/Logging_2180/kartor_geotiff/A 35830-2026 georefererad karta.tif", "A 35830-2026")</f>
        <v/>
      </c>
      <c r="AA134">
        <f>HYPERLINK("https://klasma.github.io/Logging_2180/klagomål/A 35830-2026 FSC-klagomål.docx", "A 35830-2026")</f>
        <v/>
      </c>
      <c r="AB134">
        <f>HYPERLINK("https://klasma.github.io/Logging_2180/klagomålsmail/A 35830-2026 FSC-klagomål mail.docx", "A 35830-2026")</f>
        <v/>
      </c>
      <c r="AC134">
        <f>HYPERLINK("https://klasma.github.io/Logging_2180/tillsyn/A 35830-2026 tillsynsbegäran.docx", "A 35830-2026")</f>
        <v/>
      </c>
      <c r="AD134">
        <f>HYPERLINK("https://klasma.github.io/Logging_2180/tillsynsmail/A 35830-2026 tillsynsbegäran mail.docx", "A 35830-2026")</f>
        <v/>
      </c>
    </row>
    <row r="135" ht="15" customHeight="1">
      <c r="A135" t="inlineStr">
        <is>
          <t>A 38300-2026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46282</v>
      </c>
      <c r="E135" s="1" t="n">
        <v>46290</v>
      </c>
      <c r="F135" t="inlineStr">
        <is>
          <t>GÄVLEBORGS LÄN</t>
        </is>
      </c>
      <c r="G135" t="inlineStr">
        <is>
          <t>GÄVLE</t>
        </is>
      </c>
      <c r="I135" t="n">
        <v>3.7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HYPERLINK("https://klasma.github.io/Logging_2180/artfynd/A 38300-2026 artfynd.xlsx", "A 38300-2026")</f>
        <v/>
      </c>
      <c r="X135">
        <f>HYPERLINK("https://klasma.github.io/Logging_2180/kartor/A 38300-2026 karta.png", "A 38300-2026")</f>
        <v/>
      </c>
      <c r="Y135">
        <f>HYPERLINK("https://klasma.github.io/Logging_2180/kartor_geotiff/A 38300-2026 georefererad karta.tif", "A 38300-2026")</f>
        <v/>
      </c>
      <c r="AA135">
        <f>HYPERLINK("https://klasma.github.io/Logging_2180/klagomål/A 38300-2026 FSC-klagomål.docx", "A 38300-2026")</f>
        <v/>
      </c>
      <c r="AB135">
        <f>HYPERLINK("https://klasma.github.io/Logging_2180/klagomålsmail/A 38300-2026 FSC-klagomål mail.docx", "A 38300-2026")</f>
        <v/>
      </c>
      <c r="AC135">
        <f>HYPERLINK("https://klasma.github.io/Logging_2180/tillsyn/A 38300-2026 tillsynsbegäran.docx", "A 38300-2026")</f>
        <v/>
      </c>
      <c r="AD135">
        <f>HYPERLINK("https://klasma.github.io/Logging_2180/tillsynsmail/A 38300-2026 tillsynsbegäran mail.docx", "A 38300-2026")</f>
        <v/>
      </c>
      <c r="AE135">
        <f>HYPERLINK("https://klasma.github.io/Logging_2180/fåglar/A 38300-2026 prioriterade fågelarter.docx", "A 38300-2026")</f>
        <v/>
      </c>
    </row>
    <row r="136" ht="15" customHeight="1">
      <c r="A136" t="inlineStr">
        <is>
          <t>A 26871-2026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46290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Utter</t>
        </is>
      </c>
      <c r="W136">
        <f>HYPERLINK("https://klasma.github.io/Logging_2180/artfynd/A 26871-2026 artfynd.xlsx", "A 26871-2026")</f>
        <v/>
      </c>
      <c r="X136">
        <f>HYPERLINK("https://klasma.github.io/Logging_2180/kartor/A 26871-2026 karta.png", "A 26871-2026")</f>
        <v/>
      </c>
      <c r="Y136">
        <f>HYPERLINK("https://klasma.github.io/Logging_2180/kartor_geotiff/A 26871-2026 georefererad karta.tif", "A 26871-2026")</f>
        <v/>
      </c>
      <c r="AA136">
        <f>HYPERLINK("https://klasma.github.io/Logging_2180/klagomål/A 26871-2026 FSC-klagomål.docx", "A 26871-2026")</f>
        <v/>
      </c>
      <c r="AB136">
        <f>HYPERLINK("https://klasma.github.io/Logging_2180/klagomålsmail/A 26871-2026 FSC-klagomål mail.docx", "A 26871-2026")</f>
        <v/>
      </c>
      <c r="AC136">
        <f>HYPERLINK("https://klasma.github.io/Logging_2180/tillsyn/A 26871-2026 tillsynsbegäran.docx", "A 26871-2026")</f>
        <v/>
      </c>
      <c r="AD136">
        <f>HYPERLINK("https://klasma.github.io/Logging_2180/tillsynsmail/A 26871-2026 tillsynsbegäran mail.docx", "A 26871-2026")</f>
        <v/>
      </c>
    </row>
    <row r="137" ht="15" customHeight="1">
      <c r="A137" t="inlineStr">
        <is>
          <t>A 39065-2026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46287</v>
      </c>
      <c r="E137" s="1" t="n">
        <v>46290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Vedskivlav</t>
        </is>
      </c>
      <c r="W137">
        <f>HYPERLINK("https://klasma.github.io/Logging_2180/artfynd/A 39065-2026 artfynd.xlsx", "A 39065-2026")</f>
        <v/>
      </c>
      <c r="X137">
        <f>HYPERLINK("https://klasma.github.io/Logging_2180/kartor/A 39065-2026 karta.png", "A 39065-2026")</f>
        <v/>
      </c>
      <c r="Y137">
        <f>HYPERLINK("https://klasma.github.io/Logging_2180/kartor_geotiff/A 39065-2026 georefererad karta.tif", "A 39065-2026")</f>
        <v/>
      </c>
      <c r="AA137">
        <f>HYPERLINK("https://klasma.github.io/Logging_2180/klagomål/A 39065-2026 FSC-klagomål.docx", "A 39065-2026")</f>
        <v/>
      </c>
      <c r="AB137">
        <f>HYPERLINK("https://klasma.github.io/Logging_2180/klagomålsmail/A 39065-2026 FSC-klagomål mail.docx", "A 39065-2026")</f>
        <v/>
      </c>
      <c r="AC137">
        <f>HYPERLINK("https://klasma.github.io/Logging_2180/tillsyn/A 39065-2026 tillsynsbegäran.docx", "A 39065-2026")</f>
        <v/>
      </c>
      <c r="AD137">
        <f>HYPERLINK("https://klasma.github.io/Logging_2180/tillsynsmail/A 39065-2026 tillsynsbegäran mail.docx", "A 39065-2026")</f>
        <v/>
      </c>
    </row>
    <row r="138" ht="15" customHeight="1">
      <c r="A138" t="inlineStr">
        <is>
          <t>A 47642-2024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46290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8.199999999999999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Orre</t>
        </is>
      </c>
      <c r="W138">
        <f>HYPERLINK("https://klasma.github.io/Logging_2180/artfynd/A 47642-2024 artfynd.xlsx", "A 47642-2024")</f>
        <v/>
      </c>
      <c r="X138">
        <f>HYPERLINK("https://klasma.github.io/Logging_2180/kartor/A 47642-2024 karta.png", "A 47642-2024")</f>
        <v/>
      </c>
      <c r="Y138">
        <f>HYPERLINK("https://klasma.github.io/Logging_2180/kartor_geotiff/A 47642-2024 georefererad karta.tif", "A 47642-2024")</f>
        <v/>
      </c>
      <c r="AA138">
        <f>HYPERLINK("https://klasma.github.io/Logging_2180/klagomål/A 47642-2024 FSC-klagomål.docx", "A 47642-2024")</f>
        <v/>
      </c>
      <c r="AB138">
        <f>HYPERLINK("https://klasma.github.io/Logging_2180/klagomålsmail/A 47642-2024 FSC-klagomål mail.docx", "A 47642-2024")</f>
        <v/>
      </c>
      <c r="AC138">
        <f>HYPERLINK("https://klasma.github.io/Logging_2180/tillsyn/A 47642-2024 tillsynsbegäran.docx", "A 47642-2024")</f>
        <v/>
      </c>
      <c r="AD138">
        <f>HYPERLINK("https://klasma.github.io/Logging_2180/tillsynsmail/A 47642-2024 tillsynsbegäran mail.docx", "A 47642-2024")</f>
        <v/>
      </c>
      <c r="AE138">
        <f>HYPERLINK("https://klasma.github.io/Logging_2180/fåglar/A 47642-2024 prioriterade fågelarter.docx", "A 47642-2024")</f>
        <v/>
      </c>
    </row>
    <row r="139" ht="15" customHeight="1">
      <c r="A139" t="inlineStr">
        <is>
          <t>A 12338-2025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46290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6.8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1</v>
      </c>
      <c r="V139" s="2" t="inlineStr">
        <is>
          <t>Skogsklocka</t>
        </is>
      </c>
      <c r="W139">
        <f>HYPERLINK("https://klasma.github.io/Logging_2180/artfynd/A 12338-2025 artfynd.xlsx", "A 12338-2025")</f>
        <v/>
      </c>
      <c r="X139">
        <f>HYPERLINK("https://klasma.github.io/Logging_2180/kartor/A 12338-2025 karta.png", "A 12338-2025")</f>
        <v/>
      </c>
      <c r="Y139">
        <f>HYPERLINK("https://klasma.github.io/Logging_2180/kartor_geotiff/A 12338-2025 georefererad karta.tif", "A 12338-2025")</f>
        <v/>
      </c>
      <c r="AA139">
        <f>HYPERLINK("https://klasma.github.io/Logging_2180/klagomål/A 12338-2025 FSC-klagomål.docx", "A 12338-2025")</f>
        <v/>
      </c>
      <c r="AB139">
        <f>HYPERLINK("https://klasma.github.io/Logging_2180/klagomålsmail/A 12338-2025 FSC-klagomål mail.docx", "A 12338-2025")</f>
        <v/>
      </c>
      <c r="AC139">
        <f>HYPERLINK("https://klasma.github.io/Logging_2180/tillsyn/A 12338-2025 tillsynsbegäran.docx", "A 12338-2025")</f>
        <v/>
      </c>
      <c r="AD139">
        <f>HYPERLINK("https://klasma.github.io/Logging_2180/tillsynsmail/A 12338-2025 tillsynsbegäran mail.docx", "A 12338-2025")</f>
        <v/>
      </c>
    </row>
    <row r="140" ht="15" customHeight="1">
      <c r="A140" t="inlineStr">
        <is>
          <t>A 30302-2025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46290</v>
      </c>
      <c r="F140" t="inlineStr">
        <is>
          <t>GÄVLEBORGS LÄN</t>
        </is>
      </c>
      <c r="G140" t="inlineStr">
        <is>
          <t>GÄVLE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Fläcknycklar</t>
        </is>
      </c>
      <c r="W140">
        <f>HYPERLINK("https://klasma.github.io/Logging_2180/artfynd/A 30302-2025 artfynd.xlsx", "A 30302-2025")</f>
        <v/>
      </c>
      <c r="X140">
        <f>HYPERLINK("https://klasma.github.io/Logging_2180/kartor/A 30302-2025 karta.png", "A 30302-2025")</f>
        <v/>
      </c>
      <c r="Y140">
        <f>HYPERLINK("https://klasma.github.io/Logging_2180/kartor_geotiff/A 30302-2025 georefererad karta.tif", "A 30302-2025")</f>
        <v/>
      </c>
      <c r="AA140">
        <f>HYPERLINK("https://klasma.github.io/Logging_2180/klagomål/A 30302-2025 FSC-klagomål.docx", "A 30302-2025")</f>
        <v/>
      </c>
      <c r="AB140">
        <f>HYPERLINK("https://klasma.github.io/Logging_2180/klagomålsmail/A 30302-2025 FSC-klagomål mail.docx", "A 30302-2025")</f>
        <v/>
      </c>
      <c r="AC140">
        <f>HYPERLINK("https://klasma.github.io/Logging_2180/tillsyn/A 30302-2025 tillsynsbegäran.docx", "A 30302-2025")</f>
        <v/>
      </c>
      <c r="AD140">
        <f>HYPERLINK("https://klasma.github.io/Logging_2180/tillsynsmail/A 30302-2025 tillsynsbegäran mail.docx", "A 30302-2025")</f>
        <v/>
      </c>
    </row>
    <row r="141" ht="15" customHeight="1">
      <c r="A141" t="inlineStr">
        <is>
          <t>S 399-2022</t>
        </is>
      </c>
      <c r="B141" t="inlineStr">
        <is>
          <t>samrådsanmälan</t>
        </is>
      </c>
      <c r="C141" t="inlineStr">
        <is>
          <t>Skogsgödsling</t>
        </is>
      </c>
      <c r="D141" s="1" t="n">
        <v>44585</v>
      </c>
      <c r="E141" s="1" t="n">
        <v>46290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44.4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HYPERLINK("https://klasma.github.io/Logging_2180/artfynd/S 399-2022 artfynd.xlsx", "S 399-2022")</f>
        <v/>
      </c>
      <c r="X141">
        <f>HYPERLINK("https://klasma.github.io/Logging_2180/kartor/S 399-2022 karta.png", "S 399-2022")</f>
        <v/>
      </c>
      <c r="Y141">
        <f>HYPERLINK("https://klasma.github.io/Logging_2180/kartor_geotiff/S 399-2022 georefererad karta.tif", "S 399-2022")</f>
        <v/>
      </c>
      <c r="AA141">
        <f>HYPERLINK("https://klasma.github.io/Logging_2180/klagomål/S 399-2022 FSC-klagomål.docx", "S 399-2022")</f>
        <v/>
      </c>
      <c r="AB141">
        <f>HYPERLINK("https://klasma.github.io/Logging_2180/klagomålsmail/S 399-2022 FSC-klagomål mail.docx", "S 399-2022")</f>
        <v/>
      </c>
      <c r="AC141">
        <f>HYPERLINK("https://klasma.github.io/Logging_2180/tillsyn/S 399-2022 tillsynsbegäran.docx", "S 399-2022")</f>
        <v/>
      </c>
      <c r="AD141">
        <f>HYPERLINK("https://klasma.github.io/Logging_2180/tillsynsmail/S 399-2022 tillsynsbegäran mail.docx", "S 399-2022")</f>
        <v/>
      </c>
    </row>
    <row r="142" ht="15" customHeight="1">
      <c r="A142" t="inlineStr">
        <is>
          <t>S 235-2025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45680</v>
      </c>
      <c r="E142" s="1" t="n">
        <v>46290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12.7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HYPERLINK("https://klasma.github.io/Logging_2180/artfynd/S 235-2025 artfynd.xlsx", "S 235-2025")</f>
        <v/>
      </c>
      <c r="X142">
        <f>HYPERLINK("https://klasma.github.io/Logging_2180/kartor/S 235-2025 karta.png", "S 235-2025")</f>
        <v/>
      </c>
      <c r="Y142">
        <f>HYPERLINK("https://klasma.github.io/Logging_2180/kartor_geotiff/S 235-2025 georefererad karta.tif", "S 235-2025")</f>
        <v/>
      </c>
      <c r="AA142">
        <f>HYPERLINK("https://klasma.github.io/Logging_2180/klagomål/S 235-2025 FSC-klagomål.docx", "S 235-2025")</f>
        <v/>
      </c>
      <c r="AB142">
        <f>HYPERLINK("https://klasma.github.io/Logging_2180/klagomålsmail/S 235-2025 FSC-klagomål mail.docx", "S 235-2025")</f>
        <v/>
      </c>
      <c r="AC142">
        <f>HYPERLINK("https://klasma.github.io/Logging_2180/tillsyn/S 235-2025 tillsynsbegäran.docx", "S 235-2025")</f>
        <v/>
      </c>
      <c r="AD142">
        <f>HYPERLINK("https://klasma.github.io/Logging_2180/tillsynsmail/S 235-2025 tillsynsbegäran mail.docx", "S 235-2025")</f>
        <v/>
      </c>
    </row>
    <row r="143" ht="15" customHeight="1">
      <c r="A143" t="inlineStr">
        <is>
          <t>S 3895-2024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45562</v>
      </c>
      <c r="E143" s="1" t="n">
        <v>46290</v>
      </c>
      <c r="F143" t="inlineStr">
        <is>
          <t>GÄVLEBORGS LÄN</t>
        </is>
      </c>
      <c r="G143" t="inlineStr">
        <is>
          <t>GÄVLE</t>
        </is>
      </c>
      <c r="I143" t="n">
        <v>14.3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16</v>
      </c>
      <c r="U143" t="n">
        <v>3</v>
      </c>
      <c r="V143" s="2" t="inlineStr">
        <is>
          <t>Väddnätfjäril</t>
        </is>
      </c>
      <c r="W143">
        <f>HYPERLINK("https://klasma.github.io/Logging_2180/artfynd/S 3895-2024 artfynd.xlsx", "S 3895-2024")</f>
        <v/>
      </c>
      <c r="X143">
        <f>HYPERLINK("https://klasma.github.io/Logging_2180/kartor/S 3895-2024 karta.png", "S 3895-2024")</f>
        <v/>
      </c>
      <c r="Y143">
        <f>HYPERLINK("https://klasma.github.io/Logging_2180/kartor_geotiff/S 3895-2024 georefererad karta.tif", "S 3895-2024")</f>
        <v/>
      </c>
      <c r="AA143">
        <f>HYPERLINK("https://klasma.github.io/Logging_2180/klagomål/S 3895-2024 FSC-klagomål.docx", "S 3895-2024")</f>
        <v/>
      </c>
      <c r="AB143">
        <f>HYPERLINK("https://klasma.github.io/Logging_2180/klagomålsmail/S 3895-2024 FSC-klagomål mail.docx", "S 3895-2024")</f>
        <v/>
      </c>
      <c r="AC143">
        <f>HYPERLINK("https://klasma.github.io/Logging_2180/tillsyn/S 3895-2024 tillsynsbegäran.docx", "S 3895-2024")</f>
        <v/>
      </c>
      <c r="AD143">
        <f>HYPERLINK("https://klasma.github.io/Logging_2180/tillsynsmail/S 3895-2024 tillsynsbegäran mail.docx", "S 3895-2024")</f>
        <v/>
      </c>
    </row>
    <row r="144" ht="15" customHeight="1">
      <c r="A144" t="inlineStr">
        <is>
          <t>S 952-2026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46113</v>
      </c>
      <c r="E144" s="1" t="n">
        <v>46290</v>
      </c>
      <c r="F144" t="inlineStr">
        <is>
          <t>GÄVLEBORGS LÄN</t>
        </is>
      </c>
      <c r="G144" t="inlineStr">
        <is>
          <t>GÄVLE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Mosippa</t>
        </is>
      </c>
      <c r="W144">
        <f>HYPERLINK("https://klasma.github.io/Logging_2180/artfynd/S 952-2026 artfynd.xlsx", "S 952-2026")</f>
        <v/>
      </c>
      <c r="X144">
        <f>HYPERLINK("https://klasma.github.io/Logging_2180/kartor/S 952-2026 karta.png", "S 952-2026")</f>
        <v/>
      </c>
      <c r="Y144">
        <f>HYPERLINK("https://klasma.github.io/Logging_2180/kartor_geotiff/S 952-2026 georefererad karta.tif", "S 952-2026")</f>
        <v/>
      </c>
      <c r="AA144">
        <f>HYPERLINK("https://klasma.github.io/Logging_2180/klagomål/S 952-2026 FSC-klagomål.docx", "S 952-2026")</f>
        <v/>
      </c>
      <c r="AB144">
        <f>HYPERLINK("https://klasma.github.io/Logging_2180/klagomålsmail/S 952-2026 FSC-klagomål mail.docx", "S 952-2026")</f>
        <v/>
      </c>
      <c r="AC144">
        <f>HYPERLINK("https://klasma.github.io/Logging_2180/tillsyn/S 952-2026 tillsynsbegäran.docx", "S 952-2026")</f>
        <v/>
      </c>
      <c r="AD144">
        <f>HYPERLINK("https://klasma.github.io/Logging_2180/tillsynsmail/S 952-2026 tillsynsbegäran mail.docx", "S 952-2026")</f>
        <v/>
      </c>
    </row>
    <row r="145" ht="15" customHeight="1">
      <c r="A145" t="inlineStr">
        <is>
          <t>A 28757-2022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46290</v>
      </c>
      <c r="F145" t="inlineStr">
        <is>
          <t>GÄVLEBORGS LÄN</t>
        </is>
      </c>
      <c r="G145" t="inlineStr">
        <is>
          <t>GÄVLE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66494-2021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44519</v>
      </c>
      <c r="E146" s="1" t="n">
        <v>46290</v>
      </c>
      <c r="F146" t="inlineStr">
        <is>
          <t>GÄVLEBORGS LÄN</t>
        </is>
      </c>
      <c r="G146" t="inlineStr">
        <is>
          <t>GÄVLE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46290</v>
      </c>
      <c r="F147" t="inlineStr">
        <is>
          <t>GÄVLEBORGS LÄN</t>
        </is>
      </c>
      <c r="G147" t="inlineStr">
        <is>
          <t>GÄVLE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46290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46290</v>
      </c>
      <c r="F149" t="inlineStr">
        <is>
          <t>GÄVLEBORGS LÄN</t>
        </is>
      </c>
      <c r="G149" t="inlineStr">
        <is>
          <t>GÄVLE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44805</v>
      </c>
      <c r="E150" s="1" t="n">
        <v>46290</v>
      </c>
      <c r="F150" t="inlineStr">
        <is>
          <t>GÄVLEBORGS LÄN</t>
        </is>
      </c>
      <c r="G150" t="inlineStr">
        <is>
          <t>GÄVLE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46290</v>
      </c>
      <c r="F151" t="inlineStr">
        <is>
          <t>GÄVLEBORGS LÄN</t>
        </is>
      </c>
      <c r="G151" t="inlineStr">
        <is>
          <t>GÄVLE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46290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46290</v>
      </c>
      <c r="F153" t="inlineStr">
        <is>
          <t>GÄVLEBORGS LÄN</t>
        </is>
      </c>
      <c r="G153" t="inlineStr">
        <is>
          <t>GÄVLE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46290</v>
      </c>
      <c r="F154" t="inlineStr">
        <is>
          <t>GÄVLEBORGS LÄN</t>
        </is>
      </c>
      <c r="G154" t="inlineStr">
        <is>
          <t>GÄVLE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46290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46290</v>
      </c>
      <c r="F156" t="inlineStr">
        <is>
          <t>GÄVLEBORGS LÄN</t>
        </is>
      </c>
      <c r="G156" t="inlineStr">
        <is>
          <t>GÄVLE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44756</v>
      </c>
      <c r="E157" s="1" t="n">
        <v>46290</v>
      </c>
      <c r="F157" t="inlineStr">
        <is>
          <t>GÄVLEBORGS LÄN</t>
        </is>
      </c>
      <c r="G157" t="inlineStr">
        <is>
          <t>GÄVLE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46290</v>
      </c>
      <c r="F158" t="inlineStr">
        <is>
          <t>GÄVLEBORGS LÄN</t>
        </is>
      </c>
      <c r="G158" t="inlineStr">
        <is>
          <t>GÄVLE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44671</v>
      </c>
      <c r="E159" s="1" t="n">
        <v>46290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46290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46290</v>
      </c>
      <c r="F161" t="inlineStr">
        <is>
          <t>GÄVLEBORGS LÄN</t>
        </is>
      </c>
      <c r="G161" t="inlineStr">
        <is>
          <t>GÄVLE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44735</v>
      </c>
      <c r="E162" s="1" t="n">
        <v>46290</v>
      </c>
      <c r="F162" t="inlineStr">
        <is>
          <t>GÄVLEBORGS LÄN</t>
        </is>
      </c>
      <c r="G162" t="inlineStr">
        <is>
          <t>GÄVLE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46290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46290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46290</v>
      </c>
      <c r="F165" t="inlineStr">
        <is>
          <t>GÄVLEBORGS LÄN</t>
        </is>
      </c>
      <c r="G165" t="inlineStr">
        <is>
          <t>GÄVLE</t>
        </is>
      </c>
      <c r="I165" t="n">
        <v>12.2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44788</v>
      </c>
      <c r="E166" s="1" t="n">
        <v>46290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44589</v>
      </c>
      <c r="E167" s="1" t="n">
        <v>46290</v>
      </c>
      <c r="F167" t="inlineStr">
        <is>
          <t>GÄVLEBORGS LÄN</t>
        </is>
      </c>
      <c r="G167" t="inlineStr">
        <is>
          <t>GÄVLE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46290</v>
      </c>
      <c r="F168" t="inlineStr">
        <is>
          <t>GÄVLEBORGS LÄN</t>
        </is>
      </c>
      <c r="G168" t="inlineStr">
        <is>
          <t>GÄVLE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46290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46290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46290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46290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46290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46290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46290</v>
      </c>
      <c r="F175" t="inlineStr">
        <is>
          <t>GÄVLEBORGS LÄN</t>
        </is>
      </c>
      <c r="G175" t="inlineStr">
        <is>
          <t>GÄVLE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46290</v>
      </c>
      <c r="F176" t="inlineStr">
        <is>
          <t>GÄVLEBORGS LÄN</t>
        </is>
      </c>
      <c r="G176" t="inlineStr">
        <is>
          <t>GÄVLE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46290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59515-2021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44491</v>
      </c>
      <c r="E178" s="1" t="n">
        <v>46290</v>
      </c>
      <c r="F178" t="inlineStr">
        <is>
          <t>GÄVLEBORGS LÄN</t>
        </is>
      </c>
      <c r="G178" t="inlineStr">
        <is>
          <t>GÄVLE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46290</v>
      </c>
      <c r="F179" t="inlineStr">
        <is>
          <t>GÄVLEBORGS LÄN</t>
        </is>
      </c>
      <c r="G179" t="inlineStr">
        <is>
          <t>GÄVLE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46290</v>
      </c>
      <c r="F180" t="inlineStr">
        <is>
          <t>GÄVLEBORGS LÄN</t>
        </is>
      </c>
      <c r="G180" t="inlineStr">
        <is>
          <t>GÄVLE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46290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46290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46290</v>
      </c>
      <c r="F183" t="inlineStr">
        <is>
          <t>GÄVLEBORGS LÄN</t>
        </is>
      </c>
      <c r="G183" t="inlineStr">
        <is>
          <t>GÄVLE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46290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46290</v>
      </c>
      <c r="F185" t="inlineStr">
        <is>
          <t>GÄVLEBORGS LÄN</t>
        </is>
      </c>
      <c r="G185" t="inlineStr">
        <is>
          <t>GÄVLE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46290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46290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46290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44656</v>
      </c>
      <c r="E189" s="1" t="n">
        <v>46290</v>
      </c>
      <c r="F189" t="inlineStr">
        <is>
          <t>GÄVLEBORGS LÄN</t>
        </is>
      </c>
      <c r="G189" t="inlineStr">
        <is>
          <t>GÄVLE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46290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46290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46290</v>
      </c>
      <c r="F192" t="inlineStr">
        <is>
          <t>GÄVLEBORGS LÄN</t>
        </is>
      </c>
      <c r="G192" t="inlineStr">
        <is>
          <t>GÄVLE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46290</v>
      </c>
      <c r="F193" t="inlineStr">
        <is>
          <t>GÄVLEBORGS LÄN</t>
        </is>
      </c>
      <c r="G193" t="inlineStr">
        <is>
          <t>GÄVLE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46290</v>
      </c>
      <c r="F194" t="inlineStr">
        <is>
          <t>GÄVLEBORGS LÄN</t>
        </is>
      </c>
      <c r="G194" t="inlineStr">
        <is>
          <t>GÄVLE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46290</v>
      </c>
      <c r="F195" t="inlineStr">
        <is>
          <t>GÄVLEBORGS LÄN</t>
        </is>
      </c>
      <c r="G195" t="inlineStr">
        <is>
          <t>GÄVLE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46290</v>
      </c>
      <c r="F196" t="inlineStr">
        <is>
          <t>GÄVLEBORGS LÄN</t>
        </is>
      </c>
      <c r="G196" t="inlineStr">
        <is>
          <t>GÄVLE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46290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46290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44708</v>
      </c>
      <c r="E199" s="1" t="n">
        <v>46290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45454</v>
      </c>
      <c r="E200" s="1" t="n">
        <v>46290</v>
      </c>
      <c r="F200" t="inlineStr">
        <is>
          <t>GÄVLEBORGS LÄN</t>
        </is>
      </c>
      <c r="G200" t="inlineStr">
        <is>
          <t>GÄVLE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46290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46290</v>
      </c>
      <c r="F202" t="inlineStr">
        <is>
          <t>GÄVLEBORGS LÄN</t>
        </is>
      </c>
      <c r="G202" t="inlineStr">
        <is>
          <t>GÄVLE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46290</v>
      </c>
      <c r="F203" t="inlineStr">
        <is>
          <t>GÄVLEBORGS LÄN</t>
        </is>
      </c>
      <c r="G203" t="inlineStr">
        <is>
          <t>GÄVLE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46290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44942</v>
      </c>
      <c r="E205" s="1" t="n">
        <v>46290</v>
      </c>
      <c r="F205" t="inlineStr">
        <is>
          <t>GÄVLEBORGS LÄN</t>
        </is>
      </c>
      <c r="G205" t="inlineStr">
        <is>
          <t>GÄVLE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19095-2022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44691</v>
      </c>
      <c r="E206" s="1" t="n">
        <v>46290</v>
      </c>
      <c r="F206" t="inlineStr">
        <is>
          <t>GÄVLEBORGS LÄN</t>
        </is>
      </c>
      <c r="G206" t="inlineStr">
        <is>
          <t>GÄVLE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45184</v>
      </c>
      <c r="E207" s="1" t="n">
        <v>46290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46290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46290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46290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46290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46290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45125</v>
      </c>
      <c r="E213" s="1" t="n">
        <v>46290</v>
      </c>
      <c r="F213" t="inlineStr">
        <is>
          <t>GÄVLEBORGS LÄN</t>
        </is>
      </c>
      <c r="G213" t="inlineStr">
        <is>
          <t>GÄVLE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71249-2021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44539</v>
      </c>
      <c r="E214" s="1" t="n">
        <v>46290</v>
      </c>
      <c r="F214" t="inlineStr">
        <is>
          <t>GÄVLEBORGS LÄN</t>
        </is>
      </c>
      <c r="G214" t="inlineStr">
        <is>
          <t>GÄVLE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46290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46290</v>
      </c>
      <c r="F216" t="inlineStr">
        <is>
          <t>GÄVLEBORGS LÄN</t>
        </is>
      </c>
      <c r="G216" t="inlineStr">
        <is>
          <t>GÄVLE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50871-2022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44867</v>
      </c>
      <c r="E217" s="1" t="n">
        <v>46290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46290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10001-2025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46290</v>
      </c>
      <c r="F219" t="inlineStr">
        <is>
          <t>GÄVLEBORGS LÄN</t>
        </is>
      </c>
      <c r="G219" t="inlineStr">
        <is>
          <t>GÄVLE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44733</v>
      </c>
      <c r="E220" s="1" t="n">
        <v>46290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45540</v>
      </c>
      <c r="E221" s="1" t="n">
        <v>46290</v>
      </c>
      <c r="F221" t="inlineStr">
        <is>
          <t>GÄVLEBORGS LÄN</t>
        </is>
      </c>
      <c r="G221" t="inlineStr">
        <is>
          <t>GÄVLE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46290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46290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46290</v>
      </c>
      <c r="F224" t="inlineStr">
        <is>
          <t>GÄVLEBORGS LÄN</t>
        </is>
      </c>
      <c r="G224" t="inlineStr">
        <is>
          <t>GÄVLE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46290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44823</v>
      </c>
      <c r="E226" s="1" t="n">
        <v>46290</v>
      </c>
      <c r="F226" t="inlineStr">
        <is>
          <t>GÄVLEBORGS LÄN</t>
        </is>
      </c>
      <c r="G226" t="inlineStr">
        <is>
          <t>GÄVLE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45030</v>
      </c>
      <c r="E227" s="1" t="n">
        <v>46290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46290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44589</v>
      </c>
      <c r="E229" s="1" t="n">
        <v>46290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45468</v>
      </c>
      <c r="E230" s="1" t="n">
        <v>46290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46290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46290</v>
      </c>
      <c r="F232" t="inlineStr">
        <is>
          <t>GÄVLEBORGS LÄN</t>
        </is>
      </c>
      <c r="G232" t="inlineStr">
        <is>
          <t>GÄVLE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45261</v>
      </c>
      <c r="E233" s="1" t="n">
        <v>46290</v>
      </c>
      <c r="F233" t="inlineStr">
        <is>
          <t>GÄVLEBORGS LÄN</t>
        </is>
      </c>
      <c r="G233" t="inlineStr">
        <is>
          <t>GÄVLE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46290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46290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46290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46290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46290</v>
      </c>
      <c r="F238" t="inlineStr">
        <is>
          <t>GÄVLEBORGS LÄN</t>
        </is>
      </c>
      <c r="G238" t="inlineStr">
        <is>
          <t>GÄVLE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46290</v>
      </c>
      <c r="F239" t="inlineStr">
        <is>
          <t>GÄVLEBORGS LÄN</t>
        </is>
      </c>
      <c r="G239" t="inlineStr">
        <is>
          <t>GÄVLE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45869</v>
      </c>
      <c r="E240" s="1" t="n">
        <v>46290</v>
      </c>
      <c r="F240" t="inlineStr">
        <is>
          <t>GÄVLEBORGS LÄN</t>
        </is>
      </c>
      <c r="G240" t="inlineStr">
        <is>
          <t>GÄVLE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45869</v>
      </c>
      <c r="E241" s="1" t="n">
        <v>46290</v>
      </c>
      <c r="F241" t="inlineStr">
        <is>
          <t>GÄVLEBORGS LÄN</t>
        </is>
      </c>
      <c r="G241" t="inlineStr">
        <is>
          <t>GÄVLE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46290</v>
      </c>
      <c r="F242" t="inlineStr">
        <is>
          <t>GÄVLEBORGS LÄN</t>
        </is>
      </c>
      <c r="G242" t="inlineStr">
        <is>
          <t>GÄVLE</t>
        </is>
      </c>
      <c r="H242" t="inlineStr">
        <is>
          <t>Kyrkan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46290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46290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46290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46290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10352-2025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45720</v>
      </c>
      <c r="E247" s="1" t="n">
        <v>46290</v>
      </c>
      <c r="F247" t="inlineStr">
        <is>
          <t>GÄVLEBORGS LÄN</t>
        </is>
      </c>
      <c r="G247" t="inlineStr">
        <is>
          <t>GÄVLE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46290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46290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46290</v>
      </c>
      <c r="F250" t="inlineStr">
        <is>
          <t>GÄVLEBORGS LÄN</t>
        </is>
      </c>
      <c r="G250" t="inlineStr">
        <is>
          <t>GÄVLE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46290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46290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46290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46290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46290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46290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46290</v>
      </c>
      <c r="F257" t="inlineStr">
        <is>
          <t>GÄVLEBORGS LÄN</t>
        </is>
      </c>
      <c r="G257" t="inlineStr">
        <is>
          <t>GÄVLE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46290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65879-2021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46290</v>
      </c>
      <c r="F259" t="inlineStr">
        <is>
          <t>GÄVLEBORGS LÄN</t>
        </is>
      </c>
      <c r="G259" t="inlineStr">
        <is>
          <t>GÄVLE</t>
        </is>
      </c>
      <c r="H259" t="inlineStr">
        <is>
          <t>Kyrkan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46290</v>
      </c>
      <c r="F260" t="inlineStr">
        <is>
          <t>GÄVLEBORGS LÄN</t>
        </is>
      </c>
      <c r="G260" t="inlineStr">
        <is>
          <t>GÄVLE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46290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46290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70043-2021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46290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46290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45895</v>
      </c>
      <c r="E265" s="1" t="n">
        <v>46290</v>
      </c>
      <c r="F265" t="inlineStr">
        <is>
          <t>GÄVLEBORGS LÄN</t>
        </is>
      </c>
      <c r="G265" t="inlineStr">
        <is>
          <t>GÄVLE</t>
        </is>
      </c>
      <c r="H265" t="inlineStr">
        <is>
          <t>Kyrkan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40297-2025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45895</v>
      </c>
      <c r="E266" s="1" t="n">
        <v>46290</v>
      </c>
      <c r="F266" t="inlineStr">
        <is>
          <t>GÄVLEBORGS LÄN</t>
        </is>
      </c>
      <c r="G266" t="inlineStr">
        <is>
          <t>GÄVLE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45681</v>
      </c>
      <c r="E267" s="1" t="n">
        <v>46290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46290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45665</v>
      </c>
      <c r="E269" s="1" t="n">
        <v>46290</v>
      </c>
      <c r="F269" t="inlineStr">
        <is>
          <t>GÄVLEBORGS LÄN</t>
        </is>
      </c>
      <c r="G269" t="inlineStr">
        <is>
          <t>GÄVLE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46290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46290</v>
      </c>
      <c r="F271" t="inlineStr">
        <is>
          <t>GÄVLEBORGS LÄN</t>
        </is>
      </c>
      <c r="G271" t="inlineStr">
        <is>
          <t>GÄVLE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46290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46290</v>
      </c>
      <c r="F273" t="inlineStr">
        <is>
          <t>GÄVLEBORGS LÄN</t>
        </is>
      </c>
      <c r="G273" t="inlineStr">
        <is>
          <t>GÄVLE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46290</v>
      </c>
      <c r="F274" t="inlineStr">
        <is>
          <t>GÄVLEBORGS LÄN</t>
        </is>
      </c>
      <c r="G274" t="inlineStr">
        <is>
          <t>GÄVLE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45468</v>
      </c>
      <c r="E275" s="1" t="n">
        <v>46290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26094-2025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45805</v>
      </c>
      <c r="E276" s="1" t="n">
        <v>46290</v>
      </c>
      <c r="F276" t="inlineStr">
        <is>
          <t>GÄVLEBORGS LÄN</t>
        </is>
      </c>
      <c r="G276" t="inlineStr">
        <is>
          <t>GÄVLE</t>
        </is>
      </c>
      <c r="I276" t="n">
        <v>12.4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46290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46290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46290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46290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46290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46290</v>
      </c>
      <c r="F282" t="inlineStr">
        <is>
          <t>GÄVLEBORGS LÄN</t>
        </is>
      </c>
      <c r="G282" t="inlineStr">
        <is>
          <t>GÄVLE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46290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46290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46290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45862</v>
      </c>
      <c r="E286" s="1" t="n">
        <v>46290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46290</v>
      </c>
      <c r="F287" t="inlineStr">
        <is>
          <t>GÄVLEBORGS LÄN</t>
        </is>
      </c>
      <c r="G287" t="inlineStr">
        <is>
          <t>GÄVLE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46290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46290</v>
      </c>
      <c r="F289" t="inlineStr">
        <is>
          <t>GÄVLEBORGS LÄN</t>
        </is>
      </c>
      <c r="G289" t="inlineStr">
        <is>
          <t>GÄVLE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46290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44684</v>
      </c>
      <c r="E291" s="1" t="n">
        <v>46290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46290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15101-2025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45744</v>
      </c>
      <c r="E293" s="1" t="n">
        <v>46290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45909</v>
      </c>
      <c r="E294" s="1" t="n">
        <v>46290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46290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46290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46290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46290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46290</v>
      </c>
      <c r="F299" t="inlineStr">
        <is>
          <t>GÄVLEBORGS LÄN</t>
        </is>
      </c>
      <c r="G299" t="inlineStr">
        <is>
          <t>GÄVLE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46290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46290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46290</v>
      </c>
      <c r="F302" t="inlineStr">
        <is>
          <t>GÄVLEBORGS LÄN</t>
        </is>
      </c>
      <c r="G302" t="inlineStr">
        <is>
          <t>GÄVLE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31062-2023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45113</v>
      </c>
      <c r="E303" s="1" t="n">
        <v>46290</v>
      </c>
      <c r="F303" t="inlineStr">
        <is>
          <t>GÄVLEBORGS LÄN</t>
        </is>
      </c>
      <c r="G303" t="inlineStr">
        <is>
          <t>GÄVLE</t>
        </is>
      </c>
      <c r="H303" t="inlineStr">
        <is>
          <t>Kommuner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44735</v>
      </c>
      <c r="E304" s="1" t="n">
        <v>46290</v>
      </c>
      <c r="F304" t="inlineStr">
        <is>
          <t>GÄVLEBORGS LÄN</t>
        </is>
      </c>
      <c r="G304" t="inlineStr">
        <is>
          <t>GÄVLE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51876-2023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45223</v>
      </c>
      <c r="E305" s="1" t="n">
        <v>46290</v>
      </c>
      <c r="F305" t="inlineStr">
        <is>
          <t>GÄVLEBORGS LÄN</t>
        </is>
      </c>
      <c r="G305" t="inlineStr">
        <is>
          <t>GÄVLE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46290</v>
      </c>
      <c r="F306" t="inlineStr">
        <is>
          <t>GÄVLEBORGS LÄN</t>
        </is>
      </c>
      <c r="G306" t="inlineStr">
        <is>
          <t>GÄVLE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46290</v>
      </c>
      <c r="F307" t="inlineStr">
        <is>
          <t>GÄVLEBORGS LÄN</t>
        </is>
      </c>
      <c r="G307" t="inlineStr">
        <is>
          <t>GÄVLE</t>
        </is>
      </c>
      <c r="H307" t="inlineStr">
        <is>
          <t>Kyrkan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46290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19555-2022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46290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39022-2025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46290</v>
      </c>
      <c r="F310" t="inlineStr">
        <is>
          <t>GÄVLEBORGS LÄN</t>
        </is>
      </c>
      <c r="G310" t="inlineStr">
        <is>
          <t>GÄVLE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45401</v>
      </c>
      <c r="E311" s="1" t="n">
        <v>46290</v>
      </c>
      <c r="F311" t="inlineStr">
        <is>
          <t>GÄVLEBORGS LÄN</t>
        </is>
      </c>
      <c r="G311" t="inlineStr">
        <is>
          <t>GÄVLE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46077</v>
      </c>
      <c r="E312" s="1" t="n">
        <v>46290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45850-2025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45923</v>
      </c>
      <c r="E313" s="1" t="n">
        <v>46290</v>
      </c>
      <c r="F313" t="inlineStr">
        <is>
          <t>GÄVLEBORGS LÄN</t>
        </is>
      </c>
      <c r="G313" t="inlineStr">
        <is>
          <t>GÄVLE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45896</v>
      </c>
      <c r="E314" s="1" t="n">
        <v>46290</v>
      </c>
      <c r="F314" t="inlineStr">
        <is>
          <t>GÄVLEBORGS LÄN</t>
        </is>
      </c>
      <c r="G314" t="inlineStr">
        <is>
          <t>GÄVLE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15799-2026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46290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46290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46290</v>
      </c>
      <c r="F317" t="inlineStr">
        <is>
          <t>GÄVLEBORGS LÄN</t>
        </is>
      </c>
      <c r="G317" t="inlineStr">
        <is>
          <t>GÄVLE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45595</v>
      </c>
      <c r="E318" s="1" t="n">
        <v>46290</v>
      </c>
      <c r="F318" t="inlineStr">
        <is>
          <t>GÄVLEBORGS LÄN</t>
        </is>
      </c>
      <c r="G318" t="inlineStr">
        <is>
          <t>GÄVLE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45742</v>
      </c>
      <c r="E319" s="1" t="n">
        <v>46290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46290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46290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46290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46290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44585</v>
      </c>
      <c r="E324" s="1" t="n">
        <v>46290</v>
      </c>
      <c r="F324" t="inlineStr">
        <is>
          <t>GÄVLEBORGS LÄN</t>
        </is>
      </c>
      <c r="G324" t="inlineStr">
        <is>
          <t>GÄVLE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46290</v>
      </c>
      <c r="F325" t="inlineStr">
        <is>
          <t>GÄVLEBORGS LÄN</t>
        </is>
      </c>
      <c r="G325" t="inlineStr">
        <is>
          <t>GÄVLE</t>
        </is>
      </c>
      <c r="H325" t="inlineStr">
        <is>
          <t>Kyrkan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46290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46290</v>
      </c>
      <c r="F327" t="inlineStr">
        <is>
          <t>GÄVLEBORGS LÄN</t>
        </is>
      </c>
      <c r="G327" t="inlineStr">
        <is>
          <t>GÄVLE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46290</v>
      </c>
      <c r="F328" t="inlineStr">
        <is>
          <t>GÄVLEBORGS LÄN</t>
        </is>
      </c>
      <c r="G328" t="inlineStr">
        <is>
          <t>GÄVLE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44735</v>
      </c>
      <c r="E329" s="1" t="n">
        <v>46290</v>
      </c>
      <c r="F329" t="inlineStr">
        <is>
          <t>GÄVLEBORGS LÄN</t>
        </is>
      </c>
      <c r="G329" t="inlineStr">
        <is>
          <t>GÄVLE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46070</v>
      </c>
      <c r="E330" s="1" t="n">
        <v>46290</v>
      </c>
      <c r="F330" t="inlineStr">
        <is>
          <t>GÄVLEBORGS LÄN</t>
        </is>
      </c>
      <c r="G330" t="inlineStr">
        <is>
          <t>GÄVLE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46290</v>
      </c>
      <c r="F331" t="inlineStr">
        <is>
          <t>GÄVLEBORGS LÄN</t>
        </is>
      </c>
      <c r="G331" t="inlineStr">
        <is>
          <t>GÄVLE</t>
        </is>
      </c>
      <c r="I331" t="n">
        <v>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46290</v>
      </c>
      <c r="F332" t="inlineStr">
        <is>
          <t>GÄVLEBORGS LÄN</t>
        </is>
      </c>
      <c r="G332" t="inlineStr">
        <is>
          <t>GÄVLE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46290</v>
      </c>
      <c r="F333" t="inlineStr">
        <is>
          <t>GÄVLEBORGS LÄN</t>
        </is>
      </c>
      <c r="G333" t="inlineStr">
        <is>
          <t>GÄVLE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44701</v>
      </c>
      <c r="E334" s="1" t="n">
        <v>46290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46290</v>
      </c>
      <c r="F335" t="inlineStr">
        <is>
          <t>GÄVLEBORGS LÄN</t>
        </is>
      </c>
      <c r="G335" t="inlineStr">
        <is>
          <t>GÄVLE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46290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46290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45933</v>
      </c>
      <c r="E338" s="1" t="n">
        <v>46290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32143-2024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46290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46290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46290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46290</v>
      </c>
      <c r="F342" t="inlineStr">
        <is>
          <t>GÄVLEBORGS LÄN</t>
        </is>
      </c>
      <c r="G342" t="inlineStr">
        <is>
          <t>GÄVLE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45932</v>
      </c>
      <c r="E343" s="1" t="n">
        <v>46290</v>
      </c>
      <c r="F343" t="inlineStr">
        <is>
          <t>GÄVLEBORGS LÄN</t>
        </is>
      </c>
      <c r="G343" t="inlineStr">
        <is>
          <t>GÄVLE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45932</v>
      </c>
      <c r="E344" s="1" t="n">
        <v>46290</v>
      </c>
      <c r="F344" t="inlineStr">
        <is>
          <t>GÄVLEBORGS LÄN</t>
        </is>
      </c>
      <c r="G344" t="inlineStr">
        <is>
          <t>GÄVLE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46290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46290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46290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46290</v>
      </c>
      <c r="F348" t="inlineStr">
        <is>
          <t>GÄVLEBORGS LÄN</t>
        </is>
      </c>
      <c r="G348" t="inlineStr">
        <is>
          <t>GÄVLE</t>
        </is>
      </c>
      <c r="H348" t="inlineStr">
        <is>
          <t>Kyrkan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45916</v>
      </c>
      <c r="E349" s="1" t="n">
        <v>46290</v>
      </c>
      <c r="F349" t="inlineStr">
        <is>
          <t>GÄVLEBORGS LÄN</t>
        </is>
      </c>
      <c r="G349" t="inlineStr">
        <is>
          <t>GÄVLE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46069</v>
      </c>
      <c r="E350" s="1" t="n">
        <v>46290</v>
      </c>
      <c r="F350" t="inlineStr">
        <is>
          <t>GÄVLEBORGS LÄN</t>
        </is>
      </c>
      <c r="G350" t="inlineStr">
        <is>
          <t>GÄVLE</t>
        </is>
      </c>
      <c r="I350" t="n">
        <v>12.7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44684</v>
      </c>
      <c r="E351" s="1" t="n">
        <v>46290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46290</v>
      </c>
      <c r="F352" t="inlineStr">
        <is>
          <t>GÄVLEBORGS LÄN</t>
        </is>
      </c>
      <c r="G352" t="inlineStr">
        <is>
          <t>GÄVLE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46290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46290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46290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46290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44694</v>
      </c>
      <c r="E357" s="1" t="n">
        <v>46290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46290</v>
      </c>
      <c r="F358" t="inlineStr">
        <is>
          <t>GÄVLEBORGS LÄN</t>
        </is>
      </c>
      <c r="G358" t="inlineStr">
        <is>
          <t>GÄVLE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45138</v>
      </c>
      <c r="E359" s="1" t="n">
        <v>46290</v>
      </c>
      <c r="F359" t="inlineStr">
        <is>
          <t>GÄVLEBORGS LÄN</t>
        </is>
      </c>
      <c r="G359" t="inlineStr">
        <is>
          <t>GÄVLE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46290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46290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44951</v>
      </c>
      <c r="E362" s="1" t="n">
        <v>46290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45869</v>
      </c>
      <c r="E363" s="1" t="n">
        <v>46290</v>
      </c>
      <c r="F363" t="inlineStr">
        <is>
          <t>GÄVLEBORGS LÄN</t>
        </is>
      </c>
      <c r="G363" t="inlineStr">
        <is>
          <t>GÄVLE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46290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46290</v>
      </c>
      <c r="F366" t="inlineStr">
        <is>
          <t>GÄVLEBORGS LÄN</t>
        </is>
      </c>
      <c r="G366" t="inlineStr">
        <is>
          <t>GÄVLE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46290</v>
      </c>
      <c r="F367" t="inlineStr">
        <is>
          <t>GÄVLEBORGS LÄN</t>
        </is>
      </c>
      <c r="G367" t="inlineStr">
        <is>
          <t>GÄVLE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44904</v>
      </c>
      <c r="E368" s="1" t="n">
        <v>46290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44962</v>
      </c>
      <c r="E369" s="1" t="n">
        <v>46290</v>
      </c>
      <c r="F369" t="inlineStr">
        <is>
          <t>GÄVLEBORGS LÄN</t>
        </is>
      </c>
      <c r="G369" t="inlineStr">
        <is>
          <t>GÄVLE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45660</v>
      </c>
      <c r="E370" s="1" t="n">
        <v>46290</v>
      </c>
      <c r="F370" t="inlineStr">
        <is>
          <t>GÄVLEBORGS LÄN</t>
        </is>
      </c>
      <c r="G370" t="inlineStr">
        <is>
          <t>GÄVLE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52970-2025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45957</v>
      </c>
      <c r="E371" s="1" t="n">
        <v>46290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44942</v>
      </c>
      <c r="E372" s="1" t="n">
        <v>46290</v>
      </c>
      <c r="F372" t="inlineStr">
        <is>
          <t>GÄVLEBORGS LÄN</t>
        </is>
      </c>
      <c r="G372" t="inlineStr">
        <is>
          <t>GÄVLE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45586</v>
      </c>
      <c r="E373" s="1" t="n">
        <v>46290</v>
      </c>
      <c r="F373" t="inlineStr">
        <is>
          <t>GÄVLEBORGS LÄN</t>
        </is>
      </c>
      <c r="G373" t="inlineStr">
        <is>
          <t>GÄVLE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45957</v>
      </c>
      <c r="E374" s="1" t="n">
        <v>46290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46290</v>
      </c>
      <c r="F375" t="inlineStr">
        <is>
          <t>GÄVLEBORGS LÄN</t>
        </is>
      </c>
      <c r="G375" t="inlineStr">
        <is>
          <t>GÄVLE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46290</v>
      </c>
      <c r="F376" t="inlineStr">
        <is>
          <t>GÄVLEBORGS LÄN</t>
        </is>
      </c>
      <c r="G376" t="inlineStr">
        <is>
          <t>GÄVLE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47746-2023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45203</v>
      </c>
      <c r="E377" s="1" t="n">
        <v>46290</v>
      </c>
      <c r="F377" t="inlineStr">
        <is>
          <t>GÄVLEBORGS LÄN</t>
        </is>
      </c>
      <c r="G377" t="inlineStr">
        <is>
          <t>GÄVLE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46290</v>
      </c>
      <c r="F378" t="inlineStr">
        <is>
          <t>GÄVLEBORGS LÄN</t>
        </is>
      </c>
      <c r="G378" t="inlineStr">
        <is>
          <t>GÄVLE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46290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46290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46290</v>
      </c>
      <c r="F381" t="inlineStr">
        <is>
          <t>GÄVLEBORGS LÄN</t>
        </is>
      </c>
      <c r="G381" t="inlineStr">
        <is>
          <t>GÄVLE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46290</v>
      </c>
      <c r="F382" t="inlineStr">
        <is>
          <t>GÄVLEBORGS LÄN</t>
        </is>
      </c>
      <c r="G382" t="inlineStr">
        <is>
          <t>GÄVLE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20689-2024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45436</v>
      </c>
      <c r="E383" s="1" t="n">
        <v>46290</v>
      </c>
      <c r="F383" t="inlineStr">
        <is>
          <t>GÄVLEBORGS LÄN</t>
        </is>
      </c>
      <c r="G383" t="inlineStr">
        <is>
          <t>GÄVLE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6331-2022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46290</v>
      </c>
      <c r="F384" t="inlineStr">
        <is>
          <t>GÄVLEBORGS LÄN</t>
        </is>
      </c>
      <c r="G384" t="inlineStr">
        <is>
          <t>GÄVLE</t>
        </is>
      </c>
      <c r="H384" t="inlineStr">
        <is>
          <t>Kyrkan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46290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45964</v>
      </c>
      <c r="E386" s="1" t="n">
        <v>46290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45719</v>
      </c>
      <c r="E387" s="1" t="n">
        <v>46290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46290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32353-2023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45120</v>
      </c>
      <c r="E389" s="1" t="n">
        <v>46290</v>
      </c>
      <c r="F389" t="inlineStr">
        <is>
          <t>GÄVLEBORGS LÄN</t>
        </is>
      </c>
      <c r="G389" t="inlineStr">
        <is>
          <t>GÄVLE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45719</v>
      </c>
      <c r="E390" s="1" t="n">
        <v>46290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46290</v>
      </c>
      <c r="F391" t="inlineStr">
        <is>
          <t>GÄVLEBORGS LÄN</t>
        </is>
      </c>
      <c r="G391" t="inlineStr">
        <is>
          <t>GÄVLE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46290</v>
      </c>
      <c r="F392" t="inlineStr">
        <is>
          <t>GÄVLEBORGS LÄN</t>
        </is>
      </c>
      <c r="G392" t="inlineStr">
        <is>
          <t>GÄVLE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46290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46290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54966-2025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45967</v>
      </c>
      <c r="E395" s="1" t="n">
        <v>46290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46290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46290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46077</v>
      </c>
      <c r="E398" s="1" t="n">
        <v>46290</v>
      </c>
      <c r="F398" t="inlineStr">
        <is>
          <t>GÄVLEBORGS LÄN</t>
        </is>
      </c>
      <c r="G398" t="inlineStr">
        <is>
          <t>GÄVLE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46290</v>
      </c>
      <c r="F399" t="inlineStr">
        <is>
          <t>GÄVLEBORGS LÄN</t>
        </is>
      </c>
      <c r="G399" t="inlineStr">
        <is>
          <t>GÄVLE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16190-2026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46290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46290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46290</v>
      </c>
      <c r="F402" t="inlineStr">
        <is>
          <t>GÄVLEBORGS LÄN</t>
        </is>
      </c>
      <c r="G402" t="inlineStr">
        <is>
          <t>GÄVLE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46290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46290</v>
      </c>
      <c r="F404" t="inlineStr">
        <is>
          <t>GÄVLEBORGS LÄN</t>
        </is>
      </c>
      <c r="G404" t="inlineStr">
        <is>
          <t>GÄVLE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46290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56120-2025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46290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46290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56123-2025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10.5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46290</v>
      </c>
      <c r="F409" t="inlineStr">
        <is>
          <t>GÄVLEBORGS LÄN</t>
        </is>
      </c>
      <c r="G409" t="inlineStr">
        <is>
          <t>GÄVLE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46290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20736-2026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46141</v>
      </c>
      <c r="E415" s="1" t="n">
        <v>46290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46290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64868-2023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45282</v>
      </c>
      <c r="E417" s="1" t="n">
        <v>46290</v>
      </c>
      <c r="F417" t="inlineStr">
        <is>
          <t>GÄVLEBORGS LÄN</t>
        </is>
      </c>
      <c r="G417" t="inlineStr">
        <is>
          <t>GÄVLE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46290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46290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46290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56774-2025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46290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46290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45672</v>
      </c>
      <c r="E423" s="1" t="n">
        <v>46290</v>
      </c>
      <c r="F423" t="inlineStr">
        <is>
          <t>GÄVLEBORGS LÄN</t>
        </is>
      </c>
      <c r="G423" t="inlineStr">
        <is>
          <t>GÄVLE</t>
        </is>
      </c>
      <c r="H423" t="inlineStr">
        <is>
          <t>Kyrkan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46033</v>
      </c>
      <c r="E424" s="1" t="n">
        <v>46290</v>
      </c>
      <c r="F424" t="inlineStr">
        <is>
          <t>GÄVLEBORGS LÄN</t>
        </is>
      </c>
      <c r="G424" t="inlineStr">
        <is>
          <t>GÄVLE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46290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46290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46290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45422</v>
      </c>
      <c r="E428" s="1" t="n">
        <v>46290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45162</v>
      </c>
      <c r="E429" s="1" t="n">
        <v>46290</v>
      </c>
      <c r="F429" t="inlineStr">
        <is>
          <t>GÄVLEBORGS LÄN</t>
        </is>
      </c>
      <c r="G429" t="inlineStr">
        <is>
          <t>GÄVLE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45705</v>
      </c>
      <c r="E430" s="1" t="n">
        <v>46290</v>
      </c>
      <c r="F430" t="inlineStr">
        <is>
          <t>GÄVLEBORGS LÄN</t>
        </is>
      </c>
      <c r="G430" t="inlineStr">
        <is>
          <t>GÄVLE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45784</v>
      </c>
      <c r="E431" s="1" t="n">
        <v>46290</v>
      </c>
      <c r="F431" t="inlineStr">
        <is>
          <t>GÄVLEBORGS LÄN</t>
        </is>
      </c>
      <c r="G431" t="inlineStr">
        <is>
          <t>GÄVLE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45058</v>
      </c>
      <c r="E432" s="1" t="n">
        <v>46290</v>
      </c>
      <c r="F432" t="inlineStr">
        <is>
          <t>GÄVLEBORGS LÄN</t>
        </is>
      </c>
      <c r="G432" t="inlineStr">
        <is>
          <t>GÄVLE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44586</v>
      </c>
      <c r="E433" s="1" t="n">
        <v>46290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46290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45658</v>
      </c>
      <c r="E435" s="1" t="n">
        <v>46290</v>
      </c>
      <c r="F435" t="inlineStr">
        <is>
          <t>GÄVLEBORGS LÄN</t>
        </is>
      </c>
      <c r="G435" t="inlineStr">
        <is>
          <t>GÄVLE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46290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46290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46290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66351-2021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44518</v>
      </c>
      <c r="E439" s="1" t="n">
        <v>46290</v>
      </c>
      <c r="F439" t="inlineStr">
        <is>
          <t>GÄVLEBORGS LÄN</t>
        </is>
      </c>
      <c r="G439" t="inlineStr">
        <is>
          <t>GÄVLE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46290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46290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46290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46290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46290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43742-2025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46290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24724-2023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46290</v>
      </c>
      <c r="F446" t="inlineStr">
        <is>
          <t>GÄVLEBORGS LÄN</t>
        </is>
      </c>
      <c r="G446" t="inlineStr">
        <is>
          <t>GÄVLE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46290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45912</v>
      </c>
      <c r="E448" s="1" t="n">
        <v>46290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46290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45546-2025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46290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46290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46290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46290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45987</v>
      </c>
      <c r="E454" s="1" t="n">
        <v>46290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46142</v>
      </c>
      <c r="E455" s="1" t="n">
        <v>46290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46290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20905-2026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46142</v>
      </c>
      <c r="E457" s="1" t="n">
        <v>46290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46290</v>
      </c>
      <c r="F458" t="inlineStr">
        <is>
          <t>GÄVLEBORGS LÄN</t>
        </is>
      </c>
      <c r="G458" t="inlineStr">
        <is>
          <t>GÄVLE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46290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29929-2022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46290</v>
      </c>
      <c r="F460" t="inlineStr">
        <is>
          <t>GÄVLEBORGS LÄN</t>
        </is>
      </c>
      <c r="G460" t="inlineStr">
        <is>
          <t>GÄVLE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21033-2026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46290</v>
      </c>
      <c r="F461" t="inlineStr">
        <is>
          <t>GÄVLEBORGS LÄN</t>
        </is>
      </c>
      <c r="G461" t="inlineStr">
        <is>
          <t>GÄVLE</t>
        </is>
      </c>
      <c r="H461" t="inlineStr">
        <is>
          <t>Kyrkan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46290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46290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45547</v>
      </c>
      <c r="E464" s="1" t="n">
        <v>46290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45992</v>
      </c>
      <c r="E465" s="1" t="n">
        <v>46290</v>
      </c>
      <c r="F465" t="inlineStr">
        <is>
          <t>GÄVLEBORGS LÄN</t>
        </is>
      </c>
      <c r="G465" t="inlineStr">
        <is>
          <t>GÄVLE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46290</v>
      </c>
      <c r="F466" t="inlineStr">
        <is>
          <t>GÄVLEBORGS LÄN</t>
        </is>
      </c>
      <c r="G466" t="inlineStr">
        <is>
          <t>GÄVLE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44936</v>
      </c>
      <c r="E467" s="1" t="n">
        <v>46290</v>
      </c>
      <c r="F467" t="inlineStr">
        <is>
          <t>GÄVLEBORGS LÄN</t>
        </is>
      </c>
      <c r="G467" t="inlineStr">
        <is>
          <t>GÄVLE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46290</v>
      </c>
      <c r="F468" t="inlineStr">
        <is>
          <t>GÄVLEBORGS LÄN</t>
        </is>
      </c>
      <c r="G468" t="inlineStr">
        <is>
          <t>GÄVLE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45992</v>
      </c>
      <c r="E469" s="1" t="n">
        <v>46290</v>
      </c>
      <c r="F469" t="inlineStr">
        <is>
          <t>GÄVLEBORGS LÄN</t>
        </is>
      </c>
      <c r="G469" t="inlineStr">
        <is>
          <t>GÄVLE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46290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46290</v>
      </c>
      <c r="F471" t="inlineStr">
        <is>
          <t>GÄVLEBORGS LÄN</t>
        </is>
      </c>
      <c r="G471" t="inlineStr">
        <is>
          <t>GÄVLE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46290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60442-2022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46290</v>
      </c>
      <c r="F473" t="inlineStr">
        <is>
          <t>GÄVLEBORGS LÄN</t>
        </is>
      </c>
      <c r="G473" t="inlineStr">
        <is>
          <t>GÄVLE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45995</v>
      </c>
      <c r="E474" s="1" t="n">
        <v>46290</v>
      </c>
      <c r="F474" t="inlineStr">
        <is>
          <t>GÄVLEBORGS LÄN</t>
        </is>
      </c>
      <c r="G474" t="inlineStr">
        <is>
          <t>GÄVLE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50314-2024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45600</v>
      </c>
      <c r="E475" s="1" t="n">
        <v>46290</v>
      </c>
      <c r="F475" t="inlineStr">
        <is>
          <t>GÄVLEBORGS LÄN</t>
        </is>
      </c>
      <c r="G475" t="inlineStr">
        <is>
          <t>GÄVLE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55217-2025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46290</v>
      </c>
      <c r="F476" t="inlineStr">
        <is>
          <t>GÄVLEBORGS LÄN</t>
        </is>
      </c>
      <c r="G476" t="inlineStr">
        <is>
          <t>GÄVLE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61786-2024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45649</v>
      </c>
      <c r="E477" s="1" t="n">
        <v>46290</v>
      </c>
      <c r="F477" t="inlineStr">
        <is>
          <t>GÄVLEBORGS LÄN</t>
        </is>
      </c>
      <c r="G477" t="inlineStr">
        <is>
          <t>GÄVLE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46290</v>
      </c>
      <c r="F478" t="inlineStr">
        <is>
          <t>GÄVLEBORGS LÄN</t>
        </is>
      </c>
      <c r="G478" t="inlineStr">
        <is>
          <t>GÄVLE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46290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46290</v>
      </c>
      <c r="F480" t="inlineStr">
        <is>
          <t>GÄVLEBORGS LÄN</t>
        </is>
      </c>
      <c r="G480" t="inlineStr">
        <is>
          <t>GÄVLE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46290</v>
      </c>
      <c r="F481" t="inlineStr">
        <is>
          <t>GÄVLEBORGS LÄN</t>
        </is>
      </c>
      <c r="G481" t="inlineStr">
        <is>
          <t>GÄVLE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46290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46290</v>
      </c>
      <c r="F483" t="inlineStr">
        <is>
          <t>GÄVLEBORGS LÄN</t>
        </is>
      </c>
      <c r="G483" t="inlineStr">
        <is>
          <t>GÄVLE</t>
        </is>
      </c>
      <c r="H483" t="inlineStr">
        <is>
          <t>Kyrkan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46290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46290</v>
      </c>
      <c r="F485" t="inlineStr">
        <is>
          <t>GÄVLEBORGS LÄN</t>
        </is>
      </c>
      <c r="G485" t="inlineStr">
        <is>
          <t>GÄVLE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46290</v>
      </c>
      <c r="F486" t="inlineStr">
        <is>
          <t>GÄVLEBORGS LÄN</t>
        </is>
      </c>
      <c r="G486" t="inlineStr">
        <is>
          <t>GÄVLE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46290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61650-2025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46290</v>
      </c>
      <c r="F488" t="inlineStr">
        <is>
          <t>GÄVLEBORGS LÄN</t>
        </is>
      </c>
      <c r="G488" t="inlineStr">
        <is>
          <t>GÄVLE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3615-2024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45320</v>
      </c>
      <c r="E489" s="1" t="n">
        <v>46290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15152-2026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46290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46290</v>
      </c>
      <c r="F491" t="inlineStr">
        <is>
          <t>GÄVLEBORGS LÄN</t>
        </is>
      </c>
      <c r="G491" t="inlineStr">
        <is>
          <t>GÄVLE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46290</v>
      </c>
      <c r="F492" t="inlineStr">
        <is>
          <t>GÄVLEBORGS LÄN</t>
        </is>
      </c>
      <c r="G492" t="inlineStr">
        <is>
          <t>GÄVLE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46290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46290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46290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46290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46290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46290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45312</v>
      </c>
      <c r="E499" s="1" t="n">
        <v>46290</v>
      </c>
      <c r="F499" t="inlineStr">
        <is>
          <t>GÄVLEBORGS LÄN</t>
        </is>
      </c>
      <c r="G499" t="inlineStr">
        <is>
          <t>GÄVLE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32255-2023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45120</v>
      </c>
      <c r="E500" s="1" t="n">
        <v>46290</v>
      </c>
      <c r="F500" t="inlineStr">
        <is>
          <t>GÄVLEBORGS LÄN</t>
        </is>
      </c>
      <c r="G500" t="inlineStr">
        <is>
          <t>GÄVLE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46290</v>
      </c>
      <c r="F501" t="inlineStr">
        <is>
          <t>GÄVLEBORGS LÄN</t>
        </is>
      </c>
      <c r="G501" t="inlineStr">
        <is>
          <t>GÄVLE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44800-2024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45574</v>
      </c>
      <c r="E502" s="1" t="n">
        <v>46290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45312</v>
      </c>
      <c r="E503" s="1" t="n">
        <v>46290</v>
      </c>
      <c r="F503" t="inlineStr">
        <is>
          <t>GÄVLEBORGS LÄN</t>
        </is>
      </c>
      <c r="G503" t="inlineStr">
        <is>
          <t>GÄVLE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46290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46290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46290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45855</v>
      </c>
      <c r="E507" s="1" t="n">
        <v>46290</v>
      </c>
      <c r="F507" t="inlineStr">
        <is>
          <t>GÄVLEBORGS LÄN</t>
        </is>
      </c>
      <c r="G507" t="inlineStr">
        <is>
          <t>GÄVLE</t>
        </is>
      </c>
      <c r="I507" t="n">
        <v>8.199999999999999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45257</v>
      </c>
      <c r="E508" s="1" t="n">
        <v>46290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46019</v>
      </c>
      <c r="E509" s="1" t="n">
        <v>46290</v>
      </c>
      <c r="F509" t="inlineStr">
        <is>
          <t>GÄVLEBORGS LÄN</t>
        </is>
      </c>
      <c r="G509" t="inlineStr">
        <is>
          <t>GÄVLE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54953-2025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45967</v>
      </c>
      <c r="E510" s="1" t="n">
        <v>46290</v>
      </c>
      <c r="F510" t="inlineStr">
        <is>
          <t>GÄVLEBORGS LÄN</t>
        </is>
      </c>
      <c r="G510" t="inlineStr">
        <is>
          <t>GÄVLE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46290</v>
      </c>
      <c r="F511" t="inlineStr">
        <is>
          <t>GÄVLEBORGS LÄN</t>
        </is>
      </c>
      <c r="G511" t="inlineStr">
        <is>
          <t>GÄVLE</t>
        </is>
      </c>
      <c r="H511" t="inlineStr">
        <is>
          <t>Kyrkan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47942-2025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45932</v>
      </c>
      <c r="E512" s="1" t="n">
        <v>46290</v>
      </c>
      <c r="F512" t="inlineStr">
        <is>
          <t>GÄVLEBORGS LÄN</t>
        </is>
      </c>
      <c r="G512" t="inlineStr">
        <is>
          <t>GÄVLE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47981-2025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46290</v>
      </c>
      <c r="F513" t="inlineStr">
        <is>
          <t>GÄVLEBORGS LÄN</t>
        </is>
      </c>
      <c r="G513" t="inlineStr">
        <is>
          <t>GÄVLE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63800-2025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46019</v>
      </c>
      <c r="E514" s="1" t="n">
        <v>46290</v>
      </c>
      <c r="F514" t="inlineStr">
        <is>
          <t>GÄVLEBORGS LÄN</t>
        </is>
      </c>
      <c r="G514" t="inlineStr">
        <is>
          <t>GÄVLE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46290</v>
      </c>
      <c r="F515" t="inlineStr">
        <is>
          <t>GÄVLEBORGS LÄN</t>
        </is>
      </c>
      <c r="G515" t="inlineStr">
        <is>
          <t>GÄVLE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46290</v>
      </c>
      <c r="F516" t="inlineStr">
        <is>
          <t>GÄVLEBORGS LÄN</t>
        </is>
      </c>
      <c r="G516" t="inlineStr">
        <is>
          <t>GÄVLE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46290</v>
      </c>
      <c r="F517" t="inlineStr">
        <is>
          <t>GÄVLEBORGS LÄN</t>
        </is>
      </c>
      <c r="G517" t="inlineStr">
        <is>
          <t>GÄVLE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46290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46290</v>
      </c>
      <c r="F519" t="inlineStr">
        <is>
          <t>GÄVLEBORGS LÄN</t>
        </is>
      </c>
      <c r="G519" t="inlineStr">
        <is>
          <t>GÄVLE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46290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64142-2025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46022</v>
      </c>
      <c r="E521" s="1" t="n">
        <v>46290</v>
      </c>
      <c r="F521" t="inlineStr">
        <is>
          <t>GÄVLEBORGS LÄN</t>
        </is>
      </c>
      <c r="G521" t="inlineStr">
        <is>
          <t>GÄVLE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46290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14173-2022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46290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46290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22.7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46290</v>
      </c>
      <c r="F525" t="inlineStr">
        <is>
          <t>GÄVLEBORGS LÄN</t>
        </is>
      </c>
      <c r="G525" t="inlineStr">
        <is>
          <t>GÄVLE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23591-2026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46163</v>
      </c>
      <c r="E526" s="1" t="n">
        <v>46290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45757</v>
      </c>
      <c r="E527" s="1" t="n">
        <v>46290</v>
      </c>
      <c r="F527" t="inlineStr">
        <is>
          <t>GÄVLEBORGS LÄN</t>
        </is>
      </c>
      <c r="G527" t="inlineStr">
        <is>
          <t>GÄVLE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46290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46290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46034</v>
      </c>
      <c r="E530" s="1" t="n">
        <v>46290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37146-2024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45539</v>
      </c>
      <c r="E531" s="1" t="n">
        <v>46290</v>
      </c>
      <c r="F531" t="inlineStr">
        <is>
          <t>GÄVLEBORGS LÄN</t>
        </is>
      </c>
      <c r="G531" t="inlineStr">
        <is>
          <t>GÄVLE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45660</v>
      </c>
      <c r="E532" s="1" t="n">
        <v>46290</v>
      </c>
      <c r="F532" t="inlineStr">
        <is>
          <t>GÄVLEBORGS LÄN</t>
        </is>
      </c>
      <c r="G532" t="inlineStr">
        <is>
          <t>GÄVLE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46041</v>
      </c>
      <c r="E533" s="1" t="n">
        <v>46290</v>
      </c>
      <c r="F533" t="inlineStr">
        <is>
          <t>GÄVLEBORGS LÄN</t>
        </is>
      </c>
      <c r="G533" t="inlineStr">
        <is>
          <t>GÄVLE</t>
        </is>
      </c>
      <c r="I533" t="n">
        <v>9.699999999999999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46290</v>
      </c>
      <c r="F534" t="inlineStr">
        <is>
          <t>GÄVLEBORGS LÄN</t>
        </is>
      </c>
      <c r="G534" t="inlineStr">
        <is>
          <t>GÄVLE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45673</v>
      </c>
      <c r="E535" s="1" t="n">
        <v>46290</v>
      </c>
      <c r="F535" t="inlineStr">
        <is>
          <t>GÄVLEBORGS LÄN</t>
        </is>
      </c>
      <c r="G535" t="inlineStr">
        <is>
          <t>GÄVLE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45673</v>
      </c>
      <c r="E536" s="1" t="n">
        <v>46290</v>
      </c>
      <c r="F536" t="inlineStr">
        <is>
          <t>GÄVLEBORGS LÄN</t>
        </is>
      </c>
      <c r="G536" t="inlineStr">
        <is>
          <t>GÄVLE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46290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61501-2024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45646</v>
      </c>
      <c r="E538" s="1" t="n">
        <v>46290</v>
      </c>
      <c r="F538" t="inlineStr">
        <is>
          <t>GÄVLEBORGS LÄN</t>
        </is>
      </c>
      <c r="G538" t="inlineStr">
        <is>
          <t>GÄVLE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46290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47458-2022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44853</v>
      </c>
      <c r="E540" s="1" t="n">
        <v>46290</v>
      </c>
      <c r="F540" t="inlineStr">
        <is>
          <t>GÄVLEBORGS LÄN</t>
        </is>
      </c>
      <c r="G540" t="inlineStr">
        <is>
          <t>GÄVLE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46045</v>
      </c>
      <c r="E541" s="1" t="n">
        <v>46290</v>
      </c>
      <c r="F541" t="inlineStr">
        <is>
          <t>GÄVLEBORGS LÄN</t>
        </is>
      </c>
      <c r="G541" t="inlineStr">
        <is>
          <t>GÄVLE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44938-2022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44841</v>
      </c>
      <c r="E542" s="1" t="n">
        <v>46290</v>
      </c>
      <c r="F542" t="inlineStr">
        <is>
          <t>GÄVLEBORGS LÄN</t>
        </is>
      </c>
      <c r="G542" t="inlineStr">
        <is>
          <t>GÄVLE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45330</v>
      </c>
      <c r="E543" s="1" t="n">
        <v>46290</v>
      </c>
      <c r="F543" t="inlineStr">
        <is>
          <t>GÄVLEBORGS LÄN</t>
        </is>
      </c>
      <c r="G543" t="inlineStr">
        <is>
          <t>GÄVLE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46290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46290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46290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46290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46290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46290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46290</v>
      </c>
      <c r="F550" t="inlineStr">
        <is>
          <t>GÄVLEBORGS LÄN</t>
        </is>
      </c>
      <c r="G550" t="inlineStr">
        <is>
          <t>GÄVLE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46169</v>
      </c>
      <c r="E551" s="1" t="n">
        <v>46290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46290</v>
      </c>
      <c r="F552" t="inlineStr">
        <is>
          <t>GÄVLEBORGS LÄN</t>
        </is>
      </c>
      <c r="G552" t="inlineStr">
        <is>
          <t>GÄVLE</t>
        </is>
      </c>
      <c r="I552" t="n">
        <v>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46169</v>
      </c>
      <c r="E553" s="1" t="n">
        <v>46290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46290</v>
      </c>
      <c r="F554" t="inlineStr">
        <is>
          <t>GÄVLEBORGS LÄN</t>
        </is>
      </c>
      <c r="G554" t="inlineStr">
        <is>
          <t>GÄVLE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46168</v>
      </c>
      <c r="E555" s="1" t="n">
        <v>46290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46169</v>
      </c>
      <c r="E556" s="1" t="n">
        <v>46290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45217</v>
      </c>
      <c r="E557" s="1" t="n">
        <v>46290</v>
      </c>
      <c r="F557" t="inlineStr">
        <is>
          <t>GÄVLEBORGS LÄN</t>
        </is>
      </c>
      <c r="G557" t="inlineStr">
        <is>
          <t>GÄVLE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9235-2022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44616</v>
      </c>
      <c r="E558" s="1" t="n">
        <v>46290</v>
      </c>
      <c r="F558" t="inlineStr">
        <is>
          <t>GÄVLEBORGS LÄN</t>
        </is>
      </c>
      <c r="G558" t="inlineStr">
        <is>
          <t>GÄVLE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46290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46290</v>
      </c>
      <c r="F560" t="inlineStr">
        <is>
          <t>GÄVLEBORGS LÄN</t>
        </is>
      </c>
      <c r="G560" t="inlineStr">
        <is>
          <t>GÄVLE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53082-2022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44876</v>
      </c>
      <c r="E561" s="1" t="n">
        <v>46290</v>
      </c>
      <c r="F561" t="inlineStr">
        <is>
          <t>GÄVLEBORGS LÄN</t>
        </is>
      </c>
      <c r="G561" t="inlineStr">
        <is>
          <t>GÄVLE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46290</v>
      </c>
      <c r="F562" t="inlineStr">
        <is>
          <t>GÄVLEBORGS LÄN</t>
        </is>
      </c>
      <c r="G562" t="inlineStr">
        <is>
          <t>GÄVLE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46290</v>
      </c>
      <c r="F563" t="inlineStr">
        <is>
          <t>GÄVLEBORGS LÄN</t>
        </is>
      </c>
      <c r="G563" t="inlineStr">
        <is>
          <t>GÄVLE</t>
        </is>
      </c>
      <c r="H563" t="inlineStr">
        <is>
          <t>Övriga statliga verk och myndigheter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46169</v>
      </c>
      <c r="E564" s="1" t="n">
        <v>46290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72734-2021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44546</v>
      </c>
      <c r="E565" s="1" t="n">
        <v>46290</v>
      </c>
      <c r="F565" t="inlineStr">
        <is>
          <t>GÄVLEBORGS LÄN</t>
        </is>
      </c>
      <c r="G565" t="inlineStr">
        <is>
          <t>GÄVLE</t>
        </is>
      </c>
      <c r="H565" t="inlineStr">
        <is>
          <t>Kommuner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46290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46290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11.6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46290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8298-2026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46290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46290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46290</v>
      </c>
      <c r="F571" t="inlineStr">
        <is>
          <t>GÄVLEBORGS LÄN</t>
        </is>
      </c>
      <c r="G571" t="inlineStr">
        <is>
          <t>GÄVLE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46290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53432-2021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44468</v>
      </c>
      <c r="E573" s="1" t="n">
        <v>46290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58445-2021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44488</v>
      </c>
      <c r="E574" s="1" t="n">
        <v>46290</v>
      </c>
      <c r="F574" t="inlineStr">
        <is>
          <t>GÄVLEBORGS LÄN</t>
        </is>
      </c>
      <c r="G574" t="inlineStr">
        <is>
          <t>GÄVLE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46290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9129-2026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46290</v>
      </c>
      <c r="F576" t="inlineStr">
        <is>
          <t>GÄVLEBORGS LÄN</t>
        </is>
      </c>
      <c r="G576" t="inlineStr">
        <is>
          <t>GÄVLE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66493-2021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44519</v>
      </c>
      <c r="E577" s="1" t="n">
        <v>46290</v>
      </c>
      <c r="F577" t="inlineStr">
        <is>
          <t>GÄVLEBORGS LÄN</t>
        </is>
      </c>
      <c r="G577" t="inlineStr">
        <is>
          <t>GÄVLE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46290</v>
      </c>
      <c r="F578" t="inlineStr">
        <is>
          <t>GÄVLEBORGS LÄN</t>
        </is>
      </c>
      <c r="G578" t="inlineStr">
        <is>
          <t>GÄVLE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46290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47143-2024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45586</v>
      </c>
      <c r="E580" s="1" t="n">
        <v>46290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46173</v>
      </c>
      <c r="E581" s="1" t="n">
        <v>46290</v>
      </c>
      <c r="F581" t="inlineStr">
        <is>
          <t>GÄVLEBORGS LÄN</t>
        </is>
      </c>
      <c r="G581" t="inlineStr">
        <is>
          <t>GÄVLE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46290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46290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46290</v>
      </c>
      <c r="F584" t="inlineStr">
        <is>
          <t>GÄVLEBORGS LÄN</t>
        </is>
      </c>
      <c r="G584" t="inlineStr">
        <is>
          <t>GÄVLE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9673-2026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46290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46290</v>
      </c>
      <c r="F586" t="inlineStr">
        <is>
          <t>GÄVLEBORGS LÄN</t>
        </is>
      </c>
      <c r="G586" t="inlineStr">
        <is>
          <t>GÄVLE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46290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46290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45312</v>
      </c>
      <c r="E589" s="1" t="n">
        <v>46290</v>
      </c>
      <c r="F589" t="inlineStr">
        <is>
          <t>GÄVLEBORGS LÄN</t>
        </is>
      </c>
      <c r="G589" t="inlineStr">
        <is>
          <t>GÄVLE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46290</v>
      </c>
      <c r="F590" t="inlineStr">
        <is>
          <t>GÄVLEBORGS LÄN</t>
        </is>
      </c>
      <c r="G590" t="inlineStr">
        <is>
          <t>GÄVLE</t>
        </is>
      </c>
      <c r="H590" t="inlineStr">
        <is>
          <t>Kommuner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45218</v>
      </c>
      <c r="E591" s="1" t="n">
        <v>46290</v>
      </c>
      <c r="F591" t="inlineStr">
        <is>
          <t>GÄVLEBORGS LÄN</t>
        </is>
      </c>
      <c r="G591" t="inlineStr">
        <is>
          <t>GÄVLE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17113-2024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45412</v>
      </c>
      <c r="E592" s="1" t="n">
        <v>46290</v>
      </c>
      <c r="F592" t="inlineStr">
        <is>
          <t>GÄVLEBORGS LÄN</t>
        </is>
      </c>
      <c r="G592" t="inlineStr">
        <is>
          <t>GÄVLE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11523-2026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46083</v>
      </c>
      <c r="E593" s="1" t="n">
        <v>46290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46085</v>
      </c>
      <c r="E594" s="1" t="n">
        <v>46290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46290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21365-2026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46290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46290</v>
      </c>
      <c r="F597" t="inlineStr">
        <is>
          <t>GÄVLEBORGS LÄN</t>
        </is>
      </c>
      <c r="G597" t="inlineStr">
        <is>
          <t>GÄVLE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46176</v>
      </c>
      <c r="E598" s="1" t="n">
        <v>46290</v>
      </c>
      <c r="F598" t="inlineStr">
        <is>
          <t>GÄVLEBORGS LÄN</t>
        </is>
      </c>
      <c r="G598" t="inlineStr">
        <is>
          <t>GÄVLE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25367-2026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46290</v>
      </c>
      <c r="F599" t="inlineStr">
        <is>
          <t>GÄVLEBORGS LÄN</t>
        </is>
      </c>
      <c r="G599" t="inlineStr">
        <is>
          <t>GÄVLE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46290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46092</v>
      </c>
      <c r="E601" s="1" t="n">
        <v>46290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46290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49401-2024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45595</v>
      </c>
      <c r="E603" s="1" t="n">
        <v>46290</v>
      </c>
      <c r="F603" t="inlineStr">
        <is>
          <t>GÄVLEBORGS LÄN</t>
        </is>
      </c>
      <c r="G603" t="inlineStr">
        <is>
          <t>GÄVLE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46290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13498-2026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46290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13317-2026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46290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13489-2026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46094</v>
      </c>
      <c r="E607" s="1" t="n">
        <v>46290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46290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46290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46290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46290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46290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13432-2026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46290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46290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13503-2026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46290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64871-2023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45282</v>
      </c>
      <c r="E616" s="1" t="n">
        <v>46290</v>
      </c>
      <c r="F616" t="inlineStr">
        <is>
          <t>GÄVLEBORGS LÄN</t>
        </is>
      </c>
      <c r="G616" t="inlineStr">
        <is>
          <t>GÄVLE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64875-2023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45282</v>
      </c>
      <c r="E617" s="1" t="n">
        <v>46290</v>
      </c>
      <c r="F617" t="inlineStr">
        <is>
          <t>GÄVLEBORGS LÄN</t>
        </is>
      </c>
      <c r="G617" t="inlineStr">
        <is>
          <t>GÄVLE</t>
        </is>
      </c>
      <c r="I617" t="n">
        <v>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64878-2023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45282</v>
      </c>
      <c r="E618" s="1" t="n">
        <v>46290</v>
      </c>
      <c r="F618" t="inlineStr">
        <is>
          <t>GÄVLEBORGS LÄN</t>
        </is>
      </c>
      <c r="G618" t="inlineStr">
        <is>
          <t>GÄVLE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46290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46290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46095</v>
      </c>
      <c r="E621" s="1" t="n">
        <v>46290</v>
      </c>
      <c r="F621" t="inlineStr">
        <is>
          <t>GÄVLEBORGS LÄN</t>
        </is>
      </c>
      <c r="G621" t="inlineStr">
        <is>
          <t>GÄVLE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13893-2026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46098</v>
      </c>
      <c r="E622" s="1" t="n">
        <v>46290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46290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25500-2026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46177</v>
      </c>
      <c r="E624" s="1" t="n">
        <v>46290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20676-2026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46290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46290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42934-2023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45182</v>
      </c>
      <c r="E627" s="1" t="n">
        <v>46290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44804</v>
      </c>
      <c r="E628" s="1" t="n">
        <v>46290</v>
      </c>
      <c r="F628" t="inlineStr">
        <is>
          <t>GÄVLEBORGS LÄN</t>
        </is>
      </c>
      <c r="G628" t="inlineStr">
        <is>
          <t>GÄVLE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45628-2022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44845</v>
      </c>
      <c r="E629" s="1" t="n">
        <v>46290</v>
      </c>
      <c r="F629" t="inlineStr">
        <is>
          <t>GÄVLEBORGS LÄN</t>
        </is>
      </c>
      <c r="G629" t="inlineStr">
        <is>
          <t>GÄVLE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25513-2026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46290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46290</v>
      </c>
      <c r="F631" t="inlineStr">
        <is>
          <t>GÄVLEBORGS LÄN</t>
        </is>
      </c>
      <c r="G631" t="inlineStr">
        <is>
          <t>GÄVLE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46290</v>
      </c>
      <c r="F632" t="inlineStr">
        <is>
          <t>GÄVLEBORGS LÄN</t>
        </is>
      </c>
      <c r="G632" t="inlineStr">
        <is>
          <t>GÄVLE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46290</v>
      </c>
      <c r="F633" t="inlineStr">
        <is>
          <t>GÄVLEBORGS LÄN</t>
        </is>
      </c>
      <c r="G633" t="inlineStr">
        <is>
          <t>GÄVLE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14963-2026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46290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46181</v>
      </c>
      <c r="E635" s="1" t="n">
        <v>46290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46101</v>
      </c>
      <c r="E636" s="1" t="n">
        <v>46290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15046-2026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46290</v>
      </c>
      <c r="F637" t="inlineStr">
        <is>
          <t>GÄVLEBORGS LÄN</t>
        </is>
      </c>
      <c r="G637" t="inlineStr">
        <is>
          <t>GÄVLE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46290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46290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46290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46290</v>
      </c>
      <c r="F641" t="inlineStr">
        <is>
          <t>GÄVLEBORGS LÄN</t>
        </is>
      </c>
      <c r="G641" t="inlineStr">
        <is>
          <t>GÄVLE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46290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46290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46290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46290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46290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46290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15669-2026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46290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46290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46290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46290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46290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46290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46290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46290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46290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27069-2026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46290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15535-2026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46290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46290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46290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27360-2026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46290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46290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46290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46290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46290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46290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46290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60792-2024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45644</v>
      </c>
      <c r="E669" s="1" t="n">
        <v>46290</v>
      </c>
      <c r="F669" t="inlineStr">
        <is>
          <t>GÄVLEBORGS LÄN</t>
        </is>
      </c>
      <c r="G669" t="inlineStr">
        <is>
          <t>GÄVLE</t>
        </is>
      </c>
      <c r="H669" t="inlineStr">
        <is>
          <t>Kyrkan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45644</v>
      </c>
      <c r="E670" s="1" t="n">
        <v>46290</v>
      </c>
      <c r="F670" t="inlineStr">
        <is>
          <t>GÄVLEBORGS LÄN</t>
        </is>
      </c>
      <c r="G670" t="inlineStr">
        <is>
          <t>GÄVLE</t>
        </is>
      </c>
      <c r="H670" t="inlineStr">
        <is>
          <t>Kyrkan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44713</v>
      </c>
      <c r="E671" s="1" t="n">
        <v>46290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15985-2026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46108</v>
      </c>
      <c r="E672" s="1" t="n">
        <v>46290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45245</v>
      </c>
      <c r="E673" s="1" t="n">
        <v>46290</v>
      </c>
      <c r="F673" t="inlineStr">
        <is>
          <t>GÄVLEBORGS LÄN</t>
        </is>
      </c>
      <c r="G673" t="inlineStr">
        <is>
          <t>GÄVLE</t>
        </is>
      </c>
      <c r="H673" t="inlineStr">
        <is>
          <t>Kyrkan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45400</v>
      </c>
      <c r="E674" s="1" t="n">
        <v>46290</v>
      </c>
      <c r="F674" t="inlineStr">
        <is>
          <t>GÄVLEBORGS LÄN</t>
        </is>
      </c>
      <c r="G674" t="inlineStr">
        <is>
          <t>GÄVLE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46290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29016-2023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45104</v>
      </c>
      <c r="E676" s="1" t="n">
        <v>46290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6.8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17471-2026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46120</v>
      </c>
      <c r="E677" s="1" t="n">
        <v>46290</v>
      </c>
      <c r="F677" t="inlineStr">
        <is>
          <t>GÄVLEBORGS LÄN</t>
        </is>
      </c>
      <c r="G677" t="inlineStr">
        <is>
          <t>GÄVLE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60396-2022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44910</v>
      </c>
      <c r="E678" s="1" t="n">
        <v>46290</v>
      </c>
      <c r="F678" t="inlineStr">
        <is>
          <t>GÄVLEBORGS LÄN</t>
        </is>
      </c>
      <c r="G678" t="inlineStr">
        <is>
          <t>GÄVLE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17830-2026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46122</v>
      </c>
      <c r="E679" s="1" t="n">
        <v>46290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10488-2026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46077</v>
      </c>
      <c r="E680" s="1" t="n">
        <v>46290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45462</v>
      </c>
      <c r="E681" s="1" t="n">
        <v>46290</v>
      </c>
      <c r="F681" t="inlineStr">
        <is>
          <t>GÄVLEBORGS LÄN</t>
        </is>
      </c>
      <c r="G681" t="inlineStr">
        <is>
          <t>GÄVLE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45660</v>
      </c>
      <c r="E682" s="1" t="n">
        <v>46290</v>
      </c>
      <c r="F682" t="inlineStr">
        <is>
          <t>GÄVLEBORGS LÄN</t>
        </is>
      </c>
      <c r="G682" t="inlineStr">
        <is>
          <t>GÄVLE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45660</v>
      </c>
      <c r="E683" s="1" t="n">
        <v>46290</v>
      </c>
      <c r="F683" t="inlineStr">
        <is>
          <t>GÄVLEBORGS LÄN</t>
        </is>
      </c>
      <c r="G683" t="inlineStr">
        <is>
          <t>GÄVLE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46132</v>
      </c>
      <c r="E684" s="1" t="n">
        <v>46290</v>
      </c>
      <c r="F684" t="inlineStr">
        <is>
          <t>GÄVLEBORGS LÄN</t>
        </is>
      </c>
      <c r="G684" t="inlineStr">
        <is>
          <t>GÄVLE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27182-2022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44741</v>
      </c>
      <c r="E685" s="1" t="n">
        <v>46290</v>
      </c>
      <c r="F685" t="inlineStr">
        <is>
          <t>GÄVLEBORGS LÄN</t>
        </is>
      </c>
      <c r="G685" t="inlineStr">
        <is>
          <t>GÄVLE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46290</v>
      </c>
      <c r="F686" t="inlineStr">
        <is>
          <t>GÄVLEBORGS LÄN</t>
        </is>
      </c>
      <c r="G686" t="inlineStr">
        <is>
          <t>GÄVLE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11572-2026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46290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46290</v>
      </c>
      <c r="F688" t="inlineStr">
        <is>
          <t>GÄVLEBORGS LÄN</t>
        </is>
      </c>
      <c r="G688" t="inlineStr">
        <is>
          <t>GÄVLE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17976-2026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46124</v>
      </c>
      <c r="E689" s="1" t="n">
        <v>46290</v>
      </c>
      <c r="F689" t="inlineStr">
        <is>
          <t>GÄVLEBORGS LÄN</t>
        </is>
      </c>
      <c r="G689" t="inlineStr">
        <is>
          <t>GÄVLE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17977-2026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46124</v>
      </c>
      <c r="E690" s="1" t="n">
        <v>46290</v>
      </c>
      <c r="F690" t="inlineStr">
        <is>
          <t>GÄVLEBORGS LÄN</t>
        </is>
      </c>
      <c r="G690" t="inlineStr">
        <is>
          <t>GÄVLE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17974-2026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46124</v>
      </c>
      <c r="E691" s="1" t="n">
        <v>46290</v>
      </c>
      <c r="F691" t="inlineStr">
        <is>
          <t>GÄVLEBORGS LÄN</t>
        </is>
      </c>
      <c r="G691" t="inlineStr">
        <is>
          <t>GÄVLE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46290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46290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46290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8031-2024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45350</v>
      </c>
      <c r="E695" s="1" t="n">
        <v>46290</v>
      </c>
      <c r="F695" t="inlineStr">
        <is>
          <t>GÄVLEBORGS LÄN</t>
        </is>
      </c>
      <c r="G695" t="inlineStr">
        <is>
          <t>GÄVLE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14966-2026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46104</v>
      </c>
      <c r="E696" s="1" t="n">
        <v>46290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18817-2026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46290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61351-2021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44498</v>
      </c>
      <c r="E698" s="1" t="n">
        <v>46290</v>
      </c>
      <c r="F698" t="inlineStr">
        <is>
          <t>GÄVLEBORGS LÄN</t>
        </is>
      </c>
      <c r="G698" t="inlineStr">
        <is>
          <t>GÄVLE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46290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15568-2026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46290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46290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46290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19087-2026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46290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53281-2024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45614</v>
      </c>
      <c r="E707" s="1" t="n">
        <v>46290</v>
      </c>
      <c r="F707" t="inlineStr">
        <is>
          <t>GÄVLEBORGS LÄN</t>
        </is>
      </c>
      <c r="G707" t="inlineStr">
        <is>
          <t>GÄVLE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46290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46290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46290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60879-2023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45261</v>
      </c>
      <c r="E711" s="1" t="n">
        <v>46290</v>
      </c>
      <c r="F711" t="inlineStr">
        <is>
          <t>GÄVLEBORGS LÄN</t>
        </is>
      </c>
      <c r="G711" t="inlineStr">
        <is>
          <t>GÄVLE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46290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46290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46290</v>
      </c>
      <c r="F714" t="inlineStr">
        <is>
          <t>GÄVLEBORGS LÄN</t>
        </is>
      </c>
      <c r="G714" t="inlineStr">
        <is>
          <t>GÄVLE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19714-2026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46290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46134</v>
      </c>
      <c r="E716" s="1" t="n">
        <v>46290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12386-2026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46090</v>
      </c>
      <c r="E717" s="1" t="n">
        <v>46290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19713-2026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46290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19716-2026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46290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46105</v>
      </c>
      <c r="E720" s="1" t="n">
        <v>46290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15312-2023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45019</v>
      </c>
      <c r="E721" s="1" t="n">
        <v>46290</v>
      </c>
      <c r="F721" t="inlineStr">
        <is>
          <t>GÄVLEBORGS LÄN</t>
        </is>
      </c>
      <c r="G721" t="inlineStr">
        <is>
          <t>GÄVLE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46195</v>
      </c>
      <c r="E722" s="1" t="n">
        <v>46290</v>
      </c>
      <c r="F722" t="inlineStr">
        <is>
          <t>GÄVLEBORGS LÄN</t>
        </is>
      </c>
      <c r="G722" t="inlineStr">
        <is>
          <t>GÄVLE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52387-2022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44874</v>
      </c>
      <c r="E723" s="1" t="n">
        <v>46290</v>
      </c>
      <c r="F723" t="inlineStr">
        <is>
          <t>GÄVLEBORGS LÄN</t>
        </is>
      </c>
      <c r="G723" t="inlineStr">
        <is>
          <t>GÄVLE</t>
        </is>
      </c>
      <c r="H723" t="inlineStr">
        <is>
          <t>Kommuner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45113</v>
      </c>
      <c r="E724" s="1" t="n">
        <v>46290</v>
      </c>
      <c r="F724" t="inlineStr">
        <is>
          <t>GÄVLEBORGS LÄN</t>
        </is>
      </c>
      <c r="G724" t="inlineStr">
        <is>
          <t>GÄVLE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22968-2026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46290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29494-2026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46290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29506-2026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46290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52.7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46290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22466-2023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46290</v>
      </c>
      <c r="F729" t="inlineStr">
        <is>
          <t>GÄVLEBORGS LÄN</t>
        </is>
      </c>
      <c r="G729" t="inlineStr">
        <is>
          <t>GÄVLE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28485-2026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46197</v>
      </c>
      <c r="E730" s="1" t="n">
        <v>46290</v>
      </c>
      <c r="F730" t="inlineStr">
        <is>
          <t>GÄVLEBORGS LÄN</t>
        </is>
      </c>
      <c r="G730" t="inlineStr">
        <is>
          <t>GÄVLE</t>
        </is>
      </c>
      <c r="H730" t="inlineStr">
        <is>
          <t>BillerudKorsnäs AB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46290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46290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16023-2023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45026</v>
      </c>
      <c r="E733" s="1" t="n">
        <v>46290</v>
      </c>
      <c r="F733" t="inlineStr">
        <is>
          <t>GÄVLEBORGS LÄN</t>
        </is>
      </c>
      <c r="G733" t="inlineStr">
        <is>
          <t>GÄVLE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46290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46290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46290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25829-2024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45467</v>
      </c>
      <c r="E737" s="1" t="n">
        <v>46290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7235-2025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45702</v>
      </c>
      <c r="E738" s="1" t="n">
        <v>46290</v>
      </c>
      <c r="F738" t="inlineStr">
        <is>
          <t>GÄVLEBORGS LÄN</t>
        </is>
      </c>
      <c r="G738" t="inlineStr">
        <is>
          <t>GÄVLE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46202</v>
      </c>
      <c r="E739" s="1" t="n">
        <v>46290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46202</v>
      </c>
      <c r="E740" s="1" t="n">
        <v>46290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71215-2021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44539</v>
      </c>
      <c r="E741" s="1" t="n">
        <v>46290</v>
      </c>
      <c r="F741" t="inlineStr">
        <is>
          <t>GÄVLEBORGS LÄN</t>
        </is>
      </c>
      <c r="G741" t="inlineStr">
        <is>
          <t>GÄVLE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45652</v>
      </c>
      <c r="E742" s="1" t="n">
        <v>46290</v>
      </c>
      <c r="F742" t="inlineStr">
        <is>
          <t>GÄVLEBORGS LÄN</t>
        </is>
      </c>
      <c r="G742" t="inlineStr">
        <is>
          <t>GÄVLE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19712-2022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44694</v>
      </c>
      <c r="E743" s="1" t="n">
        <v>46290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39509-2022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44818</v>
      </c>
      <c r="E744" s="1" t="n">
        <v>46290</v>
      </c>
      <c r="F744" t="inlineStr">
        <is>
          <t>GÄVLEBORGS LÄN</t>
        </is>
      </c>
      <c r="G744" t="inlineStr">
        <is>
          <t>GÄVLE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30662-2022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44763</v>
      </c>
      <c r="E745" s="1" t="n">
        <v>46290</v>
      </c>
      <c r="F745" t="inlineStr">
        <is>
          <t>GÄVLEBORGS LÄN</t>
        </is>
      </c>
      <c r="G745" t="inlineStr">
        <is>
          <t>GÄVLE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46290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45645</v>
      </c>
      <c r="E747" s="1" t="n">
        <v>46290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45540</v>
      </c>
      <c r="E748" s="1" t="n">
        <v>46290</v>
      </c>
      <c r="F748" t="inlineStr">
        <is>
          <t>GÄVLEBORGS LÄN</t>
        </is>
      </c>
      <c r="G748" t="inlineStr">
        <is>
          <t>GÄVLE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17605-2025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46290</v>
      </c>
      <c r="F749" t="inlineStr">
        <is>
          <t>GÄVLEBORGS LÄN</t>
        </is>
      </c>
      <c r="G749" t="inlineStr">
        <is>
          <t>GÄVLE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17607-2025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46290</v>
      </c>
      <c r="F750" t="inlineStr">
        <is>
          <t>GÄVLEBORGS LÄN</t>
        </is>
      </c>
      <c r="G750" t="inlineStr">
        <is>
          <t>GÄVLE</t>
        </is>
      </c>
      <c r="I750" t="n">
        <v>7.6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46290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15456-2026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46106</v>
      </c>
      <c r="E752" s="1" t="n">
        <v>46290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51758-2025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45950</v>
      </c>
      <c r="E753" s="1" t="n">
        <v>46290</v>
      </c>
      <c r="F753" t="inlineStr">
        <is>
          <t>GÄVLEBORGS LÄN</t>
        </is>
      </c>
      <c r="G753" t="inlineStr">
        <is>
          <t>GÄVLE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46248</v>
      </c>
      <c r="E754" s="1" t="n">
        <v>46290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56487-2023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45243</v>
      </c>
      <c r="E755" s="1" t="n">
        <v>46290</v>
      </c>
      <c r="F755" t="inlineStr">
        <is>
          <t>GÄVLEBORGS LÄN</t>
        </is>
      </c>
      <c r="G755" t="inlineStr">
        <is>
          <t>GÄVLE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9307-2022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44616</v>
      </c>
      <c r="E756" s="1" t="n">
        <v>46290</v>
      </c>
      <c r="F756" t="inlineStr">
        <is>
          <t>GÄVLEBORGS LÄN</t>
        </is>
      </c>
      <c r="G756" t="inlineStr">
        <is>
          <t>GÄVLE</t>
        </is>
      </c>
      <c r="I756" t="n">
        <v>4.8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31019-2026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46290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45735</v>
      </c>
      <c r="E758" s="1" t="n">
        <v>46290</v>
      </c>
      <c r="F758" t="inlineStr">
        <is>
          <t>GÄVLEBORGS LÄN</t>
        </is>
      </c>
      <c r="G758" t="inlineStr">
        <is>
          <t>GÄVLE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31866-2023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46290</v>
      </c>
      <c r="F759" t="inlineStr">
        <is>
          <t>GÄVLEBORGS LÄN</t>
        </is>
      </c>
      <c r="G759" t="inlineStr">
        <is>
          <t>GÄVLE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30324-2026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46207</v>
      </c>
      <c r="E760" s="1" t="n">
        <v>46290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46290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14807-2023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45014</v>
      </c>
      <c r="E762" s="1" t="n">
        <v>46290</v>
      </c>
      <c r="F762" t="inlineStr">
        <is>
          <t>GÄVLEBORGS LÄN</t>
        </is>
      </c>
      <c r="G762" t="inlineStr">
        <is>
          <t>GÄVLE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46290</v>
      </c>
      <c r="F763" t="inlineStr">
        <is>
          <t>GÄVLEBORGS LÄN</t>
        </is>
      </c>
      <c r="G763" t="inlineStr">
        <is>
          <t>GÄVLE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33880-2022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44790</v>
      </c>
      <c r="E764" s="1" t="n">
        <v>46290</v>
      </c>
      <c r="F764" t="inlineStr">
        <is>
          <t>GÄVLEBORGS LÄN</t>
        </is>
      </c>
      <c r="G764" t="inlineStr">
        <is>
          <t>GÄVLE</t>
        </is>
      </c>
      <c r="I764" t="n">
        <v>9.4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33662-2026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46290</v>
      </c>
      <c r="F765" t="inlineStr">
        <is>
          <t>GÄVLEBORGS LÄN</t>
        </is>
      </c>
      <c r="G765" t="inlineStr">
        <is>
          <t>GÄVLE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33585-2026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46248</v>
      </c>
      <c r="E766" s="1" t="n">
        <v>46290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9.5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6370-2025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45699</v>
      </c>
      <c r="E767" s="1" t="n">
        <v>46290</v>
      </c>
      <c r="F767" t="inlineStr">
        <is>
          <t>GÄVLEBORGS LÄN</t>
        </is>
      </c>
      <c r="G767" t="inlineStr">
        <is>
          <t>GÄVLE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11691-2024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45373</v>
      </c>
      <c r="E768" s="1" t="n">
        <v>46290</v>
      </c>
      <c r="F768" t="inlineStr">
        <is>
          <t>GÄVLEBORGS LÄN</t>
        </is>
      </c>
      <c r="G768" t="inlineStr">
        <is>
          <t>GÄVLE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46169</v>
      </c>
      <c r="E769" s="1" t="n">
        <v>46290</v>
      </c>
      <c r="F769" t="inlineStr">
        <is>
          <t>GÄVLEBORGS LÄN</t>
        </is>
      </c>
      <c r="G769" t="inlineStr">
        <is>
          <t>GÄVLE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62766-2022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44885</v>
      </c>
      <c r="E770" s="1" t="n">
        <v>46290</v>
      </c>
      <c r="F770" t="inlineStr">
        <is>
          <t>GÄVLEBORGS LÄN</t>
        </is>
      </c>
      <c r="G770" t="inlineStr">
        <is>
          <t>GÄVLE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64873-2023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45282</v>
      </c>
      <c r="E771" s="1" t="n">
        <v>46290</v>
      </c>
      <c r="F771" t="inlineStr">
        <is>
          <t>GÄVLEBORGS LÄN</t>
        </is>
      </c>
      <c r="G771" t="inlineStr">
        <is>
          <t>GÄVLE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34033-2026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46252</v>
      </c>
      <c r="E772" s="1" t="n">
        <v>46290</v>
      </c>
      <c r="F772" t="inlineStr">
        <is>
          <t>GÄVLEBORGS LÄN</t>
        </is>
      </c>
      <c r="G772" t="inlineStr">
        <is>
          <t>GÄVLE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30600-2026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46210</v>
      </c>
      <c r="E773" s="1" t="n">
        <v>46290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46210</v>
      </c>
      <c r="E774" s="1" t="n">
        <v>46290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29862-2023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45107</v>
      </c>
      <c r="E775" s="1" t="n">
        <v>46290</v>
      </c>
      <c r="F775" t="inlineStr">
        <is>
          <t>GÄVLEBORGS LÄN</t>
        </is>
      </c>
      <c r="G775" t="inlineStr">
        <is>
          <t>GÄVLE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46290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34590-2026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46255</v>
      </c>
      <c r="E777" s="1" t="n">
        <v>46290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34591-2026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46290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24478-2023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45082</v>
      </c>
      <c r="E779" s="1" t="n">
        <v>46290</v>
      </c>
      <c r="F779" t="inlineStr">
        <is>
          <t>GÄVLEBORGS LÄN</t>
        </is>
      </c>
      <c r="G779" t="inlineStr">
        <is>
          <t>GÄVLE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17088-2023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45034</v>
      </c>
      <c r="E780" s="1" t="n">
        <v>46290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7792-2023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44973</v>
      </c>
      <c r="E781" s="1" t="n">
        <v>46290</v>
      </c>
      <c r="F781" t="inlineStr">
        <is>
          <t>GÄVLEBORGS LÄN</t>
        </is>
      </c>
      <c r="G781" t="inlineStr">
        <is>
          <t>GÄVLE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46255</v>
      </c>
      <c r="E782" s="1" t="n">
        <v>46290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45397</v>
      </c>
      <c r="E783" s="1" t="n">
        <v>46290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35761-2022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44800</v>
      </c>
      <c r="E784" s="1" t="n">
        <v>46290</v>
      </c>
      <c r="F784" t="inlineStr">
        <is>
          <t>GÄVLEBORGS LÄN</t>
        </is>
      </c>
      <c r="G784" t="inlineStr">
        <is>
          <t>GÄVLE</t>
        </is>
      </c>
      <c r="I784" t="n">
        <v>8.199999999999999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46254</v>
      </c>
      <c r="E785" s="1" t="n">
        <v>46290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30967-2026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46213</v>
      </c>
      <c r="E786" s="1" t="n">
        <v>46290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34733-2026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46258</v>
      </c>
      <c r="E787" s="1" t="n">
        <v>46290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11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46290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31445-2026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46217</v>
      </c>
      <c r="E789" s="1" t="n">
        <v>46290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46290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34686-2026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46290</v>
      </c>
      <c r="F791" t="inlineStr">
        <is>
          <t>GÄVLEBORGS LÄN</t>
        </is>
      </c>
      <c r="G791" t="inlineStr">
        <is>
          <t>GÄVLE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30969-2026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46213</v>
      </c>
      <c r="E792" s="1" t="n">
        <v>46290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61918-2023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45266</v>
      </c>
      <c r="E793" s="1" t="n">
        <v>46290</v>
      </c>
      <c r="F793" t="inlineStr">
        <is>
          <t>GÄVLEBORGS LÄN</t>
        </is>
      </c>
      <c r="G793" t="inlineStr">
        <is>
          <t>GÄVLE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17245-2024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45414</v>
      </c>
      <c r="E794" s="1" t="n">
        <v>46290</v>
      </c>
      <c r="F794" t="inlineStr">
        <is>
          <t>GÄVLEBORGS LÄN</t>
        </is>
      </c>
      <c r="G794" t="inlineStr">
        <is>
          <t>GÄVLE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46213</v>
      </c>
      <c r="E795" s="1" t="n">
        <v>46290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46217</v>
      </c>
      <c r="E796" s="1" t="n">
        <v>46290</v>
      </c>
      <c r="F796" t="inlineStr">
        <is>
          <t>GÄVLEBORGS LÄN</t>
        </is>
      </c>
      <c r="G796" t="inlineStr">
        <is>
          <t>GÄVLE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35388-2026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46261</v>
      </c>
      <c r="E797" s="1" t="n">
        <v>46290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62255-2022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44922</v>
      </c>
      <c r="E798" s="1" t="n">
        <v>46290</v>
      </c>
      <c r="F798" t="inlineStr">
        <is>
          <t>GÄVLEBORGS LÄN</t>
        </is>
      </c>
      <c r="G798" t="inlineStr">
        <is>
          <t>GÄVLE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35120-2026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46260</v>
      </c>
      <c r="E799" s="1" t="n">
        <v>46290</v>
      </c>
      <c r="F799" t="inlineStr">
        <is>
          <t>GÄVLEBORGS LÄN</t>
        </is>
      </c>
      <c r="G799" t="inlineStr">
        <is>
          <t>GÄVLE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57928-2024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45631</v>
      </c>
      <c r="E800" s="1" t="n">
        <v>46290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9422-2025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45715</v>
      </c>
      <c r="E801" s="1" t="n">
        <v>46290</v>
      </c>
      <c r="F801" t="inlineStr">
        <is>
          <t>GÄVLEBORGS LÄN</t>
        </is>
      </c>
      <c r="G801" t="inlineStr">
        <is>
          <t>GÄVLE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35302-2026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46261</v>
      </c>
      <c r="E802" s="1" t="n">
        <v>46290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4.4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61843-2023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45266</v>
      </c>
      <c r="E803" s="1" t="n">
        <v>46290</v>
      </c>
      <c r="F803" t="inlineStr">
        <is>
          <t>GÄVLEBORGS LÄN</t>
        </is>
      </c>
      <c r="G803" t="inlineStr">
        <is>
          <t>GÄVLE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45660</v>
      </c>
      <c r="E804" s="1" t="n">
        <v>46290</v>
      </c>
      <c r="F804" t="inlineStr">
        <is>
          <t>GÄVLEBORGS LÄN</t>
        </is>
      </c>
      <c r="G804" t="inlineStr">
        <is>
          <t>GÄVLE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35326-2026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46261</v>
      </c>
      <c r="E805" s="1" t="n">
        <v>46290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35387-2026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46290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33449-2024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45519</v>
      </c>
      <c r="E807" s="1" t="n">
        <v>46290</v>
      </c>
      <c r="F807" t="inlineStr">
        <is>
          <t>GÄVLEBORGS LÄN</t>
        </is>
      </c>
      <c r="G807" t="inlineStr">
        <is>
          <t>GÄVLE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35440-2023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45146</v>
      </c>
      <c r="E808" s="1" t="n">
        <v>46290</v>
      </c>
      <c r="F808" t="inlineStr">
        <is>
          <t>GÄVLEBORGS LÄN</t>
        </is>
      </c>
      <c r="G808" t="inlineStr">
        <is>
          <t>GÄVLE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35780-2026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46265</v>
      </c>
      <c r="E809" s="1" t="n">
        <v>46290</v>
      </c>
      <c r="F809" t="inlineStr">
        <is>
          <t>GÄVLEBORGS LÄN</t>
        </is>
      </c>
      <c r="G809" t="inlineStr">
        <is>
          <t>GÄVLE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44586</v>
      </c>
      <c r="E810" s="1" t="n">
        <v>46290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7410-2025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45705</v>
      </c>
      <c r="E811" s="1" t="n">
        <v>46290</v>
      </c>
      <c r="F811" t="inlineStr">
        <is>
          <t>GÄVLEBORGS LÄN</t>
        </is>
      </c>
      <c r="G811" t="inlineStr">
        <is>
          <t>GÄVLE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35541-2026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46262</v>
      </c>
      <c r="E812" s="1" t="n">
        <v>46290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31528-2026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46220</v>
      </c>
      <c r="E813" s="1" t="n">
        <v>46290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35331-2024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45530</v>
      </c>
      <c r="E814" s="1" t="n">
        <v>46290</v>
      </c>
      <c r="F814" t="inlineStr">
        <is>
          <t>GÄVLEBORGS LÄN</t>
        </is>
      </c>
      <c r="G814" t="inlineStr">
        <is>
          <t>GÄVLE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44927</v>
      </c>
      <c r="E815" s="1" t="n">
        <v>46290</v>
      </c>
      <c r="F815" t="inlineStr">
        <is>
          <t>GÄVLEBORGS LÄN</t>
        </is>
      </c>
      <c r="G815" t="inlineStr">
        <is>
          <t>GÄVLE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44806-2024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46290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46262</v>
      </c>
      <c r="E817" s="1" t="n">
        <v>46290</v>
      </c>
      <c r="F817" t="inlineStr">
        <is>
          <t>GÄVLEBORGS LÄN</t>
        </is>
      </c>
      <c r="G817" t="inlineStr">
        <is>
          <t>GÄVLE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35818-2026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46265</v>
      </c>
      <c r="E818" s="1" t="n">
        <v>46290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46290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52250-2024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45608</v>
      </c>
      <c r="E820" s="1" t="n">
        <v>46290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35577-2026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46262</v>
      </c>
      <c r="E821" s="1" t="n">
        <v>46290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35561-2026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46262</v>
      </c>
      <c r="E822" s="1" t="n">
        <v>46290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30875-2022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44767</v>
      </c>
      <c r="E823" s="1" t="n">
        <v>46290</v>
      </c>
      <c r="F823" t="inlineStr">
        <is>
          <t>GÄVLEBORGS LÄN</t>
        </is>
      </c>
      <c r="G823" t="inlineStr">
        <is>
          <t>GÄVLE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36091-2026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46267</v>
      </c>
      <c r="E824" s="1" t="n">
        <v>46290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36132-2026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46267</v>
      </c>
      <c r="E825" s="1" t="n">
        <v>46290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36089-2026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46267</v>
      </c>
      <c r="E826" s="1" t="n">
        <v>46290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60349-2022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44910</v>
      </c>
      <c r="E827" s="1" t="n">
        <v>46290</v>
      </c>
      <c r="F827" t="inlineStr">
        <is>
          <t>GÄVLEBORGS LÄN</t>
        </is>
      </c>
      <c r="G827" t="inlineStr">
        <is>
          <t>GÄVLE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41100-2024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45559</v>
      </c>
      <c r="E828" s="1" t="n">
        <v>46290</v>
      </c>
      <c r="F828" t="inlineStr">
        <is>
          <t>GÄVLEBORGS LÄN</t>
        </is>
      </c>
      <c r="G828" t="inlineStr">
        <is>
          <t>GÄVLE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36093-2026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46267</v>
      </c>
      <c r="E829" s="1" t="n">
        <v>46290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36086-2026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46267</v>
      </c>
      <c r="E830" s="1" t="n">
        <v>46290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36512-2026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46269</v>
      </c>
      <c r="E831" s="1" t="n">
        <v>46290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36522-2026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46269</v>
      </c>
      <c r="E832" s="1" t="n">
        <v>46290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35205-2024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45530</v>
      </c>
      <c r="E833" s="1" t="n">
        <v>46290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36558-2026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46269</v>
      </c>
      <c r="E834" s="1" t="n">
        <v>46290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36530-2026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46269</v>
      </c>
      <c r="E835" s="1" t="n">
        <v>46290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16401-2025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45751</v>
      </c>
      <c r="E836" s="1" t="n">
        <v>46290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46290</v>
      </c>
      <c r="F837" t="inlineStr">
        <is>
          <t>GÄVLEBORGS LÄN</t>
        </is>
      </c>
      <c r="G837" t="inlineStr">
        <is>
          <t>GÄVLE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5633-2024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45334</v>
      </c>
      <c r="E838" s="1" t="n">
        <v>46290</v>
      </c>
      <c r="F838" t="inlineStr">
        <is>
          <t>GÄVLEBORGS LÄN</t>
        </is>
      </c>
      <c r="G838" t="inlineStr">
        <is>
          <t>GÄVLE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36909-2026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46290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36945-2026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46273</v>
      </c>
      <c r="E840" s="1" t="n">
        <v>46290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36957-2026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46273</v>
      </c>
      <c r="E841" s="1" t="n">
        <v>46290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45392</v>
      </c>
      <c r="E842" s="1" t="n">
        <v>46290</v>
      </c>
      <c r="F842" t="inlineStr">
        <is>
          <t>GÄVLEBORGS LÄN</t>
        </is>
      </c>
      <c r="G842" t="inlineStr">
        <is>
          <t>GÄVLE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36962-2026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46273</v>
      </c>
      <c r="E843" s="1" t="n">
        <v>46290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25466-2023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45089</v>
      </c>
      <c r="E844" s="1" t="n">
        <v>46290</v>
      </c>
      <c r="F844" t="inlineStr">
        <is>
          <t>GÄVLEBORGS LÄN</t>
        </is>
      </c>
      <c r="G844" t="inlineStr">
        <is>
          <t>GÄVLE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36920-2026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46273</v>
      </c>
      <c r="E845" s="1" t="n">
        <v>46290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36739-2026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46272</v>
      </c>
      <c r="E846" s="1" t="n">
        <v>46290</v>
      </c>
      <c r="F846" t="inlineStr">
        <is>
          <t>GÄVLEBORGS LÄN</t>
        </is>
      </c>
      <c r="G846" t="inlineStr">
        <is>
          <t>GÄVLE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36732-2026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46272</v>
      </c>
      <c r="E847" s="1" t="n">
        <v>46290</v>
      </c>
      <c r="F847" t="inlineStr">
        <is>
          <t>GÄVLEBORGS LÄN</t>
        </is>
      </c>
      <c r="G847" t="inlineStr">
        <is>
          <t>GÄVLE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36935-2026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46273</v>
      </c>
      <c r="E848" s="1" t="n">
        <v>46290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7060-2022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44603</v>
      </c>
      <c r="E849" s="1" t="n">
        <v>46290</v>
      </c>
      <c r="F849" t="inlineStr">
        <is>
          <t>GÄVLEBORGS LÄN</t>
        </is>
      </c>
      <c r="G849" t="inlineStr">
        <is>
          <t>GÄVLE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41708-2023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45176</v>
      </c>
      <c r="E850" s="1" t="n">
        <v>46290</v>
      </c>
      <c r="F850" t="inlineStr">
        <is>
          <t>GÄVLEBORGS LÄN</t>
        </is>
      </c>
      <c r="G850" t="inlineStr">
        <is>
          <t>GÄVLE</t>
        </is>
      </c>
      <c r="I850" t="n">
        <v>6.5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41712-2023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45176</v>
      </c>
      <c r="E851" s="1" t="n">
        <v>46290</v>
      </c>
      <c r="F851" t="inlineStr">
        <is>
          <t>GÄVLEBORGS LÄN</t>
        </is>
      </c>
      <c r="G851" t="inlineStr">
        <is>
          <t>GÄVLE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5413-2023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44959</v>
      </c>
      <c r="E852" s="1" t="n">
        <v>46290</v>
      </c>
      <c r="F852" t="inlineStr">
        <is>
          <t>GÄVLEBORGS LÄN</t>
        </is>
      </c>
      <c r="G852" t="inlineStr">
        <is>
          <t>GÄVLE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36784-2026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46272</v>
      </c>
      <c r="E853" s="1" t="n">
        <v>46290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37223-2026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46274</v>
      </c>
      <c r="E854" s="1" t="n">
        <v>46290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45685</v>
      </c>
      <c r="E855" s="1" t="n">
        <v>46290</v>
      </c>
      <c r="F855" t="inlineStr">
        <is>
          <t>GÄVLEBORGS LÄN</t>
        </is>
      </c>
      <c r="G855" t="inlineStr">
        <is>
          <t>GÄVLE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37391-2026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46275</v>
      </c>
      <c r="E856" s="1" t="n">
        <v>46290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37401-2026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46275</v>
      </c>
      <c r="E857" s="1" t="n">
        <v>46290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19.1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45660</v>
      </c>
      <c r="E858" s="1" t="n">
        <v>46290</v>
      </c>
      <c r="F858" t="inlineStr">
        <is>
          <t>GÄVLEBORGS LÄN</t>
        </is>
      </c>
      <c r="G858" t="inlineStr">
        <is>
          <t>GÄVLE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56138-2023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46290</v>
      </c>
      <c r="F859" t="inlineStr">
        <is>
          <t>GÄVLEBORGS LÄN</t>
        </is>
      </c>
      <c r="G859" t="inlineStr">
        <is>
          <t>GÄVLE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37134-2026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46274</v>
      </c>
      <c r="E860" s="1" t="n">
        <v>46290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46274</v>
      </c>
      <c r="E861" s="1" t="n">
        <v>46290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37611-2026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46276</v>
      </c>
      <c r="E862" s="1" t="n">
        <v>46290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37640-2026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46276</v>
      </c>
      <c r="E863" s="1" t="n">
        <v>46290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33635-2024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46290</v>
      </c>
      <c r="F864" t="inlineStr">
        <is>
          <t>GÄVLEBORGS LÄN</t>
        </is>
      </c>
      <c r="G864" t="inlineStr">
        <is>
          <t>GÄVLE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33637-2024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45520</v>
      </c>
      <c r="E865" s="1" t="n">
        <v>46290</v>
      </c>
      <c r="F865" t="inlineStr">
        <is>
          <t>GÄVLEBORGS LÄN</t>
        </is>
      </c>
      <c r="G865" t="inlineStr">
        <is>
          <t>GÄVLE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25645-2023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46290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7998-2023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44973</v>
      </c>
      <c r="E867" s="1" t="n">
        <v>46290</v>
      </c>
      <c r="F867" t="inlineStr">
        <is>
          <t>GÄVLEBORGS LÄN</t>
        </is>
      </c>
      <c r="G867" t="inlineStr">
        <is>
          <t>GÄVLE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54207-2023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45232</v>
      </c>
      <c r="E868" s="1" t="n">
        <v>46290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15935-2025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45749</v>
      </c>
      <c r="E869" s="1" t="n">
        <v>46290</v>
      </c>
      <c r="F869" t="inlineStr">
        <is>
          <t>GÄVLEBORGS LÄN</t>
        </is>
      </c>
      <c r="G869" t="inlineStr">
        <is>
          <t>GÄVLE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37573-2026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46276</v>
      </c>
      <c r="E870" s="1" t="n">
        <v>46290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37759-2026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46279</v>
      </c>
      <c r="E871" s="1" t="n">
        <v>46290</v>
      </c>
      <c r="F871" t="inlineStr">
        <is>
          <t>GÄVLEBORGS LÄN</t>
        </is>
      </c>
      <c r="G871" t="inlineStr">
        <is>
          <t>GÄVLE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25814-2023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46290</v>
      </c>
      <c r="F872" t="inlineStr">
        <is>
          <t>GÄVLEBORGS LÄN</t>
        </is>
      </c>
      <c r="G872" t="inlineStr">
        <is>
          <t>GÄVLE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37553-2026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46276</v>
      </c>
      <c r="E873" s="1" t="n">
        <v>46290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37765-2026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46279</v>
      </c>
      <c r="E874" s="1" t="n">
        <v>46290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38012-2026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46280</v>
      </c>
      <c r="E875" s="1" t="n">
        <v>46290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38045-2026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46280</v>
      </c>
      <c r="E876" s="1" t="n">
        <v>46290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14792-2023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45014</v>
      </c>
      <c r="E877" s="1" t="n">
        <v>46290</v>
      </c>
      <c r="F877" t="inlineStr">
        <is>
          <t>GÄVLEBORGS LÄN</t>
        </is>
      </c>
      <c r="G877" t="inlineStr">
        <is>
          <t>GÄVLE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37938-2026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46280</v>
      </c>
      <c r="E878" s="1" t="n">
        <v>46290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12079-2025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45728</v>
      </c>
      <c r="E879" s="1" t="n">
        <v>46290</v>
      </c>
      <c r="F879" t="inlineStr">
        <is>
          <t>GÄVLEBORGS LÄN</t>
        </is>
      </c>
      <c r="G879" t="inlineStr">
        <is>
          <t>GÄVLE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38051-2026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46280</v>
      </c>
      <c r="E880" s="1" t="n">
        <v>46290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1594-2024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45306</v>
      </c>
      <c r="E881" s="1" t="n">
        <v>46290</v>
      </c>
      <c r="F881" t="inlineStr">
        <is>
          <t>GÄVLEBORGS LÄN</t>
        </is>
      </c>
      <c r="G881" t="inlineStr">
        <is>
          <t>GÄVLE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37935-2026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46280</v>
      </c>
      <c r="E882" s="1" t="n">
        <v>46290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37937-2026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46280</v>
      </c>
      <c r="E883" s="1" t="n">
        <v>46290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38195-2026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46281</v>
      </c>
      <c r="E884" s="1" t="n">
        <v>46290</v>
      </c>
      <c r="F884" t="inlineStr">
        <is>
          <t>GÄVLEBORGS LÄN</t>
        </is>
      </c>
      <c r="G884" t="inlineStr">
        <is>
          <t>GÄVLE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38130-2026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46281</v>
      </c>
      <c r="E885" s="1" t="n">
        <v>46290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38049-2026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46280</v>
      </c>
      <c r="E886" s="1" t="n">
        <v>46290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37934-2026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46280</v>
      </c>
      <c r="E887" s="1" t="n">
        <v>46290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38144-2026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46281</v>
      </c>
      <c r="E888" s="1" t="n">
        <v>46290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62983-2023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45272</v>
      </c>
      <c r="E889" s="1" t="n">
        <v>46290</v>
      </c>
      <c r="F889" t="inlineStr">
        <is>
          <t>GÄVLEBORGS LÄN</t>
        </is>
      </c>
      <c r="G889" t="inlineStr">
        <is>
          <t>GÄVLE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38014-2026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46280</v>
      </c>
      <c r="E890" s="1" t="n">
        <v>46290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33901-2024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45523</v>
      </c>
      <c r="E891" s="1" t="n">
        <v>46290</v>
      </c>
      <c r="F891" t="inlineStr">
        <is>
          <t>GÄVLEBORGS LÄN</t>
        </is>
      </c>
      <c r="G891" t="inlineStr">
        <is>
          <t>GÄVLE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38331-2026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46282</v>
      </c>
      <c r="E892" s="1" t="n">
        <v>46290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32437-2026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46239</v>
      </c>
      <c r="E893" s="1" t="n">
        <v>46290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38524-2026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46283</v>
      </c>
      <c r="E894" s="1" t="n">
        <v>46290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38336-2026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46282</v>
      </c>
      <c r="E895" s="1" t="n">
        <v>46290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32436-2026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46239</v>
      </c>
      <c r="E896" s="1" t="n">
        <v>46290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38552-2026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46283</v>
      </c>
      <c r="E897" s="1" t="n">
        <v>46290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46283</v>
      </c>
      <c r="E898" s="1" t="n">
        <v>46290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20621-2025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45776</v>
      </c>
      <c r="E899" s="1" t="n">
        <v>46290</v>
      </c>
      <c r="F899" t="inlineStr">
        <is>
          <t>GÄVLEBORGS LÄN</t>
        </is>
      </c>
      <c r="G899" t="inlineStr">
        <is>
          <t>GÄVLE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38568-2026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46283</v>
      </c>
      <c r="E900" s="1" t="n">
        <v>46290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46290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38582-2026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46283</v>
      </c>
      <c r="E902" s="1" t="n">
        <v>46290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38551-2026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46283</v>
      </c>
      <c r="E903" s="1" t="n">
        <v>46290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45938-2024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45580</v>
      </c>
      <c r="E904" s="1" t="n">
        <v>46290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38334-2026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46282</v>
      </c>
      <c r="E905" s="1" t="n">
        <v>46290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46282</v>
      </c>
      <c r="E906" s="1" t="n">
        <v>46290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38333-2026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46282</v>
      </c>
      <c r="E907" s="1" t="n">
        <v>46290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38335-2026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46282</v>
      </c>
      <c r="E908" s="1" t="n">
        <v>46290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38609-2026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46283</v>
      </c>
      <c r="E909" s="1" t="n">
        <v>46290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38393-2026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46282</v>
      </c>
      <c r="E910" s="1" t="n">
        <v>46290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19.8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21431-2025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46290</v>
      </c>
      <c r="F911" t="inlineStr">
        <is>
          <t>GÄVLEBORGS LÄN</t>
        </is>
      </c>
      <c r="G911" t="inlineStr">
        <is>
          <t>GÄVLE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38586-2026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46283</v>
      </c>
      <c r="E912" s="1" t="n">
        <v>46290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38587-2026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46283</v>
      </c>
      <c r="E913" s="1" t="n">
        <v>46290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38623-2026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46283</v>
      </c>
      <c r="E914" s="1" t="n">
        <v>46290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8.5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38624-2026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46283</v>
      </c>
      <c r="E915" s="1" t="n">
        <v>46290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38653-2026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46283</v>
      </c>
      <c r="E916" s="1" t="n">
        <v>46290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38588-2026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46283</v>
      </c>
      <c r="E917" s="1" t="n">
        <v>46290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5.7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46283</v>
      </c>
      <c r="E918" s="1" t="n">
        <v>46290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38979-2026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46286</v>
      </c>
      <c r="E919" s="1" t="n">
        <v>46290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7202-2025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45702</v>
      </c>
      <c r="E920" s="1" t="n">
        <v>46290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32890-2026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46290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39031-2026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46287</v>
      </c>
      <c r="E922" s="1" t="n">
        <v>46290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59044-2023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45252</v>
      </c>
      <c r="E923" s="1" t="n">
        <v>46290</v>
      </c>
      <c r="F923" t="inlineStr">
        <is>
          <t>GÄVLEBORGS LÄN</t>
        </is>
      </c>
      <c r="G923" t="inlineStr">
        <is>
          <t>GÄVLE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39227-2026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46287</v>
      </c>
      <c r="E924" s="1" t="n">
        <v>46290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39120-2026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46287</v>
      </c>
      <c r="E925" s="1" t="n">
        <v>46290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38997-2026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46287</v>
      </c>
      <c r="E926" s="1" t="n">
        <v>46290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38952-2026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46286</v>
      </c>
      <c r="E927" s="1" t="n">
        <v>46290</v>
      </c>
      <c r="F927" t="inlineStr">
        <is>
          <t>GÄVLEBORGS LÄN</t>
        </is>
      </c>
      <c r="G927" t="inlineStr">
        <is>
          <t>GÄVLE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39083-2026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46287</v>
      </c>
      <c r="E928" s="1" t="n">
        <v>46290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32888-2026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46244</v>
      </c>
      <c r="E929" s="1" t="n">
        <v>46290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32887-2026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46244</v>
      </c>
      <c r="E930" s="1" t="n">
        <v>46290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7451-2025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45705</v>
      </c>
      <c r="E931" s="1" t="n">
        <v>46290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39021-2026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46287</v>
      </c>
      <c r="E932" s="1" t="n">
        <v>46290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23291-2025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45791</v>
      </c>
      <c r="E933" s="1" t="n">
        <v>46290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23232-2025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45791</v>
      </c>
      <c r="E934" s="1" t="n">
        <v>46290</v>
      </c>
      <c r="F934" t="inlineStr">
        <is>
          <t>GÄVLEBORGS LÄN</t>
        </is>
      </c>
      <c r="G934" t="inlineStr">
        <is>
          <t>GÄVLE</t>
        </is>
      </c>
      <c r="I934" t="n">
        <v>10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22879-2025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45790</v>
      </c>
      <c r="E935" s="1" t="n">
        <v>46290</v>
      </c>
      <c r="F935" t="inlineStr">
        <is>
          <t>GÄVLEBORGS LÄN</t>
        </is>
      </c>
      <c r="G935" t="inlineStr">
        <is>
          <t>GÄVLE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23324-2025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45791</v>
      </c>
      <c r="E936" s="1" t="n">
        <v>46290</v>
      </c>
      <c r="F936" t="inlineStr">
        <is>
          <t>GÄVLEBORGS LÄN</t>
        </is>
      </c>
      <c r="G936" t="inlineStr">
        <is>
          <t>GÄVLE</t>
        </is>
      </c>
      <c r="I936" t="n">
        <v>6.2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22923-2025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45790</v>
      </c>
      <c r="E937" s="1" t="n">
        <v>46290</v>
      </c>
      <c r="F937" t="inlineStr">
        <is>
          <t>GÄVLEBORGS LÄN</t>
        </is>
      </c>
      <c r="G937" t="inlineStr">
        <is>
          <t>GÄVLE</t>
        </is>
      </c>
      <c r="I937" t="n">
        <v>20.8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45660</v>
      </c>
      <c r="E938" s="1" t="n">
        <v>46290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33231-2026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46246</v>
      </c>
      <c r="E939" s="1" t="n">
        <v>46290</v>
      </c>
      <c r="F939" t="inlineStr">
        <is>
          <t>GÄVLEBORGS LÄN</t>
        </is>
      </c>
      <c r="G939" t="inlineStr">
        <is>
          <t>GÄVLE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33346-2026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46290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33349-2026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46246</v>
      </c>
      <c r="E941" s="1" t="n">
        <v>46290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39684-2026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46289</v>
      </c>
      <c r="E942" s="1" t="n">
        <v>46290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33348-2026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46246</v>
      </c>
      <c r="E943" s="1" t="n">
        <v>46290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33350-2026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46246</v>
      </c>
      <c r="E944" s="1" t="n">
        <v>46290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24228-2025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45797</v>
      </c>
      <c r="E945" s="1" t="n">
        <v>46290</v>
      </c>
      <c r="F945" t="inlineStr">
        <is>
          <t>GÄVLEBORGS LÄN</t>
        </is>
      </c>
      <c r="G945" t="inlineStr">
        <is>
          <t>GÄVLE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55878-2024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45623</v>
      </c>
      <c r="E946" s="1" t="n">
        <v>46290</v>
      </c>
      <c r="F946" t="inlineStr">
        <is>
          <t>GÄVLEBORGS LÄN</t>
        </is>
      </c>
      <c r="G946" t="inlineStr">
        <is>
          <t>GÄVLE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48913-2024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45594</v>
      </c>
      <c r="E947" s="1" t="n">
        <v>46290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24225-2025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45797</v>
      </c>
      <c r="E948" s="1" t="n">
        <v>46290</v>
      </c>
      <c r="F948" t="inlineStr">
        <is>
          <t>GÄVLEBORGS LÄN</t>
        </is>
      </c>
      <c r="G948" t="inlineStr">
        <is>
          <t>GÄVLE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39685-2026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46289</v>
      </c>
      <c r="E949" s="1" t="n">
        <v>46290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58373-2024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45632</v>
      </c>
      <c r="E950" s="1" t="n">
        <v>46290</v>
      </c>
      <c r="F950" t="inlineStr">
        <is>
          <t>GÄVLEBORGS LÄN</t>
        </is>
      </c>
      <c r="G950" t="inlineStr">
        <is>
          <t>GÄVLE</t>
        </is>
      </c>
      <c r="I950" t="n">
        <v>13.1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31367-2024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45505</v>
      </c>
      <c r="E951" s="1" t="n">
        <v>46290</v>
      </c>
      <c r="F951" t="inlineStr">
        <is>
          <t>GÄVLEBORGS LÄN</t>
        </is>
      </c>
      <c r="G951" t="inlineStr">
        <is>
          <t>GÄVLE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24614-2025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45798</v>
      </c>
      <c r="E952" s="1" t="n">
        <v>46290</v>
      </c>
      <c r="F952" t="inlineStr">
        <is>
          <t>GÄVLEBORGS LÄN</t>
        </is>
      </c>
      <c r="G952" t="inlineStr">
        <is>
          <t>GÄVLE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39534-2026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46289</v>
      </c>
      <c r="E953" s="1" t="n">
        <v>46290</v>
      </c>
      <c r="F953" t="inlineStr">
        <is>
          <t>GÄVLEBORGS LÄN</t>
        </is>
      </c>
      <c r="G953" t="inlineStr">
        <is>
          <t>GÄVLE</t>
        </is>
      </c>
      <c r="I953" t="n">
        <v>7.1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33265-2026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46246</v>
      </c>
      <c r="E954" s="1" t="n">
        <v>46290</v>
      </c>
      <c r="F954" t="inlineStr">
        <is>
          <t>GÄVLEBORGS LÄN</t>
        </is>
      </c>
      <c r="G954" t="inlineStr">
        <is>
          <t>GÄVLE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33347-2026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46246</v>
      </c>
      <c r="E955" s="1" t="n">
        <v>46290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4.2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39437-2026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46288</v>
      </c>
      <c r="E956" s="1" t="n">
        <v>46290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26564-2022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44739</v>
      </c>
      <c r="E957" s="1" t="n">
        <v>46290</v>
      </c>
      <c r="F957" t="inlineStr">
        <is>
          <t>GÄVLEBORGS LÄN</t>
        </is>
      </c>
      <c r="G957" t="inlineStr">
        <is>
          <t>GÄVLE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25878-2025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45804</v>
      </c>
      <c r="E958" s="1" t="n">
        <v>46290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27666-2025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45813</v>
      </c>
      <c r="E959" s="1" t="n">
        <v>46290</v>
      </c>
      <c r="F959" t="inlineStr">
        <is>
          <t>GÄVLEBORGS LÄN</t>
        </is>
      </c>
      <c r="G959" t="inlineStr">
        <is>
          <t>GÄVLE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27611-2025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45813</v>
      </c>
      <c r="E960" s="1" t="n">
        <v>46290</v>
      </c>
      <c r="F960" t="inlineStr">
        <is>
          <t>GÄVLEBORGS LÄN</t>
        </is>
      </c>
      <c r="G960" t="inlineStr">
        <is>
          <t>GÄVLE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28009-2025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45817</v>
      </c>
      <c r="E961" s="1" t="n">
        <v>46290</v>
      </c>
      <c r="F961" t="inlineStr">
        <is>
          <t>GÄVLEBORGS LÄN</t>
        </is>
      </c>
      <c r="G961" t="inlineStr">
        <is>
          <t>GÄVLE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28481-2025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45819</v>
      </c>
      <c r="E962" s="1" t="n">
        <v>46290</v>
      </c>
      <c r="F962" t="inlineStr">
        <is>
          <t>GÄVLEBORGS LÄN</t>
        </is>
      </c>
      <c r="G962" t="inlineStr">
        <is>
          <t>GÄVLE</t>
        </is>
      </c>
      <c r="I962" t="n">
        <v>13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28624-2025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45819</v>
      </c>
      <c r="E963" s="1" t="n">
        <v>46290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30301-2025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45827</v>
      </c>
      <c r="E964" s="1" t="n">
        <v>46290</v>
      </c>
      <c r="F964" t="inlineStr">
        <is>
          <t>GÄVLEBORGS LÄN</t>
        </is>
      </c>
      <c r="G964" t="inlineStr">
        <is>
          <t>GÄVLE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30202-2025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45827</v>
      </c>
      <c r="E965" s="1" t="n">
        <v>46290</v>
      </c>
      <c r="F965" t="inlineStr">
        <is>
          <t>GÄVLEBORGS LÄN</t>
        </is>
      </c>
      <c r="G965" t="inlineStr">
        <is>
          <t>GÄVLE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14563-2025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46290</v>
      </c>
      <c r="F966" t="inlineStr">
        <is>
          <t>GÄVLEBORGS LÄN</t>
        </is>
      </c>
      <c r="G966" t="inlineStr">
        <is>
          <t>GÄVLE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30300-2025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45827</v>
      </c>
      <c r="E967" s="1" t="n">
        <v>46290</v>
      </c>
      <c r="F967" t="inlineStr">
        <is>
          <t>GÄVLEBORGS LÄN</t>
        </is>
      </c>
      <c r="G967" t="inlineStr">
        <is>
          <t>GÄVLE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30304-2025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45827</v>
      </c>
      <c r="E968" s="1" t="n">
        <v>46290</v>
      </c>
      <c r="F968" t="inlineStr">
        <is>
          <t>GÄVLEBORGS LÄN</t>
        </is>
      </c>
      <c r="G968" t="inlineStr">
        <is>
          <t>GÄVLE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30915-2025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45832</v>
      </c>
      <c r="E969" s="1" t="n">
        <v>46290</v>
      </c>
      <c r="F969" t="inlineStr">
        <is>
          <t>GÄVLEBORGS LÄN</t>
        </is>
      </c>
      <c r="G969" t="inlineStr">
        <is>
          <t>GÄVLE</t>
        </is>
      </c>
      <c r="I969" t="n">
        <v>3.3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31920-2025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45834</v>
      </c>
      <c r="E970" s="1" t="n">
        <v>46290</v>
      </c>
      <c r="F970" t="inlineStr">
        <is>
          <t>GÄVLEBORGS LÄN</t>
        </is>
      </c>
      <c r="G970" t="inlineStr">
        <is>
          <t>GÄVLE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32022-2025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45835</v>
      </c>
      <c r="E971" s="1" t="n">
        <v>46290</v>
      </c>
      <c r="F971" t="inlineStr">
        <is>
          <t>GÄVLEBORGS LÄN</t>
        </is>
      </c>
      <c r="G971" t="inlineStr">
        <is>
          <t>GÄVLE</t>
        </is>
      </c>
      <c r="I971" t="n">
        <v>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21978-2025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45784</v>
      </c>
      <c r="E972" s="1" t="n">
        <v>46290</v>
      </c>
      <c r="F972" t="inlineStr">
        <is>
          <t>GÄVLEBORGS LÄN</t>
        </is>
      </c>
      <c r="G972" t="inlineStr">
        <is>
          <t>GÄVLE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34116-2025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45845</v>
      </c>
      <c r="E973" s="1" t="n">
        <v>46290</v>
      </c>
      <c r="F973" t="inlineStr">
        <is>
          <t>GÄVLEBORGS LÄN</t>
        </is>
      </c>
      <c r="G973" t="inlineStr">
        <is>
          <t>GÄVLE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34113-2025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45845</v>
      </c>
      <c r="E974" s="1" t="n">
        <v>46290</v>
      </c>
      <c r="F974" t="inlineStr">
        <is>
          <t>GÄVLEBORGS LÄN</t>
        </is>
      </c>
      <c r="G974" t="inlineStr">
        <is>
          <t>GÄVLE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34725-2025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45848</v>
      </c>
      <c r="E975" s="1" t="n">
        <v>46290</v>
      </c>
      <c r="F975" t="inlineStr">
        <is>
          <t>GÄVLEBORGS LÄN</t>
        </is>
      </c>
      <c r="G975" t="inlineStr">
        <is>
          <t>GÄVLE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34722-2025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45848</v>
      </c>
      <c r="E976" s="1" t="n">
        <v>46290</v>
      </c>
      <c r="F976" t="inlineStr">
        <is>
          <t>GÄVLEBORGS LÄN</t>
        </is>
      </c>
      <c r="G976" t="inlineStr">
        <is>
          <t>GÄVLE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37253-2024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45540</v>
      </c>
      <c r="E977" s="1" t="n">
        <v>46290</v>
      </c>
      <c r="F977" t="inlineStr">
        <is>
          <t>GÄVLEBORGS LÄN</t>
        </is>
      </c>
      <c r="G977" t="inlineStr">
        <is>
          <t>GÄVLE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35337-2025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45854</v>
      </c>
      <c r="E978" s="1" t="n">
        <v>46290</v>
      </c>
      <c r="F978" t="inlineStr">
        <is>
          <t>GÄVLEBORGS LÄN</t>
        </is>
      </c>
      <c r="G978" t="inlineStr">
        <is>
          <t>GÄVLE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35650-2025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45859</v>
      </c>
      <c r="E979" s="1" t="n">
        <v>46290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väst AB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35878-2025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45862</v>
      </c>
      <c r="E980" s="1" t="n">
        <v>46290</v>
      </c>
      <c r="F980" t="inlineStr">
        <is>
          <t>GÄVLEBORGS LÄN</t>
        </is>
      </c>
      <c r="G980" t="inlineStr">
        <is>
          <t>GÄVLE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35938-2025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45862</v>
      </c>
      <c r="E981" s="1" t="n">
        <v>46290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35919-2025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45862</v>
      </c>
      <c r="E982" s="1" t="n">
        <v>46290</v>
      </c>
      <c r="F982" t="inlineStr">
        <is>
          <t>GÄVLEBORGS LÄN</t>
        </is>
      </c>
      <c r="G982" t="inlineStr">
        <is>
          <t>GÄVLE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36106-2025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45866</v>
      </c>
      <c r="E983" s="1" t="n">
        <v>46290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36255-2025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45867</v>
      </c>
      <c r="E984" s="1" t="n">
        <v>46290</v>
      </c>
      <c r="F984" t="inlineStr">
        <is>
          <t>GÄVLEBORGS LÄN</t>
        </is>
      </c>
      <c r="G984" t="inlineStr">
        <is>
          <t>GÄVLE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3425-2023</t>
        </is>
      </c>
      <c r="B985" t="inlineStr">
        <is>
          <t>samrådsanmälan</t>
        </is>
      </c>
      <c r="C985" t="inlineStr">
        <is>
          <t>Annan skogsbruksåtgärd</t>
        </is>
      </c>
      <c r="D985" s="1" t="n">
        <v>45205</v>
      </c>
      <c r="E985" s="1" t="n">
        <v>46290</v>
      </c>
      <c r="F985" t="inlineStr">
        <is>
          <t>GÄVLEBORGS LÄN</t>
        </is>
      </c>
      <c r="G985" t="inlineStr">
        <is>
          <t>GÄVLE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HYPERLINK("https://klasma.github.io/Logging_2180/knärot/S 3425-2023 karta knärot.png", "S 3425-2023")</f>
        <v/>
      </c>
      <c r="AA985">
        <f>HYPERLINK("https://klasma.github.io/Logging_2180/klagomål/S 3425-2023 FSC-klagomål.docx", "S 3425-2023")</f>
        <v/>
      </c>
      <c r="AB985">
        <f>HYPERLINK("https://klasma.github.io/Logging_2180/klagomålsmail/S 3425-2023 FSC-klagomål mail.docx", "S 3425-2023")</f>
        <v/>
      </c>
      <c r="AC985">
        <f>HYPERLINK("https://klasma.github.io/Logging_2180/tillsyn/S 3425-2023 tillsynsbegäran.docx", "S 3425-2023")</f>
        <v/>
      </c>
      <c r="AD985">
        <f>HYPERLINK("https://klasma.github.io/Logging_2180/tillsynsmail/S 3425-2023 tillsynsbegäran mail.docx", "S 3425-2023")</f>
        <v/>
      </c>
    </row>
    <row r="986" ht="15" customHeight="1">
      <c r="A986" t="inlineStr">
        <is>
          <t>S 889-2023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44995</v>
      </c>
      <c r="E986" s="1" t="n">
        <v>46290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886-2024</t>
        </is>
      </c>
      <c r="B987" t="inlineStr">
        <is>
          <t>samrådsanmälan</t>
        </is>
      </c>
      <c r="C987" t="inlineStr">
        <is>
          <t>Annan skogsbruksåtgärd</t>
        </is>
      </c>
      <c r="D987" s="1" t="n">
        <v>45376</v>
      </c>
      <c r="E987" s="1" t="n">
        <v>46290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S 2464-2024</t>
        </is>
      </c>
      <c r="B988" t="inlineStr">
        <is>
          <t>samrådsanmälan</t>
        </is>
      </c>
      <c r="C988" t="inlineStr">
        <is>
          <t>Skogsbilväg</t>
        </is>
      </c>
      <c r="D988" s="1" t="n">
        <v>45470</v>
      </c>
      <c r="E988" s="1" t="n">
        <v>46290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>
      <c r="A989" t="inlineStr">
        <is>
          <t>S 644-2026</t>
        </is>
      </c>
      <c r="B989" t="inlineStr">
        <is>
          <t>samrådsanmälan</t>
        </is>
      </c>
      <c r="C989" t="inlineStr">
        <is>
          <t>Skogsgödsling</t>
        </is>
      </c>
      <c r="D989" s="1" t="n">
        <v>46089</v>
      </c>
      <c r="E989" s="1" t="n">
        <v>46290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29.2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2026-09-25T02:05:39Z</dcterms:created>
  <dcterms:modified xmlns:dcterms="http://purl.org/dc/terms/" xmlns:xsi="http://www.w3.org/2001/XMLSchema-instance" xsi:type="dcterms:W3CDTF">2026-09-25T02:05:40Z</dcterms:modified>
</cp:coreProperties>
</file>