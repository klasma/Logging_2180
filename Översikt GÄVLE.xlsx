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46276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46276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46276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46276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46276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46276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46276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46276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46276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46276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46276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46276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46276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46276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46276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46276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46276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46276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46276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46276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46276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46276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46276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46276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46276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46276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46276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46276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46276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46276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46276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46276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46276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46276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46276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46276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46276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46276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46276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46276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46276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46276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46276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46276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t="n">
        <v>0</v>
      </c>
      <c r="V53" s="2" t="inlineStr">
        <is>
          <t>Väddnätfjäril
Sotnätfjäril</t>
        </is>
      </c>
      <c r="W53">
        <f>HYPERLINK("https://klasma.github.io/Logging_2180/artfynd/A 14554-2026 artfynd.xlsx", "A 14554-2026")</f>
        <v/>
      </c>
      <c r="X53">
        <f>HYPERLINK("https://klasma.github.io/Logging_2180/kartor/A 14554-2026 karta.png", "A 14554-2026")</f>
        <v/>
      </c>
      <c r="Y53">
        <f>HYPERLINK("https://klasma.github.io/Logging_2180/kartor_geotiff/A 14554-2026 georefererad karta.tif", "A 14554-2026")</f>
        <v/>
      </c>
      <c r="AA53">
        <f>HYPERLINK("https://klasma.github.io/Logging_2180/klagomål/A 14554-2026 FSC-klagomål.docx", "A 14554-2026")</f>
        <v/>
      </c>
      <c r="AB53">
        <f>HYPERLINK("https://klasma.github.io/Logging_2180/klagomålsmail/A 14554-2026 FSC-klagomål mail.docx", "A 14554-2026")</f>
        <v/>
      </c>
      <c r="AC53">
        <f>HYPERLINK("https://klasma.github.io/Logging_2180/tillsyn/A 14554-2026 tillsynsbegäran.docx", "A 14554-2026")</f>
        <v/>
      </c>
      <c r="AD53">
        <f>HYPERLINK("https://klasma.github.io/Logging_2180/tillsynsmail/A 14554-2026 tillsynsbegäran mail.docx", "A 14554-2026")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46276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46276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46276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13487-2026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46276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0.6</v>
      </c>
      <c r="J57" t="n">
        <v>2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Pärluggla
Sparvuggla</t>
        </is>
      </c>
      <c r="W57">
        <f>HYPERLINK("https://klasma.github.io/Logging_2180/artfynd/A 13487-2026 artfynd.xlsx", "A 13487-2026")</f>
        <v/>
      </c>
      <c r="X57">
        <f>HYPERLINK("https://klasma.github.io/Logging_2180/kartor/A 13487-2026 karta.png", "A 13487-2026")</f>
        <v/>
      </c>
      <c r="Y57">
        <f>HYPERLINK("https://klasma.github.io/Logging_2180/kartor_geotiff/A 13487-2026 georefererad karta.tif", "A 13487-2026")</f>
        <v/>
      </c>
      <c r="AA57">
        <f>HYPERLINK("https://klasma.github.io/Logging_2180/klagomål/A 13487-2026 FSC-klagomål.docx", "A 13487-2026")</f>
        <v/>
      </c>
      <c r="AB57">
        <f>HYPERLINK("https://klasma.github.io/Logging_2180/klagomålsmail/A 13487-2026 FSC-klagomål mail.docx", "A 13487-2026")</f>
        <v/>
      </c>
      <c r="AC57">
        <f>HYPERLINK("https://klasma.github.io/Logging_2180/tillsyn/A 13487-2026 tillsynsbegäran.docx", "A 13487-2026")</f>
        <v/>
      </c>
      <c r="AD57">
        <f>HYPERLINK("https://klasma.github.io/Logging_2180/tillsynsmail/A 13487-2026 tillsynsbegäran mail.docx", "A 13487-2026")</f>
        <v/>
      </c>
      <c r="AE57">
        <f>HYPERLINK("https://klasma.github.io/Logging_2180/fåglar/A 13487-2026 prioriterade fågelarter.docx", "A 13487-2026")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46276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46276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13248-2026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46276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Fläcknycklar</t>
        </is>
      </c>
      <c r="W60">
        <f>HYPERLINK("https://klasma.github.io/Logging_2180/artfynd/A 13248-2026 artfynd.xlsx", "A 13248-2026")</f>
        <v/>
      </c>
      <c r="X60">
        <f>HYPERLINK("https://klasma.github.io/Logging_2180/kartor/A 13248-2026 karta.png", "A 13248-2026")</f>
        <v/>
      </c>
      <c r="Y60">
        <f>HYPERLINK("https://klasma.github.io/Logging_2180/kartor_geotiff/A 13248-2026 georefererad karta.tif", "A 13248-2026")</f>
        <v/>
      </c>
      <c r="AA60">
        <f>HYPERLINK("https://klasma.github.io/Logging_2180/klagomål/A 13248-2026 FSC-klagomål.docx", "A 13248-2026")</f>
        <v/>
      </c>
      <c r="AB60">
        <f>HYPERLINK("https://klasma.github.io/Logging_2180/klagomålsmail/A 13248-2026 FSC-klagomål mail.docx", "A 13248-2026")</f>
        <v/>
      </c>
      <c r="AC60">
        <f>HYPERLINK("https://klasma.github.io/Logging_2180/tillsyn/A 13248-2026 tillsynsbegäran.docx", "A 13248-2026")</f>
        <v/>
      </c>
      <c r="AD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46276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10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Rödvingetrast
Nattskärra</t>
        </is>
      </c>
      <c r="W61">
        <f>HYPERLINK("https://klasma.github.io/Logging_2180/artfynd/A 19718-2026 artfynd.xlsx", "A 19718-2026")</f>
        <v/>
      </c>
      <c r="X61">
        <f>HYPERLINK("https://klasma.github.io/Logging_2180/kartor/A 19718-2026 karta.png", "A 19718-2026")</f>
        <v/>
      </c>
      <c r="Y61">
        <f>HYPERLINK("https://klasma.github.io/Logging_2180/kartor_geotiff/A 19718-2026 georefererad karta.tif", "A 19718-2026")</f>
        <v/>
      </c>
      <c r="AA61">
        <f>HYPERLINK("https://klasma.github.io/Logging_2180/klagomål/A 19718-2026 FSC-klagomål.docx", "A 19718-2026")</f>
        <v/>
      </c>
      <c r="AB61">
        <f>HYPERLINK("https://klasma.github.io/Logging_2180/klagomålsmail/A 19718-2026 FSC-klagomål mail.docx", "A 19718-2026")</f>
        <v/>
      </c>
      <c r="AC61">
        <f>HYPERLINK("https://klasma.github.io/Logging_2180/tillsyn/A 19718-2026 tillsynsbegäran.docx", "A 19718-2026")</f>
        <v/>
      </c>
      <c r="AD61">
        <f>HYPERLINK("https://klasma.github.io/Logging_2180/tillsynsmail/A 19718-2026 tillsynsbegäran mail.docx", "A 19718-2026")</f>
        <v/>
      </c>
      <c r="AE61">
        <f>HYPERLINK("https://klasma.github.io/Logging_2180/fåglar/A 19718-2026 prioriterade fågelarter.docx", "A 19718-2026")</f>
        <v/>
      </c>
    </row>
    <row r="62" ht="15" customHeight="1">
      <c r="A62" t="inlineStr">
        <is>
          <t>A 6473-2024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45338</v>
      </c>
      <c r="E62" s="1" t="n">
        <v>46276</v>
      </c>
      <c r="F62" t="inlineStr">
        <is>
          <t>GÄVLEBORGS LÄN</t>
        </is>
      </c>
      <c r="G62" t="inlineStr">
        <is>
          <t>GÄVLE</t>
        </is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Tibast
Nattviol</t>
        </is>
      </c>
      <c r="W62">
        <f>HYPERLINK("https://klasma.github.io/Logging_2180/artfynd/A 6473-2024 artfynd.xlsx", "A 6473-2024")</f>
        <v/>
      </c>
      <c r="X62">
        <f>HYPERLINK("https://klasma.github.io/Logging_2180/kartor/A 6473-2024 karta.png", "A 6473-2024")</f>
        <v/>
      </c>
      <c r="Y62">
        <f>HYPERLINK("https://klasma.github.io/Logging_2180/kartor_geotiff/A 6473-2024 georefererad karta.tif", "A 6473-2024")</f>
        <v/>
      </c>
      <c r="AA62">
        <f>HYPERLINK("https://klasma.github.io/Logging_2180/klagomål/A 6473-2024 FSC-klagomål.docx", "A 6473-2024")</f>
        <v/>
      </c>
      <c r="AB62">
        <f>HYPERLINK("https://klasma.github.io/Logging_2180/klagomålsmail/A 6473-2024 FSC-klagomål mail.docx", "A 6473-2024")</f>
        <v/>
      </c>
      <c r="AC62">
        <f>HYPERLINK("https://klasma.github.io/Logging_2180/tillsyn/A 6473-2024 tillsynsbegäran.docx", "A 6473-2024")</f>
        <v/>
      </c>
      <c r="AD62">
        <f>HYPERLINK("https://klasma.github.io/Logging_2180/tillsynsmail/A 6473-2024 tillsynsbegäran mail.docx", "A 6473-2024")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46276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Grön sköldmossa
Tjäder</t>
        </is>
      </c>
      <c r="W63">
        <f>HYPERLINK("https://klasma.github.io/Logging_2180/artfynd/A 20323-2026 artfynd.xlsx", "A 20323-2026")</f>
        <v/>
      </c>
      <c r="X63">
        <f>HYPERLINK("https://klasma.github.io/Logging_2180/kartor/A 20323-2026 karta.png", "A 20323-2026")</f>
        <v/>
      </c>
      <c r="Y63">
        <f>HYPERLINK("https://klasma.github.io/Logging_2180/kartor_geotiff/A 20323-2026 georefererad karta.tif", "A 20323-2026")</f>
        <v/>
      </c>
      <c r="AA63">
        <f>HYPERLINK("https://klasma.github.io/Logging_2180/klagomål/A 20323-2026 FSC-klagomål.docx", "A 20323-2026")</f>
        <v/>
      </c>
      <c r="AB63">
        <f>HYPERLINK("https://klasma.github.io/Logging_2180/klagomålsmail/A 20323-2026 FSC-klagomål mail.docx", "A 20323-2026")</f>
        <v/>
      </c>
      <c r="AC63">
        <f>HYPERLINK("https://klasma.github.io/Logging_2180/tillsyn/A 20323-2026 tillsynsbegäran.docx", "A 20323-2026")</f>
        <v/>
      </c>
      <c r="AD63">
        <f>HYPERLINK("https://klasma.github.io/Logging_2180/tillsynsmail/A 20323-2026 tillsynsbegäran mail.docx", "A 20323-2026")</f>
        <v/>
      </c>
      <c r="AE63">
        <f>HYPERLINK("https://klasma.github.io/Logging_2180/fåglar/A 20323-2026 prioriterade fågelarter.docx", "A 20323-2026")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46276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46276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46276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Vedtrappmossa
Rödgul trumpetsvamp</t>
        </is>
      </c>
      <c r="W66">
        <f>HYPERLINK("https://klasma.github.io/Logging_2180/artfynd/A 22149-2026 artfynd.xlsx", "A 22149-2026")</f>
        <v/>
      </c>
      <c r="X66">
        <f>HYPERLINK("https://klasma.github.io/Logging_2180/kartor/A 22149-2026 karta.png", "A 22149-2026")</f>
        <v/>
      </c>
      <c r="Y66">
        <f>HYPERLINK("https://klasma.github.io/Logging_2180/kartor_geotiff/A 22149-2026 georefererad karta.tif", "A 22149-2026")</f>
        <v/>
      </c>
      <c r="AA66">
        <f>HYPERLINK("https://klasma.github.io/Logging_2180/klagomål/A 22149-2026 FSC-klagomål.docx", "A 22149-2026")</f>
        <v/>
      </c>
      <c r="AB66">
        <f>HYPERLINK("https://klasma.github.io/Logging_2180/klagomålsmail/A 22149-2026 FSC-klagomål mail.docx", "A 22149-2026")</f>
        <v/>
      </c>
      <c r="AC66">
        <f>HYPERLINK("https://klasma.github.io/Logging_2180/tillsyn/A 22149-2026 tillsynsbegäran.docx", "A 22149-2026")</f>
        <v/>
      </c>
      <c r="AD66">
        <f>HYPERLINK("https://klasma.github.io/Logging_2180/tillsynsmail/A 22149-2026 tillsynsbegäran mail.docx", "A 22149-2026")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46276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46276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24915-2026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46276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24915-2026 artfynd.xlsx", "A 24915-2026")</f>
        <v/>
      </c>
      <c r="X69">
        <f>HYPERLINK("https://klasma.github.io/Logging_2180/kartor/A 24915-2026 karta.png", "A 24915-2026")</f>
        <v/>
      </c>
      <c r="Y69">
        <f>HYPERLINK("https://klasma.github.io/Logging_2180/kartor_geotiff/A 24915-2026 georefererad karta.tif", "A 24915-2026")</f>
        <v/>
      </c>
      <c r="AA69">
        <f>HYPERLINK("https://klasma.github.io/Logging_2180/klagomål/A 24915-2026 FSC-klagomål.docx", "A 24915-2026")</f>
        <v/>
      </c>
      <c r="AB69">
        <f>HYPERLINK("https://klasma.github.io/Logging_2180/klagomålsmail/A 24915-2026 FSC-klagomål mail.docx", "A 24915-2026")</f>
        <v/>
      </c>
      <c r="AC69">
        <f>HYPERLINK("https://klasma.github.io/Logging_2180/tillsyn/A 24915-2026 tillsynsbegäran.docx", "A 24915-2026")</f>
        <v/>
      </c>
      <c r="AD69">
        <f>HYPERLINK("https://klasma.github.io/Logging_2180/tillsynsmail/A 24915-2026 tillsynsbegäran mail.docx", "A 24915-2026")</f>
        <v/>
      </c>
    </row>
    <row r="70" ht="15" customHeight="1">
      <c r="A70" t="inlineStr">
        <is>
          <t>A 27045-2026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46276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27045-2026 artfynd.xlsx", "A 27045-2026")</f>
        <v/>
      </c>
      <c r="X70">
        <f>HYPERLINK("https://klasma.github.io/Logging_2180/kartor/A 27045-2026 karta.png", "A 27045-2026")</f>
        <v/>
      </c>
      <c r="Y70">
        <f>HYPERLINK("https://klasma.github.io/Logging_2180/kartor_geotiff/A 27045-2026 georefererad karta.tif", "A 27045-2026")</f>
        <v/>
      </c>
      <c r="AA70">
        <f>HYPERLINK("https://klasma.github.io/Logging_2180/klagomål/A 27045-2026 FSC-klagomål.docx", "A 27045-2026")</f>
        <v/>
      </c>
      <c r="AB70">
        <f>HYPERLINK("https://klasma.github.io/Logging_2180/klagomålsmail/A 27045-2026 FSC-klagomål mail.docx", "A 27045-2026")</f>
        <v/>
      </c>
      <c r="AC70">
        <f>HYPERLINK("https://klasma.github.io/Logging_2180/tillsyn/A 27045-2026 tillsynsbegäran.docx", "A 27045-2026")</f>
        <v/>
      </c>
      <c r="AD70">
        <f>HYPERLINK("https://klasma.github.io/Logging_2180/tillsynsmail/A 27045-2026 tillsynsbegäran mail.docx", "A 27045-2026")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46276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46276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34434-2026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46276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7.7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Grönsångare
Vätteros</t>
        </is>
      </c>
      <c r="W73">
        <f>HYPERLINK("https://klasma.github.io/Logging_2180/artfynd/A 34434-2026 artfynd.xlsx", "A 34434-2026")</f>
        <v/>
      </c>
      <c r="X73">
        <f>HYPERLINK("https://klasma.github.io/Logging_2180/kartor/A 34434-2026 karta.png", "A 34434-2026")</f>
        <v/>
      </c>
      <c r="Y73">
        <f>HYPERLINK("https://klasma.github.io/Logging_2180/kartor_geotiff/A 34434-2026 georefererad karta.tif", "A 34434-2026")</f>
        <v/>
      </c>
      <c r="AA73">
        <f>HYPERLINK("https://klasma.github.io/Logging_2180/klagomål/A 34434-2026 FSC-klagomål.docx", "A 34434-2026")</f>
        <v/>
      </c>
      <c r="AB73">
        <f>HYPERLINK("https://klasma.github.io/Logging_2180/klagomålsmail/A 34434-2026 FSC-klagomål mail.docx", "A 34434-2026")</f>
        <v/>
      </c>
      <c r="AC73">
        <f>HYPERLINK("https://klasma.github.io/Logging_2180/tillsyn/A 34434-2026 tillsynsbegäran.docx", "A 34434-2026")</f>
        <v/>
      </c>
      <c r="AD73">
        <f>HYPERLINK("https://klasma.github.io/Logging_2180/tillsynsmail/A 34434-2026 tillsynsbegäran mail.docx", "A 34434-2026")</f>
        <v/>
      </c>
      <c r="AE73">
        <f>HYPERLINK("https://klasma.github.io/Logging_2180/fåglar/A 34434-2026 prioriterade fågelarter.docx", "A 34434-2026")</f>
        <v/>
      </c>
    </row>
    <row r="74" ht="15" customHeight="1">
      <c r="A74" t="inlineStr">
        <is>
          <t>A 35989-2024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46276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3.1</v>
      </c>
      <c r="J74" t="n">
        <v>1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Jättesvampmal</t>
        </is>
      </c>
      <c r="W74">
        <f>HYPERLINK("https://klasma.github.io/Logging_2180/artfynd/A 35989-2024 artfynd.xlsx", "A 35989-2024")</f>
        <v/>
      </c>
      <c r="X74">
        <f>HYPERLINK("https://klasma.github.io/Logging_2180/kartor/A 35989-2024 karta.png", "A 35989-2024")</f>
        <v/>
      </c>
      <c r="Y74">
        <f>HYPERLINK("https://klasma.github.io/Logging_2180/kartor_geotiff/A 35989-2024 georefererad karta.tif", "A 35989-2024")</f>
        <v/>
      </c>
      <c r="Z74">
        <f>HYPERLINK("https://klasma.github.io/Logging_2180/knärot/A 35989-2024 karta knärot.png", "A 35989-2024")</f>
        <v/>
      </c>
      <c r="AA74">
        <f>HYPERLINK("https://klasma.github.io/Logging_2180/klagomål/A 35989-2024 FSC-klagomål.docx", "A 35989-2024")</f>
        <v/>
      </c>
      <c r="AB74">
        <f>HYPERLINK("https://klasma.github.io/Logging_2180/klagomålsmail/A 35989-2024 FSC-klagomål mail.docx", "A 35989-2024")</f>
        <v/>
      </c>
      <c r="AC74">
        <f>HYPERLINK("https://klasma.github.io/Logging_2180/tillsyn/A 35989-2024 tillsynsbegäran.docx", "A 35989-2024")</f>
        <v/>
      </c>
      <c r="AD74">
        <f>HYPERLINK("https://klasma.github.io/Logging_2180/tillsynsmail/A 35989-2024 tillsynsbegäran mail.docx", "A 35989-2024")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46276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46276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46276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5409-2023 artfynd.xlsx", "A 5409-2023")</f>
        <v/>
      </c>
      <c r="X78">
        <f>HYPERLINK("https://klasma.github.io/Logging_2180/kartor/A 5409-2023 karta.png", "A 5409-2023")</f>
        <v/>
      </c>
      <c r="Y78">
        <f>HYPERLINK("https://klasma.github.io/Logging_2180/kartor_geotiff/A 5409-2023 georefererad karta.tif", "A 5409-2023")</f>
        <v/>
      </c>
      <c r="AA78">
        <f>HYPERLINK("https://klasma.github.io/Logging_2180/klagomål/A 5409-2023 FSC-klagomål.docx", "A 5409-2023")</f>
        <v/>
      </c>
      <c r="AB78">
        <f>HYPERLINK("https://klasma.github.io/Logging_2180/klagomålsmail/A 5409-2023 FSC-klagomål mail.docx", "A 5409-2023")</f>
        <v/>
      </c>
      <c r="AC78">
        <f>HYPERLINK("https://klasma.github.io/Logging_2180/tillsyn/A 5409-2023 tillsynsbegäran.docx", "A 5409-2023")</f>
        <v/>
      </c>
      <c r="AD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46276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5415-2023 artfynd.xlsx", "A 5415-2023")</f>
        <v/>
      </c>
      <c r="X79">
        <f>HYPERLINK("https://klasma.github.io/Logging_2180/kartor/A 5415-2023 karta.png", "A 5415-2023")</f>
        <v/>
      </c>
      <c r="Y79">
        <f>HYPERLINK("https://klasma.github.io/Logging_2180/kartor_geotiff/A 5415-2023 georefererad karta.tif", "A 5415-2023")</f>
        <v/>
      </c>
      <c r="AA79">
        <f>HYPERLINK("https://klasma.github.io/Logging_2180/klagomål/A 5415-2023 FSC-klagomål.docx", "A 5415-2023")</f>
        <v/>
      </c>
      <c r="AB79">
        <f>HYPERLINK("https://klasma.github.io/Logging_2180/klagomålsmail/A 5415-2023 FSC-klagomål mail.docx", "A 5415-2023")</f>
        <v/>
      </c>
      <c r="AC79">
        <f>HYPERLINK("https://klasma.github.io/Logging_2180/tillsyn/A 5415-2023 tillsynsbegäran.docx", "A 5415-2023")</f>
        <v/>
      </c>
      <c r="AD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46276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35225-2024 artfynd.xlsx", "A 35225-2024")</f>
        <v/>
      </c>
      <c r="X80">
        <f>HYPERLINK("https://klasma.github.io/Logging_2180/kartor/A 35225-2024 karta.png", "A 35225-2024")</f>
        <v/>
      </c>
      <c r="Y80">
        <f>HYPERLINK("https://klasma.github.io/Logging_2180/kartor_geotiff/A 35225-2024 georefererad karta.tif", "A 35225-2024")</f>
        <v/>
      </c>
      <c r="AA80">
        <f>HYPERLINK("https://klasma.github.io/Logging_2180/klagomål/A 35225-2024 FSC-klagomål.docx", "A 35225-2024")</f>
        <v/>
      </c>
      <c r="AB80">
        <f>HYPERLINK("https://klasma.github.io/Logging_2180/klagomålsmail/A 35225-2024 FSC-klagomål mail.docx", "A 35225-2024")</f>
        <v/>
      </c>
      <c r="AC80">
        <f>HYPERLINK("https://klasma.github.io/Logging_2180/tillsyn/A 35225-2024 tillsynsbegäran.docx", "A 35225-2024")</f>
        <v/>
      </c>
      <c r="AD80">
        <f>HYPERLINK("https://klasma.github.io/Logging_2180/tillsynsmail/A 35225-2024 tillsynsbegäran mail.docx", "A 35225-2024")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46276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Ängsblåvinge</t>
        </is>
      </c>
      <c r="W81">
        <f>HYPERLINK("https://klasma.github.io/Logging_2180/artfynd/A 15001-2023 artfynd.xlsx", "A 15001-2023")</f>
        <v/>
      </c>
      <c r="X81">
        <f>HYPERLINK("https://klasma.github.io/Logging_2180/kartor/A 15001-2023 karta.png", "A 15001-2023")</f>
        <v/>
      </c>
      <c r="Y81">
        <f>HYPERLINK("https://klasma.github.io/Logging_2180/kartor_geotiff/A 15001-2023 georefererad karta.tif", "A 15001-2023")</f>
        <v/>
      </c>
      <c r="AA81">
        <f>HYPERLINK("https://klasma.github.io/Logging_2180/klagomål/A 15001-2023 FSC-klagomål.docx", "A 15001-2023")</f>
        <v/>
      </c>
      <c r="AB81">
        <f>HYPERLINK("https://klasma.github.io/Logging_2180/klagomålsmail/A 15001-2023 FSC-klagomål mail.docx", "A 15001-2023")</f>
        <v/>
      </c>
      <c r="AC81">
        <f>HYPERLINK("https://klasma.github.io/Logging_2180/tillsyn/A 15001-2023 tillsynsbegäran.docx", "A 15001-2023")</f>
        <v/>
      </c>
      <c r="AD81">
        <f>HYPERLINK("https://klasma.github.io/Logging_2180/tillsynsmail/A 15001-2023 tillsynsbegäran mail.docx", "A 15001-2023")</f>
        <v/>
      </c>
    </row>
    <row r="82" ht="15" customHeight="1">
      <c r="A82" t="inlineStr">
        <is>
          <t>A 33812-2022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46276</v>
      </c>
      <c r="F82" t="inlineStr">
        <is>
          <t>GÄVLEBORGS LÄN</t>
        </is>
      </c>
      <c r="G82" t="inlineStr">
        <is>
          <t>GÄVLE</t>
        </is>
      </c>
      <c r="I82" t="n">
        <v>2.1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Myskmadra</t>
        </is>
      </c>
      <c r="W82">
        <f>HYPERLINK("https://klasma.github.io/Logging_2180/artfynd/A 33812-2022 artfynd.xlsx", "A 33812-2022")</f>
        <v/>
      </c>
      <c r="X82">
        <f>HYPERLINK("https://klasma.github.io/Logging_2180/kartor/A 33812-2022 karta.png", "A 33812-2022")</f>
        <v/>
      </c>
      <c r="Y82">
        <f>HYPERLINK("https://klasma.github.io/Logging_2180/kartor_geotiff/A 33812-2022 georefererad karta.tif", "A 33812-2022")</f>
        <v/>
      </c>
      <c r="AA82">
        <f>HYPERLINK("https://klasma.github.io/Logging_2180/klagomål/A 33812-2022 FSC-klagomål.docx", "A 33812-2022")</f>
        <v/>
      </c>
      <c r="AB82">
        <f>HYPERLINK("https://klasma.github.io/Logging_2180/klagomålsmail/A 33812-2022 FSC-klagomål mail.docx", "A 33812-2022")</f>
        <v/>
      </c>
      <c r="AC82">
        <f>HYPERLINK("https://klasma.github.io/Logging_2180/tillsyn/A 33812-2022 tillsynsbegäran.docx", "A 33812-2022")</f>
        <v/>
      </c>
      <c r="AD82">
        <f>HYPERLINK("https://klasma.github.io/Logging_2180/tillsynsmail/A 33812-2022 tillsynsbegäran mail.docx", "A 33812-2022")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46276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46276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46276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47642-2024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46276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8.199999999999999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Orre</t>
        </is>
      </c>
      <c r="W86">
        <f>HYPERLINK("https://klasma.github.io/Logging_2180/artfynd/A 47642-2024 artfynd.xlsx", "A 47642-2024")</f>
        <v/>
      </c>
      <c r="X86">
        <f>HYPERLINK("https://klasma.github.io/Logging_2180/kartor/A 47642-2024 karta.png", "A 47642-2024")</f>
        <v/>
      </c>
      <c r="Y86">
        <f>HYPERLINK("https://klasma.github.io/Logging_2180/kartor_geotiff/A 47642-2024 georefererad karta.tif", "A 47642-2024")</f>
        <v/>
      </c>
      <c r="AA86">
        <f>HYPERLINK("https://klasma.github.io/Logging_2180/klagomål/A 47642-2024 FSC-klagomål.docx", "A 47642-2024")</f>
        <v/>
      </c>
      <c r="AB86">
        <f>HYPERLINK("https://klasma.github.io/Logging_2180/klagomålsmail/A 47642-2024 FSC-klagomål mail.docx", "A 47642-2024")</f>
        <v/>
      </c>
      <c r="AC86">
        <f>HYPERLINK("https://klasma.github.io/Logging_2180/tillsyn/A 47642-2024 tillsynsbegäran.docx", "A 47642-2024")</f>
        <v/>
      </c>
      <c r="AD86">
        <f>HYPERLINK("https://klasma.github.io/Logging_2180/tillsynsmail/A 47642-2024 tillsynsbegäran mail.docx", "A 47642-2024")</f>
        <v/>
      </c>
      <c r="AE86">
        <f>HYPERLINK("https://klasma.github.io/Logging_2180/fåglar/A 47642-2024 prioriterade fågelarter.docx", "A 47642-2024")</f>
        <v/>
      </c>
    </row>
    <row r="87" ht="15" customHeight="1">
      <c r="A87" t="inlineStr">
        <is>
          <t>A 38550-2025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46276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HYPERLINK("https://klasma.github.io/Logging_2180/artfynd/A 38550-2025 artfynd.xlsx", "A 38550-2025")</f>
        <v/>
      </c>
      <c r="X87">
        <f>HYPERLINK("https://klasma.github.io/Logging_2180/kartor/A 38550-2025 karta.png", "A 38550-2025")</f>
        <v/>
      </c>
      <c r="Y87">
        <f>HYPERLINK("https://klasma.github.io/Logging_2180/kartor_geotiff/A 38550-2025 georefererad karta.tif", "A 38550-2025")</f>
        <v/>
      </c>
      <c r="AA87">
        <f>HYPERLINK("https://klasma.github.io/Logging_2180/klagomål/A 38550-2025 FSC-klagomål.docx", "A 38550-2025")</f>
        <v/>
      </c>
      <c r="AB87">
        <f>HYPERLINK("https://klasma.github.io/Logging_2180/klagomålsmail/A 38550-2025 FSC-klagomål mail.docx", "A 38550-2025")</f>
        <v/>
      </c>
      <c r="AC87">
        <f>HYPERLINK("https://klasma.github.io/Logging_2180/tillsyn/A 38550-2025 tillsynsbegäran.docx", "A 38550-2025")</f>
        <v/>
      </c>
      <c r="AD87">
        <f>HYPERLINK("https://klasma.github.io/Logging_2180/tillsynsmail/A 38550-2025 tillsynsbegäran mail.docx", "A 38550-2025")</f>
        <v/>
      </c>
    </row>
    <row r="88" ht="15" customHeight="1">
      <c r="A88" t="inlineStr">
        <is>
          <t>A 12338-2025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46276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6.8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Skogsklocka</t>
        </is>
      </c>
      <c r="W88">
        <f>HYPERLINK("https://klasma.github.io/Logging_2180/artfynd/A 12338-2025 artfynd.xlsx", "A 12338-2025")</f>
        <v/>
      </c>
      <c r="X88">
        <f>HYPERLINK("https://klasma.github.io/Logging_2180/kartor/A 12338-2025 karta.png", "A 12338-2025")</f>
        <v/>
      </c>
      <c r="Y88">
        <f>HYPERLINK("https://klasma.github.io/Logging_2180/kartor_geotiff/A 12338-2025 georefererad karta.tif", "A 12338-2025")</f>
        <v/>
      </c>
      <c r="AA88">
        <f>HYPERLINK("https://klasma.github.io/Logging_2180/klagomål/A 12338-2025 FSC-klagomål.docx", "A 12338-2025")</f>
        <v/>
      </c>
      <c r="AB88">
        <f>HYPERLINK("https://klasma.github.io/Logging_2180/klagomålsmail/A 12338-2025 FSC-klagomål mail.docx", "A 12338-2025")</f>
        <v/>
      </c>
      <c r="AC88">
        <f>HYPERLINK("https://klasma.github.io/Logging_2180/tillsyn/A 12338-2025 tillsynsbegäran.docx", "A 12338-2025")</f>
        <v/>
      </c>
      <c r="AD88">
        <f>HYPERLINK("https://klasma.github.io/Logging_2180/tillsynsmail/A 12338-2025 tillsynsbegäran mail.docx", "A 12338-2025")</f>
        <v/>
      </c>
    </row>
    <row r="89" ht="15" customHeight="1">
      <c r="A89" t="inlineStr">
        <is>
          <t>A 30302-2025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46276</v>
      </c>
      <c r="F89" t="inlineStr">
        <is>
          <t>GÄVLEBORGS LÄN</t>
        </is>
      </c>
      <c r="G89" t="inlineStr">
        <is>
          <t>GÄVLE</t>
        </is>
      </c>
      <c r="I89" t="n">
        <v>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Fläcknycklar</t>
        </is>
      </c>
      <c r="W89">
        <f>HYPERLINK("https://klasma.github.io/Logging_2180/artfynd/A 30302-2025 artfynd.xlsx", "A 30302-2025")</f>
        <v/>
      </c>
      <c r="X89">
        <f>HYPERLINK("https://klasma.github.io/Logging_2180/kartor/A 30302-2025 karta.png", "A 30302-2025")</f>
        <v/>
      </c>
      <c r="Y89">
        <f>HYPERLINK("https://klasma.github.io/Logging_2180/kartor_geotiff/A 30302-2025 georefererad karta.tif", "A 30302-2025")</f>
        <v/>
      </c>
      <c r="AA89">
        <f>HYPERLINK("https://klasma.github.io/Logging_2180/klagomål/A 30302-2025 FSC-klagomål.docx", "A 30302-2025")</f>
        <v/>
      </c>
      <c r="AB89">
        <f>HYPERLINK("https://klasma.github.io/Logging_2180/klagomålsmail/A 30302-2025 FSC-klagomål mail.docx", "A 30302-2025")</f>
        <v/>
      </c>
      <c r="AC89">
        <f>HYPERLINK("https://klasma.github.io/Logging_2180/tillsyn/A 30302-2025 tillsynsbegäran.docx", "A 30302-2025")</f>
        <v/>
      </c>
      <c r="AD89">
        <f>HYPERLINK("https://klasma.github.io/Logging_2180/tillsynsmail/A 30302-2025 tillsynsbegäran mail.docx", "A 30302-2025")</f>
        <v/>
      </c>
    </row>
    <row r="90" ht="15" customHeight="1">
      <c r="A90" t="inlineStr">
        <is>
          <t>A 11411-2025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46276</v>
      </c>
      <c r="F90" t="inlineStr">
        <is>
          <t>GÄVLEBORGS LÄN</t>
        </is>
      </c>
      <c r="G90" t="inlineStr">
        <is>
          <t>GÄVLE</t>
        </is>
      </c>
      <c r="I90" t="n">
        <v>2.4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11411-2025 artfynd.xlsx", "A 11411-2025")</f>
        <v/>
      </c>
      <c r="X90">
        <f>HYPERLINK("https://klasma.github.io/Logging_2180/kartor/A 11411-2025 karta.png", "A 11411-2025")</f>
        <v/>
      </c>
      <c r="Y90">
        <f>HYPERLINK("https://klasma.github.io/Logging_2180/kartor_geotiff/A 11411-2025 georefererad karta.tif", "A 11411-2025")</f>
        <v/>
      </c>
      <c r="AA90">
        <f>HYPERLINK("https://klasma.github.io/Logging_2180/klagomål/A 11411-2025 FSC-klagomål.docx", "A 11411-2025")</f>
        <v/>
      </c>
      <c r="AB90">
        <f>HYPERLINK("https://klasma.github.io/Logging_2180/klagomålsmail/A 11411-2025 FSC-klagomål mail.docx", "A 11411-2025")</f>
        <v/>
      </c>
      <c r="AC90">
        <f>HYPERLINK("https://klasma.github.io/Logging_2180/tillsyn/A 11411-2025 tillsynsbegäran.docx", "A 11411-2025")</f>
        <v/>
      </c>
      <c r="AD90">
        <f>HYPERLINK("https://klasma.github.io/Logging_2180/tillsynsmail/A 11411-2025 tillsynsbegäran mail.docx", "A 11411-2025")</f>
        <v/>
      </c>
    </row>
    <row r="91" ht="15" customHeight="1">
      <c r="A91" t="inlineStr">
        <is>
          <t>A 45241-2022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46276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22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HYPERLINK("https://klasma.github.io/Logging_2180/artfynd/A 45241-2022 artfynd.xlsx", "A 45241-2022")</f>
        <v/>
      </c>
      <c r="X91">
        <f>HYPERLINK("https://klasma.github.io/Logging_2180/kartor/A 45241-2022 karta.png", "A 45241-2022")</f>
        <v/>
      </c>
      <c r="Y91">
        <f>HYPERLINK("https://klasma.github.io/Logging_2180/kartor_geotiff/A 45241-2022 georefererad karta.tif", "A 45241-2022")</f>
        <v/>
      </c>
      <c r="AA91">
        <f>HYPERLINK("https://klasma.github.io/Logging_2180/klagomål/A 45241-2022 FSC-klagomål.docx", "A 45241-2022")</f>
        <v/>
      </c>
      <c r="AB91">
        <f>HYPERLINK("https://klasma.github.io/Logging_2180/klagomålsmail/A 45241-2022 FSC-klagomål mail.docx", "A 45241-2022")</f>
        <v/>
      </c>
      <c r="AC91">
        <f>HYPERLINK("https://klasma.github.io/Logging_2180/tillsyn/A 45241-2022 tillsynsbegäran.docx", "A 45241-2022")</f>
        <v/>
      </c>
      <c r="AD91">
        <f>HYPERLINK("https://klasma.github.io/Logging_2180/tillsynsmail/A 45241-2022 tillsynsbegäran mail.docx", "A 45241-2022")</f>
        <v/>
      </c>
    </row>
    <row r="92" ht="15" customHeight="1">
      <c r="A92" t="inlineStr">
        <is>
          <t>A 28875-2025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46276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HYPERLINK("https://klasma.github.io/Logging_2180/artfynd/A 28875-2025 artfynd.xlsx", "A 28875-2025")</f>
        <v/>
      </c>
      <c r="X92">
        <f>HYPERLINK("https://klasma.github.io/Logging_2180/kartor/A 28875-2025 karta.png", "A 28875-2025")</f>
        <v/>
      </c>
      <c r="Y92">
        <f>HYPERLINK("https://klasma.github.io/Logging_2180/kartor_geotiff/A 28875-2025 georefererad karta.tif", "A 28875-2025")</f>
        <v/>
      </c>
      <c r="AA92">
        <f>HYPERLINK("https://klasma.github.io/Logging_2180/klagomål/A 28875-2025 FSC-klagomål.docx", "A 28875-2025")</f>
        <v/>
      </c>
      <c r="AB92">
        <f>HYPERLINK("https://klasma.github.io/Logging_2180/klagomålsmail/A 28875-2025 FSC-klagomål mail.docx", "A 28875-2025")</f>
        <v/>
      </c>
      <c r="AC92">
        <f>HYPERLINK("https://klasma.github.io/Logging_2180/tillsyn/A 28875-2025 tillsynsbegäran.docx", "A 28875-2025")</f>
        <v/>
      </c>
      <c r="AD92">
        <f>HYPERLINK("https://klasma.github.io/Logging_2180/tillsynsmail/A 28875-2025 tillsynsbegäran mail.docx", "A 28875-2025")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46276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46276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HYPERLINK("https://klasma.github.io/Logging_2180/artfynd/A 63036-2023 artfynd.xlsx", "A 63036-2023")</f>
        <v/>
      </c>
      <c r="X94">
        <f>HYPERLINK("https://klasma.github.io/Logging_2180/kartor/A 63036-2023 karta.png", "A 63036-2023")</f>
        <v/>
      </c>
      <c r="Y94">
        <f>HYPERLINK("https://klasma.github.io/Logging_2180/kartor_geotiff/A 63036-2023 georefererad karta.tif", "A 63036-2023")</f>
        <v/>
      </c>
      <c r="AA94">
        <f>HYPERLINK("https://klasma.github.io/Logging_2180/klagomål/A 63036-2023 FSC-klagomål.docx", "A 63036-2023")</f>
        <v/>
      </c>
      <c r="AB94">
        <f>HYPERLINK("https://klasma.github.io/Logging_2180/klagomålsmail/A 63036-2023 FSC-klagomål mail.docx", "A 63036-2023")</f>
        <v/>
      </c>
      <c r="AC94">
        <f>HYPERLINK("https://klasma.github.io/Logging_2180/tillsyn/A 63036-2023 tillsynsbegäran.docx", "A 63036-2023")</f>
        <v/>
      </c>
      <c r="AD94">
        <f>HYPERLINK("https://klasma.github.io/Logging_2180/tillsynsmail/A 63036-2023 tillsynsbegäran mail.docx", "A 63036-2023")</f>
        <v/>
      </c>
    </row>
    <row r="95" ht="15" customHeight="1">
      <c r="A95" t="inlineStr">
        <is>
          <t>A 50052-2025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46276</v>
      </c>
      <c r="F95" t="inlineStr">
        <is>
          <t>GÄVLEBORGS LÄN</t>
        </is>
      </c>
      <c r="G95" t="inlineStr">
        <is>
          <t>GÄVLE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Mosippa</t>
        </is>
      </c>
      <c r="W95">
        <f>HYPERLINK("https://klasma.github.io/Logging_2180/artfynd/A 50052-2025 artfynd.xlsx", "A 50052-2025")</f>
        <v/>
      </c>
      <c r="X95">
        <f>HYPERLINK("https://klasma.github.io/Logging_2180/kartor/A 50052-2025 karta.png", "A 50052-2025")</f>
        <v/>
      </c>
      <c r="Y95">
        <f>HYPERLINK("https://klasma.github.io/Logging_2180/kartor_geotiff/A 50052-2025 georefererad karta.tif", "A 50052-2025")</f>
        <v/>
      </c>
      <c r="AA95">
        <f>HYPERLINK("https://klasma.github.io/Logging_2180/klagomål/A 50052-2025 FSC-klagomål.docx", "A 50052-2025")</f>
        <v/>
      </c>
      <c r="AB95">
        <f>HYPERLINK("https://klasma.github.io/Logging_2180/klagomålsmail/A 50052-2025 FSC-klagomål mail.docx", "A 50052-2025")</f>
        <v/>
      </c>
      <c r="AC95">
        <f>HYPERLINK("https://klasma.github.io/Logging_2180/tillsyn/A 50052-2025 tillsynsbegäran.docx", "A 50052-2025")</f>
        <v/>
      </c>
      <c r="AD95">
        <f>HYPERLINK("https://klasma.github.io/Logging_2180/tillsynsmail/A 50052-2025 tillsynsbegäran mail.docx", "A 50052-2025")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46276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13684-2026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46276</v>
      </c>
      <c r="F97" t="inlineStr">
        <is>
          <t>GÄVLEBORGS LÄN</t>
        </is>
      </c>
      <c r="G97" t="inlineStr">
        <is>
          <t>GÄVLE</t>
        </is>
      </c>
      <c r="I97" t="n">
        <v>21.3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HYPERLINK("https://klasma.github.io/Logging_2180/artfynd/A 13684-2026 artfynd.xlsx", "A 13684-2026")</f>
        <v/>
      </c>
      <c r="X97">
        <f>HYPERLINK("https://klasma.github.io/Logging_2180/kartor/A 13684-2026 karta.png", "A 13684-2026")</f>
        <v/>
      </c>
      <c r="Y97">
        <f>HYPERLINK("https://klasma.github.io/Logging_2180/kartor_geotiff/A 13684-2026 georefererad karta.tif", "A 13684-2026")</f>
        <v/>
      </c>
      <c r="AA97">
        <f>HYPERLINK("https://klasma.github.io/Logging_2180/klagomål/A 13684-2026 FSC-klagomål.docx", "A 13684-2026")</f>
        <v/>
      </c>
      <c r="AB97">
        <f>HYPERLINK("https://klasma.github.io/Logging_2180/klagomålsmail/A 13684-2026 FSC-klagomål mail.docx", "A 13684-2026")</f>
        <v/>
      </c>
      <c r="AC97">
        <f>HYPERLINK("https://klasma.github.io/Logging_2180/tillsyn/A 13684-2026 tillsynsbegäran.docx", "A 13684-2026")</f>
        <v/>
      </c>
      <c r="AD97">
        <f>HYPERLINK("https://klasma.github.io/Logging_2180/tillsynsmail/A 13684-2026 tillsynsbegäran mail.docx", "A 13684-2026")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46276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17251-2026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46119</v>
      </c>
      <c r="E99" s="1" t="n">
        <v>46276</v>
      </c>
      <c r="F99" t="inlineStr">
        <is>
          <t>GÄVLEBORGS LÄN</t>
        </is>
      </c>
      <c r="G99" t="inlineStr">
        <is>
          <t>GÄVLE</t>
        </is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HYPERLINK("https://klasma.github.io/Logging_2180/artfynd/A 17251-2026 artfynd.xlsx", "A 17251-2026")</f>
        <v/>
      </c>
      <c r="X99">
        <f>HYPERLINK("https://klasma.github.io/Logging_2180/kartor/A 17251-2026 karta.png", "A 17251-2026")</f>
        <v/>
      </c>
      <c r="Y99">
        <f>HYPERLINK("https://klasma.github.io/Logging_2180/kartor_geotiff/A 17251-2026 georefererad karta.tif", "A 17251-2026")</f>
        <v/>
      </c>
      <c r="AA99">
        <f>HYPERLINK("https://klasma.github.io/Logging_2180/klagomål/A 17251-2026 FSC-klagomål.docx", "A 17251-2026")</f>
        <v/>
      </c>
      <c r="AB99">
        <f>HYPERLINK("https://klasma.github.io/Logging_2180/klagomålsmail/A 17251-2026 FSC-klagomål mail.docx", "A 17251-2026")</f>
        <v/>
      </c>
      <c r="AC99">
        <f>HYPERLINK("https://klasma.github.io/Logging_2180/tillsyn/A 17251-2026 tillsynsbegäran.docx", "A 17251-2026")</f>
        <v/>
      </c>
      <c r="AD99">
        <f>HYPERLINK("https://klasma.github.io/Logging_2180/tillsynsmail/A 17251-2026 tillsynsbegäran mail.docx", "A 17251-2026")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46276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Tibast</t>
        </is>
      </c>
      <c r="W100">
        <f>HYPERLINK("https://klasma.github.io/Logging_2180/artfynd/A 51508-2024 artfynd.xlsx", "A 51508-2024")</f>
        <v/>
      </c>
      <c r="X100">
        <f>HYPERLINK("https://klasma.github.io/Logging_2180/kartor/A 51508-2024 karta.png", "A 51508-2024")</f>
        <v/>
      </c>
      <c r="Y100">
        <f>HYPERLINK("https://klasma.github.io/Logging_2180/kartor_geotiff/A 51508-2024 georefererad karta.tif", "A 51508-2024")</f>
        <v/>
      </c>
      <c r="AA100">
        <f>HYPERLINK("https://klasma.github.io/Logging_2180/klagomål/A 51508-2024 FSC-klagomål.docx", "A 51508-2024")</f>
        <v/>
      </c>
      <c r="AB100">
        <f>HYPERLINK("https://klasma.github.io/Logging_2180/klagomålsmail/A 51508-2024 FSC-klagomål mail.docx", "A 51508-2024")</f>
        <v/>
      </c>
      <c r="AC100">
        <f>HYPERLINK("https://klasma.github.io/Logging_2180/tillsyn/A 51508-2024 tillsynsbegäran.docx", "A 51508-2024")</f>
        <v/>
      </c>
      <c r="AD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19635-2026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46133</v>
      </c>
      <c r="E101" s="1" t="n">
        <v>46276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1.6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Skinnlav</t>
        </is>
      </c>
      <c r="W101">
        <f>HYPERLINK("https://klasma.github.io/Logging_2180/artfynd/A 19635-2026 artfynd.xlsx", "A 19635-2026")</f>
        <v/>
      </c>
      <c r="X101">
        <f>HYPERLINK("https://klasma.github.io/Logging_2180/kartor/A 19635-2026 karta.png", "A 19635-2026")</f>
        <v/>
      </c>
      <c r="Y101">
        <f>HYPERLINK("https://klasma.github.io/Logging_2180/kartor_geotiff/A 19635-2026 georefererad karta.tif", "A 19635-2026")</f>
        <v/>
      </c>
      <c r="AA101">
        <f>HYPERLINK("https://klasma.github.io/Logging_2180/klagomål/A 19635-2026 FSC-klagomål.docx", "A 19635-2026")</f>
        <v/>
      </c>
      <c r="AB101">
        <f>HYPERLINK("https://klasma.github.io/Logging_2180/klagomålsmail/A 19635-2026 FSC-klagomål mail.docx", "A 19635-2026")</f>
        <v/>
      </c>
      <c r="AC101">
        <f>HYPERLINK("https://klasma.github.io/Logging_2180/tillsyn/A 19635-2026 tillsynsbegäran.docx", "A 19635-2026")</f>
        <v/>
      </c>
      <c r="AD101">
        <f>HYPERLINK("https://klasma.github.io/Logging_2180/tillsynsmail/A 19635-2026 tillsynsbegäran mail.docx", "A 19635-2026")</f>
        <v/>
      </c>
    </row>
    <row r="102" ht="15" customHeight="1">
      <c r="A102" t="inlineStr">
        <is>
          <t>A 13396-2026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46276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Fläcknycklar</t>
        </is>
      </c>
      <c r="W102">
        <f>HYPERLINK("https://klasma.github.io/Logging_2180/artfynd/A 13396-2026 artfynd.xlsx", "A 13396-2026")</f>
        <v/>
      </c>
      <c r="X102">
        <f>HYPERLINK("https://klasma.github.io/Logging_2180/kartor/A 13396-2026 karta.png", "A 13396-2026")</f>
        <v/>
      </c>
      <c r="Y102">
        <f>HYPERLINK("https://klasma.github.io/Logging_2180/kartor_geotiff/A 13396-2026 georefererad karta.tif", "A 13396-2026")</f>
        <v/>
      </c>
      <c r="AA102">
        <f>HYPERLINK("https://klasma.github.io/Logging_2180/klagomål/A 13396-2026 FSC-klagomål.docx", "A 13396-2026")</f>
        <v/>
      </c>
      <c r="AB102">
        <f>HYPERLINK("https://klasma.github.io/Logging_2180/klagomålsmail/A 13396-2026 FSC-klagomål mail.docx", "A 13396-2026")</f>
        <v/>
      </c>
      <c r="AC102">
        <f>HYPERLINK("https://klasma.github.io/Logging_2180/tillsyn/A 13396-2026 tillsynsbegäran.docx", "A 13396-2026")</f>
        <v/>
      </c>
      <c r="AD102">
        <f>HYPERLINK("https://klasma.github.io/Logging_2180/tillsynsmail/A 13396-2026 tillsynsbegäran mail.docx", "A 13396-2026")</f>
        <v/>
      </c>
    </row>
    <row r="103" ht="15" customHeight="1">
      <c r="A103" t="inlineStr">
        <is>
          <t>A 12437-2024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45379</v>
      </c>
      <c r="E103" s="1" t="n">
        <v>46276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Mindre bastardsvärmare</t>
        </is>
      </c>
      <c r="W103">
        <f>HYPERLINK("https://klasma.github.io/Logging_2180/artfynd/A 12437-2024 artfynd.xlsx", "A 12437-2024")</f>
        <v/>
      </c>
      <c r="X103">
        <f>HYPERLINK("https://klasma.github.io/Logging_2180/kartor/A 12437-2024 karta.png", "A 12437-2024")</f>
        <v/>
      </c>
      <c r="Y103">
        <f>HYPERLINK("https://klasma.github.io/Logging_2180/kartor_geotiff/A 12437-2024 georefererad karta.tif", "A 12437-2024")</f>
        <v/>
      </c>
      <c r="AA103">
        <f>HYPERLINK("https://klasma.github.io/Logging_2180/klagomål/A 12437-2024 FSC-klagomål.docx", "A 12437-2024")</f>
        <v/>
      </c>
      <c r="AB103">
        <f>HYPERLINK("https://klasma.github.io/Logging_2180/klagomålsmail/A 12437-2024 FSC-klagomål mail.docx", "A 12437-2024")</f>
        <v/>
      </c>
      <c r="AC103">
        <f>HYPERLINK("https://klasma.github.io/Logging_2180/tillsyn/A 12437-2024 tillsynsbegäran.docx", "A 12437-2024")</f>
        <v/>
      </c>
      <c r="AD103">
        <f>HYPERLINK("https://klasma.github.io/Logging_2180/tillsynsmail/A 12437-2024 tillsynsbegäran mail.docx", "A 12437-2024")</f>
        <v/>
      </c>
    </row>
    <row r="104" ht="15" customHeight="1">
      <c r="A104" t="inlineStr">
        <is>
          <t>A 10333-2025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46276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Tjäder</t>
        </is>
      </c>
      <c r="W104">
        <f>HYPERLINK("https://klasma.github.io/Logging_2180/artfynd/A 10333-2025 artfynd.xlsx", "A 10333-2025")</f>
        <v/>
      </c>
      <c r="X104">
        <f>HYPERLINK("https://klasma.github.io/Logging_2180/kartor/A 10333-2025 karta.png", "A 10333-2025")</f>
        <v/>
      </c>
      <c r="Y104">
        <f>HYPERLINK("https://klasma.github.io/Logging_2180/kartor_geotiff/A 10333-2025 georefererad karta.tif", "A 10333-2025")</f>
        <v/>
      </c>
      <c r="AA104">
        <f>HYPERLINK("https://klasma.github.io/Logging_2180/klagomål/A 10333-2025 FSC-klagomål.docx", "A 10333-2025")</f>
        <v/>
      </c>
      <c r="AB104">
        <f>HYPERLINK("https://klasma.github.io/Logging_2180/klagomålsmail/A 10333-2025 FSC-klagomål mail.docx", "A 10333-2025")</f>
        <v/>
      </c>
      <c r="AC104">
        <f>HYPERLINK("https://klasma.github.io/Logging_2180/tillsyn/A 10333-2025 tillsynsbegäran.docx", "A 10333-2025")</f>
        <v/>
      </c>
      <c r="AD104">
        <f>HYPERLINK("https://klasma.github.io/Logging_2180/tillsynsmail/A 10333-2025 tillsynsbegäran mail.docx", "A 10333-2025")</f>
        <v/>
      </c>
      <c r="AE104">
        <f>HYPERLINK("https://klasma.github.io/Logging_2180/fåglar/A 10333-2025 prioriterade fågelarter.docx", "A 10333-2025")</f>
        <v/>
      </c>
    </row>
    <row r="105" ht="15" customHeight="1">
      <c r="A105" t="inlineStr">
        <is>
          <t>A 14730-2026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46276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8.199999999999999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HYPERLINK("https://klasma.github.io/Logging_2180/artfynd/A 14730-2026 artfynd.xlsx", "A 14730-2026")</f>
        <v/>
      </c>
      <c r="X105">
        <f>HYPERLINK("https://klasma.github.io/Logging_2180/kartor/A 14730-2026 karta.png", "A 14730-2026")</f>
        <v/>
      </c>
      <c r="Y105">
        <f>HYPERLINK("https://klasma.github.io/Logging_2180/kartor_geotiff/A 14730-2026 georefererad karta.tif", "A 14730-2026")</f>
        <v/>
      </c>
      <c r="AA105">
        <f>HYPERLINK("https://klasma.github.io/Logging_2180/klagomål/A 14730-2026 FSC-klagomål.docx", "A 14730-2026")</f>
        <v/>
      </c>
      <c r="AB105">
        <f>HYPERLINK("https://klasma.github.io/Logging_2180/klagomålsmail/A 14730-2026 FSC-klagomål mail.docx", "A 14730-2026")</f>
        <v/>
      </c>
      <c r="AC105">
        <f>HYPERLINK("https://klasma.github.io/Logging_2180/tillsyn/A 14730-2026 tillsynsbegäran.docx", "A 14730-2026")</f>
        <v/>
      </c>
      <c r="AD105">
        <f>HYPERLINK("https://klasma.github.io/Logging_2180/tillsynsmail/A 14730-2026 tillsynsbegäran mail.docx", "A 14730-2026")</f>
        <v/>
      </c>
      <c r="AE105">
        <f>HYPERLINK("https://klasma.github.io/Logging_2180/fåglar/A 14730-2026 prioriterade fågelarter.docx", "A 14730-2026")</f>
        <v/>
      </c>
    </row>
    <row r="106" ht="15" customHeight="1">
      <c r="A106" t="inlineStr">
        <is>
          <t>A 14714-2026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46276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1.8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Tjäder</t>
        </is>
      </c>
      <c r="W106">
        <f>HYPERLINK("https://klasma.github.io/Logging_2180/artfynd/A 14714-2026 artfynd.xlsx", "A 14714-2026")</f>
        <v/>
      </c>
      <c r="X106">
        <f>HYPERLINK("https://klasma.github.io/Logging_2180/kartor/A 14714-2026 karta.png", "A 14714-2026")</f>
        <v/>
      </c>
      <c r="Y106">
        <f>HYPERLINK("https://klasma.github.io/Logging_2180/kartor_geotiff/A 14714-2026 georefererad karta.tif", "A 14714-2026")</f>
        <v/>
      </c>
      <c r="AA106">
        <f>HYPERLINK("https://klasma.github.io/Logging_2180/klagomål/A 14714-2026 FSC-klagomål.docx", "A 14714-2026")</f>
        <v/>
      </c>
      <c r="AB106">
        <f>HYPERLINK("https://klasma.github.io/Logging_2180/klagomålsmail/A 14714-2026 FSC-klagomål mail.docx", "A 14714-2026")</f>
        <v/>
      </c>
      <c r="AC106">
        <f>HYPERLINK("https://klasma.github.io/Logging_2180/tillsyn/A 14714-2026 tillsynsbegäran.docx", "A 14714-2026")</f>
        <v/>
      </c>
      <c r="AD106">
        <f>HYPERLINK("https://klasma.github.io/Logging_2180/tillsynsmail/A 14714-2026 tillsynsbegäran mail.docx", "A 14714-2026")</f>
        <v/>
      </c>
      <c r="AE106">
        <f>HYPERLINK("https://klasma.github.io/Logging_2180/fåglar/A 14714-2026 prioriterade fågelarter.docx", "A 14714-2026")</f>
        <v/>
      </c>
    </row>
    <row r="107" ht="15" customHeight="1">
      <c r="A107" t="inlineStr">
        <is>
          <t>A 14711-2026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46276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Blanksvart spiklav</t>
        </is>
      </c>
      <c r="W107">
        <f>HYPERLINK("https://klasma.github.io/Logging_2180/artfynd/A 14711-2026 artfynd.xlsx", "A 14711-2026")</f>
        <v/>
      </c>
      <c r="X107">
        <f>HYPERLINK("https://klasma.github.io/Logging_2180/kartor/A 14711-2026 karta.png", "A 14711-2026")</f>
        <v/>
      </c>
      <c r="Y107">
        <f>HYPERLINK("https://klasma.github.io/Logging_2180/kartor_geotiff/A 14711-2026 georefererad karta.tif", "A 14711-2026")</f>
        <v/>
      </c>
      <c r="AA107">
        <f>HYPERLINK("https://klasma.github.io/Logging_2180/klagomål/A 14711-2026 FSC-klagomål.docx", "A 14711-2026")</f>
        <v/>
      </c>
      <c r="AB107">
        <f>HYPERLINK("https://klasma.github.io/Logging_2180/klagomålsmail/A 14711-2026 FSC-klagomål mail.docx", "A 14711-2026")</f>
        <v/>
      </c>
      <c r="AC107">
        <f>HYPERLINK("https://klasma.github.io/Logging_2180/tillsyn/A 14711-2026 tillsynsbegäran.docx", "A 14711-2026")</f>
        <v/>
      </c>
      <c r="AD107">
        <f>HYPERLINK("https://klasma.github.io/Logging_2180/tillsynsmail/A 14711-2026 tillsynsbegäran mail.docx", "A 14711-2026")</f>
        <v/>
      </c>
    </row>
    <row r="108" ht="15" customHeight="1">
      <c r="A108" t="inlineStr">
        <is>
          <t>A 10064-2025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46276</v>
      </c>
      <c r="F108" t="inlineStr">
        <is>
          <t>GÄVLEBORGS LÄN</t>
        </is>
      </c>
      <c r="G108" t="inlineStr">
        <is>
          <t>GÄVLE</t>
        </is>
      </c>
      <c r="I108" t="n">
        <v>4.6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HYPERLINK("https://klasma.github.io/Logging_2180/artfynd/A 10064-2025 artfynd.xlsx", "A 10064-2025")</f>
        <v/>
      </c>
      <c r="X108">
        <f>HYPERLINK("https://klasma.github.io/Logging_2180/kartor/A 10064-2025 karta.png", "A 10064-2025")</f>
        <v/>
      </c>
      <c r="Y108">
        <f>HYPERLINK("https://klasma.github.io/Logging_2180/kartor_geotiff/A 10064-2025 georefererad karta.tif", "A 10064-2025")</f>
        <v/>
      </c>
      <c r="AA108">
        <f>HYPERLINK("https://klasma.github.io/Logging_2180/klagomål/A 10064-2025 FSC-klagomål.docx", "A 10064-2025")</f>
        <v/>
      </c>
      <c r="AB108">
        <f>HYPERLINK("https://klasma.github.io/Logging_2180/klagomålsmail/A 10064-2025 FSC-klagomål mail.docx", "A 10064-2025")</f>
        <v/>
      </c>
      <c r="AC108">
        <f>HYPERLINK("https://klasma.github.io/Logging_2180/tillsyn/A 10064-2025 tillsynsbegäran.docx", "A 10064-2025")</f>
        <v/>
      </c>
      <c r="AD108">
        <f>HYPERLINK("https://klasma.github.io/Logging_2180/tillsynsmail/A 10064-2025 tillsynsbegäran mail.docx", "A 10064-2025")</f>
        <v/>
      </c>
    </row>
    <row r="109" ht="15" customHeight="1">
      <c r="A109" t="inlineStr">
        <is>
          <t>A 20734-2026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46276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HYPERLINK("https://klasma.github.io/Logging_2180/artfynd/A 20734-2026 artfynd.xlsx", "A 20734-2026")</f>
        <v/>
      </c>
      <c r="X109">
        <f>HYPERLINK("https://klasma.github.io/Logging_2180/kartor/A 20734-2026 karta.png", "A 20734-2026")</f>
        <v/>
      </c>
      <c r="Y109">
        <f>HYPERLINK("https://klasma.github.io/Logging_2180/kartor_geotiff/A 20734-2026 georefererad karta.tif", "A 20734-2026")</f>
        <v/>
      </c>
      <c r="AA109">
        <f>HYPERLINK("https://klasma.github.io/Logging_2180/klagomål/A 20734-2026 FSC-klagomål.docx", "A 20734-2026")</f>
        <v/>
      </c>
      <c r="AB109">
        <f>HYPERLINK("https://klasma.github.io/Logging_2180/klagomålsmail/A 20734-2026 FSC-klagomål mail.docx", "A 20734-2026")</f>
        <v/>
      </c>
      <c r="AC109">
        <f>HYPERLINK("https://klasma.github.io/Logging_2180/tillsyn/A 20734-2026 tillsynsbegäran.docx", "A 20734-2026")</f>
        <v/>
      </c>
      <c r="AD109">
        <f>HYPERLINK("https://klasma.github.io/Logging_2180/tillsynsmail/A 20734-2026 tillsynsbegäran mail.docx", "A 20734-2026")</f>
        <v/>
      </c>
    </row>
    <row r="110" ht="15" customHeight="1">
      <c r="A110" t="inlineStr">
        <is>
          <t>A 12381-2023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44999</v>
      </c>
      <c r="E110" s="1" t="n">
        <v>46276</v>
      </c>
      <c r="F110" t="inlineStr">
        <is>
          <t>GÄVLEBORGS LÄN</t>
        </is>
      </c>
      <c r="G110" t="inlineStr">
        <is>
          <t>GÄVLE</t>
        </is>
      </c>
      <c r="I110" t="n">
        <v>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Brunlångöra</t>
        </is>
      </c>
      <c r="W110">
        <f>HYPERLINK("https://klasma.github.io/Logging_2180/artfynd/A 12381-2023 artfynd.xlsx", "A 12381-2023")</f>
        <v/>
      </c>
      <c r="X110">
        <f>HYPERLINK("https://klasma.github.io/Logging_2180/kartor/A 12381-2023 karta.png", "A 12381-2023")</f>
        <v/>
      </c>
      <c r="Y110">
        <f>HYPERLINK("https://klasma.github.io/Logging_2180/kartor_geotiff/A 12381-2023 georefererad karta.tif", "A 12381-2023")</f>
        <v/>
      </c>
      <c r="AA110">
        <f>HYPERLINK("https://klasma.github.io/Logging_2180/klagomål/A 12381-2023 FSC-klagomål.docx", "A 12381-2023")</f>
        <v/>
      </c>
      <c r="AB110">
        <f>HYPERLINK("https://klasma.github.io/Logging_2180/klagomålsmail/A 12381-2023 FSC-klagomål mail.docx", "A 12381-2023")</f>
        <v/>
      </c>
      <c r="AC110">
        <f>HYPERLINK("https://klasma.github.io/Logging_2180/tillsyn/A 12381-2023 tillsynsbegäran.docx", "A 12381-2023")</f>
        <v/>
      </c>
      <c r="AD110">
        <f>HYPERLINK("https://klasma.github.io/Logging_2180/tillsynsmail/A 12381-2023 tillsynsbegäran mail.docx", "A 12381-2023")</f>
        <v/>
      </c>
    </row>
    <row r="111" ht="15" customHeight="1">
      <c r="A111" t="inlineStr">
        <is>
          <t>A 21282-2024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46276</v>
      </c>
      <c r="F111" t="inlineStr">
        <is>
          <t>GÄVLEBORGS LÄN</t>
        </is>
      </c>
      <c r="G111" t="inlineStr">
        <is>
          <t>GÄVLE</t>
        </is>
      </c>
      <c r="I111" t="n">
        <v>7.4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1</v>
      </c>
      <c r="V111" s="2" t="inlineStr">
        <is>
          <t>Skogsklocka</t>
        </is>
      </c>
      <c r="W111">
        <f>HYPERLINK("https://klasma.github.io/Logging_2180/artfynd/A 21282-2024 artfynd.xlsx", "A 21282-2024")</f>
        <v/>
      </c>
      <c r="X111">
        <f>HYPERLINK("https://klasma.github.io/Logging_2180/kartor/A 21282-2024 karta.png", "A 21282-2024")</f>
        <v/>
      </c>
      <c r="Y111">
        <f>HYPERLINK("https://klasma.github.io/Logging_2180/kartor_geotiff/A 21282-2024 georefererad karta.tif", "A 21282-2024")</f>
        <v/>
      </c>
      <c r="AA111">
        <f>HYPERLINK("https://klasma.github.io/Logging_2180/klagomål/A 21282-2024 FSC-klagomål.docx", "A 21282-2024")</f>
        <v/>
      </c>
      <c r="AB111">
        <f>HYPERLINK("https://klasma.github.io/Logging_2180/klagomålsmail/A 21282-2024 FSC-klagomål mail.docx", "A 21282-2024")</f>
        <v/>
      </c>
      <c r="AC111">
        <f>HYPERLINK("https://klasma.github.io/Logging_2180/tillsyn/A 21282-2024 tillsynsbegäran.docx", "A 21282-2024")</f>
        <v/>
      </c>
      <c r="AD111">
        <f>HYPERLINK("https://klasma.github.io/Logging_2180/tillsynsmail/A 21282-2024 tillsynsbegäran mail.docx", "A 21282-2024")</f>
        <v/>
      </c>
    </row>
    <row r="112" ht="15" customHeight="1">
      <c r="A112" t="inlineStr">
        <is>
          <t>A 57932-2024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45631</v>
      </c>
      <c r="E112" s="1" t="n">
        <v>46276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48.7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Tjäder</t>
        </is>
      </c>
      <c r="W112">
        <f>HYPERLINK("https://klasma.github.io/Logging_2180/artfynd/A 57932-2024 artfynd.xlsx", "A 57932-2024")</f>
        <v/>
      </c>
      <c r="X112">
        <f>HYPERLINK("https://klasma.github.io/Logging_2180/kartor/A 57932-2024 karta.png", "A 57932-2024")</f>
        <v/>
      </c>
      <c r="Y112">
        <f>HYPERLINK("https://klasma.github.io/Logging_2180/kartor_geotiff/A 57932-2024 georefererad karta.tif", "A 57932-2024")</f>
        <v/>
      </c>
      <c r="AA112">
        <f>HYPERLINK("https://klasma.github.io/Logging_2180/klagomål/A 57932-2024 FSC-klagomål.docx", "A 57932-2024")</f>
        <v/>
      </c>
      <c r="AB112">
        <f>HYPERLINK("https://klasma.github.io/Logging_2180/klagomålsmail/A 57932-2024 FSC-klagomål mail.docx", "A 57932-2024")</f>
        <v/>
      </c>
      <c r="AC112">
        <f>HYPERLINK("https://klasma.github.io/Logging_2180/tillsyn/A 57932-2024 tillsynsbegäran.docx", "A 57932-2024")</f>
        <v/>
      </c>
      <c r="AD112">
        <f>HYPERLINK("https://klasma.github.io/Logging_2180/tillsynsmail/A 57932-2024 tillsynsbegäran mail.docx", "A 57932-2024")</f>
        <v/>
      </c>
      <c r="AE112">
        <f>HYPERLINK("https://klasma.github.io/Logging_2180/fåglar/A 57932-2024 prioriterade fågelarter.docx", "A 57932-2024")</f>
        <v/>
      </c>
    </row>
    <row r="113" ht="15" customHeight="1">
      <c r="A113" t="inlineStr">
        <is>
          <t>A 14703-2026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46276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14703-2026 artfynd.xlsx", "A 14703-2026")</f>
        <v/>
      </c>
      <c r="X113">
        <f>HYPERLINK("https://klasma.github.io/Logging_2180/kartor/A 14703-2026 karta.png", "A 14703-2026")</f>
        <v/>
      </c>
      <c r="Y113">
        <f>HYPERLINK("https://klasma.github.io/Logging_2180/kartor_geotiff/A 14703-2026 georefererad karta.tif", "A 14703-2026")</f>
        <v/>
      </c>
      <c r="AA113">
        <f>HYPERLINK("https://klasma.github.io/Logging_2180/klagomål/A 14703-2026 FSC-klagomål.docx", "A 14703-2026")</f>
        <v/>
      </c>
      <c r="AB113">
        <f>HYPERLINK("https://klasma.github.io/Logging_2180/klagomålsmail/A 14703-2026 FSC-klagomål mail.docx", "A 14703-2026")</f>
        <v/>
      </c>
      <c r="AC113">
        <f>HYPERLINK("https://klasma.github.io/Logging_2180/tillsyn/A 14703-2026 tillsynsbegäran.docx", "A 14703-2026")</f>
        <v/>
      </c>
      <c r="AD113">
        <f>HYPERLINK("https://klasma.github.io/Logging_2180/tillsynsmail/A 14703-2026 tillsynsbegäran mail.docx", "A 14703-2026")</f>
        <v/>
      </c>
      <c r="AE113">
        <f>HYPERLINK("https://klasma.github.io/Logging_2180/fåglar/A 14703-2026 prioriterade fågelarter.docx", "A 14703-2026")</f>
        <v/>
      </c>
    </row>
    <row r="114" ht="15" customHeight="1">
      <c r="A114" t="inlineStr">
        <is>
          <t>A 13269-2026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46276</v>
      </c>
      <c r="F114" t="inlineStr">
        <is>
          <t>GÄVLEBORGS LÄN</t>
        </is>
      </c>
      <c r="G114" t="inlineStr">
        <is>
          <t>GÄVLE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HYPERLINK("https://klasma.github.io/Logging_2180/artfynd/A 13269-2026 artfynd.xlsx", "A 13269-2026")</f>
        <v/>
      </c>
      <c r="X114">
        <f>HYPERLINK("https://klasma.github.io/Logging_2180/kartor/A 13269-2026 karta.png", "A 13269-2026")</f>
        <v/>
      </c>
      <c r="Y114">
        <f>HYPERLINK("https://klasma.github.io/Logging_2180/kartor_geotiff/A 13269-2026 georefererad karta.tif", "A 13269-2026")</f>
        <v/>
      </c>
      <c r="AA114">
        <f>HYPERLINK("https://klasma.github.io/Logging_2180/klagomål/A 13269-2026 FSC-klagomål.docx", "A 13269-2026")</f>
        <v/>
      </c>
      <c r="AB114">
        <f>HYPERLINK("https://klasma.github.io/Logging_2180/klagomålsmail/A 13269-2026 FSC-klagomål mail.docx", "A 13269-2026")</f>
        <v/>
      </c>
      <c r="AC114">
        <f>HYPERLINK("https://klasma.github.io/Logging_2180/tillsyn/A 13269-2026 tillsynsbegäran.docx", "A 13269-2026")</f>
        <v/>
      </c>
      <c r="AD114">
        <f>HYPERLINK("https://klasma.github.io/Logging_2180/tillsynsmail/A 13269-2026 tillsynsbegäran mail.docx", "A 13269-2026")</f>
        <v/>
      </c>
      <c r="AE114">
        <f>HYPERLINK("https://klasma.github.io/Logging_2180/fåglar/A 13269-2026 prioriterade fågelarter.docx", "A 13269-2026")</f>
        <v/>
      </c>
    </row>
    <row r="115" ht="15" customHeight="1">
      <c r="A115" t="inlineStr">
        <is>
          <t>A 22052-2026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46276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Gullpudra</t>
        </is>
      </c>
      <c r="W115">
        <f>HYPERLINK("https://klasma.github.io/Logging_2180/artfynd/A 22052-2026 artfynd.xlsx", "A 22052-2026")</f>
        <v/>
      </c>
      <c r="X115">
        <f>HYPERLINK("https://klasma.github.io/Logging_2180/kartor/A 22052-2026 karta.png", "A 22052-2026")</f>
        <v/>
      </c>
      <c r="Y115">
        <f>HYPERLINK("https://klasma.github.io/Logging_2180/kartor_geotiff/A 22052-2026 georefererad karta.tif", "A 22052-2026")</f>
        <v/>
      </c>
      <c r="AA115">
        <f>HYPERLINK("https://klasma.github.io/Logging_2180/klagomål/A 22052-2026 FSC-klagomål.docx", "A 22052-2026")</f>
        <v/>
      </c>
      <c r="AB115">
        <f>HYPERLINK("https://klasma.github.io/Logging_2180/klagomålsmail/A 22052-2026 FSC-klagomål mail.docx", "A 22052-2026")</f>
        <v/>
      </c>
      <c r="AC115">
        <f>HYPERLINK("https://klasma.github.io/Logging_2180/tillsyn/A 22052-2026 tillsynsbegäran.docx", "A 22052-2026")</f>
        <v/>
      </c>
      <c r="AD115">
        <f>HYPERLINK("https://klasma.github.io/Logging_2180/tillsynsmail/A 22052-2026 tillsynsbegäran mail.docx", "A 22052-2026")</f>
        <v/>
      </c>
    </row>
    <row r="116" ht="15" customHeight="1">
      <c r="A116" t="inlineStr">
        <is>
          <t>A 22892-2026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46276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1.6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22892-2026 artfynd.xlsx", "A 22892-2026")</f>
        <v/>
      </c>
      <c r="X116">
        <f>HYPERLINK("https://klasma.github.io/Logging_2180/kartor/A 22892-2026 karta.png", "A 22892-2026")</f>
        <v/>
      </c>
      <c r="Y116">
        <f>HYPERLINK("https://klasma.github.io/Logging_2180/kartor_geotiff/A 22892-2026 georefererad karta.tif", "A 22892-2026")</f>
        <v/>
      </c>
      <c r="AA116">
        <f>HYPERLINK("https://klasma.github.io/Logging_2180/klagomål/A 22892-2026 FSC-klagomål.docx", "A 22892-2026")</f>
        <v/>
      </c>
      <c r="AB116">
        <f>HYPERLINK("https://klasma.github.io/Logging_2180/klagomålsmail/A 22892-2026 FSC-klagomål mail.docx", "A 22892-2026")</f>
        <v/>
      </c>
      <c r="AC116">
        <f>HYPERLINK("https://klasma.github.io/Logging_2180/tillsyn/A 22892-2026 tillsynsbegäran.docx", "A 22892-2026")</f>
        <v/>
      </c>
      <c r="AD116">
        <f>HYPERLINK("https://klasma.github.io/Logging_2180/tillsynsmail/A 22892-2026 tillsynsbegäran mail.docx", "A 22892-2026")</f>
        <v/>
      </c>
      <c r="AE116">
        <f>HYPERLINK("https://klasma.github.io/Logging_2180/fåglar/A 22892-2026 prioriterade fågelarter.docx", "A 22892-2026")</f>
        <v/>
      </c>
    </row>
    <row r="117" ht="15" customHeight="1">
      <c r="A117" t="inlineStr">
        <is>
          <t>A 11407-2025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46276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1.5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Myskmadra</t>
        </is>
      </c>
      <c r="W117">
        <f>HYPERLINK("https://klasma.github.io/Logging_2180/artfynd/A 11407-2025 artfynd.xlsx", "A 11407-2025")</f>
        <v/>
      </c>
      <c r="X117">
        <f>HYPERLINK("https://klasma.github.io/Logging_2180/kartor/A 11407-2025 karta.png", "A 11407-2025")</f>
        <v/>
      </c>
      <c r="Y117">
        <f>HYPERLINK("https://klasma.github.io/Logging_2180/kartor_geotiff/A 11407-2025 georefererad karta.tif", "A 11407-2025")</f>
        <v/>
      </c>
      <c r="AA117">
        <f>HYPERLINK("https://klasma.github.io/Logging_2180/klagomål/A 11407-2025 FSC-klagomål.docx", "A 11407-2025")</f>
        <v/>
      </c>
      <c r="AB117">
        <f>HYPERLINK("https://klasma.github.io/Logging_2180/klagomålsmail/A 11407-2025 FSC-klagomål mail.docx", "A 11407-2025")</f>
        <v/>
      </c>
      <c r="AC117">
        <f>HYPERLINK("https://klasma.github.io/Logging_2180/tillsyn/A 11407-2025 tillsynsbegäran.docx", "A 11407-2025")</f>
        <v/>
      </c>
      <c r="AD117">
        <f>HYPERLINK("https://klasma.github.io/Logging_2180/tillsynsmail/A 11407-2025 tillsynsbegäran mail.docx", "A 11407-2025")</f>
        <v/>
      </c>
    </row>
    <row r="118" ht="15" customHeight="1">
      <c r="A118" t="inlineStr">
        <is>
          <t>A 27063-2026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46276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27063-2026 artfynd.xlsx", "A 27063-2026")</f>
        <v/>
      </c>
      <c r="X118">
        <f>HYPERLINK("https://klasma.github.io/Logging_2180/kartor/A 27063-2026 karta.png", "A 27063-2026")</f>
        <v/>
      </c>
      <c r="Y118">
        <f>HYPERLINK("https://klasma.github.io/Logging_2180/kartor_geotiff/A 27063-2026 georefererad karta.tif", "A 27063-2026")</f>
        <v/>
      </c>
      <c r="AA118">
        <f>HYPERLINK("https://klasma.github.io/Logging_2180/klagomål/A 27063-2026 FSC-klagomål.docx", "A 27063-2026")</f>
        <v/>
      </c>
      <c r="AB118">
        <f>HYPERLINK("https://klasma.github.io/Logging_2180/klagomålsmail/A 27063-2026 FSC-klagomål mail.docx", "A 27063-2026")</f>
        <v/>
      </c>
      <c r="AC118">
        <f>HYPERLINK("https://klasma.github.io/Logging_2180/tillsyn/A 27063-2026 tillsynsbegäran.docx", "A 27063-2026")</f>
        <v/>
      </c>
      <c r="AD118">
        <f>HYPERLINK("https://klasma.github.io/Logging_2180/tillsynsmail/A 27063-2026 tillsynsbegäran mail.docx", "A 27063-2026")</f>
        <v/>
      </c>
    </row>
    <row r="119" ht="15" customHeight="1">
      <c r="A119" t="inlineStr">
        <is>
          <t>A 26871-2026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46276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4.2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HYPERLINK("https://klasma.github.io/Logging_2180/artfynd/A 26871-2026 artfynd.xlsx", "A 26871-2026")</f>
        <v/>
      </c>
      <c r="X119">
        <f>HYPERLINK("https://klasma.github.io/Logging_2180/kartor/A 26871-2026 karta.png", "A 26871-2026")</f>
        <v/>
      </c>
      <c r="Y119">
        <f>HYPERLINK("https://klasma.github.io/Logging_2180/kartor_geotiff/A 26871-2026 georefererad karta.tif", "A 26871-2026")</f>
        <v/>
      </c>
      <c r="AA119">
        <f>HYPERLINK("https://klasma.github.io/Logging_2180/klagomål/A 26871-2026 FSC-klagomål.docx", "A 26871-2026")</f>
        <v/>
      </c>
      <c r="AB119">
        <f>HYPERLINK("https://klasma.github.io/Logging_2180/klagomålsmail/A 26871-2026 FSC-klagomål mail.docx", "A 26871-2026")</f>
        <v/>
      </c>
      <c r="AC119">
        <f>HYPERLINK("https://klasma.github.io/Logging_2180/tillsyn/A 26871-2026 tillsynsbegäran.docx", "A 26871-2026")</f>
        <v/>
      </c>
      <c r="AD119">
        <f>HYPERLINK("https://klasma.github.io/Logging_2180/tillsynsmail/A 26871-2026 tillsynsbegäran mail.docx", "A 26871-2026")</f>
        <v/>
      </c>
    </row>
    <row r="120" ht="15" customHeight="1">
      <c r="A120" t="inlineStr">
        <is>
          <t>A 27058-2026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46276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Gullpudra</t>
        </is>
      </c>
      <c r="W120">
        <f>HYPERLINK("https://klasma.github.io/Logging_2180/artfynd/A 27058-2026 artfynd.xlsx", "A 27058-2026")</f>
        <v/>
      </c>
      <c r="X120">
        <f>HYPERLINK("https://klasma.github.io/Logging_2180/kartor/A 27058-2026 karta.png", "A 27058-2026")</f>
        <v/>
      </c>
      <c r="Y120">
        <f>HYPERLINK("https://klasma.github.io/Logging_2180/kartor_geotiff/A 27058-2026 georefererad karta.tif", "A 27058-2026")</f>
        <v/>
      </c>
      <c r="AA120">
        <f>HYPERLINK("https://klasma.github.io/Logging_2180/klagomål/A 27058-2026 FSC-klagomål.docx", "A 27058-2026")</f>
        <v/>
      </c>
      <c r="AB120">
        <f>HYPERLINK("https://klasma.github.io/Logging_2180/klagomålsmail/A 27058-2026 FSC-klagomål mail.docx", "A 27058-2026")</f>
        <v/>
      </c>
      <c r="AC120">
        <f>HYPERLINK("https://klasma.github.io/Logging_2180/tillsyn/A 27058-2026 tillsynsbegäran.docx", "A 27058-2026")</f>
        <v/>
      </c>
      <c r="AD120">
        <f>HYPERLINK("https://klasma.github.io/Logging_2180/tillsynsmail/A 27058-2026 tillsynsbegäran mail.docx", "A 27058-2026")</f>
        <v/>
      </c>
    </row>
    <row r="121" ht="15" customHeight="1">
      <c r="A121" t="inlineStr">
        <is>
          <t>A 27043-2026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46276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27043-2026 artfynd.xlsx", "A 27043-2026")</f>
        <v/>
      </c>
      <c r="X121">
        <f>HYPERLINK("https://klasma.github.io/Logging_2180/kartor/A 27043-2026 karta.png", "A 27043-2026")</f>
        <v/>
      </c>
      <c r="Y121">
        <f>HYPERLINK("https://klasma.github.io/Logging_2180/kartor_geotiff/A 27043-2026 georefererad karta.tif", "A 27043-2026")</f>
        <v/>
      </c>
      <c r="AA121">
        <f>HYPERLINK("https://klasma.github.io/Logging_2180/klagomål/A 27043-2026 FSC-klagomål.docx", "A 27043-2026")</f>
        <v/>
      </c>
      <c r="AB121">
        <f>HYPERLINK("https://klasma.github.io/Logging_2180/klagomålsmail/A 27043-2026 FSC-klagomål mail.docx", "A 27043-2026")</f>
        <v/>
      </c>
      <c r="AC121">
        <f>HYPERLINK("https://klasma.github.io/Logging_2180/tillsyn/A 27043-2026 tillsynsbegäran.docx", "A 27043-2026")</f>
        <v/>
      </c>
      <c r="AD121">
        <f>HYPERLINK("https://klasma.github.io/Logging_2180/tillsynsmail/A 27043-2026 tillsynsbegäran mail.docx", "A 27043-2026")</f>
        <v/>
      </c>
    </row>
    <row r="122" ht="15" customHeight="1">
      <c r="A122" t="inlineStr">
        <is>
          <t>A 28546-2026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46276</v>
      </c>
      <c r="F122" t="inlineStr">
        <is>
          <t>GÄVLEBORGS LÄN</t>
        </is>
      </c>
      <c r="G122" t="inlineStr">
        <is>
          <t>GÄVLE</t>
        </is>
      </c>
      <c r="H122" t="inlineStr">
        <is>
          <t>BillerudKorsnäs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Fiskgjuse</t>
        </is>
      </c>
      <c r="W122">
        <f>HYPERLINK("https://klasma.github.io/Logging_2180/artfynd/A 28546-2026 artfynd.xlsx", "A 28546-2026")</f>
        <v/>
      </c>
      <c r="X122">
        <f>HYPERLINK("https://klasma.github.io/Logging_2180/kartor/A 28546-2026 karta.png", "A 28546-2026")</f>
        <v/>
      </c>
      <c r="Y122">
        <f>HYPERLINK("https://klasma.github.io/Logging_2180/kartor_geotiff/A 28546-2026 georefererad karta.tif", "A 28546-2026")</f>
        <v/>
      </c>
      <c r="AA122">
        <f>HYPERLINK("https://klasma.github.io/Logging_2180/klagomål/A 28546-2026 FSC-klagomål.docx", "A 28546-2026")</f>
        <v/>
      </c>
      <c r="AB122">
        <f>HYPERLINK("https://klasma.github.io/Logging_2180/klagomålsmail/A 28546-2026 FSC-klagomål mail.docx", "A 28546-2026")</f>
        <v/>
      </c>
      <c r="AC122">
        <f>HYPERLINK("https://klasma.github.io/Logging_2180/tillsyn/A 28546-2026 tillsynsbegäran.docx", "A 28546-2026")</f>
        <v/>
      </c>
      <c r="AD122">
        <f>HYPERLINK("https://klasma.github.io/Logging_2180/tillsynsmail/A 28546-2026 tillsynsbegäran mail.docx", "A 28546-2026")</f>
        <v/>
      </c>
      <c r="AE122">
        <f>HYPERLINK("https://klasma.github.io/Logging_2180/fåglar/A 28546-2026 prioriterade fågelarter.docx", "A 28546-2026")</f>
        <v/>
      </c>
    </row>
    <row r="123" ht="15" customHeight="1">
      <c r="A123" t="inlineStr">
        <is>
          <t>A 18216-2024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46276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2.3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Dofttaggsvamp</t>
        </is>
      </c>
      <c r="W123">
        <f>HYPERLINK("https://klasma.github.io/Logging_2180/artfynd/A 18216-2024 artfynd.xlsx", "A 18216-2024")</f>
        <v/>
      </c>
      <c r="X123">
        <f>HYPERLINK("https://klasma.github.io/Logging_2180/kartor/A 18216-2024 karta.png", "A 18216-2024")</f>
        <v/>
      </c>
      <c r="Y123">
        <f>HYPERLINK("https://klasma.github.io/Logging_2180/kartor_geotiff/A 18216-2024 georefererad karta.tif", "A 18216-2024")</f>
        <v/>
      </c>
      <c r="AA123">
        <f>HYPERLINK("https://klasma.github.io/Logging_2180/klagomål/A 18216-2024 FSC-klagomål.docx", "A 18216-2024")</f>
        <v/>
      </c>
      <c r="AB123">
        <f>HYPERLINK("https://klasma.github.io/Logging_2180/klagomålsmail/A 18216-2024 FSC-klagomål mail.docx", "A 18216-2024")</f>
        <v/>
      </c>
      <c r="AC123">
        <f>HYPERLINK("https://klasma.github.io/Logging_2180/tillsyn/A 18216-2024 tillsynsbegäran.docx", "A 18216-2024")</f>
        <v/>
      </c>
      <c r="AD123">
        <f>HYPERLINK("https://klasma.github.io/Logging_2180/tillsynsmail/A 18216-2024 tillsynsbegäran mail.docx", "A 18216-2024")</f>
        <v/>
      </c>
    </row>
    <row r="124" ht="15" customHeight="1">
      <c r="A124" t="inlineStr">
        <is>
          <t>A 37927-2022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46276</v>
      </c>
      <c r="F124" t="inlineStr">
        <is>
          <t>GÄVLEBORGS LÄN</t>
        </is>
      </c>
      <c r="G124" t="inlineStr">
        <is>
          <t>GÄVLE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10</v>
      </c>
      <c r="U124" t="n">
        <v>10</v>
      </c>
      <c r="V124" s="2" t="inlineStr">
        <is>
          <t>Knärot</t>
        </is>
      </c>
      <c r="W124">
        <f>HYPERLINK("https://klasma.github.io/Logging_2180/artfynd/A 37927-2022 artfynd.xlsx", "A 37927-2022")</f>
        <v/>
      </c>
      <c r="X124">
        <f>HYPERLINK("https://klasma.github.io/Logging_2180/kartor/A 37927-2022 karta.png", "A 37927-2022")</f>
        <v/>
      </c>
      <c r="Y124">
        <f>HYPERLINK("https://klasma.github.io/Logging_2180/kartor_geotiff/A 37927-2022 georefererad karta.tif", "A 37927-2022")</f>
        <v/>
      </c>
      <c r="Z124">
        <f>HYPERLINK("https://klasma.github.io/Logging_2180/knärot/A 37927-2022 karta knärot.png", "A 37927-2022")</f>
        <v/>
      </c>
      <c r="AA124">
        <f>HYPERLINK("https://klasma.github.io/Logging_2180/klagomål/A 37927-2022 FSC-klagomål.docx", "A 37927-2022")</f>
        <v/>
      </c>
      <c r="AB124">
        <f>HYPERLINK("https://klasma.github.io/Logging_2180/klagomålsmail/A 37927-2022 FSC-klagomål mail.docx", "A 37927-2022")</f>
        <v/>
      </c>
      <c r="AC124">
        <f>HYPERLINK("https://klasma.github.io/Logging_2180/tillsyn/A 37927-2022 tillsynsbegäran.docx", "A 37927-2022")</f>
        <v/>
      </c>
      <c r="AD124">
        <f>HYPERLINK("https://klasma.github.io/Logging_2180/tillsynsmail/A 37927-2022 tillsynsbegäran mail.docx", "A 37927-2022")</f>
        <v/>
      </c>
    </row>
    <row r="125" ht="15" customHeight="1">
      <c r="A125" t="inlineStr">
        <is>
          <t>A 33832-2026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46251</v>
      </c>
      <c r="E125" s="1" t="n">
        <v>46276</v>
      </c>
      <c r="F125" t="inlineStr">
        <is>
          <t>GÄVLEBORGS LÄN</t>
        </is>
      </c>
      <c r="G125" t="inlineStr">
        <is>
          <t>GÄVLE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HYPERLINK("https://klasma.github.io/Logging_2180/artfynd/A 33832-2026 artfynd.xlsx", "A 33832-2026")</f>
        <v/>
      </c>
      <c r="X125">
        <f>HYPERLINK("https://klasma.github.io/Logging_2180/kartor/A 33832-2026 karta.png", "A 33832-2026")</f>
        <v/>
      </c>
      <c r="Y125">
        <f>HYPERLINK("https://klasma.github.io/Logging_2180/kartor_geotiff/A 33832-2026 georefererad karta.tif", "A 33832-2026")</f>
        <v/>
      </c>
      <c r="AA125">
        <f>HYPERLINK("https://klasma.github.io/Logging_2180/klagomål/A 33832-2026 FSC-klagomål.docx", "A 33832-2026")</f>
        <v/>
      </c>
      <c r="AB125">
        <f>HYPERLINK("https://klasma.github.io/Logging_2180/klagomålsmail/A 33832-2026 FSC-klagomål mail.docx", "A 33832-2026")</f>
        <v/>
      </c>
      <c r="AC125">
        <f>HYPERLINK("https://klasma.github.io/Logging_2180/tillsyn/A 33832-2026 tillsynsbegäran.docx", "A 33832-2026")</f>
        <v/>
      </c>
      <c r="AD125">
        <f>HYPERLINK("https://klasma.github.io/Logging_2180/tillsynsmail/A 33832-2026 tillsynsbegäran mail.docx", "A 33832-2026")</f>
        <v/>
      </c>
    </row>
    <row r="126" ht="15" customHeight="1">
      <c r="A126" t="inlineStr">
        <is>
          <t>A 34086-2026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46252</v>
      </c>
      <c r="E126" s="1" t="n">
        <v>46276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6.1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Gullgröppa</t>
        </is>
      </c>
      <c r="W126">
        <f>HYPERLINK("https://klasma.github.io/Logging_2180/artfynd/A 34086-2026 artfynd.xlsx", "A 34086-2026")</f>
        <v/>
      </c>
      <c r="X126">
        <f>HYPERLINK("https://klasma.github.io/Logging_2180/kartor/A 34086-2026 karta.png", "A 34086-2026")</f>
        <v/>
      </c>
      <c r="Y126">
        <f>HYPERLINK("https://klasma.github.io/Logging_2180/kartor_geotiff/A 34086-2026 georefererad karta.tif", "A 34086-2026")</f>
        <v/>
      </c>
      <c r="AA126">
        <f>HYPERLINK("https://klasma.github.io/Logging_2180/klagomål/A 34086-2026 FSC-klagomål.docx", "A 34086-2026")</f>
        <v/>
      </c>
      <c r="AB126">
        <f>HYPERLINK("https://klasma.github.io/Logging_2180/klagomålsmail/A 34086-2026 FSC-klagomål mail.docx", "A 34086-2026")</f>
        <v/>
      </c>
      <c r="AC126">
        <f>HYPERLINK("https://klasma.github.io/Logging_2180/tillsyn/A 34086-2026 tillsynsbegäran.docx", "A 34086-2026")</f>
        <v/>
      </c>
      <c r="AD126">
        <f>HYPERLINK("https://klasma.github.io/Logging_2180/tillsynsmail/A 34086-2026 tillsynsbegäran mail.docx", "A 34086-2026")</f>
        <v/>
      </c>
    </row>
    <row r="127" ht="15" customHeight="1">
      <c r="A127" t="inlineStr">
        <is>
          <t>A 34589-2026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46255</v>
      </c>
      <c r="E127" s="1" t="n">
        <v>46276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15.3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HYPERLINK("https://klasma.github.io/Logging_2180/artfynd/A 34589-2026 artfynd.xlsx", "A 34589-2026")</f>
        <v/>
      </c>
      <c r="X127">
        <f>HYPERLINK("https://klasma.github.io/Logging_2180/kartor/A 34589-2026 karta.png", "A 34589-2026")</f>
        <v/>
      </c>
      <c r="Y127">
        <f>HYPERLINK("https://klasma.github.io/Logging_2180/kartor_geotiff/A 34589-2026 georefererad karta.tif", "A 34589-2026")</f>
        <v/>
      </c>
      <c r="AA127">
        <f>HYPERLINK("https://klasma.github.io/Logging_2180/klagomål/A 34589-2026 FSC-klagomål.docx", "A 34589-2026")</f>
        <v/>
      </c>
      <c r="AB127">
        <f>HYPERLINK("https://klasma.github.io/Logging_2180/klagomålsmail/A 34589-2026 FSC-klagomål mail.docx", "A 34589-2026")</f>
        <v/>
      </c>
      <c r="AC127">
        <f>HYPERLINK("https://klasma.github.io/Logging_2180/tillsyn/A 34589-2026 tillsynsbegäran.docx", "A 34589-2026")</f>
        <v/>
      </c>
      <c r="AD127">
        <f>HYPERLINK("https://klasma.github.io/Logging_2180/tillsynsmail/A 34589-2026 tillsynsbegäran mail.docx", "A 34589-2026")</f>
        <v/>
      </c>
    </row>
    <row r="128" ht="15" customHeight="1">
      <c r="A128" t="inlineStr">
        <is>
          <t>A 31448-2026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46217</v>
      </c>
      <c r="E128" s="1" t="n">
        <v>46276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Mindre tåtelsmygare</t>
        </is>
      </c>
      <c r="W128">
        <f>HYPERLINK("https://klasma.github.io/Logging_2180/artfynd/A 31448-2026 artfynd.xlsx", "A 31448-2026")</f>
        <v/>
      </c>
      <c r="X128">
        <f>HYPERLINK("https://klasma.github.io/Logging_2180/kartor/A 31448-2026 karta.png", "A 31448-2026")</f>
        <v/>
      </c>
      <c r="Y128">
        <f>HYPERLINK("https://klasma.github.io/Logging_2180/kartor_geotiff/A 31448-2026 georefererad karta.tif", "A 31448-2026")</f>
        <v/>
      </c>
      <c r="AA128">
        <f>HYPERLINK("https://klasma.github.io/Logging_2180/klagomål/A 31448-2026 FSC-klagomål.docx", "A 31448-2026")</f>
        <v/>
      </c>
      <c r="AB128">
        <f>HYPERLINK("https://klasma.github.io/Logging_2180/klagomålsmail/A 31448-2026 FSC-klagomål mail.docx", "A 31448-2026")</f>
        <v/>
      </c>
      <c r="AC128">
        <f>HYPERLINK("https://klasma.github.io/Logging_2180/tillsyn/A 31448-2026 tillsynsbegäran.docx", "A 31448-2026")</f>
        <v/>
      </c>
      <c r="AD128">
        <f>HYPERLINK("https://klasma.github.io/Logging_2180/tillsynsmail/A 31448-2026 tillsynsbegäran mail.docx", "A 31448-2026")</f>
        <v/>
      </c>
    </row>
    <row r="129" ht="15" customHeight="1">
      <c r="A129" t="inlineStr">
        <is>
          <t>A 12083-2025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46276</v>
      </c>
      <c r="F129" t="inlineStr">
        <is>
          <t>GÄVLEBORGS LÄN</t>
        </is>
      </c>
      <c r="G129" t="inlineStr">
        <is>
          <t>GÄVLE</t>
        </is>
      </c>
      <c r="I129" t="n">
        <v>6.3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Grönsiska</t>
        </is>
      </c>
      <c r="W129">
        <f>HYPERLINK("https://klasma.github.io/Logging_2180/artfynd/A 12083-2025 artfynd.xlsx", "A 12083-2025")</f>
        <v/>
      </c>
      <c r="X129">
        <f>HYPERLINK("https://klasma.github.io/Logging_2180/kartor/A 12083-2025 karta.png", "A 12083-2025")</f>
        <v/>
      </c>
      <c r="Y129">
        <f>HYPERLINK("https://klasma.github.io/Logging_2180/kartor_geotiff/A 12083-2025 georefererad karta.tif", "A 12083-2025")</f>
        <v/>
      </c>
      <c r="AA129">
        <f>HYPERLINK("https://klasma.github.io/Logging_2180/klagomål/A 12083-2025 FSC-klagomål.docx", "A 12083-2025")</f>
        <v/>
      </c>
      <c r="AB129">
        <f>HYPERLINK("https://klasma.github.io/Logging_2180/klagomålsmail/A 12083-2025 FSC-klagomål mail.docx", "A 12083-2025")</f>
        <v/>
      </c>
      <c r="AC129">
        <f>HYPERLINK("https://klasma.github.io/Logging_2180/tillsyn/A 12083-2025 tillsynsbegäran.docx", "A 12083-2025")</f>
        <v/>
      </c>
      <c r="AD129">
        <f>HYPERLINK("https://klasma.github.io/Logging_2180/tillsynsmail/A 12083-2025 tillsynsbegäran mail.docx", "A 12083-2025")</f>
        <v/>
      </c>
    </row>
    <row r="130" ht="15" customHeight="1">
      <c r="A130" t="inlineStr">
        <is>
          <t>A 13227-2024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46276</v>
      </c>
      <c r="F130" t="inlineStr">
        <is>
          <t>GÄVLEBORGS LÄN</t>
        </is>
      </c>
      <c r="G130" t="inlineStr">
        <is>
          <t>GÄVLE</t>
        </is>
      </c>
      <c r="H130" t="inlineStr">
        <is>
          <t>Övriga statliga verk och myndigheter</t>
        </is>
      </c>
      <c r="I130" t="n">
        <v>5.9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Större vattensalamander</t>
        </is>
      </c>
      <c r="W130">
        <f>HYPERLINK("https://klasma.github.io/Logging_2180/artfynd/A 13227-2024 artfynd.xlsx", "A 13227-2024")</f>
        <v/>
      </c>
      <c r="X130">
        <f>HYPERLINK("https://klasma.github.io/Logging_2180/kartor/A 13227-2024 karta.png", "A 13227-2024")</f>
        <v/>
      </c>
      <c r="Y130">
        <f>HYPERLINK("https://klasma.github.io/Logging_2180/kartor_geotiff/A 13227-2024 georefererad karta.tif", "A 13227-2024")</f>
        <v/>
      </c>
      <c r="AA130">
        <f>HYPERLINK("https://klasma.github.io/Logging_2180/klagomål/A 13227-2024 FSC-klagomål.docx", "A 13227-2024")</f>
        <v/>
      </c>
      <c r="AB130">
        <f>HYPERLINK("https://klasma.github.io/Logging_2180/klagomålsmail/A 13227-2024 FSC-klagomål mail.docx", "A 13227-2024")</f>
        <v/>
      </c>
      <c r="AC130">
        <f>HYPERLINK("https://klasma.github.io/Logging_2180/tillsyn/A 13227-2024 tillsynsbegäran.docx", "A 13227-2024")</f>
        <v/>
      </c>
      <c r="AD130">
        <f>HYPERLINK("https://klasma.github.io/Logging_2180/tillsynsmail/A 13227-2024 tillsynsbegäran mail.docx", "A 13227-2024")</f>
        <v/>
      </c>
    </row>
    <row r="131" ht="15" customHeight="1">
      <c r="A131" t="inlineStr">
        <is>
          <t>A 36090-2026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46267</v>
      </c>
      <c r="E131" s="1" t="n">
        <v>46276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HYPERLINK("https://klasma.github.io/Logging_2180/artfynd/A 36090-2026 artfynd.xlsx", "A 36090-2026")</f>
        <v/>
      </c>
      <c r="X131">
        <f>HYPERLINK("https://klasma.github.io/Logging_2180/kartor/A 36090-2026 karta.png", "A 36090-2026")</f>
        <v/>
      </c>
      <c r="Y131">
        <f>HYPERLINK("https://klasma.github.io/Logging_2180/kartor_geotiff/A 36090-2026 georefererad karta.tif", "A 36090-2026")</f>
        <v/>
      </c>
      <c r="AA131">
        <f>HYPERLINK("https://klasma.github.io/Logging_2180/klagomål/A 36090-2026 FSC-klagomål.docx", "A 36090-2026")</f>
        <v/>
      </c>
      <c r="AB131">
        <f>HYPERLINK("https://klasma.github.io/Logging_2180/klagomålsmail/A 36090-2026 FSC-klagomål mail.docx", "A 36090-2026")</f>
        <v/>
      </c>
      <c r="AC131">
        <f>HYPERLINK("https://klasma.github.io/Logging_2180/tillsyn/A 36090-2026 tillsynsbegäran.docx", "A 36090-2026")</f>
        <v/>
      </c>
      <c r="AD131">
        <f>HYPERLINK("https://klasma.github.io/Logging_2180/tillsynsmail/A 36090-2026 tillsynsbegäran mail.docx", "A 36090-2026")</f>
        <v/>
      </c>
    </row>
    <row r="132" ht="15" customHeight="1">
      <c r="A132" t="inlineStr">
        <is>
          <t>A 23003-2026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46160</v>
      </c>
      <c r="E132" s="1" t="n">
        <v>46276</v>
      </c>
      <c r="F132" t="inlineStr">
        <is>
          <t>GÄVLEBORGS LÄN</t>
        </is>
      </c>
      <c r="G132" t="inlineStr">
        <is>
          <t>GÄVLE</t>
        </is>
      </c>
      <c r="I132" t="n">
        <v>12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Tjäder</t>
        </is>
      </c>
      <c r="W132">
        <f>HYPERLINK("https://klasma.github.io/Logging_2180/artfynd/A 23003-2026 artfynd.xlsx", "A 23003-2026")</f>
        <v/>
      </c>
      <c r="X132">
        <f>HYPERLINK("https://klasma.github.io/Logging_2180/kartor/A 23003-2026 karta.png", "A 23003-2026")</f>
        <v/>
      </c>
      <c r="Y132">
        <f>HYPERLINK("https://klasma.github.io/Logging_2180/kartor_geotiff/A 23003-2026 georefererad karta.tif", "A 23003-2026")</f>
        <v/>
      </c>
      <c r="AA132">
        <f>HYPERLINK("https://klasma.github.io/Logging_2180/klagomål/A 23003-2026 FSC-klagomål.docx", "A 23003-2026")</f>
        <v/>
      </c>
      <c r="AB132">
        <f>HYPERLINK("https://klasma.github.io/Logging_2180/klagomålsmail/A 23003-2026 FSC-klagomål mail.docx", "A 23003-2026")</f>
        <v/>
      </c>
      <c r="AC132">
        <f>HYPERLINK("https://klasma.github.io/Logging_2180/tillsyn/A 23003-2026 tillsynsbegäran.docx", "A 23003-2026")</f>
        <v/>
      </c>
      <c r="AD132">
        <f>HYPERLINK("https://klasma.github.io/Logging_2180/tillsynsmail/A 23003-2026 tillsynsbegäran mail.docx", "A 23003-2026")</f>
        <v/>
      </c>
      <c r="AE132">
        <f>HYPERLINK("https://klasma.github.io/Logging_2180/fåglar/A 23003-2026 prioriterade fågelarter.docx", "A 23003-2026")</f>
        <v/>
      </c>
    </row>
    <row r="133" ht="15" customHeight="1">
      <c r="A133" t="inlineStr">
        <is>
          <t>A 34890-2026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46259</v>
      </c>
      <c r="E133" s="1" t="n">
        <v>46276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18.3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4</v>
      </c>
      <c r="U133" t="n">
        <v>0</v>
      </c>
      <c r="V133" s="2" t="inlineStr">
        <is>
          <t>Spillkråka</t>
        </is>
      </c>
      <c r="W133">
        <f>HYPERLINK("https://klasma.github.io/Logging_2180/artfynd/A 34890-2026 artfynd.xlsx", "A 34890-2026")</f>
        <v/>
      </c>
      <c r="X133">
        <f>HYPERLINK("https://klasma.github.io/Logging_2180/kartor/A 34890-2026 karta.png", "A 34890-2026")</f>
        <v/>
      </c>
      <c r="Y133">
        <f>HYPERLINK("https://klasma.github.io/Logging_2180/kartor_geotiff/A 34890-2026 georefererad karta.tif", "A 34890-2026")</f>
        <v/>
      </c>
      <c r="AA133">
        <f>HYPERLINK("https://klasma.github.io/Logging_2180/klagomål/A 34890-2026 FSC-klagomål.docx", "A 34890-2026")</f>
        <v/>
      </c>
      <c r="AB133">
        <f>HYPERLINK("https://klasma.github.io/Logging_2180/klagomålsmail/A 34890-2026 FSC-klagomål mail.docx", "A 34890-2026")</f>
        <v/>
      </c>
      <c r="AC133">
        <f>HYPERLINK("https://klasma.github.io/Logging_2180/tillsyn/A 34890-2026 tillsynsbegäran.docx", "A 34890-2026")</f>
        <v/>
      </c>
      <c r="AD133">
        <f>HYPERLINK("https://klasma.github.io/Logging_2180/tillsynsmail/A 34890-2026 tillsynsbegäran mail.docx", "A 34890-2026")</f>
        <v/>
      </c>
      <c r="AE133">
        <f>HYPERLINK("https://klasma.github.io/Logging_2180/fåglar/A 34890-2026 prioriterade fågelarter.docx", "A 34890-2026")</f>
        <v/>
      </c>
    </row>
    <row r="134" ht="15" customHeight="1">
      <c r="A134" t="inlineStr">
        <is>
          <t>A 37220-2026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46274</v>
      </c>
      <c r="E134" s="1" t="n">
        <v>46276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5.1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HYPERLINK("https://klasma.github.io/Logging_2180/artfynd/A 37220-2026 artfynd.xlsx", "A 37220-2026")</f>
        <v/>
      </c>
      <c r="X134">
        <f>HYPERLINK("https://klasma.github.io/Logging_2180/kartor/A 37220-2026 karta.png", "A 37220-2026")</f>
        <v/>
      </c>
      <c r="Y134">
        <f>HYPERLINK("https://klasma.github.io/Logging_2180/kartor_geotiff/A 37220-2026 georefererad karta.tif", "A 37220-2026")</f>
        <v/>
      </c>
      <c r="AA134">
        <f>HYPERLINK("https://klasma.github.io/Logging_2180/klagomål/A 37220-2026 FSC-klagomål.docx", "A 37220-2026")</f>
        <v/>
      </c>
      <c r="AB134">
        <f>HYPERLINK("https://klasma.github.io/Logging_2180/klagomålsmail/A 37220-2026 FSC-klagomål mail.docx", "A 37220-2026")</f>
        <v/>
      </c>
      <c r="AC134">
        <f>HYPERLINK("https://klasma.github.io/Logging_2180/tillsyn/A 37220-2026 tillsynsbegäran.docx", "A 37220-2026")</f>
        <v/>
      </c>
      <c r="AD134">
        <f>HYPERLINK("https://klasma.github.io/Logging_2180/tillsynsmail/A 37220-2026 tillsynsbegäran mail.docx", "A 37220-2026")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46276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46276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46276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46276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66494-2021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46276</v>
      </c>
      <c r="F139" t="inlineStr">
        <is>
          <t>GÄVLEBORGS LÄN</t>
        </is>
      </c>
      <c r="G139" t="inlineStr">
        <is>
          <t>GÄVLE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46276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46276</v>
      </c>
      <c r="F141" t="inlineStr">
        <is>
          <t>GÄVLEBORGS LÄN</t>
        </is>
      </c>
      <c r="G141" t="inlineStr">
        <is>
          <t>GÄVLE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46276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46276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46276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46276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46276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46276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46276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46276</v>
      </c>
      <c r="F149" t="inlineStr">
        <is>
          <t>GÄVLEBORGS LÄN</t>
        </is>
      </c>
      <c r="G149" t="inlineStr">
        <is>
          <t>GÄVLE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46276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46276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46276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46276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46276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46276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46276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46276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46276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26336-2022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44735</v>
      </c>
      <c r="E159" s="1" t="n">
        <v>46276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46276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46276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46276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46276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46276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46276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46276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46276</v>
      </c>
      <c r="F167" t="inlineStr">
        <is>
          <t>GÄVLEBORGS LÄN</t>
        </is>
      </c>
      <c r="G167" t="inlineStr">
        <is>
          <t>GÄVLE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46276</v>
      </c>
      <c r="F168" t="inlineStr">
        <is>
          <t>GÄVLEBORGS LÄN</t>
        </is>
      </c>
      <c r="G168" t="inlineStr">
        <is>
          <t>GÄVLE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46276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46276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46276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46276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46276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46276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46276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46276</v>
      </c>
      <c r="F176" t="inlineStr">
        <is>
          <t>GÄVLEBORGS LÄN</t>
        </is>
      </c>
      <c r="G176" t="inlineStr">
        <is>
          <t>GÄVLE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46276</v>
      </c>
      <c r="F177" t="inlineStr">
        <is>
          <t>GÄVLEBORGS LÄN</t>
        </is>
      </c>
      <c r="G177" t="inlineStr">
        <is>
          <t>GÄVLE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46276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46276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45014</v>
      </c>
      <c r="E180" s="1" t="n">
        <v>46276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46276</v>
      </c>
      <c r="F181" t="inlineStr">
        <is>
          <t>GÄVLEBORGS LÄN</t>
        </is>
      </c>
      <c r="G181" t="inlineStr">
        <is>
          <t>GÄVLE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45611</v>
      </c>
      <c r="E182" s="1" t="n">
        <v>46276</v>
      </c>
      <c r="F182" t="inlineStr">
        <is>
          <t>GÄVLEBORGS LÄN</t>
        </is>
      </c>
      <c r="G182" t="inlineStr">
        <is>
          <t>GÄVLE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46276</v>
      </c>
      <c r="F183" t="inlineStr">
        <is>
          <t>GÄVLEBORGS LÄN</t>
        </is>
      </c>
      <c r="G183" t="inlineStr">
        <is>
          <t>GÄVLE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12228-2022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44637</v>
      </c>
      <c r="E184" s="1" t="n">
        <v>46276</v>
      </c>
      <c r="F184" t="inlineStr">
        <is>
          <t>GÄVLEBORGS LÄN</t>
        </is>
      </c>
      <c r="G184" t="inlineStr">
        <is>
          <t>GÄVLE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14750-2022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44656</v>
      </c>
      <c r="E185" s="1" t="n">
        <v>46276</v>
      </c>
      <c r="F185" t="inlineStr">
        <is>
          <t>GÄVLEBORGS LÄN</t>
        </is>
      </c>
      <c r="G185" t="inlineStr">
        <is>
          <t>GÄVLE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46276</v>
      </c>
      <c r="F186" t="inlineStr">
        <is>
          <t>GÄVLEBORGS LÄN</t>
        </is>
      </c>
      <c r="G186" t="inlineStr">
        <is>
          <t>GÄVLE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46276</v>
      </c>
      <c r="F187" t="inlineStr">
        <is>
          <t>GÄVLEBORGS LÄN</t>
        </is>
      </c>
      <c r="G187" t="inlineStr">
        <is>
          <t>GÄVLE</t>
        </is>
      </c>
      <c r="H187" t="inlineStr">
        <is>
          <t>Bergvik skog väst AB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45660</v>
      </c>
      <c r="E188" s="1" t="n">
        <v>46276</v>
      </c>
      <c r="F188" t="inlineStr">
        <is>
          <t>GÄVLEBORGS LÄN</t>
        </is>
      </c>
      <c r="G188" t="inlineStr">
        <is>
          <t>GÄVLE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46276</v>
      </c>
      <c r="F189" t="inlineStr">
        <is>
          <t>GÄVLEBORGS LÄN</t>
        </is>
      </c>
      <c r="G189" t="inlineStr">
        <is>
          <t>GÄVLE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46276</v>
      </c>
      <c r="F190" t="inlineStr">
        <is>
          <t>GÄVLEBORGS LÄN</t>
        </is>
      </c>
      <c r="G190" t="inlineStr">
        <is>
          <t>GÄVLE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46276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46276</v>
      </c>
      <c r="F192" t="inlineStr">
        <is>
          <t>GÄVLEBORGS LÄN</t>
        </is>
      </c>
      <c r="G192" t="inlineStr">
        <is>
          <t>GÄVLE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46276</v>
      </c>
      <c r="F193" t="inlineStr">
        <is>
          <t>GÄVLEBORGS LÄN</t>
        </is>
      </c>
      <c r="G193" t="inlineStr">
        <is>
          <t>GÄVLE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46276</v>
      </c>
      <c r="F194" t="inlineStr">
        <is>
          <t>GÄVLEBORGS LÄN</t>
        </is>
      </c>
      <c r="G194" t="inlineStr">
        <is>
          <t>GÄVLE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46276</v>
      </c>
      <c r="F195" t="inlineStr">
        <is>
          <t>GÄVLEBORGS LÄN</t>
        </is>
      </c>
      <c r="G195" t="inlineStr">
        <is>
          <t>GÄVLE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44708</v>
      </c>
      <c r="E196" s="1" t="n">
        <v>46276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46276</v>
      </c>
      <c r="F197" t="inlineStr">
        <is>
          <t>GÄVLEBORGS LÄN</t>
        </is>
      </c>
      <c r="G197" t="inlineStr">
        <is>
          <t>GÄVLE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46276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46276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46276</v>
      </c>
      <c r="F200" t="inlineStr">
        <is>
          <t>GÄVLEBORGS LÄN</t>
        </is>
      </c>
      <c r="G200" t="inlineStr">
        <is>
          <t>GÄVLE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46276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44942</v>
      </c>
      <c r="E202" s="1" t="n">
        <v>46276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46276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46276</v>
      </c>
      <c r="F204" t="inlineStr">
        <is>
          <t>GÄVLEBORGS LÄN</t>
        </is>
      </c>
      <c r="G204" t="inlineStr">
        <is>
          <t>GÄVLE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46276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46276</v>
      </c>
      <c r="F206" t="inlineStr">
        <is>
          <t>GÄVLEBORGS LÄN</t>
        </is>
      </c>
      <c r="G206" t="inlineStr">
        <is>
          <t>GÄVLE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45632</v>
      </c>
      <c r="E207" s="1" t="n">
        <v>46276</v>
      </c>
      <c r="F207" t="inlineStr">
        <is>
          <t>GÄVLEBORGS LÄN</t>
        </is>
      </c>
      <c r="G207" t="inlineStr">
        <is>
          <t>GÄVLE</t>
        </is>
      </c>
      <c r="I207" t="n">
        <v>13.1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45505</v>
      </c>
      <c r="E208" s="1" t="n">
        <v>46276</v>
      </c>
      <c r="F208" t="inlineStr">
        <is>
          <t>GÄVLEBORGS LÄN</t>
        </is>
      </c>
      <c r="G208" t="inlineStr">
        <is>
          <t>GÄVLE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46276</v>
      </c>
      <c r="F209" t="inlineStr">
        <is>
          <t>GÄVLEBORGS LÄN</t>
        </is>
      </c>
      <c r="G209" t="inlineStr">
        <is>
          <t>GÄVLE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19095-2022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44691</v>
      </c>
      <c r="E210" s="1" t="n">
        <v>46276</v>
      </c>
      <c r="F210" t="inlineStr">
        <is>
          <t>GÄVLEBORGS LÄN</t>
        </is>
      </c>
      <c r="G210" t="inlineStr">
        <is>
          <t>GÄVLE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45117</v>
      </c>
      <c r="E211" s="1" t="n">
        <v>46276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44756</v>
      </c>
      <c r="E212" s="1" t="n">
        <v>46276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44756</v>
      </c>
      <c r="E213" s="1" t="n">
        <v>46276</v>
      </c>
      <c r="F213" t="inlineStr">
        <is>
          <t>GÄVLEBORGS LÄN</t>
        </is>
      </c>
      <c r="G213" t="inlineStr">
        <is>
          <t>GÄVLE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45084</v>
      </c>
      <c r="E214" s="1" t="n">
        <v>46276</v>
      </c>
      <c r="F214" t="inlineStr">
        <is>
          <t>GÄVLEBORGS LÄN</t>
        </is>
      </c>
      <c r="G214" t="inlineStr">
        <is>
          <t>GÄVLE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45855</v>
      </c>
      <c r="E215" s="1" t="n">
        <v>46276</v>
      </c>
      <c r="F215" t="inlineStr">
        <is>
          <t>GÄVLEBORGS LÄN</t>
        </is>
      </c>
      <c r="G215" t="inlineStr">
        <is>
          <t>GÄVLE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63801-2025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46019</v>
      </c>
      <c r="E216" s="1" t="n">
        <v>46276</v>
      </c>
      <c r="F216" t="inlineStr">
        <is>
          <t>GÄVLEBORGS LÄN</t>
        </is>
      </c>
      <c r="G216" t="inlineStr">
        <is>
          <t>GÄVLE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45967</v>
      </c>
      <c r="E217" s="1" t="n">
        <v>46276</v>
      </c>
      <c r="F217" t="inlineStr">
        <is>
          <t>GÄVLEBORGS LÄN</t>
        </is>
      </c>
      <c r="G217" t="inlineStr">
        <is>
          <t>GÄVLE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46276</v>
      </c>
      <c r="F218" t="inlineStr">
        <is>
          <t>GÄVLEBORGS LÄN</t>
        </is>
      </c>
      <c r="G218" t="inlineStr">
        <is>
          <t>GÄVLE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47981-2025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46276</v>
      </c>
      <c r="F219" t="inlineStr">
        <is>
          <t>GÄVLEBORGS LÄN</t>
        </is>
      </c>
      <c r="G219" t="inlineStr">
        <is>
          <t>GÄVLE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46019</v>
      </c>
      <c r="E220" s="1" t="n">
        <v>46276</v>
      </c>
      <c r="F220" t="inlineStr">
        <is>
          <t>GÄVLEBORGS LÄN</t>
        </is>
      </c>
      <c r="G220" t="inlineStr">
        <is>
          <t>GÄVLE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46276</v>
      </c>
      <c r="F221" t="inlineStr">
        <is>
          <t>GÄVLEBORGS LÄN</t>
        </is>
      </c>
      <c r="G221" t="inlineStr">
        <is>
          <t>GÄVLE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46276</v>
      </c>
      <c r="F222" t="inlineStr">
        <is>
          <t>GÄVLEBORGS LÄN</t>
        </is>
      </c>
      <c r="G222" t="inlineStr">
        <is>
          <t>GÄVLE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46276</v>
      </c>
      <c r="F223" t="inlineStr">
        <is>
          <t>GÄVLEBORGS LÄN</t>
        </is>
      </c>
      <c r="G223" t="inlineStr">
        <is>
          <t>GÄVLE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46276</v>
      </c>
      <c r="F224" t="inlineStr">
        <is>
          <t>GÄVLEBORGS LÄN</t>
        </is>
      </c>
      <c r="G224" t="inlineStr">
        <is>
          <t>GÄVLE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46276</v>
      </c>
      <c r="F225" t="inlineStr">
        <is>
          <t>GÄVLEBORGS LÄN</t>
        </is>
      </c>
      <c r="G225" t="inlineStr">
        <is>
          <t>GÄVLE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47916-2025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45932</v>
      </c>
      <c r="E226" s="1" t="n">
        <v>46276</v>
      </c>
      <c r="F226" t="inlineStr">
        <is>
          <t>GÄVLEBORGS LÄN</t>
        </is>
      </c>
      <c r="G226" t="inlineStr">
        <is>
          <t>GÄVLE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46022</v>
      </c>
      <c r="E227" s="1" t="n">
        <v>46276</v>
      </c>
      <c r="F227" t="inlineStr">
        <is>
          <t>GÄVLEBORGS LÄN</t>
        </is>
      </c>
      <c r="G227" t="inlineStr">
        <is>
          <t>GÄVLE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26564-2022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44739</v>
      </c>
      <c r="E228" s="1" t="n">
        <v>46276</v>
      </c>
      <c r="F228" t="inlineStr">
        <is>
          <t>GÄVLEBORGS LÄN</t>
        </is>
      </c>
      <c r="G228" t="inlineStr">
        <is>
          <t>GÄVLE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33015-2023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45125</v>
      </c>
      <c r="E229" s="1" t="n">
        <v>46276</v>
      </c>
      <c r="F229" t="inlineStr">
        <is>
          <t>GÄVLEBORGS LÄN</t>
        </is>
      </c>
      <c r="G229" t="inlineStr">
        <is>
          <t>GÄVLE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45804</v>
      </c>
      <c r="E230" s="1" t="n">
        <v>46276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71249-2021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44539</v>
      </c>
      <c r="E231" s="1" t="n">
        <v>46276</v>
      </c>
      <c r="F231" t="inlineStr">
        <is>
          <t>GÄVLEBORGS LÄN</t>
        </is>
      </c>
      <c r="G231" t="inlineStr">
        <is>
          <t>GÄVLE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45884</v>
      </c>
      <c r="E232" s="1" t="n">
        <v>46276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46276</v>
      </c>
      <c r="F233" t="inlineStr">
        <is>
          <t>GÄVLEBORGS LÄN</t>
        </is>
      </c>
      <c r="G233" t="inlineStr">
        <is>
          <t>GÄVLE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39878-2025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45891</v>
      </c>
      <c r="E234" s="1" t="n">
        <v>46276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50871-2022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44867</v>
      </c>
      <c r="E235" s="1" t="n">
        <v>46276</v>
      </c>
      <c r="F235" t="inlineStr">
        <is>
          <t>GÄVLEBORGS LÄN</t>
        </is>
      </c>
      <c r="G235" t="inlineStr">
        <is>
          <t>GÄVLE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45813</v>
      </c>
      <c r="E236" s="1" t="n">
        <v>46276</v>
      </c>
      <c r="F236" t="inlineStr">
        <is>
          <t>GÄVLEBORGS LÄN</t>
        </is>
      </c>
      <c r="G236" t="inlineStr">
        <is>
          <t>GÄVLE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19424-2022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44693</v>
      </c>
      <c r="E237" s="1" t="n">
        <v>46276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46276</v>
      </c>
      <c r="F238" t="inlineStr">
        <is>
          <t>GÄVLEBORGS LÄN</t>
        </is>
      </c>
      <c r="G238" t="inlineStr">
        <is>
          <t>GÄVLE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46276</v>
      </c>
      <c r="F239" t="inlineStr">
        <is>
          <t>GÄVLEBORGS LÄN</t>
        </is>
      </c>
      <c r="G239" t="inlineStr">
        <is>
          <t>GÄVLE</t>
        </is>
      </c>
      <c r="H239" t="inlineStr">
        <is>
          <t>Kyrkan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45817</v>
      </c>
      <c r="E240" s="1" t="n">
        <v>46276</v>
      </c>
      <c r="F240" t="inlineStr">
        <is>
          <t>GÄVLEBORGS LÄN</t>
        </is>
      </c>
      <c r="G240" t="inlineStr">
        <is>
          <t>GÄVLE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40297-2025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45895</v>
      </c>
      <c r="E241" s="1" t="n">
        <v>46276</v>
      </c>
      <c r="F241" t="inlineStr">
        <is>
          <t>GÄVLEBORGS LÄN</t>
        </is>
      </c>
      <c r="G241" t="inlineStr">
        <is>
          <t>GÄVLE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45665</v>
      </c>
      <c r="E242" s="1" t="n">
        <v>46276</v>
      </c>
      <c r="F242" t="inlineStr">
        <is>
          <t>GÄVLEBORGS LÄN</t>
        </is>
      </c>
      <c r="G242" t="inlineStr">
        <is>
          <t>GÄVLE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45632</v>
      </c>
      <c r="E243" s="1" t="n">
        <v>46276</v>
      </c>
      <c r="F243" t="inlineStr">
        <is>
          <t>GÄVLEBORGS LÄN</t>
        </is>
      </c>
      <c r="G243" t="inlineStr">
        <is>
          <t>GÄVLE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46276</v>
      </c>
      <c r="F244" t="inlineStr">
        <is>
          <t>GÄVLEBORGS LÄN</t>
        </is>
      </c>
      <c r="G244" t="inlineStr">
        <is>
          <t>GÄVLE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28481-2025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46276</v>
      </c>
      <c r="F245" t="inlineStr">
        <is>
          <t>GÄVLEBORGS LÄN</t>
        </is>
      </c>
      <c r="G245" t="inlineStr">
        <is>
          <t>GÄVLE</t>
        </is>
      </c>
      <c r="I245" t="n">
        <v>13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46276</v>
      </c>
      <c r="F246" t="inlineStr">
        <is>
          <t>GÄVLEBORGS LÄN</t>
        </is>
      </c>
      <c r="G246" t="inlineStr">
        <is>
          <t>GÄVLE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45882</v>
      </c>
      <c r="E247" s="1" t="n">
        <v>46276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10001-2025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45719</v>
      </c>
      <c r="E248" s="1" t="n">
        <v>46276</v>
      </c>
      <c r="F248" t="inlineStr">
        <is>
          <t>GÄVLEBORGS LÄN</t>
        </is>
      </c>
      <c r="G248" t="inlineStr">
        <is>
          <t>GÄVLE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40882-2025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45897</v>
      </c>
      <c r="E249" s="1" t="n">
        <v>46276</v>
      </c>
      <c r="F249" t="inlineStr">
        <is>
          <t>GÄVLEBORGS LÄN</t>
        </is>
      </c>
      <c r="G249" t="inlineStr">
        <is>
          <t>GÄVLE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45819</v>
      </c>
      <c r="E250" s="1" t="n">
        <v>46276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41302-2025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46276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9.699999999999999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46276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15939-2025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45749</v>
      </c>
      <c r="E253" s="1" t="n">
        <v>46276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46276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46276</v>
      </c>
      <c r="F255" t="inlineStr">
        <is>
          <t>GÄVLEBORGS LÄN</t>
        </is>
      </c>
      <c r="G255" t="inlineStr">
        <is>
          <t>GÄVLE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46276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40993-2025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46276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46276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46276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45485</v>
      </c>
      <c r="E260" s="1" t="n">
        <v>46276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46276</v>
      </c>
      <c r="F261" t="inlineStr">
        <is>
          <t>GÄVLEBORGS LÄN</t>
        </is>
      </c>
      <c r="G261" t="inlineStr">
        <is>
          <t>GÄVLE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46276</v>
      </c>
      <c r="F262" t="inlineStr">
        <is>
          <t>GÄVLEBORGS LÄN</t>
        </is>
      </c>
      <c r="G262" t="inlineStr">
        <is>
          <t>GÄVLE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46276</v>
      </c>
      <c r="F263" t="inlineStr">
        <is>
          <t>GÄVLEBORGS LÄN</t>
        </is>
      </c>
      <c r="G263" t="inlineStr">
        <is>
          <t>GÄVLE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30202-2025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45827</v>
      </c>
      <c r="E264" s="1" t="n">
        <v>46276</v>
      </c>
      <c r="F264" t="inlineStr">
        <is>
          <t>GÄVLEBORGS LÄN</t>
        </is>
      </c>
      <c r="G264" t="inlineStr">
        <is>
          <t>GÄVLE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14563-2025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45741</v>
      </c>
      <c r="E265" s="1" t="n">
        <v>46276</v>
      </c>
      <c r="F265" t="inlineStr">
        <is>
          <t>GÄVLEBORGS LÄN</t>
        </is>
      </c>
      <c r="G265" t="inlineStr">
        <is>
          <t>GÄVLE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46276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25768-2022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44733</v>
      </c>
      <c r="E267" s="1" t="n">
        <v>46276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30300-2025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46276</v>
      </c>
      <c r="F268" t="inlineStr">
        <is>
          <t>GÄVLEBORGS LÄN</t>
        </is>
      </c>
      <c r="G268" t="inlineStr">
        <is>
          <t>GÄVLE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46276</v>
      </c>
      <c r="F269" t="inlineStr">
        <is>
          <t>GÄVLEBORGS LÄN</t>
        </is>
      </c>
      <c r="G269" t="inlineStr">
        <is>
          <t>GÄVLE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45905</v>
      </c>
      <c r="E270" s="1" t="n">
        <v>46276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45645</v>
      </c>
      <c r="E271" s="1" t="n">
        <v>46276</v>
      </c>
      <c r="F271" t="inlineStr">
        <is>
          <t>GÄVLEBORGS LÄN</t>
        </is>
      </c>
      <c r="G271" t="inlineStr">
        <is>
          <t>GÄVLE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61880-2024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45652</v>
      </c>
      <c r="E272" s="1" t="n">
        <v>46276</v>
      </c>
      <c r="F272" t="inlineStr">
        <is>
          <t>GÄVLEBORGS LÄN</t>
        </is>
      </c>
      <c r="G272" t="inlineStr">
        <is>
          <t>GÄVLE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46276</v>
      </c>
      <c r="F273" t="inlineStr">
        <is>
          <t>GÄVLEBORGS LÄN</t>
        </is>
      </c>
      <c r="G273" t="inlineStr">
        <is>
          <t>GÄVLE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46276</v>
      </c>
      <c r="F274" t="inlineStr">
        <is>
          <t>GÄVLEBORGS LÄN</t>
        </is>
      </c>
      <c r="G274" t="inlineStr">
        <is>
          <t>GÄVLE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46276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46276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40498-2022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44823</v>
      </c>
      <c r="E277" s="1" t="n">
        <v>46276</v>
      </c>
      <c r="F277" t="inlineStr">
        <is>
          <t>GÄVLEBORGS LÄN</t>
        </is>
      </c>
      <c r="G277" t="inlineStr">
        <is>
          <t>GÄVLE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46276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46276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44988</v>
      </c>
      <c r="E280" s="1" t="n">
        <v>46276</v>
      </c>
      <c r="F280" t="inlineStr">
        <is>
          <t>GÄVLEBORGS LÄN</t>
        </is>
      </c>
      <c r="G280" t="inlineStr">
        <is>
          <t>GÄVLE</t>
        </is>
      </c>
      <c r="H280" t="inlineStr">
        <is>
          <t>Kyrkan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46276</v>
      </c>
      <c r="F281" t="inlineStr">
        <is>
          <t>GÄVLEBORGS LÄN</t>
        </is>
      </c>
      <c r="G281" t="inlineStr">
        <is>
          <t>GÄVLE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46276</v>
      </c>
      <c r="F282" t="inlineStr">
        <is>
          <t>GÄVLEBORGS LÄN</t>
        </is>
      </c>
      <c r="G282" t="inlineStr">
        <is>
          <t>GÄVLE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46276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45030</v>
      </c>
      <c r="E284" s="1" t="n">
        <v>46276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46276</v>
      </c>
      <c r="F285" t="inlineStr">
        <is>
          <t>GÄVLEBORGS LÄN</t>
        </is>
      </c>
      <c r="G285" t="inlineStr">
        <is>
          <t>GÄVLE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45835</v>
      </c>
      <c r="E286" s="1" t="n">
        <v>46276</v>
      </c>
      <c r="F286" t="inlineStr">
        <is>
          <t>GÄVLEBORGS LÄN</t>
        </is>
      </c>
      <c r="G286" t="inlineStr">
        <is>
          <t>GÄVLE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46276</v>
      </c>
      <c r="F287" t="inlineStr">
        <is>
          <t>GÄVLEBORGS LÄN</t>
        </is>
      </c>
      <c r="G287" t="inlineStr">
        <is>
          <t>GÄVLE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44589</v>
      </c>
      <c r="E288" s="1" t="n">
        <v>46276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45784</v>
      </c>
      <c r="E289" s="1" t="n">
        <v>46276</v>
      </c>
      <c r="F289" t="inlineStr">
        <is>
          <t>GÄVLEBORGS LÄN</t>
        </is>
      </c>
      <c r="G289" t="inlineStr">
        <is>
          <t>GÄVLE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35445-2023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45146</v>
      </c>
      <c r="E290" s="1" t="n">
        <v>46276</v>
      </c>
      <c r="F290" t="inlineStr">
        <is>
          <t>GÄVLEBORGS LÄN</t>
        </is>
      </c>
      <c r="G290" t="inlineStr">
        <is>
          <t>GÄVLE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45468</v>
      </c>
      <c r="E291" s="1" t="n">
        <v>46276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9.9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45530</v>
      </c>
      <c r="E292" s="1" t="n">
        <v>46276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45845</v>
      </c>
      <c r="E293" s="1" t="n">
        <v>46276</v>
      </c>
      <c r="F293" t="inlineStr">
        <is>
          <t>GÄVLEBORGS LÄN</t>
        </is>
      </c>
      <c r="G293" t="inlineStr">
        <is>
          <t>GÄVLE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45845</v>
      </c>
      <c r="E294" s="1" t="n">
        <v>46276</v>
      </c>
      <c r="F294" t="inlineStr">
        <is>
          <t>GÄVLEBORGS LÄN</t>
        </is>
      </c>
      <c r="G294" t="inlineStr">
        <is>
          <t>GÄVLE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46041</v>
      </c>
      <c r="E295" s="1" t="n">
        <v>46276</v>
      </c>
      <c r="F295" t="inlineStr">
        <is>
          <t>GÄVLEBORGS LÄN</t>
        </is>
      </c>
      <c r="G295" t="inlineStr">
        <is>
          <t>GÄVLE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45848</v>
      </c>
      <c r="E296" s="1" t="n">
        <v>46276</v>
      </c>
      <c r="F296" t="inlineStr">
        <is>
          <t>GÄVLEBORGS LÄN</t>
        </is>
      </c>
      <c r="G296" t="inlineStr">
        <is>
          <t>GÄVLE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45848</v>
      </c>
      <c r="E297" s="1" t="n">
        <v>46276</v>
      </c>
      <c r="F297" t="inlineStr">
        <is>
          <t>GÄVLEBORGS LÄN</t>
        </is>
      </c>
      <c r="G297" t="inlineStr">
        <is>
          <t>GÄVLE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37253-2024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45540</v>
      </c>
      <c r="E298" s="1" t="n">
        <v>46276</v>
      </c>
      <c r="F298" t="inlineStr">
        <is>
          <t>GÄVLEBORGS LÄN</t>
        </is>
      </c>
      <c r="G298" t="inlineStr">
        <is>
          <t>GÄVLE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45324</v>
      </c>
      <c r="E299" s="1" t="n">
        <v>46276</v>
      </c>
      <c r="F299" t="inlineStr">
        <is>
          <t>GÄVLEBORGS LÄN</t>
        </is>
      </c>
      <c r="G299" t="inlineStr">
        <is>
          <t>GÄVLE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46045</v>
      </c>
      <c r="E300" s="1" t="n">
        <v>46276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46276</v>
      </c>
      <c r="F301" t="inlineStr">
        <is>
          <t>GÄVLEBORGS LÄN</t>
        </is>
      </c>
      <c r="G301" t="inlineStr">
        <is>
          <t>GÄVLE</t>
        </is>
      </c>
      <c r="H301" t="inlineStr">
        <is>
          <t>Kyrkan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35337-2025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45854</v>
      </c>
      <c r="E302" s="1" t="n">
        <v>46276</v>
      </c>
      <c r="F302" t="inlineStr">
        <is>
          <t>GÄVLEBORGS LÄN</t>
        </is>
      </c>
      <c r="G302" t="inlineStr">
        <is>
          <t>GÄVLE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46276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60885-2023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45261</v>
      </c>
      <c r="E304" s="1" t="n">
        <v>46276</v>
      </c>
      <c r="F304" t="inlineStr">
        <is>
          <t>GÄVLEBORGS LÄN</t>
        </is>
      </c>
      <c r="G304" t="inlineStr">
        <is>
          <t>GÄVLE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46276</v>
      </c>
      <c r="F305" t="inlineStr">
        <is>
          <t>GÄVLEBORGS LÄN</t>
        </is>
      </c>
      <c r="G305" t="inlineStr">
        <is>
          <t>GÄVLE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45859</v>
      </c>
      <c r="E306" s="1" t="n">
        <v>46276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45862</v>
      </c>
      <c r="E307" s="1" t="n">
        <v>46276</v>
      </c>
      <c r="F307" t="inlineStr">
        <is>
          <t>GÄVLEBORGS LÄN</t>
        </is>
      </c>
      <c r="G307" t="inlineStr">
        <is>
          <t>GÄVLE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45862</v>
      </c>
      <c r="E308" s="1" t="n">
        <v>46276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35919-2025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45862</v>
      </c>
      <c r="E309" s="1" t="n">
        <v>46276</v>
      </c>
      <c r="F309" t="inlineStr">
        <is>
          <t>GÄVLEBORGS LÄN</t>
        </is>
      </c>
      <c r="G309" t="inlineStr">
        <is>
          <t>GÄVLE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45866</v>
      </c>
      <c r="E310" s="1" t="n">
        <v>46276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45867</v>
      </c>
      <c r="E311" s="1" t="n">
        <v>46276</v>
      </c>
      <c r="F311" t="inlineStr">
        <is>
          <t>GÄVLEBORGS LÄN</t>
        </is>
      </c>
      <c r="G311" t="inlineStr">
        <is>
          <t>GÄVLE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45869</v>
      </c>
      <c r="E312" s="1" t="n">
        <v>46276</v>
      </c>
      <c r="F312" t="inlineStr">
        <is>
          <t>GÄVLEBORGS LÄN</t>
        </is>
      </c>
      <c r="G312" t="inlineStr">
        <is>
          <t>GÄVLE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45869</v>
      </c>
      <c r="E313" s="1" t="n">
        <v>46276</v>
      </c>
      <c r="F313" t="inlineStr">
        <is>
          <t>GÄVLEBORGS LÄN</t>
        </is>
      </c>
      <c r="G313" t="inlineStr">
        <is>
          <t>GÄVLE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45873</v>
      </c>
      <c r="E314" s="1" t="n">
        <v>46276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45034</v>
      </c>
      <c r="E315" s="1" t="n">
        <v>46276</v>
      </c>
      <c r="F315" t="inlineStr">
        <is>
          <t>GÄVLEBORGS LÄN</t>
        </is>
      </c>
      <c r="G315" t="inlineStr">
        <is>
          <t>GÄVLE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46276</v>
      </c>
      <c r="F316" t="inlineStr">
        <is>
          <t>GÄVLEBORGS LÄN</t>
        </is>
      </c>
      <c r="G316" t="inlineStr">
        <is>
          <t>GÄVLE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45463</v>
      </c>
      <c r="E317" s="1" t="n">
        <v>46276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44951</v>
      </c>
      <c r="E318" s="1" t="n">
        <v>46276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18217-2024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45420</v>
      </c>
      <c r="E319" s="1" t="n">
        <v>46276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38240-2024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45545</v>
      </c>
      <c r="E320" s="1" t="n">
        <v>46276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46276</v>
      </c>
      <c r="F321" t="inlineStr">
        <is>
          <t>GÄVLEBORGS LÄN</t>
        </is>
      </c>
      <c r="G321" t="inlineStr">
        <is>
          <t>GÄVLE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45850-2025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45923</v>
      </c>
      <c r="E322" s="1" t="n">
        <v>46276</v>
      </c>
      <c r="F322" t="inlineStr">
        <is>
          <t>GÄVLEBORGS LÄN</t>
        </is>
      </c>
      <c r="G322" t="inlineStr">
        <is>
          <t>GÄVLE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45896</v>
      </c>
      <c r="E323" s="1" t="n">
        <v>46276</v>
      </c>
      <c r="F323" t="inlineStr">
        <is>
          <t>GÄVLEBORGS LÄN</t>
        </is>
      </c>
      <c r="G323" t="inlineStr">
        <is>
          <t>GÄVLE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46276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46276</v>
      </c>
      <c r="F325" t="inlineStr">
        <is>
          <t>GÄVLEBORGS LÄN</t>
        </is>
      </c>
      <c r="G325" t="inlineStr">
        <is>
          <t>GÄVLE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46052</v>
      </c>
      <c r="E326" s="1" t="n">
        <v>46276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46276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38627-2025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45884</v>
      </c>
      <c r="E328" s="1" t="n">
        <v>46276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46276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46276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46276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46276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10352-2025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45720</v>
      </c>
      <c r="E333" s="1" t="n">
        <v>46276</v>
      </c>
      <c r="F333" t="inlineStr">
        <is>
          <t>GÄVLEBORGS LÄN</t>
        </is>
      </c>
      <c r="G333" t="inlineStr">
        <is>
          <t>GÄVLE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46276</v>
      </c>
      <c r="F334" t="inlineStr">
        <is>
          <t>GÄVLEBORGS LÄN</t>
        </is>
      </c>
      <c r="G334" t="inlineStr">
        <is>
          <t>GÄVLE</t>
        </is>
      </c>
      <c r="H334" t="inlineStr">
        <is>
          <t>Kyrkan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46056</v>
      </c>
      <c r="E335" s="1" t="n">
        <v>46276</v>
      </c>
      <c r="F335" t="inlineStr">
        <is>
          <t>GÄVLEBORGS LÄN</t>
        </is>
      </c>
      <c r="G335" t="inlineStr">
        <is>
          <t>GÄVLE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46056</v>
      </c>
      <c r="E336" s="1" t="n">
        <v>46276</v>
      </c>
      <c r="F336" t="inlineStr">
        <is>
          <t>GÄVLEBORGS LÄN</t>
        </is>
      </c>
      <c r="G336" t="inlineStr">
        <is>
          <t>GÄVLE</t>
        </is>
      </c>
      <c r="I336" t="n">
        <v>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46276</v>
      </c>
      <c r="F337" t="inlineStr">
        <is>
          <t>GÄVLEBORGS LÄN</t>
        </is>
      </c>
      <c r="G337" t="inlineStr">
        <is>
          <t>GÄVLE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46276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44960</v>
      </c>
      <c r="E339" s="1" t="n">
        <v>46276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47602-2025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45931</v>
      </c>
      <c r="E340" s="1" t="n">
        <v>46276</v>
      </c>
      <c r="F340" t="inlineStr">
        <is>
          <t>GÄVLEBORGS LÄN</t>
        </is>
      </c>
      <c r="G340" t="inlineStr">
        <is>
          <t>GÄVLE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47612-2025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45931</v>
      </c>
      <c r="E341" s="1" t="n">
        <v>46276</v>
      </c>
      <c r="F341" t="inlineStr">
        <is>
          <t>GÄVLEBORGS LÄN</t>
        </is>
      </c>
      <c r="G341" t="inlineStr">
        <is>
          <t>GÄVLE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24720-2023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46276</v>
      </c>
      <c r="F342" t="inlineStr">
        <is>
          <t>GÄVLEBORGS LÄN</t>
        </is>
      </c>
      <c r="G342" t="inlineStr">
        <is>
          <t>GÄVLE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46276</v>
      </c>
      <c r="F343" t="inlineStr">
        <is>
          <t>GÄVLEBORGS LÄN</t>
        </is>
      </c>
      <c r="G343" t="inlineStr">
        <is>
          <t>GÄVLE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46276</v>
      </c>
      <c r="F344" t="inlineStr">
        <is>
          <t>GÄVLEBORGS LÄN</t>
        </is>
      </c>
      <c r="G344" t="inlineStr">
        <is>
          <t>GÄVLE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46276</v>
      </c>
      <c r="F345" t="inlineStr">
        <is>
          <t>GÄVLEBORGS LÄN</t>
        </is>
      </c>
      <c r="G345" t="inlineStr">
        <is>
          <t>GÄVLE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46276</v>
      </c>
      <c r="F346" t="inlineStr">
        <is>
          <t>GÄVLEBORGS LÄN</t>
        </is>
      </c>
      <c r="G346" t="inlineStr">
        <is>
          <t>GÄVLE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14553-2026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46100</v>
      </c>
      <c r="E347" s="1" t="n">
        <v>46276</v>
      </c>
      <c r="F347" t="inlineStr">
        <is>
          <t>GÄVLEBORGS LÄN</t>
        </is>
      </c>
      <c r="G347" t="inlineStr">
        <is>
          <t>GÄVLE</t>
        </is>
      </c>
      <c r="H347" t="inlineStr">
        <is>
          <t>Övriga statliga verk och myndigheter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48004-2025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45932</v>
      </c>
      <c r="E348" s="1" t="n">
        <v>46276</v>
      </c>
      <c r="F348" t="inlineStr">
        <is>
          <t>GÄVLEBORGS LÄN</t>
        </is>
      </c>
      <c r="G348" t="inlineStr">
        <is>
          <t>GÄVLE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45933</v>
      </c>
      <c r="E349" s="1" t="n">
        <v>46276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46276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46276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8298-2026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46063</v>
      </c>
      <c r="E352" s="1" t="n">
        <v>46276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46276</v>
      </c>
      <c r="F353" t="inlineStr">
        <is>
          <t>GÄVLEBORGS LÄN</t>
        </is>
      </c>
      <c r="G353" t="inlineStr">
        <is>
          <t>GÄVLE</t>
        </is>
      </c>
      <c r="H353" t="inlineStr">
        <is>
          <t>Kyrkan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7673-2026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46276</v>
      </c>
      <c r="F354" t="inlineStr">
        <is>
          <t>GÄVLEBORGS LÄN</t>
        </is>
      </c>
      <c r="G354" t="inlineStr">
        <is>
          <t>GÄVLE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48246-2025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46276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46276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8301-2026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46276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48002-2025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45932</v>
      </c>
      <c r="E358" s="1" t="n">
        <v>46276</v>
      </c>
      <c r="F358" t="inlineStr">
        <is>
          <t>GÄVLEBORGS LÄN</t>
        </is>
      </c>
      <c r="G358" t="inlineStr">
        <is>
          <t>GÄVLE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47994-2025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45932</v>
      </c>
      <c r="E359" s="1" t="n">
        <v>46276</v>
      </c>
      <c r="F359" t="inlineStr">
        <is>
          <t>GÄVLEBORGS LÄN</t>
        </is>
      </c>
      <c r="G359" t="inlineStr">
        <is>
          <t>GÄVLE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45356</v>
      </c>
      <c r="E360" s="1" t="n">
        <v>46276</v>
      </c>
      <c r="F360" t="inlineStr">
        <is>
          <t>GÄVLEBORGS LÄN</t>
        </is>
      </c>
      <c r="G360" t="inlineStr">
        <is>
          <t>GÄVLE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48249-2025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46276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65879-2021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44517</v>
      </c>
      <c r="E362" s="1" t="n">
        <v>46276</v>
      </c>
      <c r="F362" t="inlineStr">
        <is>
          <t>GÄVLEBORGS LÄN</t>
        </is>
      </c>
      <c r="G362" t="inlineStr">
        <is>
          <t>GÄVLE</t>
        </is>
      </c>
      <c r="H362" t="inlineStr">
        <is>
          <t>Kyrkan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46065</v>
      </c>
      <c r="E363" s="1" t="n">
        <v>46276</v>
      </c>
      <c r="F363" t="inlineStr">
        <is>
          <t>GÄVLEBORGS LÄN</t>
        </is>
      </c>
      <c r="G363" t="inlineStr">
        <is>
          <t>GÄVLE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46276</v>
      </c>
      <c r="F364" t="inlineStr">
        <is>
          <t>GÄVLEBORGS LÄN</t>
        </is>
      </c>
      <c r="G364" t="inlineStr">
        <is>
          <t>GÄVLE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48986-2025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45937</v>
      </c>
      <c r="E365" s="1" t="n">
        <v>46276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46276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46276</v>
      </c>
      <c r="F367" t="inlineStr">
        <is>
          <t>GÄVLEBORGS LÄN</t>
        </is>
      </c>
      <c r="G367" t="inlineStr">
        <is>
          <t>GÄVLE</t>
        </is>
      </c>
      <c r="H367" t="inlineStr">
        <is>
          <t>Kyrkan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70043-2021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44533</v>
      </c>
      <c r="E368" s="1" t="n">
        <v>46276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44369-2025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45916</v>
      </c>
      <c r="E369" s="1" t="n">
        <v>46276</v>
      </c>
      <c r="F369" t="inlineStr">
        <is>
          <t>GÄVLEBORGS LÄN</t>
        </is>
      </c>
      <c r="G369" t="inlineStr">
        <is>
          <t>GÄVLE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8954-2026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46069</v>
      </c>
      <c r="E370" s="1" t="n">
        <v>46276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46276</v>
      </c>
      <c r="F371" t="inlineStr">
        <is>
          <t>GÄVLEBORGS LÄN</t>
        </is>
      </c>
      <c r="G371" t="inlineStr">
        <is>
          <t>GÄVLE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47143-2024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45586</v>
      </c>
      <c r="E372" s="1" t="n">
        <v>46276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45681</v>
      </c>
      <c r="E373" s="1" t="n">
        <v>46276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46276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46073</v>
      </c>
      <c r="E375" s="1" t="n">
        <v>46276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46276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49934-2025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45940</v>
      </c>
      <c r="E377" s="1" t="n">
        <v>46276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9673-2026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46276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45940</v>
      </c>
      <c r="E379" s="1" t="n">
        <v>46276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34600-2024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45526</v>
      </c>
      <c r="E380" s="1" t="n">
        <v>46276</v>
      </c>
      <c r="F380" t="inlineStr">
        <is>
          <t>GÄVLEBORGS LÄN</t>
        </is>
      </c>
      <c r="G380" t="inlineStr">
        <is>
          <t>GÄVLE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45943</v>
      </c>
      <c r="E381" s="1" t="n">
        <v>46276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48834-2024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45593</v>
      </c>
      <c r="E382" s="1" t="n">
        <v>46276</v>
      </c>
      <c r="F382" t="inlineStr">
        <is>
          <t>GÄVLEBORGS LÄN</t>
        </is>
      </c>
      <c r="G382" t="inlineStr">
        <is>
          <t>GÄVLE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10257-2026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46276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46276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50345-2025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45944</v>
      </c>
      <c r="E385" s="1" t="n">
        <v>46276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45944</v>
      </c>
      <c r="E386" s="1" t="n">
        <v>46276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46077</v>
      </c>
      <c r="E387" s="1" t="n">
        <v>46276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45468</v>
      </c>
      <c r="E388" s="1" t="n">
        <v>46276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45817</v>
      </c>
      <c r="E389" s="1" t="n">
        <v>46276</v>
      </c>
      <c r="F389" t="inlineStr">
        <is>
          <t>GÄVLEBORGS LÄN</t>
        </is>
      </c>
      <c r="G389" t="inlineStr">
        <is>
          <t>GÄVLE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57341-2023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45245</v>
      </c>
      <c r="E390" s="1" t="n">
        <v>46276</v>
      </c>
      <c r="F390" t="inlineStr">
        <is>
          <t>GÄVLEBORGS LÄN</t>
        </is>
      </c>
      <c r="G390" t="inlineStr">
        <is>
          <t>GÄVLE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46079</v>
      </c>
      <c r="E391" s="1" t="n">
        <v>46276</v>
      </c>
      <c r="F391" t="inlineStr">
        <is>
          <t>GÄVLEBORGS LÄN</t>
        </is>
      </c>
      <c r="G391" t="inlineStr">
        <is>
          <t>GÄVLE</t>
        </is>
      </c>
      <c r="H391" t="inlineStr">
        <is>
          <t>Kommuner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44684</v>
      </c>
      <c r="E392" s="1" t="n">
        <v>46276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48247-2025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45933</v>
      </c>
      <c r="E393" s="1" t="n">
        <v>46276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51893-2025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45952</v>
      </c>
      <c r="E394" s="1" t="n">
        <v>46276</v>
      </c>
      <c r="F394" t="inlineStr">
        <is>
          <t>GÄVLEBORGS LÄN</t>
        </is>
      </c>
      <c r="G394" t="inlineStr">
        <is>
          <t>GÄVLE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46276</v>
      </c>
      <c r="F395" t="inlineStr">
        <is>
          <t>GÄVLEBORGS LÄN</t>
        </is>
      </c>
      <c r="G395" t="inlineStr">
        <is>
          <t>GÄVLE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46083</v>
      </c>
      <c r="E396" s="1" t="n">
        <v>46276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38255-2023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45161</v>
      </c>
      <c r="E397" s="1" t="n">
        <v>46276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52970-2025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45957</v>
      </c>
      <c r="E398" s="1" t="n">
        <v>46276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väst AB</t>
        </is>
      </c>
      <c r="I398" t="n">
        <v>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31062-2023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45113</v>
      </c>
      <c r="E399" s="1" t="n">
        <v>46276</v>
      </c>
      <c r="F399" t="inlineStr">
        <is>
          <t>GÄVLEBORGS LÄN</t>
        </is>
      </c>
      <c r="G399" t="inlineStr">
        <is>
          <t>GÄVLE</t>
        </is>
      </c>
      <c r="H399" t="inlineStr">
        <is>
          <t>Kommuner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46276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12015-2026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46276</v>
      </c>
      <c r="F401" t="inlineStr">
        <is>
          <t>GÄVLEBORGS LÄN</t>
        </is>
      </c>
      <c r="G401" t="inlineStr">
        <is>
          <t>GÄVLE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52801-2025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45957</v>
      </c>
      <c r="E402" s="1" t="n">
        <v>46276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52897-2025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45957</v>
      </c>
      <c r="E403" s="1" t="n">
        <v>46276</v>
      </c>
      <c r="F403" t="inlineStr">
        <is>
          <t>GÄVLEBORGS LÄN</t>
        </is>
      </c>
      <c r="G403" t="inlineStr">
        <is>
          <t>GÄVLE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26249-2022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44735</v>
      </c>
      <c r="E404" s="1" t="n">
        <v>46276</v>
      </c>
      <c r="F404" t="inlineStr">
        <is>
          <t>GÄVLEBORGS LÄN</t>
        </is>
      </c>
      <c r="G404" t="inlineStr">
        <is>
          <t>GÄVLE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51876-2023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45223</v>
      </c>
      <c r="E405" s="1" t="n">
        <v>46276</v>
      </c>
      <c r="F405" t="inlineStr">
        <is>
          <t>GÄVLEBORGS LÄN</t>
        </is>
      </c>
      <c r="G405" t="inlineStr">
        <is>
          <t>GÄVLE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9419-2025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46276</v>
      </c>
      <c r="F406" t="inlineStr">
        <is>
          <t>GÄVLEBORGS LÄN</t>
        </is>
      </c>
      <c r="G406" t="inlineStr">
        <is>
          <t>GÄVLE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53541-2025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45960</v>
      </c>
      <c r="E407" s="1" t="n">
        <v>46276</v>
      </c>
      <c r="F407" t="inlineStr">
        <is>
          <t>GÄVLEBORGS LÄN</t>
        </is>
      </c>
      <c r="G407" t="inlineStr">
        <is>
          <t>GÄVLE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19555-2022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44693</v>
      </c>
      <c r="E408" s="1" t="n">
        <v>46276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15444-2024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45401</v>
      </c>
      <c r="E409" s="1" t="n">
        <v>46276</v>
      </c>
      <c r="F409" t="inlineStr">
        <is>
          <t>GÄVLEBORGS LÄN</t>
        </is>
      </c>
      <c r="G409" t="inlineStr">
        <is>
          <t>GÄVLE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45964</v>
      </c>
      <c r="E410" s="1" t="n">
        <v>46276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10118-2025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45719</v>
      </c>
      <c r="E411" s="1" t="n">
        <v>46276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45965</v>
      </c>
      <c r="E412" s="1" t="n">
        <v>46276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46092</v>
      </c>
      <c r="E413" s="1" t="n">
        <v>46276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45719</v>
      </c>
      <c r="E414" s="1" t="n">
        <v>46276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23638-2024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45454</v>
      </c>
      <c r="E415" s="1" t="n">
        <v>46276</v>
      </c>
      <c r="F415" t="inlineStr">
        <is>
          <t>GÄVLEBORGS LÄN</t>
        </is>
      </c>
      <c r="G415" t="inlineStr">
        <is>
          <t>GÄVLE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49380-2024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45595</v>
      </c>
      <c r="E416" s="1" t="n">
        <v>46276</v>
      </c>
      <c r="F416" t="inlineStr">
        <is>
          <t>GÄVLEBORGS LÄN</t>
        </is>
      </c>
      <c r="G416" t="inlineStr">
        <is>
          <t>GÄVLE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14606-2025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45742</v>
      </c>
      <c r="E417" s="1" t="n">
        <v>46276</v>
      </c>
      <c r="F417" t="inlineStr">
        <is>
          <t>GÄVLEBORGS LÄN</t>
        </is>
      </c>
      <c r="G417" t="inlineStr">
        <is>
          <t>GÄVLE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54958-2025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45967</v>
      </c>
      <c r="E418" s="1" t="n">
        <v>46276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54960-2025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45967</v>
      </c>
      <c r="E419" s="1" t="n">
        <v>46276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46276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54768-2025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45966</v>
      </c>
      <c r="E421" s="1" t="n">
        <v>46276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54959-2025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46276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46276</v>
      </c>
      <c r="F423" t="inlineStr">
        <is>
          <t>GÄVLEBORGS LÄN</t>
        </is>
      </c>
      <c r="G423" t="inlineStr">
        <is>
          <t>GÄVLE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3334-2022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44585</v>
      </c>
      <c r="E424" s="1" t="n">
        <v>46276</v>
      </c>
      <c r="F424" t="inlineStr">
        <is>
          <t>GÄVLEBORGS LÄN</t>
        </is>
      </c>
      <c r="G424" t="inlineStr">
        <is>
          <t>GÄVLE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46276</v>
      </c>
      <c r="F425" t="inlineStr">
        <is>
          <t>GÄVLEBORGS LÄN</t>
        </is>
      </c>
      <c r="G425" t="inlineStr">
        <is>
          <t>GÄVLE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46276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12990-2026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46276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55221-2025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45968</v>
      </c>
      <c r="E428" s="1" t="n">
        <v>46276</v>
      </c>
      <c r="F428" t="inlineStr">
        <is>
          <t>GÄVLEBORGS LÄN</t>
        </is>
      </c>
      <c r="G428" t="inlineStr">
        <is>
          <t>GÄVLE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56121-2025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46276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46276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44735</v>
      </c>
      <c r="E431" s="1" t="n">
        <v>46276</v>
      </c>
      <c r="F431" t="inlineStr">
        <is>
          <t>GÄVLEBORGS LÄN</t>
        </is>
      </c>
      <c r="G431" t="inlineStr">
        <is>
          <t>GÄVLE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46094</v>
      </c>
      <c r="E432" s="1" t="n">
        <v>46276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20999-2022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44701</v>
      </c>
      <c r="E433" s="1" t="n">
        <v>46276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26.3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46276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46276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13500-2026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46276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13521-2026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46276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56120-2025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46276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56122-2025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46276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56123-2025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46276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10.5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46276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46276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45511</v>
      </c>
      <c r="E443" s="1" t="n">
        <v>46276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13329-2026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46276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13432-2026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46276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13389-2026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46094</v>
      </c>
      <c r="E446" s="1" t="n">
        <v>46276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46276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46276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46276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56273-2025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46276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45630</v>
      </c>
      <c r="E451" s="1" t="n">
        <v>46276</v>
      </c>
      <c r="F451" t="inlineStr">
        <is>
          <t>GÄVLEBORGS LÄN</t>
        </is>
      </c>
      <c r="G451" t="inlineStr">
        <is>
          <t>GÄVLE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46276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46276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6.8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56269-2025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46276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46276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56774-2025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46276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väst AB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56776-2025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45978</v>
      </c>
      <c r="E457" s="1" t="n">
        <v>46276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46276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46276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7.5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56773-2025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46276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46095</v>
      </c>
      <c r="E461" s="1" t="n">
        <v>46276</v>
      </c>
      <c r="F461" t="inlineStr">
        <is>
          <t>GÄVLEBORGS LÄN</t>
        </is>
      </c>
      <c r="G461" t="inlineStr">
        <is>
          <t>GÄVLE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46276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18168-2022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44684</v>
      </c>
      <c r="E463" s="1" t="n">
        <v>46276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46276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46100</v>
      </c>
      <c r="E465" s="1" t="n">
        <v>46276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19730-2022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44694</v>
      </c>
      <c r="E466" s="1" t="n">
        <v>46276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46276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43780-2025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45912</v>
      </c>
      <c r="E468" s="1" t="n">
        <v>46276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46276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46276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45548-2025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46276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46276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45922</v>
      </c>
      <c r="E473" s="1" t="n">
        <v>46276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43742-2025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45912</v>
      </c>
      <c r="E474" s="1" t="n">
        <v>46276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46276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43774-2025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45912</v>
      </c>
      <c r="E476" s="1" t="n">
        <v>46276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34233-2023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45138</v>
      </c>
      <c r="E477" s="1" t="n">
        <v>46276</v>
      </c>
      <c r="F477" t="inlineStr">
        <is>
          <t>GÄVLEBORGS LÄN</t>
        </is>
      </c>
      <c r="G477" t="inlineStr">
        <is>
          <t>GÄVLE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45922</v>
      </c>
      <c r="E478" s="1" t="n">
        <v>46276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8.199999999999999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45546-2025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45922</v>
      </c>
      <c r="E479" s="1" t="n">
        <v>46276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45922</v>
      </c>
      <c r="E480" s="1" t="n">
        <v>46276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45922</v>
      </c>
      <c r="E481" s="1" t="n">
        <v>46276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45456-2025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45922</v>
      </c>
      <c r="E482" s="1" t="n">
        <v>46276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58925-2025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45987</v>
      </c>
      <c r="E483" s="1" t="n">
        <v>46276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14963-2026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46276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40091-2023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45168</v>
      </c>
      <c r="E485" s="1" t="n">
        <v>46276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45912</v>
      </c>
      <c r="E486" s="1" t="n">
        <v>46276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44951</v>
      </c>
      <c r="E487" s="1" t="n">
        <v>46276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44951</v>
      </c>
      <c r="E488" s="1" t="n">
        <v>46276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väst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14583-2026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46276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15046-2026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46104</v>
      </c>
      <c r="E490" s="1" t="n">
        <v>46276</v>
      </c>
      <c r="F490" t="inlineStr">
        <is>
          <t>GÄVLEBORGS LÄN</t>
        </is>
      </c>
      <c r="G490" t="inlineStr">
        <is>
          <t>GÄVLE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59624-2025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45992</v>
      </c>
      <c r="E491" s="1" t="n">
        <v>46276</v>
      </c>
      <c r="F491" t="inlineStr">
        <is>
          <t>GÄVLEBORGS LÄN</t>
        </is>
      </c>
      <c r="G491" t="inlineStr">
        <is>
          <t>GÄVLE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45993</v>
      </c>
      <c r="E492" s="1" t="n">
        <v>46276</v>
      </c>
      <c r="F492" t="inlineStr">
        <is>
          <t>GÄVLEBORGS LÄN</t>
        </is>
      </c>
      <c r="G492" t="inlineStr">
        <is>
          <t>GÄVLE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59627-2025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45992</v>
      </c>
      <c r="E493" s="1" t="n">
        <v>46276</v>
      </c>
      <c r="F493" t="inlineStr">
        <is>
          <t>GÄVLEBORGS LÄN</t>
        </is>
      </c>
      <c r="G493" t="inlineStr">
        <is>
          <t>GÄVLE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15669-2026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46276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väst AB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46276</v>
      </c>
      <c r="F495" t="inlineStr">
        <is>
          <t>GÄVLEBORGS LÄN</t>
        </is>
      </c>
      <c r="G495" t="inlineStr">
        <is>
          <t>GÄVLE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59322-2022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44904</v>
      </c>
      <c r="E496" s="1" t="n">
        <v>46276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60364-2025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46276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5728-2023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44962</v>
      </c>
      <c r="E498" s="1" t="n">
        <v>46276</v>
      </c>
      <c r="F498" t="inlineStr">
        <is>
          <t>GÄVLEBORGS LÄN</t>
        </is>
      </c>
      <c r="G498" t="inlineStr">
        <is>
          <t>GÄVLE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45660</v>
      </c>
      <c r="E499" s="1" t="n">
        <v>46276</v>
      </c>
      <c r="F499" t="inlineStr">
        <is>
          <t>GÄVLEBORGS LÄN</t>
        </is>
      </c>
      <c r="G499" t="inlineStr">
        <is>
          <t>GÄVLE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60532-2025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46276</v>
      </c>
      <c r="F500" t="inlineStr">
        <is>
          <t>GÄVLEBORGS LÄN</t>
        </is>
      </c>
      <c r="G500" t="inlineStr">
        <is>
          <t>GÄVLE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55217-2025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45968</v>
      </c>
      <c r="E501" s="1" t="n">
        <v>46276</v>
      </c>
      <c r="F501" t="inlineStr">
        <is>
          <t>GÄVLEBORGS LÄN</t>
        </is>
      </c>
      <c r="G501" t="inlineStr">
        <is>
          <t>GÄVLE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60536-2025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45995</v>
      </c>
      <c r="E502" s="1" t="n">
        <v>46276</v>
      </c>
      <c r="F502" t="inlineStr">
        <is>
          <t>GÄVLEBORGS LÄN</t>
        </is>
      </c>
      <c r="G502" t="inlineStr">
        <is>
          <t>GÄVLE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46276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15097-2026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46276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44942</v>
      </c>
      <c r="E505" s="1" t="n">
        <v>46276</v>
      </c>
      <c r="F505" t="inlineStr">
        <is>
          <t>GÄVLEBORGS LÄN</t>
        </is>
      </c>
      <c r="G505" t="inlineStr">
        <is>
          <t>GÄVLE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47108-2024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45586</v>
      </c>
      <c r="E506" s="1" t="n">
        <v>46276</v>
      </c>
      <c r="F506" t="inlineStr">
        <is>
          <t>GÄVLEBORGS LÄN</t>
        </is>
      </c>
      <c r="G506" t="inlineStr">
        <is>
          <t>GÄVLE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46276</v>
      </c>
      <c r="F507" t="inlineStr">
        <is>
          <t>GÄVLEBORGS LÄN</t>
        </is>
      </c>
      <c r="G507" t="inlineStr">
        <is>
          <t>GÄVLE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61093-2025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46000</v>
      </c>
      <c r="E508" s="1" t="n">
        <v>46276</v>
      </c>
      <c r="F508" t="inlineStr">
        <is>
          <t>GÄVLEBORGS LÄN</t>
        </is>
      </c>
      <c r="G508" t="inlineStr">
        <is>
          <t>GÄVLE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45440</v>
      </c>
      <c r="E509" s="1" t="n">
        <v>46276</v>
      </c>
      <c r="F509" t="inlineStr">
        <is>
          <t>GÄVLEBORGS LÄN</t>
        </is>
      </c>
      <c r="G509" t="inlineStr">
        <is>
          <t>GÄVLE</t>
        </is>
      </c>
      <c r="I509" t="n">
        <v>8.6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47746-2023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45203</v>
      </c>
      <c r="E510" s="1" t="n">
        <v>46276</v>
      </c>
      <c r="F510" t="inlineStr">
        <is>
          <t>GÄVLEBORGS LÄN</t>
        </is>
      </c>
      <c r="G510" t="inlineStr">
        <is>
          <t>GÄVLE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58192-2024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46276</v>
      </c>
      <c r="F511" t="inlineStr">
        <is>
          <t>GÄVLEBORGS LÄN</t>
        </is>
      </c>
      <c r="G511" t="inlineStr">
        <is>
          <t>GÄVLE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52495-2021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44466</v>
      </c>
      <c r="E512" s="1" t="n">
        <v>46276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61880-2025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46003</v>
      </c>
      <c r="E513" s="1" t="n">
        <v>46276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61650-2025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46002</v>
      </c>
      <c r="E514" s="1" t="n">
        <v>46276</v>
      </c>
      <c r="F514" t="inlineStr">
        <is>
          <t>GÄVLEBORGS LÄN</t>
        </is>
      </c>
      <c r="G514" t="inlineStr">
        <is>
          <t>GÄVLE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34668-2024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45526</v>
      </c>
      <c r="E515" s="1" t="n">
        <v>46276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61648-2025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46002</v>
      </c>
      <c r="E516" s="1" t="n">
        <v>46276</v>
      </c>
      <c r="F516" t="inlineStr">
        <is>
          <t>GÄVLEBORGS LÄN</t>
        </is>
      </c>
      <c r="G516" t="inlineStr">
        <is>
          <t>GÄVLE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61651-2025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46276</v>
      </c>
      <c r="F517" t="inlineStr">
        <is>
          <t>GÄVLEBORGS LÄN</t>
        </is>
      </c>
      <c r="G517" t="inlineStr">
        <is>
          <t>GÄVLE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45666</v>
      </c>
      <c r="E518" s="1" t="n">
        <v>46276</v>
      </c>
      <c r="F518" t="inlineStr">
        <is>
          <t>GÄVLEBORGS LÄN</t>
        </is>
      </c>
      <c r="G518" t="inlineStr">
        <is>
          <t>GÄVLE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61879-2025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46003</v>
      </c>
      <c r="E519" s="1" t="n">
        <v>46276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20689-2024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45436</v>
      </c>
      <c r="E520" s="1" t="n">
        <v>46276</v>
      </c>
      <c r="F520" t="inlineStr">
        <is>
          <t>GÄVLEBORGS LÄN</t>
        </is>
      </c>
      <c r="G520" t="inlineStr">
        <is>
          <t>GÄVLE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62226-2025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46276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46276</v>
      </c>
      <c r="F522" t="inlineStr">
        <is>
          <t>GÄVLEBORGS LÄN</t>
        </is>
      </c>
      <c r="G522" t="inlineStr">
        <is>
          <t>GÄVLE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15985-2026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46108</v>
      </c>
      <c r="E523" s="1" t="n">
        <v>46276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62742-2025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46008</v>
      </c>
      <c r="E524" s="1" t="n">
        <v>46276</v>
      </c>
      <c r="F524" t="inlineStr">
        <is>
          <t>GÄVLEBORGS LÄN</t>
        </is>
      </c>
      <c r="G524" t="inlineStr">
        <is>
          <t>GÄVLE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61301-2024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45645</v>
      </c>
      <c r="E525" s="1" t="n">
        <v>46276</v>
      </c>
      <c r="F525" t="inlineStr">
        <is>
          <t>GÄVLEBORGS LÄN</t>
        </is>
      </c>
      <c r="G525" t="inlineStr">
        <is>
          <t>GÄVLE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64868-2023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45282</v>
      </c>
      <c r="E526" s="1" t="n">
        <v>46276</v>
      </c>
      <c r="F526" t="inlineStr">
        <is>
          <t>GÄVLEBORGS LÄN</t>
        </is>
      </c>
      <c r="G526" t="inlineStr">
        <is>
          <t>GÄVLE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45672</v>
      </c>
      <c r="E527" s="1" t="n">
        <v>46276</v>
      </c>
      <c r="F527" t="inlineStr">
        <is>
          <t>GÄVLEBORGS LÄN</t>
        </is>
      </c>
      <c r="G527" t="inlineStr">
        <is>
          <t>GÄVLE</t>
        </is>
      </c>
      <c r="H527" t="inlineStr">
        <is>
          <t>Kyrkan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16430-2026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46111</v>
      </c>
      <c r="E528" s="1" t="n">
        <v>46276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61016-2024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46276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18361-2024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45422</v>
      </c>
      <c r="E530" s="1" t="n">
        <v>46276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väst AB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38495-2023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45162</v>
      </c>
      <c r="E531" s="1" t="n">
        <v>46276</v>
      </c>
      <c r="F531" t="inlineStr">
        <is>
          <t>GÄVLEBORGS LÄN</t>
        </is>
      </c>
      <c r="G531" t="inlineStr">
        <is>
          <t>GÄVLE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20682-2023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45058</v>
      </c>
      <c r="E532" s="1" t="n">
        <v>46276</v>
      </c>
      <c r="F532" t="inlineStr">
        <is>
          <t>GÄVLEBORGS LÄN</t>
        </is>
      </c>
      <c r="G532" t="inlineStr">
        <is>
          <t>GÄVLE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17471-2026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46120</v>
      </c>
      <c r="E533" s="1" t="n">
        <v>46276</v>
      </c>
      <c r="F533" t="inlineStr">
        <is>
          <t>GÄVLEBORGS LÄN</t>
        </is>
      </c>
      <c r="G533" t="inlineStr">
        <is>
          <t>GÄVLE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44586</v>
      </c>
      <c r="E534" s="1" t="n">
        <v>46276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17830-2026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46122</v>
      </c>
      <c r="E535" s="1" t="n">
        <v>46276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10488-2026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46077</v>
      </c>
      <c r="E536" s="1" t="n">
        <v>46276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45658</v>
      </c>
      <c r="E537" s="1" t="n">
        <v>46276</v>
      </c>
      <c r="F537" t="inlineStr">
        <is>
          <t>GÄVLEBORGS LÄN</t>
        </is>
      </c>
      <c r="G537" t="inlineStr">
        <is>
          <t>GÄVLE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66351-2021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44518</v>
      </c>
      <c r="E538" s="1" t="n">
        <v>46276</v>
      </c>
      <c r="F538" t="inlineStr">
        <is>
          <t>GÄVLEBORGS LÄN</t>
        </is>
      </c>
      <c r="G538" t="inlineStr">
        <is>
          <t>GÄVLE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24724-2023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45084</v>
      </c>
      <c r="E539" s="1" t="n">
        <v>46276</v>
      </c>
      <c r="F539" t="inlineStr">
        <is>
          <t>GÄVLEBORGS LÄN</t>
        </is>
      </c>
      <c r="G539" t="inlineStr">
        <is>
          <t>GÄVLE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18173-2026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46125</v>
      </c>
      <c r="E540" s="1" t="n">
        <v>46276</v>
      </c>
      <c r="F540" t="inlineStr">
        <is>
          <t>GÄVLEBORGS LÄN</t>
        </is>
      </c>
      <c r="G540" t="inlineStr">
        <is>
          <t>GÄVLE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11572-2026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46084</v>
      </c>
      <c r="E541" s="1" t="n">
        <v>46276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18175-2026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46125</v>
      </c>
      <c r="E542" s="1" t="n">
        <v>46276</v>
      </c>
      <c r="F542" t="inlineStr">
        <is>
          <t>GÄVLEBORGS LÄN</t>
        </is>
      </c>
      <c r="G542" t="inlineStr">
        <is>
          <t>GÄVLE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17976-2026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46124</v>
      </c>
      <c r="E543" s="1" t="n">
        <v>46276</v>
      </c>
      <c r="F543" t="inlineStr">
        <is>
          <t>GÄVLEBORGS LÄN</t>
        </is>
      </c>
      <c r="G543" t="inlineStr">
        <is>
          <t>GÄVLE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17977-2026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46124</v>
      </c>
      <c r="E544" s="1" t="n">
        <v>46276</v>
      </c>
      <c r="F544" t="inlineStr">
        <is>
          <t>GÄVLEBORGS LÄN</t>
        </is>
      </c>
      <c r="G544" t="inlineStr">
        <is>
          <t>GÄVLE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17974-2026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46124</v>
      </c>
      <c r="E545" s="1" t="n">
        <v>46276</v>
      </c>
      <c r="F545" t="inlineStr">
        <is>
          <t>GÄVLEBORGS LÄN</t>
        </is>
      </c>
      <c r="G545" t="inlineStr">
        <is>
          <t>GÄVLE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29929-2022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44756</v>
      </c>
      <c r="E546" s="1" t="n">
        <v>46276</v>
      </c>
      <c r="F546" t="inlineStr">
        <is>
          <t>GÄVLEBORGS LÄN</t>
        </is>
      </c>
      <c r="G546" t="inlineStr">
        <is>
          <t>GÄVLE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38673-2024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45547</v>
      </c>
      <c r="E547" s="1" t="n">
        <v>46276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13046-2026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46276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46128</v>
      </c>
      <c r="E549" s="1" t="n">
        <v>46276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46276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44936</v>
      </c>
      <c r="E551" s="1" t="n">
        <v>46276</v>
      </c>
      <c r="F551" t="inlineStr">
        <is>
          <t>GÄVLEBORGS LÄN</t>
        </is>
      </c>
      <c r="G551" t="inlineStr">
        <is>
          <t>GÄVLE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14966-2026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46104</v>
      </c>
      <c r="E552" s="1" t="n">
        <v>46276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18817-2026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46128</v>
      </c>
      <c r="E553" s="1" t="n">
        <v>46276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60442-2022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44911</v>
      </c>
      <c r="E554" s="1" t="n">
        <v>46276</v>
      </c>
      <c r="F554" t="inlineStr">
        <is>
          <t>GÄVLEBORGS LÄN</t>
        </is>
      </c>
      <c r="G554" t="inlineStr">
        <is>
          <t>GÄVLE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46276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50314-2024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45600</v>
      </c>
      <c r="E556" s="1" t="n">
        <v>46276</v>
      </c>
      <c r="F556" t="inlineStr">
        <is>
          <t>GÄVLEBORGS LÄN</t>
        </is>
      </c>
      <c r="G556" t="inlineStr">
        <is>
          <t>GÄVLE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15558-2026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46276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15568-2026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46276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46276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36.3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61786-2024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45649</v>
      </c>
      <c r="E560" s="1" t="n">
        <v>46276</v>
      </c>
      <c r="F560" t="inlineStr">
        <is>
          <t>GÄVLEBORGS LÄN</t>
        </is>
      </c>
      <c r="G560" t="inlineStr">
        <is>
          <t>GÄVLE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19087-2026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46132</v>
      </c>
      <c r="E561" s="1" t="n">
        <v>46276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19088-2026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46132</v>
      </c>
      <c r="E562" s="1" t="n">
        <v>46276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46132</v>
      </c>
      <c r="E563" s="1" t="n">
        <v>46276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46133</v>
      </c>
      <c r="E564" s="1" t="n">
        <v>46276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46133</v>
      </c>
      <c r="E565" s="1" t="n">
        <v>46276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19122-2026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46132</v>
      </c>
      <c r="E566" s="1" t="n">
        <v>46276</v>
      </c>
      <c r="F566" t="inlineStr">
        <is>
          <t>GÄVLEBORGS LÄN</t>
        </is>
      </c>
      <c r="G566" t="inlineStr">
        <is>
          <t>GÄVLE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19714-2026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46134</v>
      </c>
      <c r="E567" s="1" t="n">
        <v>46276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46276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46276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3615-2024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45320</v>
      </c>
      <c r="E570" s="1" t="n">
        <v>46276</v>
      </c>
      <c r="F570" t="inlineStr">
        <is>
          <t>GÄVLEBORGS LÄN</t>
        </is>
      </c>
      <c r="G570" t="inlineStr">
        <is>
          <t>GÄVLE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46276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19716-2026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46134</v>
      </c>
      <c r="E572" s="1" t="n">
        <v>46276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15176-2026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46105</v>
      </c>
      <c r="E573" s="1" t="n">
        <v>46276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19712-2026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46134</v>
      </c>
      <c r="E574" s="1" t="n">
        <v>46276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14365-2026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46100</v>
      </c>
      <c r="E575" s="1" t="n">
        <v>46276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19372-2026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46133</v>
      </c>
      <c r="E576" s="1" t="n">
        <v>46276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46134</v>
      </c>
      <c r="E577" s="1" t="n">
        <v>46276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45915</v>
      </c>
      <c r="E578" s="1" t="n">
        <v>46276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15324-2026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46105</v>
      </c>
      <c r="E579" s="1" t="n">
        <v>46276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46276</v>
      </c>
      <c r="F580" t="inlineStr">
        <is>
          <t>GÄVLEBORGS LÄN</t>
        </is>
      </c>
      <c r="G580" t="inlineStr">
        <is>
          <t>GÄVLE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15835-2026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46107</v>
      </c>
      <c r="E581" s="1" t="n">
        <v>46276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32255-2023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45120</v>
      </c>
      <c r="E582" s="1" t="n">
        <v>46276</v>
      </c>
      <c r="F582" t="inlineStr">
        <is>
          <t>GÄVLEBORGS LÄN</t>
        </is>
      </c>
      <c r="G582" t="inlineStr">
        <is>
          <t>GÄVLE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45686</v>
      </c>
      <c r="E583" s="1" t="n">
        <v>46276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50537-2025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45945</v>
      </c>
      <c r="E584" s="1" t="n">
        <v>46276</v>
      </c>
      <c r="F584" t="inlineStr">
        <is>
          <t>GÄVLEBORGS LÄN</t>
        </is>
      </c>
      <c r="G584" t="inlineStr">
        <is>
          <t>GÄVLE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46107</v>
      </c>
      <c r="E585" s="1" t="n">
        <v>46276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44800-2024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46276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26094-2025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45805</v>
      </c>
      <c r="E587" s="1" t="n">
        <v>46276</v>
      </c>
      <c r="F587" t="inlineStr">
        <is>
          <t>GÄVLEBORGS LÄN</t>
        </is>
      </c>
      <c r="G587" t="inlineStr">
        <is>
          <t>GÄVLE</t>
        </is>
      </c>
      <c r="I587" t="n">
        <v>12.4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46094</v>
      </c>
      <c r="E588" s="1" t="n">
        <v>46276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45312</v>
      </c>
      <c r="E589" s="1" t="n">
        <v>46276</v>
      </c>
      <c r="F589" t="inlineStr">
        <is>
          <t>GÄVLEBORGS LÄN</t>
        </is>
      </c>
      <c r="G589" t="inlineStr">
        <is>
          <t>GÄVLE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35916-2025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45862</v>
      </c>
      <c r="E590" s="1" t="n">
        <v>46276</v>
      </c>
      <c r="F590" t="inlineStr">
        <is>
          <t>GÄVLEBORGS LÄN</t>
        </is>
      </c>
      <c r="G590" t="inlineStr">
        <is>
          <t>GÄVLE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46031</v>
      </c>
      <c r="E591" s="1" t="n">
        <v>46276</v>
      </c>
      <c r="F591" t="inlineStr">
        <is>
          <t>GÄVLEBORGS LÄN</t>
        </is>
      </c>
      <c r="G591" t="inlineStr">
        <is>
          <t>GÄVLE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15101-2025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45744</v>
      </c>
      <c r="E592" s="1" t="n">
        <v>46276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59817-2023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45257</v>
      </c>
      <c r="E593" s="1" t="n">
        <v>46276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väst AB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42592-2025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45905</v>
      </c>
      <c r="E594" s="1" t="n">
        <v>46276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väst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14173-2022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44651</v>
      </c>
      <c r="E595" s="1" t="n">
        <v>46276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45715</v>
      </c>
      <c r="E596" s="1" t="n">
        <v>46276</v>
      </c>
      <c r="F596" t="inlineStr">
        <is>
          <t>GÄVLEBORGS LÄN</t>
        </is>
      </c>
      <c r="G596" t="inlineStr">
        <is>
          <t>GÄVLE</t>
        </is>
      </c>
      <c r="H596" t="inlineStr">
        <is>
          <t>Kyrkan</t>
        </is>
      </c>
      <c r="I596" t="n">
        <v>8.1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15536-2026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46276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22.4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10521-2026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46077</v>
      </c>
      <c r="E598" s="1" t="n">
        <v>46276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15799-2026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46276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46276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42876-2023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45182</v>
      </c>
      <c r="E601" s="1" t="n">
        <v>46276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väst AB</t>
        </is>
      </c>
      <c r="I601" t="n">
        <v>22.7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15105-2025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45744</v>
      </c>
      <c r="E602" s="1" t="n">
        <v>46276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17404-2025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45757</v>
      </c>
      <c r="E603" s="1" t="n">
        <v>46276</v>
      </c>
      <c r="F603" t="inlineStr">
        <is>
          <t>GÄVLEBORGS LÄN</t>
        </is>
      </c>
      <c r="G603" t="inlineStr">
        <is>
          <t>GÄVLE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9331-2026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46070</v>
      </c>
      <c r="E604" s="1" t="n">
        <v>46276</v>
      </c>
      <c r="F604" t="inlineStr">
        <is>
          <t>GÄVLEBORGS LÄN</t>
        </is>
      </c>
      <c r="G604" t="inlineStr">
        <is>
          <t>GÄVLE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8568-2026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46065</v>
      </c>
      <c r="E605" s="1" t="n">
        <v>46276</v>
      </c>
      <c r="F605" t="inlineStr">
        <is>
          <t>GÄVLEBORGS LÄN</t>
        </is>
      </c>
      <c r="G605" t="inlineStr">
        <is>
          <t>GÄVLE</t>
        </is>
      </c>
      <c r="I605" t="n">
        <v>9.5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15689-2026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46107</v>
      </c>
      <c r="E606" s="1" t="n">
        <v>46276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15275-2026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46105</v>
      </c>
      <c r="E607" s="1" t="n">
        <v>46276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37146-2024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45539</v>
      </c>
      <c r="E608" s="1" t="n">
        <v>46276</v>
      </c>
      <c r="F608" t="inlineStr">
        <is>
          <t>GÄVLEBORGS LÄN</t>
        </is>
      </c>
      <c r="G608" t="inlineStr">
        <is>
          <t>GÄVLE</t>
        </is>
      </c>
      <c r="I608" t="n">
        <v>9.4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45660</v>
      </c>
      <c r="E609" s="1" t="n">
        <v>46276</v>
      </c>
      <c r="F609" t="inlineStr">
        <is>
          <t>GÄVLEBORGS LÄN</t>
        </is>
      </c>
      <c r="G609" t="inlineStr">
        <is>
          <t>GÄVLE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9025-2026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46069</v>
      </c>
      <c r="E610" s="1" t="n">
        <v>46276</v>
      </c>
      <c r="F610" t="inlineStr">
        <is>
          <t>GÄVLEBORGS LÄN</t>
        </is>
      </c>
      <c r="G610" t="inlineStr">
        <is>
          <t>GÄVLE</t>
        </is>
      </c>
      <c r="I610" t="n">
        <v>12.7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36512-2025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45869</v>
      </c>
      <c r="E611" s="1" t="n">
        <v>46276</v>
      </c>
      <c r="F611" t="inlineStr">
        <is>
          <t>GÄVLEBORGS LÄN</t>
        </is>
      </c>
      <c r="G611" t="inlineStr">
        <is>
          <t>GÄVLE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14355-2026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46100</v>
      </c>
      <c r="E612" s="1" t="n">
        <v>46276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2373-2025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45673</v>
      </c>
      <c r="E613" s="1" t="n">
        <v>46276</v>
      </c>
      <c r="F613" t="inlineStr">
        <is>
          <t>GÄVLEBORGS LÄN</t>
        </is>
      </c>
      <c r="G613" t="inlineStr">
        <is>
          <t>GÄVLE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2374-2025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45673</v>
      </c>
      <c r="E614" s="1" t="n">
        <v>46276</v>
      </c>
      <c r="F614" t="inlineStr">
        <is>
          <t>GÄVLEBORGS LÄN</t>
        </is>
      </c>
      <c r="G614" t="inlineStr">
        <is>
          <t>GÄVLE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61501-2024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45646</v>
      </c>
      <c r="E615" s="1" t="n">
        <v>46276</v>
      </c>
      <c r="F615" t="inlineStr">
        <is>
          <t>GÄVLEBORGS LÄN</t>
        </is>
      </c>
      <c r="G615" t="inlineStr">
        <is>
          <t>GÄVLE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47458-2022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44853</v>
      </c>
      <c r="E616" s="1" t="n">
        <v>46276</v>
      </c>
      <c r="F616" t="inlineStr">
        <is>
          <t>GÄVLEBORGS LÄN</t>
        </is>
      </c>
      <c r="G616" t="inlineStr">
        <is>
          <t>GÄVLE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6331-2022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44600</v>
      </c>
      <c r="E617" s="1" t="n">
        <v>46276</v>
      </c>
      <c r="F617" t="inlineStr">
        <is>
          <t>GÄVLEBORGS LÄN</t>
        </is>
      </c>
      <c r="G617" t="inlineStr">
        <is>
          <t>GÄVLE</t>
        </is>
      </c>
      <c r="H617" t="inlineStr">
        <is>
          <t>Kyrkan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46276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44938-2022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44841</v>
      </c>
      <c r="E619" s="1" t="n">
        <v>46276</v>
      </c>
      <c r="F619" t="inlineStr">
        <is>
          <t>GÄVLEBORGS LÄN</t>
        </is>
      </c>
      <c r="G619" t="inlineStr">
        <is>
          <t>GÄVLE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20589-2026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46140</v>
      </c>
      <c r="E620" s="1" t="n">
        <v>46276</v>
      </c>
      <c r="F620" t="inlineStr">
        <is>
          <t>GÄVLEBORGS LÄN</t>
        </is>
      </c>
      <c r="G620" t="inlineStr">
        <is>
          <t>GÄVLE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1096-2026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46030</v>
      </c>
      <c r="E621" s="1" t="n">
        <v>46276</v>
      </c>
      <c r="F621" t="inlineStr">
        <is>
          <t>GÄVLEBORGS LÄN</t>
        </is>
      </c>
      <c r="G621" t="inlineStr">
        <is>
          <t>GÄVLE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5241-2024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45330</v>
      </c>
      <c r="E622" s="1" t="n">
        <v>46276</v>
      </c>
      <c r="F622" t="inlineStr">
        <is>
          <t>GÄVLEBORGS LÄN</t>
        </is>
      </c>
      <c r="G622" t="inlineStr">
        <is>
          <t>GÄVLE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10487-2026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46077</v>
      </c>
      <c r="E623" s="1" t="n">
        <v>46276</v>
      </c>
      <c r="F623" t="inlineStr">
        <is>
          <t>GÄVLEBORGS LÄN</t>
        </is>
      </c>
      <c r="G623" t="inlineStr">
        <is>
          <t>GÄVLE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16190-2026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46111</v>
      </c>
      <c r="E624" s="1" t="n">
        <v>46276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16263-2026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46276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16076-2026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46108</v>
      </c>
      <c r="E626" s="1" t="n">
        <v>46276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20736-2026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46276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1475-2026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46033</v>
      </c>
      <c r="E628" s="1" t="n">
        <v>46276</v>
      </c>
      <c r="F628" t="inlineStr">
        <is>
          <t>GÄVLEBORGS LÄN</t>
        </is>
      </c>
      <c r="G628" t="inlineStr">
        <is>
          <t>GÄVLE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20785-2026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46141</v>
      </c>
      <c r="E629" s="1" t="n">
        <v>46276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50582-2023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45217</v>
      </c>
      <c r="E630" s="1" t="n">
        <v>46276</v>
      </c>
      <c r="F630" t="inlineStr">
        <is>
          <t>GÄVLEBORGS LÄN</t>
        </is>
      </c>
      <c r="G630" t="inlineStr">
        <is>
          <t>GÄVLE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7441-2025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45705</v>
      </c>
      <c r="E631" s="1" t="n">
        <v>46276</v>
      </c>
      <c r="F631" t="inlineStr">
        <is>
          <t>GÄVLEBORGS LÄN</t>
        </is>
      </c>
      <c r="G631" t="inlineStr">
        <is>
          <t>GÄVLE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21966-2025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45784</v>
      </c>
      <c r="E632" s="1" t="n">
        <v>46276</v>
      </c>
      <c r="F632" t="inlineStr">
        <is>
          <t>GÄVLEBORGS LÄN</t>
        </is>
      </c>
      <c r="G632" t="inlineStr">
        <is>
          <t>GÄVLE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9235-2022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44616</v>
      </c>
      <c r="E633" s="1" t="n">
        <v>46276</v>
      </c>
      <c r="F633" t="inlineStr">
        <is>
          <t>GÄVLEBORGS LÄN</t>
        </is>
      </c>
      <c r="G633" t="inlineStr">
        <is>
          <t>GÄVLE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53082-2022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44876</v>
      </c>
      <c r="E634" s="1" t="n">
        <v>46276</v>
      </c>
      <c r="F634" t="inlineStr">
        <is>
          <t>GÄVLEBORGS LÄN</t>
        </is>
      </c>
      <c r="G634" t="inlineStr">
        <is>
          <t>GÄVLE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20685-2026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46141</v>
      </c>
      <c r="E635" s="1" t="n">
        <v>46276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20735-2026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46141</v>
      </c>
      <c r="E636" s="1" t="n">
        <v>46276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72734-2021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44546</v>
      </c>
      <c r="E637" s="1" t="n">
        <v>46276</v>
      </c>
      <c r="F637" t="inlineStr">
        <is>
          <t>GÄVLEBORGS LÄN</t>
        </is>
      </c>
      <c r="G637" t="inlineStr">
        <is>
          <t>GÄVLE</t>
        </is>
      </c>
      <c r="H637" t="inlineStr">
        <is>
          <t>Kommuner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20906-2026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46142</v>
      </c>
      <c r="E638" s="1" t="n">
        <v>46276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20905-2026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46142</v>
      </c>
      <c r="E639" s="1" t="n">
        <v>46276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53432-2021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44468</v>
      </c>
      <c r="E640" s="1" t="n">
        <v>46276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46045</v>
      </c>
      <c r="E641" s="1" t="n">
        <v>46276</v>
      </c>
      <c r="F641" t="inlineStr">
        <is>
          <t>GÄVLEBORGS LÄN</t>
        </is>
      </c>
      <c r="G641" t="inlineStr">
        <is>
          <t>GÄVLE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21364-2026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46147</v>
      </c>
      <c r="E642" s="1" t="n">
        <v>46276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58445-2021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44488</v>
      </c>
      <c r="E643" s="1" t="n">
        <v>46276</v>
      </c>
      <c r="F643" t="inlineStr">
        <is>
          <t>GÄVLEBORGS LÄN</t>
        </is>
      </c>
      <c r="G643" t="inlineStr">
        <is>
          <t>GÄVLE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21033-2026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46146</v>
      </c>
      <c r="E644" s="1" t="n">
        <v>46276</v>
      </c>
      <c r="F644" t="inlineStr">
        <is>
          <t>GÄVLEBORGS LÄN</t>
        </is>
      </c>
      <c r="G644" t="inlineStr">
        <is>
          <t>GÄVLE</t>
        </is>
      </c>
      <c r="H644" t="inlineStr">
        <is>
          <t>Kyrkan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14707-2026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46101</v>
      </c>
      <c r="E645" s="1" t="n">
        <v>46276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66493-2021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44519</v>
      </c>
      <c r="E646" s="1" t="n">
        <v>46276</v>
      </c>
      <c r="F646" t="inlineStr">
        <is>
          <t>GÄVLEBORGS LÄN</t>
        </is>
      </c>
      <c r="G646" t="inlineStr">
        <is>
          <t>GÄVLE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16144-2026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46108</v>
      </c>
      <c r="E647" s="1" t="n">
        <v>46276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22111-2026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46153</v>
      </c>
      <c r="E648" s="1" t="n">
        <v>46276</v>
      </c>
      <c r="F648" t="inlineStr">
        <is>
          <t>GÄVLEBORGS LÄN</t>
        </is>
      </c>
      <c r="G648" t="inlineStr">
        <is>
          <t>GÄVLE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25812-2023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45090</v>
      </c>
      <c r="E649" s="1" t="n">
        <v>46276</v>
      </c>
      <c r="F649" t="inlineStr">
        <is>
          <t>GÄVLEBORGS LÄN</t>
        </is>
      </c>
      <c r="G649" t="inlineStr">
        <is>
          <t>GÄVLE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44936</v>
      </c>
      <c r="E650" s="1" t="n">
        <v>46276</v>
      </c>
      <c r="F650" t="inlineStr">
        <is>
          <t>GÄVLEBORGS LÄN</t>
        </is>
      </c>
      <c r="G650" t="inlineStr">
        <is>
          <t>GÄVLE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22053-2026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46153</v>
      </c>
      <c r="E651" s="1" t="n">
        <v>46276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46276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45312</v>
      </c>
      <c r="E653" s="1" t="n">
        <v>46276</v>
      </c>
      <c r="F653" t="inlineStr">
        <is>
          <t>GÄVLEBORGS LÄN</t>
        </is>
      </c>
      <c r="G653" t="inlineStr">
        <is>
          <t>GÄVLE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22584-2026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46276</v>
      </c>
      <c r="F654" t="inlineStr">
        <is>
          <t>GÄVLEBORGS LÄN</t>
        </is>
      </c>
      <c r="G654" t="inlineStr">
        <is>
          <t>GÄVLE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46119</v>
      </c>
      <c r="E655" s="1" t="n">
        <v>46276</v>
      </c>
      <c r="F655" t="inlineStr">
        <is>
          <t>GÄVLEBORGS LÄN</t>
        </is>
      </c>
      <c r="G655" t="inlineStr">
        <is>
          <t>GÄVLE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51071-2023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45218</v>
      </c>
      <c r="E656" s="1" t="n">
        <v>46276</v>
      </c>
      <c r="F656" t="inlineStr">
        <is>
          <t>GÄVLEBORGS LÄN</t>
        </is>
      </c>
      <c r="G656" t="inlineStr">
        <is>
          <t>GÄVLE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46105</v>
      </c>
      <c r="E657" s="1" t="n">
        <v>46276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22545-2026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46276</v>
      </c>
      <c r="F658" t="inlineStr">
        <is>
          <t>GÄVLEBORGS LÄN</t>
        </is>
      </c>
      <c r="G658" t="inlineStr">
        <is>
          <t>GÄVLE</t>
        </is>
      </c>
      <c r="H658" t="inlineStr">
        <is>
          <t>Kyrkan</t>
        </is>
      </c>
      <c r="I658" t="n">
        <v>10.1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17113-2024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45412</v>
      </c>
      <c r="E659" s="1" t="n">
        <v>46276</v>
      </c>
      <c r="F659" t="inlineStr">
        <is>
          <t>GÄVLEBORGS LÄN</t>
        </is>
      </c>
      <c r="G659" t="inlineStr">
        <is>
          <t>GÄVLE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22570-2026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46155</v>
      </c>
      <c r="E660" s="1" t="n">
        <v>46276</v>
      </c>
      <c r="F660" t="inlineStr">
        <is>
          <t>GÄVLEBORGS LÄN</t>
        </is>
      </c>
      <c r="G660" t="inlineStr">
        <is>
          <t>GÄVLE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49401-2024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45595</v>
      </c>
      <c r="E661" s="1" t="n">
        <v>46276</v>
      </c>
      <c r="F661" t="inlineStr">
        <is>
          <t>GÄVLEBORGS LÄN</t>
        </is>
      </c>
      <c r="G661" t="inlineStr">
        <is>
          <t>GÄVLE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15152-2026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46105</v>
      </c>
      <c r="E662" s="1" t="n">
        <v>46276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14666-2026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46276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15.1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22342-2026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46154</v>
      </c>
      <c r="E664" s="1" t="n">
        <v>46276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64871-2023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45282</v>
      </c>
      <c r="E665" s="1" t="n">
        <v>46276</v>
      </c>
      <c r="F665" t="inlineStr">
        <is>
          <t>GÄVLEBORGS LÄN</t>
        </is>
      </c>
      <c r="G665" t="inlineStr">
        <is>
          <t>GÄVLE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64875-2023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45282</v>
      </c>
      <c r="E666" s="1" t="n">
        <v>46276</v>
      </c>
      <c r="F666" t="inlineStr">
        <is>
          <t>GÄVLEBORGS LÄN</t>
        </is>
      </c>
      <c r="G666" t="inlineStr">
        <is>
          <t>GÄVLE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64878-2023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45282</v>
      </c>
      <c r="E667" s="1" t="n">
        <v>46276</v>
      </c>
      <c r="F667" t="inlineStr">
        <is>
          <t>GÄVLEBORGS LÄN</t>
        </is>
      </c>
      <c r="G667" t="inlineStr">
        <is>
          <t>GÄVLE</t>
        </is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15790-2026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46107</v>
      </c>
      <c r="E668" s="1" t="n">
        <v>46276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15765-2026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46107</v>
      </c>
      <c r="E669" s="1" t="n">
        <v>46276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2461-2024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45312</v>
      </c>
      <c r="E670" s="1" t="n">
        <v>46276</v>
      </c>
      <c r="F670" t="inlineStr">
        <is>
          <t>GÄVLEBORGS LÄN</t>
        </is>
      </c>
      <c r="G670" t="inlineStr">
        <is>
          <t>GÄVLE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42934-2023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45182</v>
      </c>
      <c r="E671" s="1" t="n">
        <v>46276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36638-2022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44804</v>
      </c>
      <c r="E672" s="1" t="n">
        <v>46276</v>
      </c>
      <c r="F672" t="inlineStr">
        <is>
          <t>GÄVLEBORGS LÄN</t>
        </is>
      </c>
      <c r="G672" t="inlineStr">
        <is>
          <t>GÄVLE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15469-2026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46276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45628-2022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44845</v>
      </c>
      <c r="E674" s="1" t="n">
        <v>46276</v>
      </c>
      <c r="F674" t="inlineStr">
        <is>
          <t>GÄVLEBORGS LÄN</t>
        </is>
      </c>
      <c r="G674" t="inlineStr">
        <is>
          <t>GÄVLE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46276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15711-2026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46107</v>
      </c>
      <c r="E676" s="1" t="n">
        <v>46276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22508-2026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46155</v>
      </c>
      <c r="E677" s="1" t="n">
        <v>46276</v>
      </c>
      <c r="F677" t="inlineStr">
        <is>
          <t>GÄVLEBORGS LÄN</t>
        </is>
      </c>
      <c r="G677" t="inlineStr">
        <is>
          <t>GÄVLE</t>
        </is>
      </c>
      <c r="H677" t="inlineStr">
        <is>
          <t>Kyrkan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23117-2026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46161</v>
      </c>
      <c r="E678" s="1" t="n">
        <v>46276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60792-2024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45644</v>
      </c>
      <c r="E679" s="1" t="n">
        <v>46276</v>
      </c>
      <c r="F679" t="inlineStr">
        <is>
          <t>GÄVLEBORGS LÄN</t>
        </is>
      </c>
      <c r="G679" t="inlineStr">
        <is>
          <t>GÄVLE</t>
        </is>
      </c>
      <c r="H679" t="inlineStr">
        <is>
          <t>Kyrkan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23591-2026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46163</v>
      </c>
      <c r="E680" s="1" t="n">
        <v>46276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60801-2024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45644</v>
      </c>
      <c r="E681" s="1" t="n">
        <v>46276</v>
      </c>
      <c r="F681" t="inlineStr">
        <is>
          <t>GÄVLEBORGS LÄN</t>
        </is>
      </c>
      <c r="G681" t="inlineStr">
        <is>
          <t>GÄVLE</t>
        </is>
      </c>
      <c r="H681" t="inlineStr">
        <is>
          <t>Kyrkan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22577-2022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44713</v>
      </c>
      <c r="E682" s="1" t="n">
        <v>46276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väst AB</t>
        </is>
      </c>
      <c r="I682" t="n">
        <v>10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57168-2023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45245</v>
      </c>
      <c r="E683" s="1" t="n">
        <v>46276</v>
      </c>
      <c r="F683" t="inlineStr">
        <is>
          <t>GÄVLEBORGS LÄN</t>
        </is>
      </c>
      <c r="G683" t="inlineStr">
        <is>
          <t>GÄVLE</t>
        </is>
      </c>
      <c r="H683" t="inlineStr">
        <is>
          <t>Kyrkan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15207-2024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45400</v>
      </c>
      <c r="E684" s="1" t="n">
        <v>46276</v>
      </c>
      <c r="F684" t="inlineStr">
        <is>
          <t>GÄVLEBORGS LÄN</t>
        </is>
      </c>
      <c r="G684" t="inlineStr">
        <is>
          <t>GÄVLE</t>
        </is>
      </c>
      <c r="I684" t="n">
        <v>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23956-2026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46167</v>
      </c>
      <c r="E685" s="1" t="n">
        <v>46276</v>
      </c>
      <c r="F685" t="inlineStr">
        <is>
          <t>GÄVLEBORGS LÄN</t>
        </is>
      </c>
      <c r="G685" t="inlineStr">
        <is>
          <t>GÄVLE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29016-2023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45104</v>
      </c>
      <c r="E686" s="1" t="n">
        <v>46276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60396-2022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44910</v>
      </c>
      <c r="E687" s="1" t="n">
        <v>46276</v>
      </c>
      <c r="F687" t="inlineStr">
        <is>
          <t>GÄVLEBORGS LÄN</t>
        </is>
      </c>
      <c r="G687" t="inlineStr">
        <is>
          <t>GÄVLE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24325-2026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46169</v>
      </c>
      <c r="E688" s="1" t="n">
        <v>46276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24398-2026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46169</v>
      </c>
      <c r="E689" s="1" t="n">
        <v>46276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24400-2026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46169</v>
      </c>
      <c r="E690" s="1" t="n">
        <v>46276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25276-2024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45462</v>
      </c>
      <c r="E691" s="1" t="n">
        <v>46276</v>
      </c>
      <c r="F691" t="inlineStr">
        <is>
          <t>GÄVLEBORGS LÄN</t>
        </is>
      </c>
      <c r="G691" t="inlineStr">
        <is>
          <t>GÄVLE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24295-2026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46169</v>
      </c>
      <c r="E692" s="1" t="n">
        <v>46276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24306-2026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46169</v>
      </c>
      <c r="E693" s="1" t="n">
        <v>46276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45660</v>
      </c>
      <c r="E694" s="1" t="n">
        <v>46276</v>
      </c>
      <c r="F694" t="inlineStr">
        <is>
          <t>GÄVLEBORGS LÄN</t>
        </is>
      </c>
      <c r="G694" t="inlineStr">
        <is>
          <t>GÄVLE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45660</v>
      </c>
      <c r="E695" s="1" t="n">
        <v>46276</v>
      </c>
      <c r="F695" t="inlineStr">
        <is>
          <t>GÄVLEBORGS LÄN</t>
        </is>
      </c>
      <c r="G695" t="inlineStr">
        <is>
          <t>GÄVLE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24089-2026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46276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24294-2026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46169</v>
      </c>
      <c r="E697" s="1" t="n">
        <v>46276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27182-2022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44741</v>
      </c>
      <c r="E698" s="1" t="n">
        <v>46276</v>
      </c>
      <c r="F698" t="inlineStr">
        <is>
          <t>GÄVLEBORGS LÄN</t>
        </is>
      </c>
      <c r="G698" t="inlineStr">
        <is>
          <t>GÄVLE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46276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24373-2026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46169</v>
      </c>
      <c r="E700" s="1" t="n">
        <v>46276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46276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24456-2026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46170</v>
      </c>
      <c r="E702" s="1" t="n">
        <v>46276</v>
      </c>
      <c r="F702" t="inlineStr">
        <is>
          <t>GÄVLEBORGS LÄN</t>
        </is>
      </c>
      <c r="G702" t="inlineStr">
        <is>
          <t>GÄVLE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8031-2024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45350</v>
      </c>
      <c r="E703" s="1" t="n">
        <v>46276</v>
      </c>
      <c r="F703" t="inlineStr">
        <is>
          <t>GÄVLEBORGS LÄN</t>
        </is>
      </c>
      <c r="G703" t="inlineStr">
        <is>
          <t>GÄVLE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24810-2026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46173</v>
      </c>
      <c r="E704" s="1" t="n">
        <v>46276</v>
      </c>
      <c r="F704" t="inlineStr">
        <is>
          <t>GÄVLEBORGS LÄN</t>
        </is>
      </c>
      <c r="G704" t="inlineStr">
        <is>
          <t>GÄVLE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61351-2021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44498</v>
      </c>
      <c r="E705" s="1" t="n">
        <v>46276</v>
      </c>
      <c r="F705" t="inlineStr">
        <is>
          <t>GÄVLEBORGS LÄN</t>
        </is>
      </c>
      <c r="G705" t="inlineStr">
        <is>
          <t>GÄVLE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53281-2024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45614</v>
      </c>
      <c r="E706" s="1" t="n">
        <v>46276</v>
      </c>
      <c r="F706" t="inlineStr">
        <is>
          <t>GÄVLEBORGS LÄN</t>
        </is>
      </c>
      <c r="G706" t="inlineStr">
        <is>
          <t>GÄVLE</t>
        </is>
      </c>
      <c r="I706" t="n">
        <v>6.5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60879-2023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45261</v>
      </c>
      <c r="E707" s="1" t="n">
        <v>46276</v>
      </c>
      <c r="F707" t="inlineStr">
        <is>
          <t>GÄVLEBORGS LÄN</t>
        </is>
      </c>
      <c r="G707" t="inlineStr">
        <is>
          <t>GÄVLE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24669-2026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46171</v>
      </c>
      <c r="E708" s="1" t="n">
        <v>46276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21.4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21365-2026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46276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25384-2026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46176</v>
      </c>
      <c r="E710" s="1" t="n">
        <v>46276</v>
      </c>
      <c r="F710" t="inlineStr">
        <is>
          <t>GÄVLEBORGS LÄN</t>
        </is>
      </c>
      <c r="G710" t="inlineStr">
        <is>
          <t>GÄVLE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15312-2023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45019</v>
      </c>
      <c r="E711" s="1" t="n">
        <v>46276</v>
      </c>
      <c r="F711" t="inlineStr">
        <is>
          <t>GÄVLEBORGS LÄN</t>
        </is>
      </c>
      <c r="G711" t="inlineStr">
        <is>
          <t>GÄVLE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25367-2026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46176</v>
      </c>
      <c r="E712" s="1" t="n">
        <v>46276</v>
      </c>
      <c r="F712" t="inlineStr">
        <is>
          <t>GÄVLEBORGS LÄN</t>
        </is>
      </c>
      <c r="G712" t="inlineStr">
        <is>
          <t>GÄVLE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52387-2022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44874</v>
      </c>
      <c r="E713" s="1" t="n">
        <v>46276</v>
      </c>
      <c r="F713" t="inlineStr">
        <is>
          <t>GÄVLEBORGS LÄN</t>
        </is>
      </c>
      <c r="G713" t="inlineStr">
        <is>
          <t>GÄVLE</t>
        </is>
      </c>
      <c r="H713" t="inlineStr">
        <is>
          <t>Kommuner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31011-2023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46276</v>
      </c>
      <c r="F714" t="inlineStr">
        <is>
          <t>GÄVLEBORGS LÄN</t>
        </is>
      </c>
      <c r="G714" t="inlineStr">
        <is>
          <t>GÄVLE</t>
        </is>
      </c>
      <c r="I714" t="n">
        <v>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22466-2023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45070</v>
      </c>
      <c r="E715" s="1" t="n">
        <v>46276</v>
      </c>
      <c r="F715" t="inlineStr">
        <is>
          <t>GÄVLEBORGS LÄN</t>
        </is>
      </c>
      <c r="G715" t="inlineStr">
        <is>
          <t>GÄVLE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46276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21367-2026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46147</v>
      </c>
      <c r="E717" s="1" t="n">
        <v>46276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16023-2023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45026</v>
      </c>
      <c r="E718" s="1" t="n">
        <v>46276</v>
      </c>
      <c r="F718" t="inlineStr">
        <is>
          <t>GÄVLEBORGS LÄN</t>
        </is>
      </c>
      <c r="G718" t="inlineStr">
        <is>
          <t>GÄVLE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25500-2026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46177</v>
      </c>
      <c r="E719" s="1" t="n">
        <v>46276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20676-2026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46141</v>
      </c>
      <c r="E720" s="1" t="n">
        <v>46276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25829-2024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45467</v>
      </c>
      <c r="E721" s="1" t="n">
        <v>46276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7235-2025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45702</v>
      </c>
      <c r="E722" s="1" t="n">
        <v>46276</v>
      </c>
      <c r="F722" t="inlineStr">
        <is>
          <t>GÄVLEBORGS LÄN</t>
        </is>
      </c>
      <c r="G722" t="inlineStr">
        <is>
          <t>GÄVLE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25513-2026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46177</v>
      </c>
      <c r="E723" s="1" t="n">
        <v>46276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71215-2021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44539</v>
      </c>
      <c r="E724" s="1" t="n">
        <v>46276</v>
      </c>
      <c r="F724" t="inlineStr">
        <is>
          <t>GÄVLEBORGS LÄN</t>
        </is>
      </c>
      <c r="G724" t="inlineStr">
        <is>
          <t>GÄVLE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25582-2026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46276</v>
      </c>
      <c r="F725" t="inlineStr">
        <is>
          <t>GÄVLEBORGS LÄN</t>
        </is>
      </c>
      <c r="G725" t="inlineStr">
        <is>
          <t>GÄVLE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25829-2026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46178</v>
      </c>
      <c r="E726" s="1" t="n">
        <v>46276</v>
      </c>
      <c r="F726" t="inlineStr">
        <is>
          <t>GÄVLEBORGS LÄN</t>
        </is>
      </c>
      <c r="G726" t="inlineStr">
        <is>
          <t>GÄVLE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25623-2026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46177</v>
      </c>
      <c r="E727" s="1" t="n">
        <v>46276</v>
      </c>
      <c r="F727" t="inlineStr">
        <is>
          <t>GÄVLEBORGS LÄN</t>
        </is>
      </c>
      <c r="G727" t="inlineStr">
        <is>
          <t>GÄVLE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61879-2024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45652</v>
      </c>
      <c r="E728" s="1" t="n">
        <v>46276</v>
      </c>
      <c r="F728" t="inlineStr">
        <is>
          <t>GÄVLEBORGS LÄN</t>
        </is>
      </c>
      <c r="G728" t="inlineStr">
        <is>
          <t>GÄVLE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26016-2026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46181</v>
      </c>
      <c r="E729" s="1" t="n">
        <v>46276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19712-2022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44694</v>
      </c>
      <c r="E730" s="1" t="n">
        <v>46276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39509-2022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44818</v>
      </c>
      <c r="E731" s="1" t="n">
        <v>46276</v>
      </c>
      <c r="F731" t="inlineStr">
        <is>
          <t>GÄVLEBORGS LÄN</t>
        </is>
      </c>
      <c r="G731" t="inlineStr">
        <is>
          <t>GÄVLE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30662-2022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44763</v>
      </c>
      <c r="E732" s="1" t="n">
        <v>46276</v>
      </c>
      <c r="F732" t="inlineStr">
        <is>
          <t>GÄVLEBORGS LÄN</t>
        </is>
      </c>
      <c r="G732" t="inlineStr">
        <is>
          <t>GÄVLE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61004-2024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45645</v>
      </c>
      <c r="E733" s="1" t="n">
        <v>46276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26600-2026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46183</v>
      </c>
      <c r="E734" s="1" t="n">
        <v>46276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37352-2024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45540</v>
      </c>
      <c r="E735" s="1" t="n">
        <v>46276</v>
      </c>
      <c r="F735" t="inlineStr">
        <is>
          <t>GÄVLEBORGS LÄN</t>
        </is>
      </c>
      <c r="G735" t="inlineStr">
        <is>
          <t>GÄVLE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17605-2025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45757</v>
      </c>
      <c r="E736" s="1" t="n">
        <v>46276</v>
      </c>
      <c r="F736" t="inlineStr">
        <is>
          <t>GÄVLEBORGS LÄN</t>
        </is>
      </c>
      <c r="G736" t="inlineStr">
        <is>
          <t>GÄVLE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17607-2025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45757</v>
      </c>
      <c r="E737" s="1" t="n">
        <v>46276</v>
      </c>
      <c r="F737" t="inlineStr">
        <is>
          <t>GÄVLEBORGS LÄN</t>
        </is>
      </c>
      <c r="G737" t="inlineStr">
        <is>
          <t>GÄVLE</t>
        </is>
      </c>
      <c r="I737" t="n">
        <v>7.6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26599-2026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46276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26658-2026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46184</v>
      </c>
      <c r="E739" s="1" t="n">
        <v>46276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26991-2026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46276</v>
      </c>
      <c r="F740" t="inlineStr">
        <is>
          <t>GÄVLEBORGS LÄN</t>
        </is>
      </c>
      <c r="G740" t="inlineStr">
        <is>
          <t>GÄVLE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27048-2026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46185</v>
      </c>
      <c r="E741" s="1" t="n">
        <v>46276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27052-2026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46276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27065-2026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46276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27067-2026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46276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27053-2026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46185</v>
      </c>
      <c r="E745" s="1" t="n">
        <v>46276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27060-2026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46276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56487-2023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45243</v>
      </c>
      <c r="E747" s="1" t="n">
        <v>46276</v>
      </c>
      <c r="F747" t="inlineStr">
        <is>
          <t>GÄVLEBORGS LÄN</t>
        </is>
      </c>
      <c r="G747" t="inlineStr">
        <is>
          <t>GÄVLE</t>
        </is>
      </c>
      <c r="I747" t="n">
        <v>8.699999999999999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9307-2022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44616</v>
      </c>
      <c r="E748" s="1" t="n">
        <v>46276</v>
      </c>
      <c r="F748" t="inlineStr">
        <is>
          <t>GÄVLEBORGS LÄN</t>
        </is>
      </c>
      <c r="G748" t="inlineStr">
        <is>
          <t>GÄVLE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27057-2026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46276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27068-2026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46276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27361-2026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46188</v>
      </c>
      <c r="E751" s="1" t="n">
        <v>46276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27041-2026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46276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27051-2026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46276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27042-2026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46276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46276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27066-2026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46276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27069-2026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46185</v>
      </c>
      <c r="E757" s="1" t="n">
        <v>46276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13193-2025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45735</v>
      </c>
      <c r="E758" s="1" t="n">
        <v>46276</v>
      </c>
      <c r="F758" t="inlineStr">
        <is>
          <t>GÄVLEBORGS LÄN</t>
        </is>
      </c>
      <c r="G758" t="inlineStr">
        <is>
          <t>GÄVLE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31866-2023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45106</v>
      </c>
      <c r="E759" s="1" t="n">
        <v>46276</v>
      </c>
      <c r="F759" t="inlineStr">
        <is>
          <t>GÄVLEBORGS LÄN</t>
        </is>
      </c>
      <c r="G759" t="inlineStr">
        <is>
          <t>GÄVLE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14807-2023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45014</v>
      </c>
      <c r="E760" s="1" t="n">
        <v>46276</v>
      </c>
      <c r="F760" t="inlineStr">
        <is>
          <t>GÄVLEBORGS LÄN</t>
        </is>
      </c>
      <c r="G760" t="inlineStr">
        <is>
          <t>GÄVLE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27359-2026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46276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27360-2026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46188</v>
      </c>
      <c r="E762" s="1" t="n">
        <v>46276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26885-2026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46276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46276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27046-2026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46276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27040-2026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46276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46276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27059-2026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46276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46276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33880-2022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44790</v>
      </c>
      <c r="E770" s="1" t="n">
        <v>46276</v>
      </c>
      <c r="F770" t="inlineStr">
        <is>
          <t>GÄVLEBORGS LÄN</t>
        </is>
      </c>
      <c r="G770" t="inlineStr">
        <is>
          <t>GÄVLE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6370-2025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45699</v>
      </c>
      <c r="E771" s="1" t="n">
        <v>46276</v>
      </c>
      <c r="F771" t="inlineStr">
        <is>
          <t>GÄVLEBORGS LÄN</t>
        </is>
      </c>
      <c r="G771" t="inlineStr">
        <is>
          <t>GÄVLE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11691-2024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45373</v>
      </c>
      <c r="E772" s="1" t="n">
        <v>46276</v>
      </c>
      <c r="F772" t="inlineStr">
        <is>
          <t>GÄVLEBORGS LÄN</t>
        </is>
      </c>
      <c r="G772" t="inlineStr">
        <is>
          <t>GÄVLE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62766-2022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44885</v>
      </c>
      <c r="E773" s="1" t="n">
        <v>46276</v>
      </c>
      <c r="F773" t="inlineStr">
        <is>
          <t>GÄVLEBORGS LÄN</t>
        </is>
      </c>
      <c r="G773" t="inlineStr">
        <is>
          <t>GÄVLE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19164-2026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46132</v>
      </c>
      <c r="E774" s="1" t="n">
        <v>46276</v>
      </c>
      <c r="F774" t="inlineStr">
        <is>
          <t>GÄVLEBORGS LÄN</t>
        </is>
      </c>
      <c r="G774" t="inlineStr">
        <is>
          <t>GÄVLE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64873-2023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45282</v>
      </c>
      <c r="E775" s="1" t="n">
        <v>46276</v>
      </c>
      <c r="F775" t="inlineStr">
        <is>
          <t>GÄVLEBORGS LÄN</t>
        </is>
      </c>
      <c r="G775" t="inlineStr">
        <is>
          <t>GÄVLE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29862-2023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45107</v>
      </c>
      <c r="E776" s="1" t="n">
        <v>46276</v>
      </c>
      <c r="F776" t="inlineStr">
        <is>
          <t>GÄVLEBORGS LÄN</t>
        </is>
      </c>
      <c r="G776" t="inlineStr">
        <is>
          <t>GÄVLE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28332-2026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46196</v>
      </c>
      <c r="E777" s="1" t="n">
        <v>46276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28334-2026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46196</v>
      </c>
      <c r="E778" s="1" t="n">
        <v>46276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28379-2026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46196</v>
      </c>
      <c r="E779" s="1" t="n">
        <v>46276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28331-2026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46196</v>
      </c>
      <c r="E780" s="1" t="n">
        <v>46276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32437-2026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46239</v>
      </c>
      <c r="E781" s="1" t="n">
        <v>46276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24478-2023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45082</v>
      </c>
      <c r="E782" s="1" t="n">
        <v>46276</v>
      </c>
      <c r="F782" t="inlineStr">
        <is>
          <t>GÄVLEBORGS LÄN</t>
        </is>
      </c>
      <c r="G782" t="inlineStr">
        <is>
          <t>GÄVLE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17088-2023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45034</v>
      </c>
      <c r="E783" s="1" t="n">
        <v>46276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28140-2026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46195</v>
      </c>
      <c r="E784" s="1" t="n">
        <v>46276</v>
      </c>
      <c r="F784" t="inlineStr">
        <is>
          <t>GÄVLEBORGS LÄN</t>
        </is>
      </c>
      <c r="G784" t="inlineStr">
        <is>
          <t>GÄVLE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7792-2023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44973</v>
      </c>
      <c r="E785" s="1" t="n">
        <v>46276</v>
      </c>
      <c r="F785" t="inlineStr">
        <is>
          <t>GÄVLEBORGS LÄN</t>
        </is>
      </c>
      <c r="G785" t="inlineStr">
        <is>
          <t>GÄVLE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46239</v>
      </c>
      <c r="E786" s="1" t="n">
        <v>46276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14735-2024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45397</v>
      </c>
      <c r="E787" s="1" t="n">
        <v>46276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35761-2022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44800</v>
      </c>
      <c r="E788" s="1" t="n">
        <v>46276</v>
      </c>
      <c r="F788" t="inlineStr">
        <is>
          <t>GÄVLEBORGS LÄN</t>
        </is>
      </c>
      <c r="G788" t="inlineStr">
        <is>
          <t>GÄVLE</t>
        </is>
      </c>
      <c r="I788" t="n">
        <v>8.199999999999999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22968-2026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46160</v>
      </c>
      <c r="E789" s="1" t="n">
        <v>46276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29494-2026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46276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29506-2026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46276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52.7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28654-2026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46198</v>
      </c>
      <c r="E792" s="1" t="n">
        <v>46276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28485-2026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46197</v>
      </c>
      <c r="E793" s="1" t="n">
        <v>46276</v>
      </c>
      <c r="F793" t="inlineStr">
        <is>
          <t>GÄVLEBORGS LÄN</t>
        </is>
      </c>
      <c r="G793" t="inlineStr">
        <is>
          <t>GÄVLE</t>
        </is>
      </c>
      <c r="H793" t="inlineStr">
        <is>
          <t>BillerudKorsnäs AB</t>
        </is>
      </c>
      <c r="I793" t="n">
        <v>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28656-2026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46276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28659-2026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46276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28655-2026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46198</v>
      </c>
      <c r="E796" s="1" t="n">
        <v>46276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28657-2026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46198</v>
      </c>
      <c r="E797" s="1" t="n">
        <v>46276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28658-2026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46198</v>
      </c>
      <c r="E798" s="1" t="n">
        <v>46276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61918-2023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45266</v>
      </c>
      <c r="E799" s="1" t="n">
        <v>46276</v>
      </c>
      <c r="F799" t="inlineStr">
        <is>
          <t>GÄVLEBORGS LÄN</t>
        </is>
      </c>
      <c r="G799" t="inlineStr">
        <is>
          <t>GÄVLE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32890-2026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46244</v>
      </c>
      <c r="E800" s="1" t="n">
        <v>46276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17245-2024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45414</v>
      </c>
      <c r="E801" s="1" t="n">
        <v>46276</v>
      </c>
      <c r="F801" t="inlineStr">
        <is>
          <t>GÄVLEBORGS LÄN</t>
        </is>
      </c>
      <c r="G801" t="inlineStr">
        <is>
          <t>GÄVLE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29142-2026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46202</v>
      </c>
      <c r="E802" s="1" t="n">
        <v>46276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29333-2026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46202</v>
      </c>
      <c r="E803" s="1" t="n">
        <v>46276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32887-2026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46244</v>
      </c>
      <c r="E804" s="1" t="n">
        <v>46276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62255-2022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44922</v>
      </c>
      <c r="E805" s="1" t="n">
        <v>46276</v>
      </c>
      <c r="F805" t="inlineStr">
        <is>
          <t>GÄVLEBORGS LÄN</t>
        </is>
      </c>
      <c r="G805" t="inlineStr">
        <is>
          <t>GÄVLE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32888-2026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46244</v>
      </c>
      <c r="E806" s="1" t="n">
        <v>46276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57928-2024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45631</v>
      </c>
      <c r="E807" s="1" t="n">
        <v>46276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9422-2025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45715</v>
      </c>
      <c r="E808" s="1" t="n">
        <v>46276</v>
      </c>
      <c r="F808" t="inlineStr">
        <is>
          <t>GÄVLEBORGS LÄN</t>
        </is>
      </c>
      <c r="G808" t="inlineStr">
        <is>
          <t>GÄVLE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61843-2023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45266</v>
      </c>
      <c r="E809" s="1" t="n">
        <v>46276</v>
      </c>
      <c r="F809" t="inlineStr">
        <is>
          <t>GÄVLEBORGS LÄN</t>
        </is>
      </c>
      <c r="G809" t="inlineStr">
        <is>
          <t>GÄVLE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45660</v>
      </c>
      <c r="E810" s="1" t="n">
        <v>46276</v>
      </c>
      <c r="F810" t="inlineStr">
        <is>
          <t>GÄVLEBORGS LÄN</t>
        </is>
      </c>
      <c r="G810" t="inlineStr">
        <is>
          <t>GÄVLE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33449-2024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45519</v>
      </c>
      <c r="E811" s="1" t="n">
        <v>46276</v>
      </c>
      <c r="F811" t="inlineStr">
        <is>
          <t>GÄVLEBORGS LÄN</t>
        </is>
      </c>
      <c r="G811" t="inlineStr">
        <is>
          <t>GÄVLE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35440-2023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45146</v>
      </c>
      <c r="E812" s="1" t="n">
        <v>46276</v>
      </c>
      <c r="F812" t="inlineStr">
        <is>
          <t>GÄVLEBORGS LÄN</t>
        </is>
      </c>
      <c r="G812" t="inlineStr">
        <is>
          <t>GÄVLE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3662-2022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44586</v>
      </c>
      <c r="E813" s="1" t="n">
        <v>46276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7410-2025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45705</v>
      </c>
      <c r="E814" s="1" t="n">
        <v>46276</v>
      </c>
      <c r="F814" t="inlineStr">
        <is>
          <t>GÄVLEBORGS LÄN</t>
        </is>
      </c>
      <c r="G814" t="inlineStr">
        <is>
          <t>GÄVLE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35331-2024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45530</v>
      </c>
      <c r="E815" s="1" t="n">
        <v>46276</v>
      </c>
      <c r="F815" t="inlineStr">
        <is>
          <t>GÄVLEBORGS LÄN</t>
        </is>
      </c>
      <c r="G815" t="inlineStr">
        <is>
          <t>GÄVLE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33265-2026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46246</v>
      </c>
      <c r="E816" s="1" t="n">
        <v>46276</v>
      </c>
      <c r="F816" t="inlineStr">
        <is>
          <t>GÄVLEBORGS LÄN</t>
        </is>
      </c>
      <c r="G816" t="inlineStr">
        <is>
          <t>GÄVLE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44927</v>
      </c>
      <c r="E817" s="1" t="n">
        <v>46276</v>
      </c>
      <c r="F817" t="inlineStr">
        <is>
          <t>GÄVLEBORGS LÄN</t>
        </is>
      </c>
      <c r="G817" t="inlineStr">
        <is>
          <t>GÄVLE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29364-2026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46203</v>
      </c>
      <c r="E818" s="1" t="n">
        <v>46276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33346-2026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46246</v>
      </c>
      <c r="E819" s="1" t="n">
        <v>46276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44806-2024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45574</v>
      </c>
      <c r="E820" s="1" t="n">
        <v>46276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52250-2024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45608</v>
      </c>
      <c r="E821" s="1" t="n">
        <v>46276</v>
      </c>
      <c r="F821" t="inlineStr">
        <is>
          <t>GÄVLEBORGS LÄN</t>
        </is>
      </c>
      <c r="G821" t="inlineStr">
        <is>
          <t>GÄVLE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33350-2026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46246</v>
      </c>
      <c r="E822" s="1" t="n">
        <v>46276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30875-2022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44767</v>
      </c>
      <c r="E823" s="1" t="n">
        <v>46276</v>
      </c>
      <c r="F823" t="inlineStr">
        <is>
          <t>GÄVLEBORGS LÄN</t>
        </is>
      </c>
      <c r="G823" t="inlineStr">
        <is>
          <t>GÄVLE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33349-2026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46246</v>
      </c>
      <c r="E824" s="1" t="n">
        <v>46276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60349-2022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44910</v>
      </c>
      <c r="E825" s="1" t="n">
        <v>46276</v>
      </c>
      <c r="F825" t="inlineStr">
        <is>
          <t>GÄVLEBORGS LÄN</t>
        </is>
      </c>
      <c r="G825" t="inlineStr">
        <is>
          <t>GÄVLE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33231-2026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46246</v>
      </c>
      <c r="E826" s="1" t="n">
        <v>46276</v>
      </c>
      <c r="F826" t="inlineStr">
        <is>
          <t>GÄVLEBORGS LÄN</t>
        </is>
      </c>
      <c r="G826" t="inlineStr">
        <is>
          <t>GÄVLE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41100-2024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45559</v>
      </c>
      <c r="E827" s="1" t="n">
        <v>46276</v>
      </c>
      <c r="F827" t="inlineStr">
        <is>
          <t>GÄVLEBORGS LÄN</t>
        </is>
      </c>
      <c r="G827" t="inlineStr">
        <is>
          <t>GÄVLE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33347-2026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46246</v>
      </c>
      <c r="E828" s="1" t="n">
        <v>46276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33348-2026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46246</v>
      </c>
      <c r="E829" s="1" t="n">
        <v>46276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33719-2026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46251</v>
      </c>
      <c r="E830" s="1" t="n">
        <v>46276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15456-2026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46106</v>
      </c>
      <c r="E831" s="1" t="n">
        <v>46276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51758-2025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45950</v>
      </c>
      <c r="E832" s="1" t="n">
        <v>46276</v>
      </c>
      <c r="F832" t="inlineStr">
        <is>
          <t>GÄVLEBORGS LÄN</t>
        </is>
      </c>
      <c r="G832" t="inlineStr">
        <is>
          <t>GÄVLE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33586-2026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46248</v>
      </c>
      <c r="E833" s="1" t="n">
        <v>46276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31019-2026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46206</v>
      </c>
      <c r="E834" s="1" t="n">
        <v>46276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35205-2024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45530</v>
      </c>
      <c r="E835" s="1" t="n">
        <v>46276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30324-2026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46207</v>
      </c>
      <c r="E836" s="1" t="n">
        <v>46276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22363-2026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46154</v>
      </c>
      <c r="E837" s="1" t="n">
        <v>46276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16401-2025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45751</v>
      </c>
      <c r="E838" s="1" t="n">
        <v>46276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33664-2026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46248</v>
      </c>
      <c r="E839" s="1" t="n">
        <v>46276</v>
      </c>
      <c r="F839" t="inlineStr">
        <is>
          <t>GÄVLEBORGS LÄN</t>
        </is>
      </c>
      <c r="G839" t="inlineStr">
        <is>
          <t>GÄVLE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5633-2024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45334</v>
      </c>
      <c r="E840" s="1" t="n">
        <v>46276</v>
      </c>
      <c r="F840" t="inlineStr">
        <is>
          <t>GÄVLEBORGS LÄN</t>
        </is>
      </c>
      <c r="G840" t="inlineStr">
        <is>
          <t>GÄVLE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13961-2024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45392</v>
      </c>
      <c r="E841" s="1" t="n">
        <v>46276</v>
      </c>
      <c r="F841" t="inlineStr">
        <is>
          <t>GÄVLEBORGS LÄN</t>
        </is>
      </c>
      <c r="G841" t="inlineStr">
        <is>
          <t>GÄVLE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33662-2026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46248</v>
      </c>
      <c r="E842" s="1" t="n">
        <v>46276</v>
      </c>
      <c r="F842" t="inlineStr">
        <is>
          <t>GÄVLEBORGS LÄN</t>
        </is>
      </c>
      <c r="G842" t="inlineStr">
        <is>
          <t>GÄVLE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33585-2026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46248</v>
      </c>
      <c r="E843" s="1" t="n">
        <v>46276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9.5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25466-2023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45089</v>
      </c>
      <c r="E844" s="1" t="n">
        <v>46276</v>
      </c>
      <c r="F844" t="inlineStr">
        <is>
          <t>GÄVLEBORGS LÄN</t>
        </is>
      </c>
      <c r="G844" t="inlineStr">
        <is>
          <t>GÄVLE</t>
        </is>
      </c>
      <c r="I844" t="n">
        <v>5.5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24367-2026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46169</v>
      </c>
      <c r="E845" s="1" t="n">
        <v>46276</v>
      </c>
      <c r="F845" t="inlineStr">
        <is>
          <t>GÄVLEBORGS LÄN</t>
        </is>
      </c>
      <c r="G845" t="inlineStr">
        <is>
          <t>GÄVLE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7060-2022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44603</v>
      </c>
      <c r="E846" s="1" t="n">
        <v>46276</v>
      </c>
      <c r="F846" t="inlineStr">
        <is>
          <t>GÄVLEBORGS LÄN</t>
        </is>
      </c>
      <c r="G846" t="inlineStr">
        <is>
          <t>GÄVLE</t>
        </is>
      </c>
      <c r="I846" t="n">
        <v>10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41708-2023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45176</v>
      </c>
      <c r="E847" s="1" t="n">
        <v>46276</v>
      </c>
      <c r="F847" t="inlineStr">
        <is>
          <t>GÄVLEBORGS LÄN</t>
        </is>
      </c>
      <c r="G847" t="inlineStr">
        <is>
          <t>GÄVLE</t>
        </is>
      </c>
      <c r="I847" t="n">
        <v>6.5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41712-2023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45176</v>
      </c>
      <c r="E848" s="1" t="n">
        <v>46276</v>
      </c>
      <c r="F848" t="inlineStr">
        <is>
          <t>GÄVLEBORGS LÄN</t>
        </is>
      </c>
      <c r="G848" t="inlineStr">
        <is>
          <t>GÄVLE</t>
        </is>
      </c>
      <c r="I848" t="n">
        <v>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5413-2023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44959</v>
      </c>
      <c r="E849" s="1" t="n">
        <v>46276</v>
      </c>
      <c r="F849" t="inlineStr">
        <is>
          <t>GÄVLEBORGS LÄN</t>
        </is>
      </c>
      <c r="G849" t="inlineStr">
        <is>
          <t>GÄVLE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34033-2026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46252</v>
      </c>
      <c r="E850" s="1" t="n">
        <v>46276</v>
      </c>
      <c r="F850" t="inlineStr">
        <is>
          <t>GÄVLEBORGS LÄN</t>
        </is>
      </c>
      <c r="G850" t="inlineStr">
        <is>
          <t>GÄVLE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30600-2026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46210</v>
      </c>
      <c r="E851" s="1" t="n">
        <v>46276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30601-2026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46210</v>
      </c>
      <c r="E852" s="1" t="n">
        <v>46276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4235-2025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45685</v>
      </c>
      <c r="E853" s="1" t="n">
        <v>46276</v>
      </c>
      <c r="F853" t="inlineStr">
        <is>
          <t>GÄVLEBORGS LÄN</t>
        </is>
      </c>
      <c r="G853" t="inlineStr">
        <is>
          <t>GÄVLE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45660</v>
      </c>
      <c r="E854" s="1" t="n">
        <v>46276</v>
      </c>
      <c r="F854" t="inlineStr">
        <is>
          <t>GÄVLEBORGS LÄN</t>
        </is>
      </c>
      <c r="G854" t="inlineStr">
        <is>
          <t>GÄVLE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56138-2023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45240</v>
      </c>
      <c r="E855" s="1" t="n">
        <v>46276</v>
      </c>
      <c r="F855" t="inlineStr">
        <is>
          <t>GÄVLEBORGS LÄN</t>
        </is>
      </c>
      <c r="G855" t="inlineStr">
        <is>
          <t>GÄVLE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34415-2026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46254</v>
      </c>
      <c r="E856" s="1" t="n">
        <v>46276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34590-2026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46255</v>
      </c>
      <c r="E857" s="1" t="n">
        <v>46276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34591-2026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46255</v>
      </c>
      <c r="E858" s="1" t="n">
        <v>46276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33635-2024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45520</v>
      </c>
      <c r="E859" s="1" t="n">
        <v>46276</v>
      </c>
      <c r="F859" t="inlineStr">
        <is>
          <t>GÄVLEBORGS LÄN</t>
        </is>
      </c>
      <c r="G859" t="inlineStr">
        <is>
          <t>GÄVLE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33637-2024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45520</v>
      </c>
      <c r="E860" s="1" t="n">
        <v>46276</v>
      </c>
      <c r="F860" t="inlineStr">
        <is>
          <t>GÄVLEBORGS LÄN</t>
        </is>
      </c>
      <c r="G860" t="inlineStr">
        <is>
          <t>GÄVLE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34593-2026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46255</v>
      </c>
      <c r="E861" s="1" t="n">
        <v>46276</v>
      </c>
      <c r="F861" t="inlineStr">
        <is>
          <t>GÄVLEBORGS LÄN</t>
        </is>
      </c>
      <c r="G861" t="inlineStr">
        <is>
          <t>GÄVLE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25645-2023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45089</v>
      </c>
      <c r="E862" s="1" t="n">
        <v>46276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7998-2023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44973</v>
      </c>
      <c r="E863" s="1" t="n">
        <v>46276</v>
      </c>
      <c r="F863" t="inlineStr">
        <is>
          <t>GÄVLEBORGS LÄN</t>
        </is>
      </c>
      <c r="G863" t="inlineStr">
        <is>
          <t>GÄVLE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34432-2026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46254</v>
      </c>
      <c r="E864" s="1" t="n">
        <v>46276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54207-2023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45232</v>
      </c>
      <c r="E865" s="1" t="n">
        <v>46276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15935-2025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45749</v>
      </c>
      <c r="E866" s="1" t="n">
        <v>46276</v>
      </c>
      <c r="F866" t="inlineStr">
        <is>
          <t>GÄVLEBORGS LÄN</t>
        </is>
      </c>
      <c r="G866" t="inlineStr">
        <is>
          <t>GÄVLE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30967-2026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46213</v>
      </c>
      <c r="E867" s="1" t="n">
        <v>46276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34733-2026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46258</v>
      </c>
      <c r="E868" s="1" t="n">
        <v>46276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11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25814-2023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45090</v>
      </c>
      <c r="E869" s="1" t="n">
        <v>46276</v>
      </c>
      <c r="F869" t="inlineStr">
        <is>
          <t>GÄVLEBORGS LÄN</t>
        </is>
      </c>
      <c r="G869" t="inlineStr">
        <is>
          <t>GÄVLE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34822-2026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46258</v>
      </c>
      <c r="E870" s="1" t="n">
        <v>46276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31445-2026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46217</v>
      </c>
      <c r="E871" s="1" t="n">
        <v>46276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14792-2023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45014</v>
      </c>
      <c r="E872" s="1" t="n">
        <v>46276</v>
      </c>
      <c r="F872" t="inlineStr">
        <is>
          <t>GÄVLEBORGS LÄN</t>
        </is>
      </c>
      <c r="G872" t="inlineStr">
        <is>
          <t>GÄVLE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30948-2026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46213</v>
      </c>
      <c r="E873" s="1" t="n">
        <v>46276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12079-2025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45728</v>
      </c>
      <c r="E874" s="1" t="n">
        <v>46276</v>
      </c>
      <c r="F874" t="inlineStr">
        <is>
          <t>GÄVLEBORGS LÄN</t>
        </is>
      </c>
      <c r="G874" t="inlineStr">
        <is>
          <t>GÄVLE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1594-2024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45306</v>
      </c>
      <c r="E875" s="1" t="n">
        <v>46276</v>
      </c>
      <c r="F875" t="inlineStr">
        <is>
          <t>GÄVLEBORGS LÄN</t>
        </is>
      </c>
      <c r="G875" t="inlineStr">
        <is>
          <t>GÄVLE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34686-2026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46258</v>
      </c>
      <c r="E876" s="1" t="n">
        <v>46276</v>
      </c>
      <c r="F876" t="inlineStr">
        <is>
          <t>GÄVLEBORGS LÄN</t>
        </is>
      </c>
      <c r="G876" t="inlineStr">
        <is>
          <t>GÄVLE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30969-2026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46213</v>
      </c>
      <c r="E877" s="1" t="n">
        <v>46276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62983-2023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45272</v>
      </c>
      <c r="E878" s="1" t="n">
        <v>46276</v>
      </c>
      <c r="F878" t="inlineStr">
        <is>
          <t>GÄVLEBORGS LÄN</t>
        </is>
      </c>
      <c r="G878" t="inlineStr">
        <is>
          <t>GÄVLE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30951-2026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46213</v>
      </c>
      <c r="E879" s="1" t="n">
        <v>46276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31234-2026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46217</v>
      </c>
      <c r="E880" s="1" t="n">
        <v>46276</v>
      </c>
      <c r="F880" t="inlineStr">
        <is>
          <t>GÄVLEBORGS LÄN</t>
        </is>
      </c>
      <c r="G880" t="inlineStr">
        <is>
          <t>GÄVLE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35388-2026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46276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33901-2024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45523</v>
      </c>
      <c r="E882" s="1" t="n">
        <v>46276</v>
      </c>
      <c r="F882" t="inlineStr">
        <is>
          <t>GÄVLEBORGS LÄN</t>
        </is>
      </c>
      <c r="G882" t="inlineStr">
        <is>
          <t>GÄVLE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35120-2026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46260</v>
      </c>
      <c r="E883" s="1" t="n">
        <v>46276</v>
      </c>
      <c r="F883" t="inlineStr">
        <is>
          <t>GÄVLEBORGS LÄN</t>
        </is>
      </c>
      <c r="G883" t="inlineStr">
        <is>
          <t>GÄVLE</t>
        </is>
      </c>
      <c r="I883" t="n">
        <v>5.6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35302-2026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46261</v>
      </c>
      <c r="E884" s="1" t="n">
        <v>46276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4.4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35326-2026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46261</v>
      </c>
      <c r="E885" s="1" t="n">
        <v>46276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5.2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35387-2026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46276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35780-2026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46265</v>
      </c>
      <c r="E887" s="1" t="n">
        <v>46276</v>
      </c>
      <c r="F887" t="inlineStr">
        <is>
          <t>GÄVLEBORGS LÄN</t>
        </is>
      </c>
      <c r="G887" t="inlineStr">
        <is>
          <t>GÄVLE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35541-2026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46262</v>
      </c>
      <c r="E888" s="1" t="n">
        <v>46276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5.3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31528-2026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46220</v>
      </c>
      <c r="E889" s="1" t="n">
        <v>46276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11.4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20621-2025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45776</v>
      </c>
      <c r="E890" s="1" t="n">
        <v>46276</v>
      </c>
      <c r="F890" t="inlineStr">
        <is>
          <t>GÄVLEBORGS LÄN</t>
        </is>
      </c>
      <c r="G890" t="inlineStr">
        <is>
          <t>GÄVLE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45938-2024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45580</v>
      </c>
      <c r="E891" s="1" t="n">
        <v>46276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21431-2025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45782</v>
      </c>
      <c r="E892" s="1" t="n">
        <v>46276</v>
      </c>
      <c r="F892" t="inlineStr">
        <is>
          <t>GÄVLEBORGS LÄN</t>
        </is>
      </c>
      <c r="G892" t="inlineStr">
        <is>
          <t>GÄVLE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35495-2026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46262</v>
      </c>
      <c r="E893" s="1" t="n">
        <v>46276</v>
      </c>
      <c r="F893" t="inlineStr">
        <is>
          <t>GÄVLEBORGS LÄN</t>
        </is>
      </c>
      <c r="G893" t="inlineStr">
        <is>
          <t>GÄVLE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35818-2026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46265</v>
      </c>
      <c r="E894" s="1" t="n">
        <v>46276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31566-2026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46223</v>
      </c>
      <c r="E895" s="1" t="n">
        <v>46276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10.2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35577-2026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46262</v>
      </c>
      <c r="E896" s="1" t="n">
        <v>46276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35561-2026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46262</v>
      </c>
      <c r="E897" s="1" t="n">
        <v>46276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4.5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36091-2026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46267</v>
      </c>
      <c r="E898" s="1" t="n">
        <v>46276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36132-2026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46267</v>
      </c>
      <c r="E899" s="1" t="n">
        <v>46276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36089-2026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46267</v>
      </c>
      <c r="E900" s="1" t="n">
        <v>46276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7202-2025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45702</v>
      </c>
      <c r="E901" s="1" t="n">
        <v>46276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59044-2023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45252</v>
      </c>
      <c r="E902" s="1" t="n">
        <v>46276</v>
      </c>
      <c r="F902" t="inlineStr">
        <is>
          <t>GÄVLEBORGS LÄN</t>
        </is>
      </c>
      <c r="G902" t="inlineStr">
        <is>
          <t>GÄVLE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3862-2024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45322</v>
      </c>
      <c r="E903" s="1" t="n">
        <v>46276</v>
      </c>
      <c r="F903" t="inlineStr">
        <is>
          <t>GÄVLEBORGS LÄN</t>
        </is>
      </c>
      <c r="G903" t="inlineStr">
        <is>
          <t>GÄVLE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36093-2026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46267</v>
      </c>
      <c r="E904" s="1" t="n">
        <v>46276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36086-2026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46267</v>
      </c>
      <c r="E905" s="1" t="n">
        <v>46276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36512-2026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46269</v>
      </c>
      <c r="E906" s="1" t="n">
        <v>46276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36522-2026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46269</v>
      </c>
      <c r="E907" s="1" t="n">
        <v>46276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7451-2025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45705</v>
      </c>
      <c r="E908" s="1" t="n">
        <v>46276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36558-2026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46269</v>
      </c>
      <c r="E909" s="1" t="n">
        <v>46276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23291-2025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45791</v>
      </c>
      <c r="E910" s="1" t="n">
        <v>46276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36530-2026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46269</v>
      </c>
      <c r="E911" s="1" t="n">
        <v>46276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23232-2025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45791</v>
      </c>
      <c r="E912" s="1" t="n">
        <v>46276</v>
      </c>
      <c r="F912" t="inlineStr">
        <is>
          <t>GÄVLEBORGS LÄN</t>
        </is>
      </c>
      <c r="G912" t="inlineStr">
        <is>
          <t>GÄVLE</t>
        </is>
      </c>
      <c r="I912" t="n">
        <v>10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22879-2025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45790</v>
      </c>
      <c r="E913" s="1" t="n">
        <v>46276</v>
      </c>
      <c r="F913" t="inlineStr">
        <is>
          <t>GÄVLEBORGS LÄN</t>
        </is>
      </c>
      <c r="G913" t="inlineStr">
        <is>
          <t>GÄVLE</t>
        </is>
      </c>
      <c r="I913" t="n">
        <v>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23324-2025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45791</v>
      </c>
      <c r="E914" s="1" t="n">
        <v>46276</v>
      </c>
      <c r="F914" t="inlineStr">
        <is>
          <t>GÄVLEBORGS LÄN</t>
        </is>
      </c>
      <c r="G914" t="inlineStr">
        <is>
          <t>GÄVLE</t>
        </is>
      </c>
      <c r="I914" t="n">
        <v>6.2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14974-2026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46104</v>
      </c>
      <c r="E915" s="1" t="n">
        <v>46276</v>
      </c>
      <c r="F915" t="inlineStr">
        <is>
          <t>GÄVLEBORGS LÄN</t>
        </is>
      </c>
      <c r="G915" t="inlineStr">
        <is>
          <t>GÄVLE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36909-2026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46273</v>
      </c>
      <c r="E916" s="1" t="n">
        <v>46276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5.2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22923-2025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45790</v>
      </c>
      <c r="E917" s="1" t="n">
        <v>46276</v>
      </c>
      <c r="F917" t="inlineStr">
        <is>
          <t>GÄVLEBORGS LÄN</t>
        </is>
      </c>
      <c r="G917" t="inlineStr">
        <is>
          <t>GÄVLE</t>
        </is>
      </c>
      <c r="I917" t="n">
        <v>20.8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36945-2026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46273</v>
      </c>
      <c r="E918" s="1" t="n">
        <v>46276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2.1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36957-2026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46273</v>
      </c>
      <c r="E919" s="1" t="n">
        <v>46276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45660</v>
      </c>
      <c r="E920" s="1" t="n">
        <v>46276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3.7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36962-2026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46273</v>
      </c>
      <c r="E921" s="1" t="n">
        <v>46276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36920-2026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46273</v>
      </c>
      <c r="E922" s="1" t="n">
        <v>46276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36739-2026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46272</v>
      </c>
      <c r="E923" s="1" t="n">
        <v>46276</v>
      </c>
      <c r="F923" t="inlineStr">
        <is>
          <t>GÄVLEBORGS LÄN</t>
        </is>
      </c>
      <c r="G923" t="inlineStr">
        <is>
          <t>GÄVLE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24228-2025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45797</v>
      </c>
      <c r="E924" s="1" t="n">
        <v>46276</v>
      </c>
      <c r="F924" t="inlineStr">
        <is>
          <t>GÄVLEBORGS LÄN</t>
        </is>
      </c>
      <c r="G924" t="inlineStr">
        <is>
          <t>GÄVLE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55878-2024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45623</v>
      </c>
      <c r="E925" s="1" t="n">
        <v>46276</v>
      </c>
      <c r="F925" t="inlineStr">
        <is>
          <t>GÄVLEBORGS LÄN</t>
        </is>
      </c>
      <c r="G925" t="inlineStr">
        <is>
          <t>GÄVLE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36732-2026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46272</v>
      </c>
      <c r="E926" s="1" t="n">
        <v>46276</v>
      </c>
      <c r="F926" t="inlineStr">
        <is>
          <t>GÄVLEBORGS LÄN</t>
        </is>
      </c>
      <c r="G926" t="inlineStr">
        <is>
          <t>GÄVLE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36935-2026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46273</v>
      </c>
      <c r="E927" s="1" t="n">
        <v>46276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36784-2026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46272</v>
      </c>
      <c r="E928" s="1" t="n">
        <v>46276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37223-2026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46274</v>
      </c>
      <c r="E929" s="1" t="n">
        <v>46276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37391-2026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46275</v>
      </c>
      <c r="E930" s="1" t="n">
        <v>46276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väst AB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37401-2026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46275</v>
      </c>
      <c r="E931" s="1" t="n">
        <v>46276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väst AB</t>
        </is>
      </c>
      <c r="I931" t="n">
        <v>19.1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37134-2026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46274</v>
      </c>
      <c r="E932" s="1" t="n">
        <v>46276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37150-2026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46274</v>
      </c>
      <c r="E933" s="1" t="n">
        <v>46276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3425-2023</t>
        </is>
      </c>
      <c r="B934" t="inlineStr">
        <is>
          <t>samrådsanmälan</t>
        </is>
      </c>
      <c r="C934" t="inlineStr">
        <is>
          <t>Annan skogsbruksåtgärd</t>
        </is>
      </c>
      <c r="D934" s="1" t="n">
        <v>45205</v>
      </c>
      <c r="E934" s="1" t="n">
        <v>46276</v>
      </c>
      <c r="F934" t="inlineStr">
        <is>
          <t>GÄVLEBORGS LÄN</t>
        </is>
      </c>
      <c r="G934" t="inlineStr">
        <is>
          <t>GÄVLE</t>
        </is>
      </c>
      <c r="I934" t="n">
        <v>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  <c r="Z934">
        <f>HYPERLINK("https://klasma.github.io/Logging_2180/knärot/S 3425-2023 karta knärot.png", "S 3425-2023")</f>
        <v/>
      </c>
      <c r="AA934">
        <f>HYPERLINK("https://klasma.github.io/Logging_2180/klagomål/S 3425-2023 FSC-klagomål.docx", "S 3425-2023")</f>
        <v/>
      </c>
      <c r="AB934">
        <f>HYPERLINK("https://klasma.github.io/Logging_2180/klagomålsmail/S 3425-2023 FSC-klagomål mail.docx", "S 3425-2023")</f>
        <v/>
      </c>
      <c r="AC934">
        <f>HYPERLINK("https://klasma.github.io/Logging_2180/tillsyn/S 3425-2023 tillsynsbegäran.docx", "S 3425-2023")</f>
        <v/>
      </c>
      <c r="AD934">
        <f>HYPERLINK("https://klasma.github.io/Logging_2180/tillsynsmail/S 3425-2023 tillsynsbegäran mail.docx", "S 3425-2023")</f>
        <v/>
      </c>
    </row>
    <row r="935" ht="15" customHeight="1">
      <c r="A935" t="inlineStr">
        <is>
          <t>S 889-2023</t>
        </is>
      </c>
      <c r="B935" t="inlineStr">
        <is>
          <t>samrådsanmälan</t>
        </is>
      </c>
      <c r="C935" t="inlineStr">
        <is>
          <t>Skogsgödsling</t>
        </is>
      </c>
      <c r="D935" s="1" t="n">
        <v>44995</v>
      </c>
      <c r="E935" s="1" t="n">
        <v>46276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väst AB</t>
        </is>
      </c>
      <c r="I935" t="n">
        <v>13.3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886-2024</t>
        </is>
      </c>
      <c r="B936" t="inlineStr">
        <is>
          <t>samrådsanmälan</t>
        </is>
      </c>
      <c r="C936" t="inlineStr">
        <is>
          <t>Annan skogsbruksåtgärd</t>
        </is>
      </c>
      <c r="D936" s="1" t="n">
        <v>45376</v>
      </c>
      <c r="E936" s="1" t="n">
        <v>46276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2464-2024</t>
        </is>
      </c>
      <c r="B937" t="inlineStr">
        <is>
          <t>samrådsanmälan</t>
        </is>
      </c>
      <c r="C937" t="inlineStr">
        <is>
          <t>Skogsbilväg</t>
        </is>
      </c>
      <c r="D937" s="1" t="n">
        <v>45470</v>
      </c>
      <c r="E937" s="1" t="n">
        <v>46276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väst AB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>
      <c r="A938" t="inlineStr">
        <is>
          <t>S 644-2026</t>
        </is>
      </c>
      <c r="B938" t="inlineStr">
        <is>
          <t>samrådsanmälan</t>
        </is>
      </c>
      <c r="C938" t="inlineStr">
        <is>
          <t>Skogsgödsling</t>
        </is>
      </c>
      <c r="D938" s="1" t="n">
        <v>46089</v>
      </c>
      <c r="E938" s="1" t="n">
        <v>46276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29.2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2026-09-11T02:14:57Z</dcterms:created>
  <dcterms:modified xmlns:dcterms="http://purl.org/dc/terms/" xmlns:xsi="http://www.w3.org/2001/XMLSchema-instance" xsi:type="dcterms:W3CDTF">2026-09-11T02:14:58Z</dcterms:modified>
</cp:coreProperties>
</file>