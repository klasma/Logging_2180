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46286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46286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46286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46286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46286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46286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46286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46286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46286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46286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46286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46286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46286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46286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46286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46286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46286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46286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46286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46286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46286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46286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46286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46286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46286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46286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46286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46286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9570-2025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45715</v>
      </c>
      <c r="E30" s="1" t="n">
        <v>46286</v>
      </c>
      <c r="F30" t="inlineStr">
        <is>
          <t>GÄVLEBORGS LÄN</t>
        </is>
      </c>
      <c r="G30" t="inlineStr">
        <is>
          <t>GÄVLE</t>
        </is>
      </c>
      <c r="I30" t="n">
        <v>3.8</v>
      </c>
      <c r="J30" t="n">
        <v>2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22</v>
      </c>
      <c r="U30" t="n">
        <v>22</v>
      </c>
      <c r="V30" s="2" t="inlineStr">
        <is>
          <t>Knärot
Lunglav
Tallticka
Tretåig hackspett</t>
        </is>
      </c>
      <c r="W30">
        <f>HYPERLINK("https://klasma.github.io/Logging_2180/artfynd/A 9570-2025 artfynd.xlsx", "A 9570-2025")</f>
        <v/>
      </c>
      <c r="X30">
        <f>HYPERLINK("https://klasma.github.io/Logging_2180/kartor/A 9570-2025 karta.png", "A 9570-2025")</f>
        <v/>
      </c>
      <c r="Y30">
        <f>HYPERLINK("https://klasma.github.io/Logging_2180/kartor_geotiff/A 9570-2025 georefererad karta.tif", "A 9570-2025")</f>
        <v/>
      </c>
      <c r="Z30">
        <f>HYPERLINK("https://klasma.github.io/Logging_2180/knärot/A 9570-2025 karta knärot.png", "A 9570-2025")</f>
        <v/>
      </c>
      <c r="AA30">
        <f>HYPERLINK("https://klasma.github.io/Logging_2180/klagomål/A 9570-2025 FSC-klagomål.docx", "A 9570-2025")</f>
        <v/>
      </c>
      <c r="AB30">
        <f>HYPERLINK("https://klasma.github.io/Logging_2180/klagomålsmail/A 9570-2025 FSC-klagomål mail.docx", "A 9570-2025")</f>
        <v/>
      </c>
      <c r="AC30">
        <f>HYPERLINK("https://klasma.github.io/Logging_2180/tillsyn/A 9570-2025 tillsynsbegäran.docx", "A 9570-2025")</f>
        <v/>
      </c>
      <c r="AD30">
        <f>HYPERLINK("https://klasma.github.io/Logging_2180/tillsynsmail/A 9570-2025 tillsynsbegäran mail.docx", "A 9570-2025")</f>
        <v/>
      </c>
      <c r="AE30">
        <f>HYPERLINK("https://klasma.github.io/Logging_2180/fåglar/A 9570-2025 prioriterade fågelarter.docx", "A 9570-2025")</f>
        <v/>
      </c>
    </row>
    <row r="31" ht="15" customHeight="1">
      <c r="A31" t="inlineStr">
        <is>
          <t>A 3193-2026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46286</v>
      </c>
      <c r="F31" t="inlineStr">
        <is>
          <t>GÄVLEBORGS LÄN</t>
        </is>
      </c>
      <c r="G31" t="inlineStr">
        <is>
          <t>GÄVLE</t>
        </is>
      </c>
      <c r="I31" t="n">
        <v>10.3</v>
      </c>
      <c r="J31" t="n">
        <v>4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Trastsångare
Enkelbeckasin
Buskskvätta
Trana</t>
        </is>
      </c>
      <c r="W31">
        <f>HYPERLINK("https://klasma.github.io/Logging_2180/artfynd/A 3193-2026 artfynd.xlsx", "A 3193-2026")</f>
        <v/>
      </c>
      <c r="X31">
        <f>HYPERLINK("https://klasma.github.io/Logging_2180/kartor/A 3193-2026 karta.png", "A 3193-2026")</f>
        <v/>
      </c>
      <c r="Y31">
        <f>HYPERLINK("https://klasma.github.io/Logging_2180/kartor_geotiff/A 3193-2026 georefererad karta.tif", "A 3193-2026")</f>
        <v/>
      </c>
      <c r="AA31">
        <f>HYPERLINK("https://klasma.github.io/Logging_2180/klagomål/A 3193-2026 FSC-klagomål.docx", "A 3193-2026")</f>
        <v/>
      </c>
      <c r="AB31">
        <f>HYPERLINK("https://klasma.github.io/Logging_2180/klagomålsmail/A 3193-2026 FSC-klagomål mail.docx", "A 3193-2026")</f>
        <v/>
      </c>
      <c r="AC31">
        <f>HYPERLINK("https://klasma.github.io/Logging_2180/tillsyn/A 3193-2026 tillsynsbegäran.docx", "A 3193-2026")</f>
        <v/>
      </c>
      <c r="AD31">
        <f>HYPERLINK("https://klasma.github.io/Logging_2180/tillsynsmail/A 3193-2026 tillsynsbegäran mail.docx", "A 3193-2026")</f>
        <v/>
      </c>
      <c r="AE31">
        <f>HYPERLINK("https://klasma.github.io/Logging_2180/fåglar/A 3193-2026 prioriterade fågelarter.docx", "A 3193-2026")</f>
        <v/>
      </c>
    </row>
    <row r="32" ht="15" customHeight="1">
      <c r="A32" t="inlineStr">
        <is>
          <t>A 24904-2026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46286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24904-2026 artfynd.xlsx", "A 24904-2026")</f>
        <v/>
      </c>
      <c r="X32">
        <f>HYPERLINK("https://klasma.github.io/Logging_2180/kartor/A 24904-2026 karta.png", "A 24904-2026")</f>
        <v/>
      </c>
      <c r="Y32">
        <f>HYPERLINK("https://klasma.github.io/Logging_2180/kartor_geotiff/A 24904-2026 georefererad karta.tif", "A 24904-2026")</f>
        <v/>
      </c>
      <c r="AA32">
        <f>HYPERLINK("https://klasma.github.io/Logging_2180/klagomål/A 24904-2026 FSC-klagomål.docx", "A 24904-2026")</f>
        <v/>
      </c>
      <c r="AB32">
        <f>HYPERLINK("https://klasma.github.io/Logging_2180/klagomålsmail/A 24904-2026 FSC-klagomål mail.docx", "A 24904-2026")</f>
        <v/>
      </c>
      <c r="AC32">
        <f>HYPERLINK("https://klasma.github.io/Logging_2180/tillsyn/A 24904-2026 tillsynsbegäran.docx", "A 24904-2026")</f>
        <v/>
      </c>
      <c r="AD32">
        <f>HYPERLINK("https://klasma.github.io/Logging_2180/tillsynsmail/A 24904-2026 tillsynsbegäran mail.docx", "A 24904-2026")</f>
        <v/>
      </c>
    </row>
    <row r="33" ht="15" customHeight="1">
      <c r="A33" t="inlineStr">
        <is>
          <t>A 6080-2026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46052</v>
      </c>
      <c r="E33" s="1" t="n">
        <v>46286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0</v>
      </c>
      <c r="K33" t="n">
        <v>0</v>
      </c>
      <c r="L33" t="n">
        <v>1</v>
      </c>
      <c r="M33" t="n">
        <v>3</v>
      </c>
      <c r="N33" t="n">
        <v>0</v>
      </c>
      <c r="O33" t="n">
        <v>0</v>
      </c>
      <c r="P33" t="n">
        <v>0</v>
      </c>
      <c r="Q33" t="n">
        <v>4</v>
      </c>
      <c r="R33" t="n">
        <v>3</v>
      </c>
      <c r="S33" t="n">
        <v>4</v>
      </c>
      <c r="T33" t="n">
        <v>4</v>
      </c>
      <c r="U33" t="n">
        <v>0</v>
      </c>
      <c r="V33" s="2" t="inlineStr">
        <is>
          <t>Bredbrämad bastardsvärmare
Mindre bastardsvärmare
Ängsblåvinge
Storfläckig kungsnattslända</t>
        </is>
      </c>
      <c r="W33">
        <f>HYPERLINK("https://klasma.github.io/Logging_2180/artfynd/A 6080-2026 artfynd.xlsx", "A 6080-2026")</f>
        <v/>
      </c>
      <c r="X33">
        <f>HYPERLINK("https://klasma.github.io/Logging_2180/kartor/A 6080-2026 karta.png", "A 6080-2026")</f>
        <v/>
      </c>
      <c r="Y33">
        <f>HYPERLINK("https://klasma.github.io/Logging_2180/kartor_geotiff/A 6080-2026 georefererad karta.tif", "A 6080-2026")</f>
        <v/>
      </c>
      <c r="AA33">
        <f>HYPERLINK("https://klasma.github.io/Logging_2180/klagomål/A 6080-2026 FSC-klagomål.docx", "A 6080-2026")</f>
        <v/>
      </c>
      <c r="AB33">
        <f>HYPERLINK("https://klasma.github.io/Logging_2180/klagomålsmail/A 6080-2026 FSC-klagomål mail.docx", "A 6080-2026")</f>
        <v/>
      </c>
      <c r="AC33">
        <f>HYPERLINK("https://klasma.github.io/Logging_2180/tillsyn/A 6080-2026 tillsynsbegäran.docx", "A 6080-2026")</f>
        <v/>
      </c>
      <c r="AD33">
        <f>HYPERLINK("https://klasma.github.io/Logging_2180/tillsynsmail/A 6080-2026 tillsynsbegäran mail.docx", "A 6080-2026")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46286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46286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46286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46286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38344-2026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46286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3.9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Topplåsbräken
Höstlåsbräken
Månlåsbräken
Mattlummer</t>
        </is>
      </c>
      <c r="W38">
        <f>HYPERLINK("https://klasma.github.io/Logging_2180/artfynd/A 38344-2026 artfynd.xlsx", "A 38344-2026")</f>
        <v/>
      </c>
      <c r="X38">
        <f>HYPERLINK("https://klasma.github.io/Logging_2180/kartor/A 38344-2026 karta.png", "A 38344-2026")</f>
        <v/>
      </c>
      <c r="Y38">
        <f>HYPERLINK("https://klasma.github.io/Logging_2180/kartor_geotiff/A 38344-2026 georefererad karta.tif", "A 38344-2026")</f>
        <v/>
      </c>
      <c r="AA38">
        <f>HYPERLINK("https://klasma.github.io/Logging_2180/klagomål/A 38344-2026 FSC-klagomål.docx", "A 38344-2026")</f>
        <v/>
      </c>
      <c r="AB38">
        <f>HYPERLINK("https://klasma.github.io/Logging_2180/klagomålsmail/A 38344-2026 FSC-klagomål mail.docx", "A 38344-2026")</f>
        <v/>
      </c>
      <c r="AC38">
        <f>HYPERLINK("https://klasma.github.io/Logging_2180/tillsyn/A 38344-2026 tillsynsbegäran.docx", "A 38344-2026")</f>
        <v/>
      </c>
      <c r="AD38">
        <f>HYPERLINK("https://klasma.github.io/Logging_2180/tillsynsmail/A 38344-2026 tillsynsbegäran mail.docx", "A 38344-2026")</f>
        <v/>
      </c>
    </row>
    <row r="39" ht="15" customHeight="1">
      <c r="A39" t="inlineStr">
        <is>
          <t>A 15757-2026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46286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5.8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Älg
Spillkråka
Tjäder</t>
        </is>
      </c>
      <c r="W39">
        <f>HYPERLINK("https://klasma.github.io/Logging_2180/artfynd/A 15757-2026 artfynd.xlsx", "A 15757-2026")</f>
        <v/>
      </c>
      <c r="X39">
        <f>HYPERLINK("https://klasma.github.io/Logging_2180/kartor/A 15757-2026 karta.png", "A 15757-2026")</f>
        <v/>
      </c>
      <c r="Y39">
        <f>HYPERLINK("https://klasma.github.io/Logging_2180/kartor_geotiff/A 15757-2026 georefererad karta.tif", "A 15757-2026")</f>
        <v/>
      </c>
      <c r="AA39">
        <f>HYPERLINK("https://klasma.github.io/Logging_2180/klagomål/A 15757-2026 FSC-klagomål.docx", "A 15757-2026")</f>
        <v/>
      </c>
      <c r="AB39">
        <f>HYPERLINK("https://klasma.github.io/Logging_2180/klagomålsmail/A 15757-2026 FSC-klagomål mail.docx", "A 15757-2026")</f>
        <v/>
      </c>
      <c r="AC39">
        <f>HYPERLINK("https://klasma.github.io/Logging_2180/tillsyn/A 15757-2026 tillsynsbegäran.docx", "A 15757-2026")</f>
        <v/>
      </c>
      <c r="AD39">
        <f>HYPERLINK("https://klasma.github.io/Logging_2180/tillsynsmail/A 15757-2026 tillsynsbegäran mail.docx", "A 15757-2026")</f>
        <v/>
      </c>
      <c r="AE39">
        <f>HYPERLINK("https://klasma.github.io/Logging_2180/fåglar/A 15757-2026 prioriterade fågelarter.docx", "A 15757-2026")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46286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Skrovlig taggsvamp
Kolflarnlav
Tjäder</t>
        </is>
      </c>
      <c r="W40">
        <f>HYPERLINK("https://klasma.github.io/Logging_2180/artfynd/A 41242-2025 artfynd.xlsx", "A 41242-2025")</f>
        <v/>
      </c>
      <c r="X40">
        <f>HYPERLINK("https://klasma.github.io/Logging_2180/kartor/A 41242-2025 karta.png", "A 41242-2025")</f>
        <v/>
      </c>
      <c r="Y40">
        <f>HYPERLINK("https://klasma.github.io/Logging_2180/kartor_geotiff/A 41242-2025 georefererad karta.tif", "A 41242-2025")</f>
        <v/>
      </c>
      <c r="AA40">
        <f>HYPERLINK("https://klasma.github.io/Logging_2180/klagomål/A 41242-2025 FSC-klagomål.docx", "A 41242-2025")</f>
        <v/>
      </c>
      <c r="AB40">
        <f>HYPERLINK("https://klasma.github.io/Logging_2180/klagomålsmail/A 41242-2025 FSC-klagomål mail.docx", "A 41242-2025")</f>
        <v/>
      </c>
      <c r="AC40">
        <f>HYPERLINK("https://klasma.github.io/Logging_2180/tillsyn/A 41242-2025 tillsynsbegäran.docx", "A 41242-2025")</f>
        <v/>
      </c>
      <c r="AD40">
        <f>HYPERLINK("https://klasma.github.io/Logging_2180/tillsynsmail/A 41242-2025 tillsynsbegäran mail.docx", "A 41242-2025")</f>
        <v/>
      </c>
      <c r="AE40">
        <f>HYPERLINK("https://klasma.github.io/Logging_2180/fåglar/A 41242-2025 prioriterade fågelarter.docx", "A 41242-2025")</f>
        <v/>
      </c>
    </row>
    <row r="41" ht="15" customHeight="1">
      <c r="A41" t="inlineStr">
        <is>
          <t>A 14891-2024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45398</v>
      </c>
      <c r="E41" s="1" t="n">
        <v>46286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10.8</v>
      </c>
      <c r="J41" t="n">
        <v>0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Ask
Kattfotslav
Svavelriska</t>
        </is>
      </c>
      <c r="W41">
        <f>HYPERLINK("https://klasma.github.io/Logging_2180/artfynd/A 14891-2024 artfynd.xlsx", "A 14891-2024")</f>
        <v/>
      </c>
      <c r="X41">
        <f>HYPERLINK("https://klasma.github.io/Logging_2180/kartor/A 14891-2024 karta.png", "A 14891-2024")</f>
        <v/>
      </c>
      <c r="Y41">
        <f>HYPERLINK("https://klasma.github.io/Logging_2180/kartor_geotiff/A 14891-2024 georefererad karta.tif", "A 14891-2024")</f>
        <v/>
      </c>
      <c r="AA41">
        <f>HYPERLINK("https://klasma.github.io/Logging_2180/klagomål/A 14891-2024 FSC-klagomål.docx", "A 14891-2024")</f>
        <v/>
      </c>
      <c r="AB41">
        <f>HYPERLINK("https://klasma.github.io/Logging_2180/klagomålsmail/A 14891-2024 FSC-klagomål mail.docx", "A 14891-2024")</f>
        <v/>
      </c>
      <c r="AC41">
        <f>HYPERLINK("https://klasma.github.io/Logging_2180/tillsyn/A 14891-2024 tillsynsbegäran.docx", "A 14891-2024")</f>
        <v/>
      </c>
      <c r="AD41">
        <f>HYPERLINK("https://klasma.github.io/Logging_2180/tillsynsmail/A 14891-2024 tillsynsbegäran mail.docx", "A 14891-2024")</f>
        <v/>
      </c>
    </row>
    <row r="42" ht="15" customHeight="1">
      <c r="A42" t="inlineStr">
        <is>
          <t>A 25357-2026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46286</v>
      </c>
      <c r="F42" t="inlineStr">
        <is>
          <t>GÄVLEBORGS LÄN</t>
        </is>
      </c>
      <c r="G42" t="inlineStr">
        <is>
          <t>GÄVLE</t>
        </is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Pärluggla
Storspov
Sångsvan</t>
        </is>
      </c>
      <c r="W42">
        <f>HYPERLINK("https://klasma.github.io/Logging_2180/artfynd/A 25357-2026 artfynd.xlsx", "A 25357-2026")</f>
        <v/>
      </c>
      <c r="X42">
        <f>HYPERLINK("https://klasma.github.io/Logging_2180/kartor/A 25357-2026 karta.png", "A 25357-2026")</f>
        <v/>
      </c>
      <c r="Y42">
        <f>HYPERLINK("https://klasma.github.io/Logging_2180/kartor_geotiff/A 25357-2026 georefererad karta.tif", "A 25357-2026")</f>
        <v/>
      </c>
      <c r="AA42">
        <f>HYPERLINK("https://klasma.github.io/Logging_2180/klagomål/A 25357-2026 FSC-klagomål.docx", "A 25357-2026")</f>
        <v/>
      </c>
      <c r="AB42">
        <f>HYPERLINK("https://klasma.github.io/Logging_2180/klagomålsmail/A 25357-2026 FSC-klagomål mail.docx", "A 25357-2026")</f>
        <v/>
      </c>
      <c r="AC42">
        <f>HYPERLINK("https://klasma.github.io/Logging_2180/tillsyn/A 25357-2026 tillsynsbegäran.docx", "A 25357-2026")</f>
        <v/>
      </c>
      <c r="AD42">
        <f>HYPERLINK("https://klasma.github.io/Logging_2180/tillsynsmail/A 25357-2026 tillsynsbegäran mail.docx", "A 25357-2026")</f>
        <v/>
      </c>
      <c r="AE42">
        <f>HYPERLINK("https://klasma.github.io/Logging_2180/fåglar/A 25357-2026 prioriterade fågelarter.docx", "A 25357-2026")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46286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Brunklöver
Tjäder
Huggorm</t>
        </is>
      </c>
      <c r="W43">
        <f>HYPERLINK("https://klasma.github.io/Logging_2180/artfynd/A 18215-2024 artfynd.xlsx", "A 18215-2024")</f>
        <v/>
      </c>
      <c r="X43">
        <f>HYPERLINK("https://klasma.github.io/Logging_2180/kartor/A 18215-2024 karta.png", "A 18215-2024")</f>
        <v/>
      </c>
      <c r="Y43">
        <f>HYPERLINK("https://klasma.github.io/Logging_2180/kartor_geotiff/A 18215-2024 georefererad karta.tif", "A 18215-2024")</f>
        <v/>
      </c>
      <c r="AA43">
        <f>HYPERLINK("https://klasma.github.io/Logging_2180/klagomål/A 18215-2024 FSC-klagomål.docx", "A 18215-2024")</f>
        <v/>
      </c>
      <c r="AB43">
        <f>HYPERLINK("https://klasma.github.io/Logging_2180/klagomålsmail/A 18215-2024 FSC-klagomål mail.docx", "A 18215-2024")</f>
        <v/>
      </c>
      <c r="AC43">
        <f>HYPERLINK("https://klasma.github.io/Logging_2180/tillsyn/A 18215-2024 tillsynsbegäran.docx", "A 18215-2024")</f>
        <v/>
      </c>
      <c r="AD43">
        <f>HYPERLINK("https://klasma.github.io/Logging_2180/tillsynsmail/A 18215-2024 tillsynsbegäran mail.docx", "A 18215-2024")</f>
        <v/>
      </c>
      <c r="AE43">
        <f>HYPERLINK("https://klasma.github.io/Logging_2180/fåglar/A 18215-2024 prioriterade fågelarter.docx", "A 18215-2024")</f>
        <v/>
      </c>
    </row>
    <row r="44" ht="15" customHeight="1">
      <c r="A44" t="inlineStr">
        <is>
          <t>A 10169-2026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46076</v>
      </c>
      <c r="E44" s="1" t="n">
        <v>46286</v>
      </c>
      <c r="F44" t="inlineStr">
        <is>
          <t>GÄVLEBORGS LÄN</t>
        </is>
      </c>
      <c r="G44" t="inlineStr">
        <is>
          <t>GÄVLE</t>
        </is>
      </c>
      <c r="I44" t="n">
        <v>2.1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Nordfladdermus
Blåsippa
Vattenfladdermus</t>
        </is>
      </c>
      <c r="W44">
        <f>HYPERLINK("https://klasma.github.io/Logging_2180/artfynd/A 10169-2026 artfynd.xlsx", "A 10169-2026")</f>
        <v/>
      </c>
      <c r="X44">
        <f>HYPERLINK("https://klasma.github.io/Logging_2180/kartor/A 10169-2026 karta.png", "A 10169-2026")</f>
        <v/>
      </c>
      <c r="Y44">
        <f>HYPERLINK("https://klasma.github.io/Logging_2180/kartor_geotiff/A 10169-2026 georefererad karta.tif", "A 10169-2026")</f>
        <v/>
      </c>
      <c r="AA44">
        <f>HYPERLINK("https://klasma.github.io/Logging_2180/klagomål/A 10169-2026 FSC-klagomål.docx", "A 10169-2026")</f>
        <v/>
      </c>
      <c r="AB44">
        <f>HYPERLINK("https://klasma.github.io/Logging_2180/klagomålsmail/A 10169-2026 FSC-klagomål mail.docx", "A 10169-2026")</f>
        <v/>
      </c>
      <c r="AC44">
        <f>HYPERLINK("https://klasma.github.io/Logging_2180/tillsyn/A 10169-2026 tillsynsbegäran.docx", "A 10169-2026")</f>
        <v/>
      </c>
      <c r="AD44">
        <f>HYPERLINK("https://klasma.github.io/Logging_2180/tillsynsmail/A 10169-2026 tillsynsbegäran mail.docx", "A 10169-2026")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46286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A 37764-2026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46279</v>
      </c>
      <c r="E46" s="1" t="n">
        <v>46286</v>
      </c>
      <c r="F46" t="inlineStr">
        <is>
          <t>GÄVLEBORGS LÄN</t>
        </is>
      </c>
      <c r="G46" t="inlineStr">
        <is>
          <t>GÄVLE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Vårärt
Blåsippa
Gullviva</t>
        </is>
      </c>
      <c r="W46">
        <f>HYPERLINK("https://klasma.github.io/Logging_2180/artfynd/A 37764-2026 artfynd.xlsx", "A 37764-2026")</f>
        <v/>
      </c>
      <c r="X46">
        <f>HYPERLINK("https://klasma.github.io/Logging_2180/kartor/A 37764-2026 karta.png", "A 37764-2026")</f>
        <v/>
      </c>
      <c r="Y46">
        <f>HYPERLINK("https://klasma.github.io/Logging_2180/kartor_geotiff/A 37764-2026 georefererad karta.tif", "A 37764-2026")</f>
        <v/>
      </c>
      <c r="AA46">
        <f>HYPERLINK("https://klasma.github.io/Logging_2180/klagomål/A 37764-2026 FSC-klagomål.docx", "A 37764-2026")</f>
        <v/>
      </c>
      <c r="AB46">
        <f>HYPERLINK("https://klasma.github.io/Logging_2180/klagomålsmail/A 37764-2026 FSC-klagomål mail.docx", "A 37764-2026")</f>
        <v/>
      </c>
      <c r="AC46">
        <f>HYPERLINK("https://klasma.github.io/Logging_2180/tillsyn/A 37764-2026 tillsynsbegäran.docx", "A 37764-2026")</f>
        <v/>
      </c>
      <c r="AD46">
        <f>HYPERLINK("https://klasma.github.io/Logging_2180/tillsynsmail/A 37764-2026 tillsynsbegäran mail.docx", "A 37764-2026")</f>
        <v/>
      </c>
    </row>
    <row r="47" ht="15" customHeight="1">
      <c r="A47" t="inlineStr">
        <is>
          <t>A 29626-2025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45825</v>
      </c>
      <c r="E47" s="1" t="n">
        <v>46286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22.2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2</v>
      </c>
      <c r="V47" s="2" t="inlineStr">
        <is>
          <t>Brunklöver
Höstlåsbräken
Mattlummer</t>
        </is>
      </c>
      <c r="W47">
        <f>HYPERLINK("https://klasma.github.io/Logging_2180/artfynd/A 29626-2025 artfynd.xlsx", "A 29626-2025")</f>
        <v/>
      </c>
      <c r="X47">
        <f>HYPERLINK("https://klasma.github.io/Logging_2180/kartor/A 29626-2025 karta.png", "A 29626-2025")</f>
        <v/>
      </c>
      <c r="Y47">
        <f>HYPERLINK("https://klasma.github.io/Logging_2180/kartor_geotiff/A 29626-2025 georefererad karta.tif", "A 29626-2025")</f>
        <v/>
      </c>
      <c r="AA47">
        <f>HYPERLINK("https://klasma.github.io/Logging_2180/klagomål/A 29626-2025 FSC-klagomål.docx", "A 29626-2025")</f>
        <v/>
      </c>
      <c r="AB47">
        <f>HYPERLINK("https://klasma.github.io/Logging_2180/klagomålsmail/A 29626-2025 FSC-klagomål mail.docx", "A 29626-2025")</f>
        <v/>
      </c>
      <c r="AC47">
        <f>HYPERLINK("https://klasma.github.io/Logging_2180/tillsyn/A 29626-2025 tillsynsbegäran.docx", "A 29626-2025")</f>
        <v/>
      </c>
      <c r="AD47">
        <f>HYPERLINK("https://klasma.github.io/Logging_2180/tillsynsmail/A 29626-2025 tillsynsbegäran mail.docx", "A 29626-2025")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46286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46286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46286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13727-2025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46286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Ullticka
Järpe</t>
        </is>
      </c>
      <c r="W51">
        <f>HYPERLINK("https://klasma.github.io/Logging_2180/artfynd/A 13727-2025 artfynd.xlsx", "A 13727-2025")</f>
        <v/>
      </c>
      <c r="X51">
        <f>HYPERLINK("https://klasma.github.io/Logging_2180/kartor/A 13727-2025 karta.png", "A 13727-2025")</f>
        <v/>
      </c>
      <c r="Y51">
        <f>HYPERLINK("https://klasma.github.io/Logging_2180/kartor_geotiff/A 13727-2025 georefererad karta.tif", "A 13727-2025")</f>
        <v/>
      </c>
      <c r="AA51">
        <f>HYPERLINK("https://klasma.github.io/Logging_2180/klagomål/A 13727-2025 FSC-klagomål.docx", "A 13727-2025")</f>
        <v/>
      </c>
      <c r="AB51">
        <f>HYPERLINK("https://klasma.github.io/Logging_2180/klagomålsmail/A 13727-2025 FSC-klagomål mail.docx", "A 13727-2025")</f>
        <v/>
      </c>
      <c r="AC51">
        <f>HYPERLINK("https://klasma.github.io/Logging_2180/tillsyn/A 13727-2025 tillsynsbegäran.docx", "A 13727-2025")</f>
        <v/>
      </c>
      <c r="AD51">
        <f>HYPERLINK("https://klasma.github.io/Logging_2180/tillsynsmail/A 13727-2025 tillsynsbegäran mail.docx", "A 13727-2025")</f>
        <v/>
      </c>
      <c r="AE51">
        <f>HYPERLINK("https://klasma.github.io/Logging_2180/fåglar/A 13727-2025 prioriterade fågelarter.docx", "A 13727-2025")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46286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20323-2026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46286</v>
      </c>
      <c r="F53" t="inlineStr">
        <is>
          <t>GÄVLEBORGS LÄN</t>
        </is>
      </c>
      <c r="G53" t="inlineStr">
        <is>
          <t>GÄVLE</t>
        </is>
      </c>
      <c r="I53" t="n">
        <v>1.4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Grön sköldmossa
Tjäder</t>
        </is>
      </c>
      <c r="W53">
        <f>HYPERLINK("https://klasma.github.io/Logging_2180/artfynd/A 20323-2026 artfynd.xlsx", "A 20323-2026")</f>
        <v/>
      </c>
      <c r="X53">
        <f>HYPERLINK("https://klasma.github.io/Logging_2180/kartor/A 20323-2026 karta.png", "A 20323-2026")</f>
        <v/>
      </c>
      <c r="Y53">
        <f>HYPERLINK("https://klasma.github.io/Logging_2180/kartor_geotiff/A 20323-2026 georefererad karta.tif", "A 20323-2026")</f>
        <v/>
      </c>
      <c r="AA53">
        <f>HYPERLINK("https://klasma.github.io/Logging_2180/klagomål/A 20323-2026 FSC-klagomål.docx", "A 20323-2026")</f>
        <v/>
      </c>
      <c r="AB53">
        <f>HYPERLINK("https://klasma.github.io/Logging_2180/klagomålsmail/A 20323-2026 FSC-klagomål mail.docx", "A 20323-2026")</f>
        <v/>
      </c>
      <c r="AC53">
        <f>HYPERLINK("https://klasma.github.io/Logging_2180/tillsyn/A 20323-2026 tillsynsbegäran.docx", "A 20323-2026")</f>
        <v/>
      </c>
      <c r="AD53">
        <f>HYPERLINK("https://klasma.github.io/Logging_2180/tillsynsmail/A 20323-2026 tillsynsbegäran mail.docx", "A 20323-2026")</f>
        <v/>
      </c>
      <c r="AE53">
        <f>HYPERLINK("https://klasma.github.io/Logging_2180/fåglar/A 20323-2026 prioriterade fågelarter.docx", "A 20323-2026")</f>
        <v/>
      </c>
    </row>
    <row r="54" ht="15" customHeight="1">
      <c r="A54" t="inlineStr">
        <is>
          <t>A 56538-2022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46286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Dropptaggsvamp
Blåsippa</t>
        </is>
      </c>
      <c r="W54">
        <f>HYPERLINK("https://klasma.github.io/Logging_2180/artfynd/A 56538-2022 artfynd.xlsx", "A 56538-2022")</f>
        <v/>
      </c>
      <c r="X54">
        <f>HYPERLINK("https://klasma.github.io/Logging_2180/kartor/A 56538-2022 karta.png", "A 56538-2022")</f>
        <v/>
      </c>
      <c r="Y54">
        <f>HYPERLINK("https://klasma.github.io/Logging_2180/kartor_geotiff/A 56538-2022 georefererad karta.tif", "A 56538-2022")</f>
        <v/>
      </c>
      <c r="AA54">
        <f>HYPERLINK("https://klasma.github.io/Logging_2180/klagomål/A 56538-2022 FSC-klagomål.docx", "A 56538-2022")</f>
        <v/>
      </c>
      <c r="AB54">
        <f>HYPERLINK("https://klasma.github.io/Logging_2180/klagomålsmail/A 56538-2022 FSC-klagomål mail.docx", "A 56538-2022")</f>
        <v/>
      </c>
      <c r="AC54">
        <f>HYPERLINK("https://klasma.github.io/Logging_2180/tillsyn/A 56538-2022 tillsynsbegäran.docx", "A 56538-2022")</f>
        <v/>
      </c>
      <c r="AD54">
        <f>HYPERLINK("https://klasma.github.io/Logging_2180/tillsynsmail/A 56538-2022 tillsynsbegäran mail.docx", "A 56538-2022")</f>
        <v/>
      </c>
    </row>
    <row r="55" ht="15" customHeight="1">
      <c r="A55" t="inlineStr">
        <is>
          <t>A 41213-2025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46286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Reliktbock
Vedflamlav</t>
        </is>
      </c>
      <c r="W55">
        <f>HYPERLINK("https://klasma.github.io/Logging_2180/artfynd/A 41213-2025 artfynd.xlsx", "A 41213-2025")</f>
        <v/>
      </c>
      <c r="X55">
        <f>HYPERLINK("https://klasma.github.io/Logging_2180/kartor/A 41213-2025 karta.png", "A 41213-2025")</f>
        <v/>
      </c>
      <c r="Y55">
        <f>HYPERLINK("https://klasma.github.io/Logging_2180/kartor_geotiff/A 41213-2025 georefererad karta.tif", "A 41213-2025")</f>
        <v/>
      </c>
      <c r="AA55">
        <f>HYPERLINK("https://klasma.github.io/Logging_2180/klagomål/A 41213-2025 FSC-klagomål.docx", "A 41213-2025")</f>
        <v/>
      </c>
      <c r="AB55">
        <f>HYPERLINK("https://klasma.github.io/Logging_2180/klagomålsmail/A 41213-2025 FSC-klagomål mail.docx", "A 41213-2025")</f>
        <v/>
      </c>
      <c r="AC55">
        <f>HYPERLINK("https://klasma.github.io/Logging_2180/tillsyn/A 41213-2025 tillsynsbegäran.docx", "A 41213-2025")</f>
        <v/>
      </c>
      <c r="AD55">
        <f>HYPERLINK("https://klasma.github.io/Logging_2180/tillsynsmail/A 41213-2025 tillsynsbegäran mail.docx", "A 41213-2025")</f>
        <v/>
      </c>
    </row>
    <row r="56" ht="15" customHeight="1">
      <c r="A56" t="inlineStr">
        <is>
          <t>A 42261-2025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45903</v>
      </c>
      <c r="E56" s="1" t="n">
        <v>46286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15.6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4</v>
      </c>
      <c r="U56" t="n">
        <v>0</v>
      </c>
      <c r="V56" s="2" t="inlineStr">
        <is>
          <t>Svavelriska
Blåsippa</t>
        </is>
      </c>
      <c r="W56">
        <f>HYPERLINK("https://klasma.github.io/Logging_2180/artfynd/A 42261-2025 artfynd.xlsx", "A 42261-2025")</f>
        <v/>
      </c>
      <c r="X56">
        <f>HYPERLINK("https://klasma.github.io/Logging_2180/kartor/A 42261-2025 karta.png", "A 42261-2025")</f>
        <v/>
      </c>
      <c r="Y56">
        <f>HYPERLINK("https://klasma.github.io/Logging_2180/kartor_geotiff/A 42261-2025 georefererad karta.tif", "A 42261-2025")</f>
        <v/>
      </c>
      <c r="AA56">
        <f>HYPERLINK("https://klasma.github.io/Logging_2180/klagomål/A 42261-2025 FSC-klagomål.docx", "A 42261-2025")</f>
        <v/>
      </c>
      <c r="AB56">
        <f>HYPERLINK("https://klasma.github.io/Logging_2180/klagomålsmail/A 42261-2025 FSC-klagomål mail.docx", "A 42261-2025")</f>
        <v/>
      </c>
      <c r="AC56">
        <f>HYPERLINK("https://klasma.github.io/Logging_2180/tillsyn/A 42261-2025 tillsynsbegäran.docx", "A 42261-2025")</f>
        <v/>
      </c>
      <c r="AD56">
        <f>HYPERLINK("https://klasma.github.io/Logging_2180/tillsynsmail/A 42261-2025 tillsynsbegäran mail.docx", "A 42261-2025")</f>
        <v/>
      </c>
    </row>
    <row r="57" ht="15" customHeight="1">
      <c r="A57" t="inlineStr">
        <is>
          <t>A 18218-2024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46286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13.1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Blåsippa
Havsörn</t>
        </is>
      </c>
      <c r="W57">
        <f>HYPERLINK("https://klasma.github.io/Logging_2180/artfynd/A 18218-2024 artfynd.xlsx", "A 18218-2024")</f>
        <v/>
      </c>
      <c r="X57">
        <f>HYPERLINK("https://klasma.github.io/Logging_2180/kartor/A 18218-2024 karta.png", "A 18218-2024")</f>
        <v/>
      </c>
      <c r="Y57">
        <f>HYPERLINK("https://klasma.github.io/Logging_2180/kartor_geotiff/A 18218-2024 georefererad karta.tif", "A 18218-2024")</f>
        <v/>
      </c>
      <c r="AA57">
        <f>HYPERLINK("https://klasma.github.io/Logging_2180/klagomål/A 18218-2024 FSC-klagomål.docx", "A 18218-2024")</f>
        <v/>
      </c>
      <c r="AB57">
        <f>HYPERLINK("https://klasma.github.io/Logging_2180/klagomålsmail/A 18218-2024 FSC-klagomål mail.docx", "A 18218-2024")</f>
        <v/>
      </c>
      <c r="AC57">
        <f>HYPERLINK("https://klasma.github.io/Logging_2180/tillsyn/A 18218-2024 tillsynsbegäran.docx", "A 18218-2024")</f>
        <v/>
      </c>
      <c r="AD57">
        <f>HYPERLINK("https://klasma.github.io/Logging_2180/tillsynsmail/A 18218-2024 tillsynsbegäran mail.docx", "A 18218-2024")</f>
        <v/>
      </c>
      <c r="AE57">
        <f>HYPERLINK("https://klasma.github.io/Logging_2180/fåglar/A 18218-2024 prioriterade fågelarter.docx", "A 18218-2024")</f>
        <v/>
      </c>
    </row>
    <row r="58" ht="15" customHeight="1">
      <c r="A58" t="inlineStr">
        <is>
          <t>A 64533-2023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45281</v>
      </c>
      <c r="E58" s="1" t="n">
        <v>46286</v>
      </c>
      <c r="F58" t="inlineStr">
        <is>
          <t>GÄVLEBORGS LÄN</t>
        </is>
      </c>
      <c r="G58" t="inlineStr">
        <is>
          <t>GÄVLE</t>
        </is>
      </c>
      <c r="I58" t="n">
        <v>1.1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4</v>
      </c>
      <c r="U58" t="n">
        <v>0</v>
      </c>
      <c r="V58" s="2" t="inlineStr">
        <is>
          <t>Aspvedgnagare
Jättesvampmal</t>
        </is>
      </c>
      <c r="W58">
        <f>HYPERLINK("https://klasma.github.io/Logging_2180/artfynd/A 64533-2023 artfynd.xlsx", "A 64533-2023")</f>
        <v/>
      </c>
      <c r="X58">
        <f>HYPERLINK("https://klasma.github.io/Logging_2180/kartor/A 64533-2023 karta.png", "A 64533-2023")</f>
        <v/>
      </c>
      <c r="Y58">
        <f>HYPERLINK("https://klasma.github.io/Logging_2180/kartor_geotiff/A 64533-2023 georefererad karta.tif", "A 64533-2023")</f>
        <v/>
      </c>
      <c r="AA58">
        <f>HYPERLINK("https://klasma.github.io/Logging_2180/klagomål/A 64533-2023 FSC-klagomål.docx", "A 64533-2023")</f>
        <v/>
      </c>
      <c r="AB58">
        <f>HYPERLINK("https://klasma.github.io/Logging_2180/klagomålsmail/A 64533-2023 FSC-klagomål mail.docx", "A 64533-2023")</f>
        <v/>
      </c>
      <c r="AC58">
        <f>HYPERLINK("https://klasma.github.io/Logging_2180/tillsyn/A 64533-2023 tillsynsbegäran.docx", "A 64533-2023")</f>
        <v/>
      </c>
      <c r="AD58">
        <f>HYPERLINK("https://klasma.github.io/Logging_2180/tillsynsmail/A 64533-2023 tillsynsbegäran mail.docx", "A 64533-2023")</f>
        <v/>
      </c>
    </row>
    <row r="59" ht="15" customHeight="1">
      <c r="A59" t="inlineStr">
        <is>
          <t>A 14701-2026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46101</v>
      </c>
      <c r="E59" s="1" t="n">
        <v>46286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2.8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Fläcknycklar</t>
        </is>
      </c>
      <c r="W59">
        <f>HYPERLINK("https://klasma.github.io/Logging_2180/artfynd/A 14701-2026 artfynd.xlsx", "A 14701-2026")</f>
        <v/>
      </c>
      <c r="X59">
        <f>HYPERLINK("https://klasma.github.io/Logging_2180/kartor/A 14701-2026 karta.png", "A 14701-2026")</f>
        <v/>
      </c>
      <c r="Y59">
        <f>HYPERLINK("https://klasma.github.io/Logging_2180/kartor_geotiff/A 14701-2026 georefererad karta.tif", "A 14701-2026")</f>
        <v/>
      </c>
      <c r="AA59">
        <f>HYPERLINK("https://klasma.github.io/Logging_2180/klagomål/A 14701-2026 FSC-klagomål.docx", "A 14701-2026")</f>
        <v/>
      </c>
      <c r="AB59">
        <f>HYPERLINK("https://klasma.github.io/Logging_2180/klagomålsmail/A 14701-2026 FSC-klagomål mail.docx", "A 14701-2026")</f>
        <v/>
      </c>
      <c r="AC59">
        <f>HYPERLINK("https://klasma.github.io/Logging_2180/tillsyn/A 14701-2026 tillsynsbegäran.docx", "A 14701-2026")</f>
        <v/>
      </c>
      <c r="AD59">
        <f>HYPERLINK("https://klasma.github.io/Logging_2180/tillsynsmail/A 14701-2026 tillsynsbegäran mail.docx", "A 14701-2026")</f>
        <v/>
      </c>
      <c r="AE59">
        <f>HYPERLINK("https://klasma.github.io/Logging_2180/fåglar/A 14701-2026 prioriterade fågelarter.docx", "A 14701-2026")</f>
        <v/>
      </c>
    </row>
    <row r="60" ht="15" customHeight="1">
      <c r="A60" t="inlineStr">
        <is>
          <t>A 50049-2025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46286</v>
      </c>
      <c r="F60" t="inlineStr">
        <is>
          <t>GÄVLEBORGS LÄN</t>
        </is>
      </c>
      <c r="G60" t="inlineStr">
        <is>
          <t>GÄVLE</t>
        </is>
      </c>
      <c r="H60" t="inlineStr">
        <is>
          <t>Kyrkan</t>
        </is>
      </c>
      <c r="I60" t="n">
        <v>10.3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Vårärt
Blåsippa</t>
        </is>
      </c>
      <c r="W60">
        <f>HYPERLINK("https://klasma.github.io/Logging_2180/artfynd/A 50049-2025 artfynd.xlsx", "A 50049-2025")</f>
        <v/>
      </c>
      <c r="X60">
        <f>HYPERLINK("https://klasma.github.io/Logging_2180/kartor/A 50049-2025 karta.png", "A 50049-2025")</f>
        <v/>
      </c>
      <c r="Y60">
        <f>HYPERLINK("https://klasma.github.io/Logging_2180/kartor_geotiff/A 50049-2025 georefererad karta.tif", "A 50049-2025")</f>
        <v/>
      </c>
      <c r="AA60">
        <f>HYPERLINK("https://klasma.github.io/Logging_2180/klagomål/A 50049-2025 FSC-klagomål.docx", "A 50049-2025")</f>
        <v/>
      </c>
      <c r="AB60">
        <f>HYPERLINK("https://klasma.github.io/Logging_2180/klagomålsmail/A 50049-2025 FSC-klagomål mail.docx", "A 50049-2025")</f>
        <v/>
      </c>
      <c r="AC60">
        <f>HYPERLINK("https://klasma.github.io/Logging_2180/tillsyn/A 50049-2025 tillsynsbegäran.docx", "A 50049-2025")</f>
        <v/>
      </c>
      <c r="AD60">
        <f>HYPERLINK("https://klasma.github.io/Logging_2180/tillsynsmail/A 50049-2025 tillsynsbegäran mail.docx", "A 50049-2025")</f>
        <v/>
      </c>
    </row>
    <row r="61" ht="15" customHeight="1">
      <c r="A61" t="inlineStr">
        <is>
          <t>A 17297-2026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46286</v>
      </c>
      <c r="F61" t="inlineStr">
        <is>
          <t>GÄVLEBORGS LÄN</t>
        </is>
      </c>
      <c r="G61" t="inlineStr">
        <is>
          <t>GÄVLE</t>
        </is>
      </c>
      <c r="I61" t="n">
        <v>1.3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Slåtterfibbla
Blåsippa</t>
        </is>
      </c>
      <c r="W61">
        <f>HYPERLINK("https://klasma.github.io/Logging_2180/artfynd/A 17297-2026 artfynd.xlsx", "A 17297-2026")</f>
        <v/>
      </c>
      <c r="X61">
        <f>HYPERLINK("https://klasma.github.io/Logging_2180/kartor/A 17297-2026 karta.png", "A 17297-2026")</f>
        <v/>
      </c>
      <c r="Y61">
        <f>HYPERLINK("https://klasma.github.io/Logging_2180/kartor_geotiff/A 17297-2026 georefererad karta.tif", "A 17297-2026")</f>
        <v/>
      </c>
      <c r="AA61">
        <f>HYPERLINK("https://klasma.github.io/Logging_2180/klagomål/A 17297-2026 FSC-klagomål.docx", "A 17297-2026")</f>
        <v/>
      </c>
      <c r="AB61">
        <f>HYPERLINK("https://klasma.github.io/Logging_2180/klagomålsmail/A 17297-2026 FSC-klagomål mail.docx", "A 17297-2026")</f>
        <v/>
      </c>
      <c r="AC61">
        <f>HYPERLINK("https://klasma.github.io/Logging_2180/tillsyn/A 17297-2026 tillsynsbegäran.docx", "A 17297-2026")</f>
        <v/>
      </c>
      <c r="AD61">
        <f>HYPERLINK("https://klasma.github.io/Logging_2180/tillsynsmail/A 17297-2026 tillsynsbegäran mail.docx", "A 17297-2026")</f>
        <v/>
      </c>
    </row>
    <row r="62" ht="15" customHeight="1">
      <c r="A62" t="inlineStr">
        <is>
          <t>A 22149-2026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46153</v>
      </c>
      <c r="E62" s="1" t="n">
        <v>46286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Vedtrappmossa
Rödgul trumpetsvamp</t>
        </is>
      </c>
      <c r="W62">
        <f>HYPERLINK("https://klasma.github.io/Logging_2180/artfynd/A 22149-2026 artfynd.xlsx", "A 22149-2026")</f>
        <v/>
      </c>
      <c r="X62">
        <f>HYPERLINK("https://klasma.github.io/Logging_2180/kartor/A 22149-2026 karta.png", "A 22149-2026")</f>
        <v/>
      </c>
      <c r="Y62">
        <f>HYPERLINK("https://klasma.github.io/Logging_2180/kartor_geotiff/A 22149-2026 georefererad karta.tif", "A 22149-2026")</f>
        <v/>
      </c>
      <c r="AA62">
        <f>HYPERLINK("https://klasma.github.io/Logging_2180/klagomål/A 22149-2026 FSC-klagomål.docx", "A 22149-2026")</f>
        <v/>
      </c>
      <c r="AB62">
        <f>HYPERLINK("https://klasma.github.io/Logging_2180/klagomålsmail/A 22149-2026 FSC-klagomål mail.docx", "A 22149-2026")</f>
        <v/>
      </c>
      <c r="AC62">
        <f>HYPERLINK("https://klasma.github.io/Logging_2180/tillsyn/A 22149-2026 tillsynsbegäran.docx", "A 22149-2026")</f>
        <v/>
      </c>
      <c r="AD62">
        <f>HYPERLINK("https://klasma.github.io/Logging_2180/tillsynsmail/A 22149-2026 tillsynsbegäran mail.docx", "A 22149-2026")</f>
        <v/>
      </c>
    </row>
    <row r="63" ht="15" customHeight="1">
      <c r="A63" t="inlineStr">
        <is>
          <t>A 6473-2024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45338</v>
      </c>
      <c r="E63" s="1" t="n">
        <v>46286</v>
      </c>
      <c r="F63" t="inlineStr">
        <is>
          <t>GÄVLEBORGS LÄN</t>
        </is>
      </c>
      <c r="G63" t="inlineStr">
        <is>
          <t>GÄVLE</t>
        </is>
      </c>
      <c r="I63" t="n">
        <v>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Tibast
Nattviol</t>
        </is>
      </c>
      <c r="W63">
        <f>HYPERLINK("https://klasma.github.io/Logging_2180/artfynd/A 6473-2024 artfynd.xlsx", "A 6473-2024")</f>
        <v/>
      </c>
      <c r="X63">
        <f>HYPERLINK("https://klasma.github.io/Logging_2180/kartor/A 6473-2024 karta.png", "A 6473-2024")</f>
        <v/>
      </c>
      <c r="Y63">
        <f>HYPERLINK("https://klasma.github.io/Logging_2180/kartor_geotiff/A 6473-2024 georefererad karta.tif", "A 6473-2024")</f>
        <v/>
      </c>
      <c r="AA63">
        <f>HYPERLINK("https://klasma.github.io/Logging_2180/klagomål/A 6473-2024 FSC-klagomål.docx", "A 6473-2024")</f>
        <v/>
      </c>
      <c r="AB63">
        <f>HYPERLINK("https://klasma.github.io/Logging_2180/klagomålsmail/A 6473-2024 FSC-klagomål mail.docx", "A 6473-2024")</f>
        <v/>
      </c>
      <c r="AC63">
        <f>HYPERLINK("https://klasma.github.io/Logging_2180/tillsyn/A 6473-2024 tillsynsbegäran.docx", "A 6473-2024")</f>
        <v/>
      </c>
      <c r="AD63">
        <f>HYPERLINK("https://klasma.github.io/Logging_2180/tillsynsmail/A 6473-2024 tillsynsbegäran mail.docx", "A 6473-2024")</f>
        <v/>
      </c>
    </row>
    <row r="64" ht="15" customHeight="1">
      <c r="A64" t="inlineStr">
        <is>
          <t>A 23257-2026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46286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42.1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Kattfotslav
Havsörn</t>
        </is>
      </c>
      <c r="W64">
        <f>HYPERLINK("https://klasma.github.io/Logging_2180/artfynd/A 23257-2026 artfynd.xlsx", "A 23257-2026")</f>
        <v/>
      </c>
      <c r="X64">
        <f>HYPERLINK("https://klasma.github.io/Logging_2180/kartor/A 23257-2026 karta.png", "A 23257-2026")</f>
        <v/>
      </c>
      <c r="Y64">
        <f>HYPERLINK("https://klasma.github.io/Logging_2180/kartor_geotiff/A 23257-2026 georefererad karta.tif", "A 23257-2026")</f>
        <v/>
      </c>
      <c r="AA64">
        <f>HYPERLINK("https://klasma.github.io/Logging_2180/klagomål/A 23257-2026 FSC-klagomål.docx", "A 23257-2026")</f>
        <v/>
      </c>
      <c r="AB64">
        <f>HYPERLINK("https://klasma.github.io/Logging_2180/klagomålsmail/A 23257-2026 FSC-klagomål mail.docx", "A 23257-2026")</f>
        <v/>
      </c>
      <c r="AC64">
        <f>HYPERLINK("https://klasma.github.io/Logging_2180/tillsyn/A 23257-2026 tillsynsbegäran.docx", "A 23257-2026")</f>
        <v/>
      </c>
      <c r="AD64">
        <f>HYPERLINK("https://klasma.github.io/Logging_2180/tillsynsmail/A 23257-2026 tillsynsbegäran mail.docx", "A 23257-2026")</f>
        <v/>
      </c>
      <c r="AE64">
        <f>HYPERLINK("https://klasma.github.io/Logging_2180/fåglar/A 23257-2026 prioriterade fågelarter.docx", "A 23257-2026")</f>
        <v/>
      </c>
    </row>
    <row r="65" ht="15" customHeight="1">
      <c r="A65" t="inlineStr">
        <is>
          <t>A 60202-2025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45994</v>
      </c>
      <c r="E65" s="1" t="n">
        <v>46286</v>
      </c>
      <c r="F65" t="inlineStr">
        <is>
          <t>GÄVLEBORGS LÄN</t>
        </is>
      </c>
      <c r="G65" t="inlineStr">
        <is>
          <t>GÄVLE</t>
        </is>
      </c>
      <c r="I65" t="n">
        <v>4.3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Spillkråka</t>
        </is>
      </c>
      <c r="W65">
        <f>HYPERLINK("https://klasma.github.io/Logging_2180/artfynd/A 60202-2025 artfynd.xlsx", "A 60202-2025")</f>
        <v/>
      </c>
      <c r="X65">
        <f>HYPERLINK("https://klasma.github.io/Logging_2180/kartor/A 60202-2025 karta.png", "A 60202-2025")</f>
        <v/>
      </c>
      <c r="Y65">
        <f>HYPERLINK("https://klasma.github.io/Logging_2180/kartor_geotiff/A 60202-2025 georefererad karta.tif", "A 60202-2025")</f>
        <v/>
      </c>
      <c r="AA65">
        <f>HYPERLINK("https://klasma.github.io/Logging_2180/klagomål/A 60202-2025 FSC-klagomål.docx", "A 60202-2025")</f>
        <v/>
      </c>
      <c r="AB65">
        <f>HYPERLINK("https://klasma.github.io/Logging_2180/klagomålsmail/A 60202-2025 FSC-klagomål mail.docx", "A 60202-2025")</f>
        <v/>
      </c>
      <c r="AC65">
        <f>HYPERLINK("https://klasma.github.io/Logging_2180/tillsyn/A 60202-2025 tillsynsbegäran.docx", "A 60202-2025")</f>
        <v/>
      </c>
      <c r="AD65">
        <f>HYPERLINK("https://klasma.github.io/Logging_2180/tillsynsmail/A 60202-2025 tillsynsbegäran mail.docx", "A 60202-2025")</f>
        <v/>
      </c>
      <c r="AE65">
        <f>HYPERLINK("https://klasma.github.io/Logging_2180/fåglar/A 60202-2025 prioriterade fågelarter.docx", "A 60202-2025")</f>
        <v/>
      </c>
    </row>
    <row r="66" ht="15" customHeight="1">
      <c r="A66" t="inlineStr">
        <is>
          <t>A 24310-2026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46169</v>
      </c>
      <c r="E66" s="1" t="n">
        <v>46286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24310-2026 artfynd.xlsx", "A 24310-2026")</f>
        <v/>
      </c>
      <c r="X66">
        <f>HYPERLINK("https://klasma.github.io/Logging_2180/kartor/A 24310-2026 karta.png", "A 24310-2026")</f>
        <v/>
      </c>
      <c r="Y66">
        <f>HYPERLINK("https://klasma.github.io/Logging_2180/kartor_geotiff/A 24310-2026 georefererad karta.tif", "A 24310-2026")</f>
        <v/>
      </c>
      <c r="AA66">
        <f>HYPERLINK("https://klasma.github.io/Logging_2180/klagomål/A 24310-2026 FSC-klagomål.docx", "A 24310-2026")</f>
        <v/>
      </c>
      <c r="AB66">
        <f>HYPERLINK("https://klasma.github.io/Logging_2180/klagomålsmail/A 24310-2026 FSC-klagomål mail.docx", "A 24310-2026")</f>
        <v/>
      </c>
      <c r="AC66">
        <f>HYPERLINK("https://klasma.github.io/Logging_2180/tillsyn/A 24310-2026 tillsynsbegäran.docx", "A 24310-2026")</f>
        <v/>
      </c>
      <c r="AD66">
        <f>HYPERLINK("https://klasma.github.io/Logging_2180/tillsynsmail/A 24310-2026 tillsynsbegäran mail.docx", "A 24310-2026")</f>
        <v/>
      </c>
    </row>
    <row r="67" ht="15" customHeight="1">
      <c r="A67" t="inlineStr">
        <is>
          <t>A 24915-2026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46286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3.1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Höstlåsbräken
Månlåsbräken</t>
        </is>
      </c>
      <c r="W67">
        <f>HYPERLINK("https://klasma.github.io/Logging_2180/artfynd/A 24915-2026 artfynd.xlsx", "A 24915-2026")</f>
        <v/>
      </c>
      <c r="X67">
        <f>HYPERLINK("https://klasma.github.io/Logging_2180/kartor/A 24915-2026 karta.png", "A 24915-2026")</f>
        <v/>
      </c>
      <c r="Y67">
        <f>HYPERLINK("https://klasma.github.io/Logging_2180/kartor_geotiff/A 24915-2026 georefererad karta.tif", "A 24915-2026")</f>
        <v/>
      </c>
      <c r="AA67">
        <f>HYPERLINK("https://klasma.github.io/Logging_2180/klagomål/A 24915-2026 FSC-klagomål.docx", "A 24915-2026")</f>
        <v/>
      </c>
      <c r="AB67">
        <f>HYPERLINK("https://klasma.github.io/Logging_2180/klagomålsmail/A 24915-2026 FSC-klagomål mail.docx", "A 24915-2026")</f>
        <v/>
      </c>
      <c r="AC67">
        <f>HYPERLINK("https://klasma.github.io/Logging_2180/tillsyn/A 24915-2026 tillsynsbegäran.docx", "A 24915-2026")</f>
        <v/>
      </c>
      <c r="AD67">
        <f>HYPERLINK("https://klasma.github.io/Logging_2180/tillsynsmail/A 24915-2026 tillsynsbegäran mail.docx", "A 24915-2026")</f>
        <v/>
      </c>
    </row>
    <row r="68" ht="15" customHeight="1">
      <c r="A68" t="inlineStr">
        <is>
          <t>A 14554-2026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46100</v>
      </c>
      <c r="E68" s="1" t="n">
        <v>46286</v>
      </c>
      <c r="F68" t="inlineStr">
        <is>
          <t>GÄVLEBORGS LÄN</t>
        </is>
      </c>
      <c r="G68" t="inlineStr">
        <is>
          <t>GÄVLE</t>
        </is>
      </c>
      <c r="H68" t="inlineStr">
        <is>
          <t>Övriga statliga verk och myndigheter</t>
        </is>
      </c>
      <c r="I68" t="n">
        <v>6.6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121</v>
      </c>
      <c r="U68" t="n">
        <v>0</v>
      </c>
      <c r="V68" s="2" t="inlineStr">
        <is>
          <t>Väddnätfjäril
Sotnätfjäril</t>
        </is>
      </c>
      <c r="W68">
        <f>HYPERLINK("https://klasma.github.io/Logging_2180/artfynd/A 14554-2026 artfynd.xlsx", "A 14554-2026")</f>
        <v/>
      </c>
      <c r="X68">
        <f>HYPERLINK("https://klasma.github.io/Logging_2180/kartor/A 14554-2026 karta.png", "A 14554-2026")</f>
        <v/>
      </c>
      <c r="Y68">
        <f>HYPERLINK("https://klasma.github.io/Logging_2180/kartor_geotiff/A 14554-2026 georefererad karta.tif", "A 14554-2026")</f>
        <v/>
      </c>
      <c r="AA68">
        <f>HYPERLINK("https://klasma.github.io/Logging_2180/klagomål/A 14554-2026 FSC-klagomål.docx", "A 14554-2026")</f>
        <v/>
      </c>
      <c r="AB68">
        <f>HYPERLINK("https://klasma.github.io/Logging_2180/klagomålsmail/A 14554-2026 FSC-klagomål mail.docx", "A 14554-2026")</f>
        <v/>
      </c>
      <c r="AC68">
        <f>HYPERLINK("https://klasma.github.io/Logging_2180/tillsyn/A 14554-2026 tillsynsbegäran.docx", "A 14554-2026")</f>
        <v/>
      </c>
      <c r="AD68">
        <f>HYPERLINK("https://klasma.github.io/Logging_2180/tillsynsmail/A 14554-2026 tillsynsbegäran mail.docx", "A 14554-2026")</f>
        <v/>
      </c>
    </row>
    <row r="69" ht="15" customHeight="1">
      <c r="A69" t="inlineStr">
        <is>
          <t>A 27045-2026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46286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27045-2026 artfynd.xlsx", "A 27045-2026")</f>
        <v/>
      </c>
      <c r="X69">
        <f>HYPERLINK("https://klasma.github.io/Logging_2180/kartor/A 27045-2026 karta.png", "A 27045-2026")</f>
        <v/>
      </c>
      <c r="Y69">
        <f>HYPERLINK("https://klasma.github.io/Logging_2180/kartor_geotiff/A 27045-2026 georefererad karta.tif", "A 27045-2026")</f>
        <v/>
      </c>
      <c r="AA69">
        <f>HYPERLINK("https://klasma.github.io/Logging_2180/klagomål/A 27045-2026 FSC-klagomål.docx", "A 27045-2026")</f>
        <v/>
      </c>
      <c r="AB69">
        <f>HYPERLINK("https://klasma.github.io/Logging_2180/klagomålsmail/A 27045-2026 FSC-klagomål mail.docx", "A 27045-2026")</f>
        <v/>
      </c>
      <c r="AC69">
        <f>HYPERLINK("https://klasma.github.io/Logging_2180/tillsyn/A 27045-2026 tillsynsbegäran.docx", "A 27045-2026")</f>
        <v/>
      </c>
      <c r="AD69">
        <f>HYPERLINK("https://klasma.github.io/Logging_2180/tillsynsmail/A 27045-2026 tillsynsbegäran mail.docx", "A 27045-2026")</f>
        <v/>
      </c>
    </row>
    <row r="70" ht="15" customHeight="1">
      <c r="A70" t="inlineStr">
        <is>
          <t>A 27054-2026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46286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Kattfotslav</t>
        </is>
      </c>
      <c r="W70">
        <f>HYPERLINK("https://klasma.github.io/Logging_2180/artfynd/A 27054-2026 artfynd.xlsx", "A 27054-2026")</f>
        <v/>
      </c>
      <c r="X70">
        <f>HYPERLINK("https://klasma.github.io/Logging_2180/kartor/A 27054-2026 karta.png", "A 27054-2026")</f>
        <v/>
      </c>
      <c r="Y70">
        <f>HYPERLINK("https://klasma.github.io/Logging_2180/kartor_geotiff/A 27054-2026 georefererad karta.tif", "A 27054-2026")</f>
        <v/>
      </c>
      <c r="AA70">
        <f>HYPERLINK("https://klasma.github.io/Logging_2180/klagomål/A 27054-2026 FSC-klagomål.docx", "A 27054-2026")</f>
        <v/>
      </c>
      <c r="AB70">
        <f>HYPERLINK("https://klasma.github.io/Logging_2180/klagomålsmail/A 27054-2026 FSC-klagomål mail.docx", "A 27054-2026")</f>
        <v/>
      </c>
      <c r="AC70">
        <f>HYPERLINK("https://klasma.github.io/Logging_2180/tillsyn/A 27054-2026 tillsynsbegäran.docx", "A 27054-2026")</f>
        <v/>
      </c>
      <c r="AD70">
        <f>HYPERLINK("https://klasma.github.io/Logging_2180/tillsynsmail/A 27054-2026 tillsynsbegäran mail.docx", "A 27054-2026")</f>
        <v/>
      </c>
    </row>
    <row r="71" ht="15" customHeight="1">
      <c r="A71" t="inlineStr">
        <is>
          <t>A 13487-2026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46094</v>
      </c>
      <c r="E71" s="1" t="n">
        <v>46286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1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Pärluggla
Sparvuggla</t>
        </is>
      </c>
      <c r="W71">
        <f>HYPERLINK("https://klasma.github.io/Logging_2180/artfynd/A 13487-2026 artfynd.xlsx", "A 13487-2026")</f>
        <v/>
      </c>
      <c r="X71">
        <f>HYPERLINK("https://klasma.github.io/Logging_2180/kartor/A 13487-2026 karta.png", "A 13487-2026")</f>
        <v/>
      </c>
      <c r="Y71">
        <f>HYPERLINK("https://klasma.github.io/Logging_2180/kartor_geotiff/A 13487-2026 georefererad karta.tif", "A 13487-2026")</f>
        <v/>
      </c>
      <c r="AA71">
        <f>HYPERLINK("https://klasma.github.io/Logging_2180/klagomål/A 13487-2026 FSC-klagomål.docx", "A 13487-2026")</f>
        <v/>
      </c>
      <c r="AB71">
        <f>HYPERLINK("https://klasma.github.io/Logging_2180/klagomålsmail/A 13487-2026 FSC-klagomål mail.docx", "A 13487-2026")</f>
        <v/>
      </c>
      <c r="AC71">
        <f>HYPERLINK("https://klasma.github.io/Logging_2180/tillsyn/A 13487-2026 tillsynsbegäran.docx", "A 13487-2026")</f>
        <v/>
      </c>
      <c r="AD71">
        <f>HYPERLINK("https://klasma.github.io/Logging_2180/tillsynsmail/A 13487-2026 tillsynsbegäran mail.docx", "A 13487-2026")</f>
        <v/>
      </c>
      <c r="AE71">
        <f>HYPERLINK("https://klasma.github.io/Logging_2180/fåglar/A 13487-2026 prioriterade fågelarter.docx", "A 13487-2026")</f>
        <v/>
      </c>
    </row>
    <row r="72" ht="15" customHeight="1">
      <c r="A72" t="inlineStr">
        <is>
          <t>A 29634-2026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46199</v>
      </c>
      <c r="E72" s="1" t="n">
        <v>46286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6.3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Brunag
Strandlummer</t>
        </is>
      </c>
      <c r="W72">
        <f>HYPERLINK("https://klasma.github.io/Logging_2180/artfynd/A 29634-2026 artfynd.xlsx", "A 29634-2026")</f>
        <v/>
      </c>
      <c r="X72">
        <f>HYPERLINK("https://klasma.github.io/Logging_2180/kartor/A 29634-2026 karta.png", "A 29634-2026")</f>
        <v/>
      </c>
      <c r="Y72">
        <f>HYPERLINK("https://klasma.github.io/Logging_2180/kartor_geotiff/A 29634-2026 georefererad karta.tif", "A 29634-2026")</f>
        <v/>
      </c>
      <c r="AA72">
        <f>HYPERLINK("https://klasma.github.io/Logging_2180/klagomål/A 29634-2026 FSC-klagomål.docx", "A 29634-2026")</f>
        <v/>
      </c>
      <c r="AB72">
        <f>HYPERLINK("https://klasma.github.io/Logging_2180/klagomålsmail/A 29634-2026 FSC-klagomål mail.docx", "A 29634-2026")</f>
        <v/>
      </c>
      <c r="AC72">
        <f>HYPERLINK("https://klasma.github.io/Logging_2180/tillsyn/A 29634-2026 tillsynsbegäran.docx", "A 29634-2026")</f>
        <v/>
      </c>
      <c r="AD72">
        <f>HYPERLINK("https://klasma.github.io/Logging_2180/tillsynsmail/A 29634-2026 tillsynsbegäran mail.docx", "A 29634-2026")</f>
        <v/>
      </c>
    </row>
    <row r="73" ht="15" customHeight="1">
      <c r="A73" t="inlineStr">
        <is>
          <t>A 13248-2026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46093</v>
      </c>
      <c r="E73" s="1" t="n">
        <v>46286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2.8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Kattfotslav
Fläcknycklar</t>
        </is>
      </c>
      <c r="W73">
        <f>HYPERLINK("https://klasma.github.io/Logging_2180/artfynd/A 13248-2026 artfynd.xlsx", "A 13248-2026")</f>
        <v/>
      </c>
      <c r="X73">
        <f>HYPERLINK("https://klasma.github.io/Logging_2180/kartor/A 13248-2026 karta.png", "A 13248-2026")</f>
        <v/>
      </c>
      <c r="Y73">
        <f>HYPERLINK("https://klasma.github.io/Logging_2180/kartor_geotiff/A 13248-2026 georefererad karta.tif", "A 13248-2026")</f>
        <v/>
      </c>
      <c r="AA73">
        <f>HYPERLINK("https://klasma.github.io/Logging_2180/klagomål/A 13248-2026 FSC-klagomål.docx", "A 13248-2026")</f>
        <v/>
      </c>
      <c r="AB73">
        <f>HYPERLINK("https://klasma.github.io/Logging_2180/klagomålsmail/A 13248-2026 FSC-klagomål mail.docx", "A 13248-2026")</f>
        <v/>
      </c>
      <c r="AC73">
        <f>HYPERLINK("https://klasma.github.io/Logging_2180/tillsyn/A 13248-2026 tillsynsbegäran.docx", "A 13248-2026")</f>
        <v/>
      </c>
      <c r="AD73">
        <f>HYPERLINK("https://klasma.github.io/Logging_2180/tillsynsmail/A 13248-2026 tillsynsbegäran mail.docx", "A 13248-2026")</f>
        <v/>
      </c>
    </row>
    <row r="74" ht="15" customHeight="1">
      <c r="A74" t="inlineStr">
        <is>
          <t>A 19718-2026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46134</v>
      </c>
      <c r="E74" s="1" t="n">
        <v>46286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10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Rödvingetrast
Nattskärra</t>
        </is>
      </c>
      <c r="W74">
        <f>HYPERLINK("https://klasma.github.io/Logging_2180/artfynd/A 19718-2026 artfynd.xlsx", "A 19718-2026")</f>
        <v/>
      </c>
      <c r="X74">
        <f>HYPERLINK("https://klasma.github.io/Logging_2180/kartor/A 19718-2026 karta.png", "A 19718-2026")</f>
        <v/>
      </c>
      <c r="Y74">
        <f>HYPERLINK("https://klasma.github.io/Logging_2180/kartor_geotiff/A 19718-2026 georefererad karta.tif", "A 19718-2026")</f>
        <v/>
      </c>
      <c r="AA74">
        <f>HYPERLINK("https://klasma.github.io/Logging_2180/klagomål/A 19718-2026 FSC-klagomål.docx", "A 19718-2026")</f>
        <v/>
      </c>
      <c r="AB74">
        <f>HYPERLINK("https://klasma.github.io/Logging_2180/klagomålsmail/A 19718-2026 FSC-klagomål mail.docx", "A 19718-2026")</f>
        <v/>
      </c>
      <c r="AC74">
        <f>HYPERLINK("https://klasma.github.io/Logging_2180/tillsyn/A 19718-2026 tillsynsbegäran.docx", "A 19718-2026")</f>
        <v/>
      </c>
      <c r="AD74">
        <f>HYPERLINK("https://klasma.github.io/Logging_2180/tillsynsmail/A 19718-2026 tillsynsbegäran mail.docx", "A 19718-2026")</f>
        <v/>
      </c>
      <c r="AE74">
        <f>HYPERLINK("https://klasma.github.io/Logging_2180/fåglar/A 19718-2026 prioriterade fågelarter.docx", "A 19718-2026")</f>
        <v/>
      </c>
    </row>
    <row r="75" ht="15" customHeight="1">
      <c r="A75" t="inlineStr">
        <is>
          <t>A 34434-2026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46254</v>
      </c>
      <c r="E75" s="1" t="n">
        <v>46286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7.7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Grönsångare
Vätteros</t>
        </is>
      </c>
      <c r="W75">
        <f>HYPERLINK("https://klasma.github.io/Logging_2180/artfynd/A 34434-2026 artfynd.xlsx", "A 34434-2026")</f>
        <v/>
      </c>
      <c r="X75">
        <f>HYPERLINK("https://klasma.github.io/Logging_2180/kartor/A 34434-2026 karta.png", "A 34434-2026")</f>
        <v/>
      </c>
      <c r="Y75">
        <f>HYPERLINK("https://klasma.github.io/Logging_2180/kartor_geotiff/A 34434-2026 georefererad karta.tif", "A 34434-2026")</f>
        <v/>
      </c>
      <c r="AA75">
        <f>HYPERLINK("https://klasma.github.io/Logging_2180/klagomål/A 34434-2026 FSC-klagomål.docx", "A 34434-2026")</f>
        <v/>
      </c>
      <c r="AB75">
        <f>HYPERLINK("https://klasma.github.io/Logging_2180/klagomålsmail/A 34434-2026 FSC-klagomål mail.docx", "A 34434-2026")</f>
        <v/>
      </c>
      <c r="AC75">
        <f>HYPERLINK("https://klasma.github.io/Logging_2180/tillsyn/A 34434-2026 tillsynsbegäran.docx", "A 34434-2026")</f>
        <v/>
      </c>
      <c r="AD75">
        <f>HYPERLINK("https://klasma.github.io/Logging_2180/tillsynsmail/A 34434-2026 tillsynsbegäran mail.docx", "A 34434-2026")</f>
        <v/>
      </c>
      <c r="AE75">
        <f>HYPERLINK("https://klasma.github.io/Logging_2180/fåglar/A 34434-2026 prioriterade fågelarter.docx", "A 34434-2026")</f>
        <v/>
      </c>
    </row>
    <row r="76" ht="15" customHeight="1">
      <c r="A76" t="inlineStr">
        <is>
          <t>A 35989-2024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45533</v>
      </c>
      <c r="E76" s="1" t="n">
        <v>46286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väst AB</t>
        </is>
      </c>
      <c r="I76" t="n">
        <v>3.1</v>
      </c>
      <c r="J76" t="n">
        <v>1</v>
      </c>
      <c r="K76" t="n">
        <v>1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Knärot
Jättesvampmal</t>
        </is>
      </c>
      <c r="W76">
        <f>HYPERLINK("https://klasma.github.io/Logging_2180/artfynd/A 35989-2024 artfynd.xlsx", "A 35989-2024")</f>
        <v/>
      </c>
      <c r="X76">
        <f>HYPERLINK("https://klasma.github.io/Logging_2180/kartor/A 35989-2024 karta.png", "A 35989-2024")</f>
        <v/>
      </c>
      <c r="Y76">
        <f>HYPERLINK("https://klasma.github.io/Logging_2180/kartor_geotiff/A 35989-2024 georefererad karta.tif", "A 35989-2024")</f>
        <v/>
      </c>
      <c r="Z76">
        <f>HYPERLINK("https://klasma.github.io/Logging_2180/knärot/A 35989-2024 karta knärot.png", "A 35989-2024")</f>
        <v/>
      </c>
      <c r="AA76">
        <f>HYPERLINK("https://klasma.github.io/Logging_2180/klagomål/A 35989-2024 FSC-klagomål.docx", "A 35989-2024")</f>
        <v/>
      </c>
      <c r="AB76">
        <f>HYPERLINK("https://klasma.github.io/Logging_2180/klagomålsmail/A 35989-2024 FSC-klagomål mail.docx", "A 35989-2024")</f>
        <v/>
      </c>
      <c r="AC76">
        <f>HYPERLINK("https://klasma.github.io/Logging_2180/tillsyn/A 35989-2024 tillsynsbegäran.docx", "A 35989-2024")</f>
        <v/>
      </c>
      <c r="AD76">
        <f>HYPERLINK("https://klasma.github.io/Logging_2180/tillsynsmail/A 35989-2024 tillsynsbegäran mail.docx", "A 35989-2024")</f>
        <v/>
      </c>
    </row>
    <row r="77" ht="15" customHeight="1">
      <c r="A77" t="inlineStr">
        <is>
          <t>A 38046-2026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46280</v>
      </c>
      <c r="E77" s="1" t="n">
        <v>46286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4.3</v>
      </c>
      <c r="J77" t="n">
        <v>1</v>
      </c>
      <c r="K77" t="n">
        <v>0</v>
      </c>
      <c r="L77" t="n">
        <v>0</v>
      </c>
      <c r="M77" t="n">
        <v>2</v>
      </c>
      <c r="N77" t="n">
        <v>0</v>
      </c>
      <c r="O77" t="n">
        <v>0</v>
      </c>
      <c r="P77" t="n">
        <v>0</v>
      </c>
      <c r="Q77" t="n">
        <v>2</v>
      </c>
      <c r="R77" t="n">
        <v>2</v>
      </c>
      <c r="S77" t="n">
        <v>2</v>
      </c>
      <c r="T77" t="n">
        <v>2</v>
      </c>
      <c r="U77" t="n">
        <v>0</v>
      </c>
      <c r="V77" s="2" t="inlineStr">
        <is>
          <t>Garnlav
Knärot</t>
        </is>
      </c>
      <c r="W77">
        <f>HYPERLINK("https://klasma.github.io/Logging_2180/artfynd/A 38046-2026 artfynd.xlsx", "A 38046-2026")</f>
        <v/>
      </c>
      <c r="X77">
        <f>HYPERLINK("https://klasma.github.io/Logging_2180/kartor/A 38046-2026 karta.png", "A 38046-2026")</f>
        <v/>
      </c>
      <c r="Y77">
        <f>HYPERLINK("https://klasma.github.io/Logging_2180/kartor_geotiff/A 38046-2026 georefererad karta.tif", "A 38046-2026")</f>
        <v/>
      </c>
      <c r="Z77">
        <f>HYPERLINK("https://klasma.github.io/Logging_2180/knärot/A 38046-2026 karta knärot.png", "A 38046-2026")</f>
        <v/>
      </c>
      <c r="AA77">
        <f>HYPERLINK("https://klasma.github.io/Logging_2180/klagomål/A 38046-2026 FSC-klagomål.docx", "A 38046-2026")</f>
        <v/>
      </c>
      <c r="AB77">
        <f>HYPERLINK("https://klasma.github.io/Logging_2180/klagomålsmail/A 38046-2026 FSC-klagomål mail.docx", "A 38046-2026")</f>
        <v/>
      </c>
      <c r="AC77">
        <f>HYPERLINK("https://klasma.github.io/Logging_2180/tillsyn/A 38046-2026 tillsynsbegäran.docx", "A 38046-2026")</f>
        <v/>
      </c>
      <c r="AD77">
        <f>HYPERLINK("https://klasma.github.io/Logging_2180/tillsynsmail/A 38046-2026 tillsynsbegäran mail.docx", "A 38046-2026")</f>
        <v/>
      </c>
    </row>
    <row r="78" ht="15" customHeight="1">
      <c r="A78" t="inlineStr">
        <is>
          <t>A 23447-2025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46286</v>
      </c>
      <c r="F78" t="inlineStr">
        <is>
          <t>GÄVLEBORGS LÄN</t>
        </is>
      </c>
      <c r="G78" t="inlineStr">
        <is>
          <t>GÄVLE</t>
        </is>
      </c>
      <c r="I78" t="n">
        <v>1.1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Kopparödla
Fläcknycklar</t>
        </is>
      </c>
      <c r="W78">
        <f>HYPERLINK("https://klasma.github.io/Logging_2180/artfynd/A 23447-2025 artfynd.xlsx", "A 23447-2025")</f>
        <v/>
      </c>
      <c r="X78">
        <f>HYPERLINK("https://klasma.github.io/Logging_2180/kartor/A 23447-2025 karta.png", "A 23447-2025")</f>
        <v/>
      </c>
      <c r="Y78">
        <f>HYPERLINK("https://klasma.github.io/Logging_2180/kartor_geotiff/A 23447-2025 georefererad karta.tif", "A 23447-2025")</f>
        <v/>
      </c>
      <c r="AA78">
        <f>HYPERLINK("https://klasma.github.io/Logging_2180/klagomål/A 23447-2025 FSC-klagomål.docx", "A 23447-2025")</f>
        <v/>
      </c>
      <c r="AB78">
        <f>HYPERLINK("https://klasma.github.io/Logging_2180/klagomålsmail/A 23447-2025 FSC-klagomål mail.docx", "A 23447-2025")</f>
        <v/>
      </c>
      <c r="AC78">
        <f>HYPERLINK("https://klasma.github.io/Logging_2180/tillsyn/A 23447-2025 tillsynsbegäran.docx", "A 23447-2025")</f>
        <v/>
      </c>
      <c r="AD78">
        <f>HYPERLINK("https://klasma.github.io/Logging_2180/tillsynsmail/A 23447-2025 tillsynsbegäran mail.docx", "A 23447-2025")</f>
        <v/>
      </c>
    </row>
    <row r="79" ht="15" customHeight="1">
      <c r="A79" t="inlineStr">
        <is>
          <t>S 403-2025</t>
        </is>
      </c>
      <c r="B79" t="inlineStr">
        <is>
          <t>samrådsanmälan</t>
        </is>
      </c>
      <c r="C79" t="inlineStr">
        <is>
          <t>Skogsgödsling</t>
        </is>
      </c>
      <c r="D79" s="1" t="n">
        <v>45699</v>
      </c>
      <c r="E79" s="1" t="n">
        <v>46286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134.6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Sumpviol
Plattlummer</t>
        </is>
      </c>
      <c r="W79">
        <f>HYPERLINK("https://klasma.github.io/Logging_2180/artfynd/S 403-2025 artfynd.xlsx", "S 403-2025")</f>
        <v/>
      </c>
      <c r="X79">
        <f>HYPERLINK("https://klasma.github.io/Logging_2180/kartor/S 403-2025 karta.png", "S 403-2025")</f>
        <v/>
      </c>
      <c r="Y79">
        <f>HYPERLINK("https://klasma.github.io/Logging_2180/kartor_geotiff/S 403-2025 georefererad karta.tif", "S 403-2025")</f>
        <v/>
      </c>
      <c r="AA79">
        <f>HYPERLINK("https://klasma.github.io/Logging_2180/klagomål/S 403-2025 FSC-klagomål.docx", "S 403-2025")</f>
        <v/>
      </c>
      <c r="AB79">
        <f>HYPERLINK("https://klasma.github.io/Logging_2180/klagomålsmail/S 403-2025 FSC-klagomål mail.docx", "S 403-2025")</f>
        <v/>
      </c>
      <c r="AC79">
        <f>HYPERLINK("https://klasma.github.io/Logging_2180/tillsyn/S 403-2025 tillsynsbegäran.docx", "S 403-2025")</f>
        <v/>
      </c>
      <c r="AD79">
        <f>HYPERLINK("https://klasma.github.io/Logging_2180/tillsynsmail/S 403-2025 tillsynsbegäran mail.docx", "S 403-2025")</f>
        <v/>
      </c>
    </row>
    <row r="80" ht="15" customHeight="1">
      <c r="A80" t="inlineStr">
        <is>
          <t>A 15102-2022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46286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Sumpviol</t>
        </is>
      </c>
      <c r="W80">
        <f>HYPERLINK("https://klasma.github.io/Logging_2180/artfynd/A 15102-2022 artfynd.xlsx", "A 15102-2022")</f>
        <v/>
      </c>
      <c r="X80">
        <f>HYPERLINK("https://klasma.github.io/Logging_2180/kartor/A 15102-2022 karta.png", "A 15102-2022")</f>
        <v/>
      </c>
      <c r="Y80">
        <f>HYPERLINK("https://klasma.github.io/Logging_2180/kartor_geotiff/A 15102-2022 georefererad karta.tif", "A 15102-2022")</f>
        <v/>
      </c>
      <c r="AA80">
        <f>HYPERLINK("https://klasma.github.io/Logging_2180/klagomål/A 15102-2022 FSC-klagomål.docx", "A 15102-2022")</f>
        <v/>
      </c>
      <c r="AB80">
        <f>HYPERLINK("https://klasma.github.io/Logging_2180/klagomålsmail/A 15102-2022 FSC-klagomål mail.docx", "A 15102-2022")</f>
        <v/>
      </c>
      <c r="AC80">
        <f>HYPERLINK("https://klasma.github.io/Logging_2180/tillsyn/A 15102-2022 tillsynsbegäran.docx", "A 15102-2022")</f>
        <v/>
      </c>
      <c r="AD80">
        <f>HYPERLINK("https://klasma.github.io/Logging_2180/tillsynsmail/A 15102-2022 tillsynsbegäran mail.docx", "A 15102-2022")</f>
        <v/>
      </c>
    </row>
    <row r="81" ht="15" customHeight="1">
      <c r="A81" t="inlineStr">
        <is>
          <t>A 5409-2023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44959</v>
      </c>
      <c r="E81" s="1" t="n">
        <v>46286</v>
      </c>
      <c r="F81" t="inlineStr">
        <is>
          <t>GÄVLEBORGS LÄN</t>
        </is>
      </c>
      <c r="G81" t="inlineStr">
        <is>
          <t>GÄVLE</t>
        </is>
      </c>
      <c r="I81" t="n">
        <v>0.3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HYPERLINK("https://klasma.github.io/Logging_2180/artfynd/A 5409-2023 artfynd.xlsx", "A 5409-2023")</f>
        <v/>
      </c>
      <c r="X81">
        <f>HYPERLINK("https://klasma.github.io/Logging_2180/kartor/A 5409-2023 karta.png", "A 5409-2023")</f>
        <v/>
      </c>
      <c r="Y81">
        <f>HYPERLINK("https://klasma.github.io/Logging_2180/kartor_geotiff/A 5409-2023 georefererad karta.tif", "A 5409-2023")</f>
        <v/>
      </c>
      <c r="AA81">
        <f>HYPERLINK("https://klasma.github.io/Logging_2180/klagomål/A 5409-2023 FSC-klagomål.docx", "A 5409-2023")</f>
        <v/>
      </c>
      <c r="AB81">
        <f>HYPERLINK("https://klasma.github.io/Logging_2180/klagomålsmail/A 5409-2023 FSC-klagomål mail.docx", "A 5409-2023")</f>
        <v/>
      </c>
      <c r="AC81">
        <f>HYPERLINK("https://klasma.github.io/Logging_2180/tillsyn/A 5409-2023 tillsynsbegäran.docx", "A 5409-2023")</f>
        <v/>
      </c>
      <c r="AD81">
        <f>HYPERLINK("https://klasma.github.io/Logging_2180/tillsynsmail/A 5409-2023 tillsynsbegäran mail.docx", "A 5409-2023")</f>
        <v/>
      </c>
    </row>
    <row r="82" ht="15" customHeight="1">
      <c r="A82" t="inlineStr">
        <is>
          <t>A 5415-2023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44959</v>
      </c>
      <c r="E82" s="1" t="n">
        <v>46286</v>
      </c>
      <c r="F82" t="inlineStr">
        <is>
          <t>GÄVLEBORGS LÄN</t>
        </is>
      </c>
      <c r="G82" t="inlineStr">
        <is>
          <t>GÄVLE</t>
        </is>
      </c>
      <c r="I82" t="n">
        <v>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Skogsklocka</t>
        </is>
      </c>
      <c r="W82">
        <f>HYPERLINK("https://klasma.github.io/Logging_2180/artfynd/A 5415-2023 artfynd.xlsx", "A 5415-2023")</f>
        <v/>
      </c>
      <c r="X82">
        <f>HYPERLINK("https://klasma.github.io/Logging_2180/kartor/A 5415-2023 karta.png", "A 5415-2023")</f>
        <v/>
      </c>
      <c r="Y82">
        <f>HYPERLINK("https://klasma.github.io/Logging_2180/kartor_geotiff/A 5415-2023 georefererad karta.tif", "A 5415-2023")</f>
        <v/>
      </c>
      <c r="AA82">
        <f>HYPERLINK("https://klasma.github.io/Logging_2180/klagomål/A 5415-2023 FSC-klagomål.docx", "A 5415-2023")</f>
        <v/>
      </c>
      <c r="AB82">
        <f>HYPERLINK("https://klasma.github.io/Logging_2180/klagomålsmail/A 5415-2023 FSC-klagomål mail.docx", "A 5415-2023")</f>
        <v/>
      </c>
      <c r="AC82">
        <f>HYPERLINK("https://klasma.github.io/Logging_2180/tillsyn/A 5415-2023 tillsynsbegäran.docx", "A 5415-2023")</f>
        <v/>
      </c>
      <c r="AD82">
        <f>HYPERLINK("https://klasma.github.io/Logging_2180/tillsynsmail/A 5415-2023 tillsynsbegäran mail.docx", "A 5415-2023")</f>
        <v/>
      </c>
    </row>
    <row r="83" ht="15" customHeight="1">
      <c r="A83" t="inlineStr">
        <is>
          <t>A 35225-2024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46286</v>
      </c>
      <c r="F83" t="inlineStr">
        <is>
          <t>GÄVLEBORGS LÄN</t>
        </is>
      </c>
      <c r="G83" t="inlineStr">
        <is>
          <t>GÄVLE</t>
        </is>
      </c>
      <c r="I83" t="n">
        <v>2.6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Blåsippa</t>
        </is>
      </c>
      <c r="W83">
        <f>HYPERLINK("https://klasma.github.io/Logging_2180/artfynd/A 35225-2024 artfynd.xlsx", "A 35225-2024")</f>
        <v/>
      </c>
      <c r="X83">
        <f>HYPERLINK("https://klasma.github.io/Logging_2180/kartor/A 35225-2024 karta.png", "A 35225-2024")</f>
        <v/>
      </c>
      <c r="Y83">
        <f>HYPERLINK("https://klasma.github.io/Logging_2180/kartor_geotiff/A 35225-2024 georefererad karta.tif", "A 35225-2024")</f>
        <v/>
      </c>
      <c r="AA83">
        <f>HYPERLINK("https://klasma.github.io/Logging_2180/klagomål/A 35225-2024 FSC-klagomål.docx", "A 35225-2024")</f>
        <v/>
      </c>
      <c r="AB83">
        <f>HYPERLINK("https://klasma.github.io/Logging_2180/klagomålsmail/A 35225-2024 FSC-klagomål mail.docx", "A 35225-2024")</f>
        <v/>
      </c>
      <c r="AC83">
        <f>HYPERLINK("https://klasma.github.io/Logging_2180/tillsyn/A 35225-2024 tillsynsbegäran.docx", "A 35225-2024")</f>
        <v/>
      </c>
      <c r="AD83">
        <f>HYPERLINK("https://klasma.github.io/Logging_2180/tillsynsmail/A 35225-2024 tillsynsbegäran mail.docx", "A 35225-2024")</f>
        <v/>
      </c>
    </row>
    <row r="84" ht="15" customHeight="1">
      <c r="A84" t="inlineStr">
        <is>
          <t>A 32254-2023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45120</v>
      </c>
      <c r="E84" s="1" t="n">
        <v>46286</v>
      </c>
      <c r="F84" t="inlineStr">
        <is>
          <t>GÄVLEBORGS LÄN</t>
        </is>
      </c>
      <c r="G84" t="inlineStr">
        <is>
          <t>GÄVLE</t>
        </is>
      </c>
      <c r="I84" t="n">
        <v>2.5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Slåtterfibbla</t>
        </is>
      </c>
      <c r="W84">
        <f>HYPERLINK("https://klasma.github.io/Logging_2180/artfynd/A 32254-2023 artfynd.xlsx", "A 32254-2023")</f>
        <v/>
      </c>
      <c r="X84">
        <f>HYPERLINK("https://klasma.github.io/Logging_2180/kartor/A 32254-2023 karta.png", "A 32254-2023")</f>
        <v/>
      </c>
      <c r="Y84">
        <f>HYPERLINK("https://klasma.github.io/Logging_2180/kartor_geotiff/A 32254-2023 georefererad karta.tif", "A 32254-2023")</f>
        <v/>
      </c>
      <c r="AA84">
        <f>HYPERLINK("https://klasma.github.io/Logging_2180/klagomål/A 32254-2023 FSC-klagomål.docx", "A 32254-2023")</f>
        <v/>
      </c>
      <c r="AB84">
        <f>HYPERLINK("https://klasma.github.io/Logging_2180/klagomålsmail/A 32254-2023 FSC-klagomål mail.docx", "A 32254-2023")</f>
        <v/>
      </c>
      <c r="AC84">
        <f>HYPERLINK("https://klasma.github.io/Logging_2180/tillsyn/A 32254-2023 tillsynsbegäran.docx", "A 32254-2023")</f>
        <v/>
      </c>
      <c r="AD84">
        <f>HYPERLINK("https://klasma.github.io/Logging_2180/tillsynsmail/A 32254-2023 tillsynsbegäran mail.docx", "A 32254-2023")</f>
        <v/>
      </c>
    </row>
    <row r="85" ht="15" customHeight="1">
      <c r="A85" t="inlineStr">
        <is>
          <t>A 61056-2024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46286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5.3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Myggblomster</t>
        </is>
      </c>
      <c r="W85">
        <f>HYPERLINK("https://klasma.github.io/Logging_2180/artfynd/A 61056-2024 artfynd.xlsx", "A 61056-2024")</f>
        <v/>
      </c>
      <c r="X85">
        <f>HYPERLINK("https://klasma.github.io/Logging_2180/kartor/A 61056-2024 karta.png", "A 61056-2024")</f>
        <v/>
      </c>
      <c r="Y85">
        <f>HYPERLINK("https://klasma.github.io/Logging_2180/kartor_geotiff/A 61056-2024 georefererad karta.tif", "A 61056-2024")</f>
        <v/>
      </c>
      <c r="AA85">
        <f>HYPERLINK("https://klasma.github.io/Logging_2180/klagomål/A 61056-2024 FSC-klagomål.docx", "A 61056-2024")</f>
        <v/>
      </c>
      <c r="AB85">
        <f>HYPERLINK("https://klasma.github.io/Logging_2180/klagomålsmail/A 61056-2024 FSC-klagomål mail.docx", "A 61056-2024")</f>
        <v/>
      </c>
      <c r="AC85">
        <f>HYPERLINK("https://klasma.github.io/Logging_2180/tillsyn/A 61056-2024 tillsynsbegäran.docx", "A 61056-2024")</f>
        <v/>
      </c>
      <c r="AD85">
        <f>HYPERLINK("https://klasma.github.io/Logging_2180/tillsynsmail/A 61056-2024 tillsynsbegäran mail.docx", "A 61056-2024")</f>
        <v/>
      </c>
    </row>
    <row r="86" ht="15" customHeight="1">
      <c r="A86" t="inlineStr">
        <is>
          <t>A 26157-2022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44735</v>
      </c>
      <c r="E86" s="1" t="n">
        <v>46286</v>
      </c>
      <c r="F86" t="inlineStr">
        <is>
          <t>GÄVLEBORGS LÄN</t>
        </is>
      </c>
      <c r="G86" t="inlineStr">
        <is>
          <t>GÄVLE</t>
        </is>
      </c>
      <c r="I86" t="n">
        <v>2.6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HYPERLINK("https://klasma.github.io/Logging_2180/artfynd/A 26157-2022 artfynd.xlsx", "A 26157-2022")</f>
        <v/>
      </c>
      <c r="X86">
        <f>HYPERLINK("https://klasma.github.io/Logging_2180/kartor/A 26157-2022 karta.png", "A 26157-2022")</f>
        <v/>
      </c>
      <c r="Y86">
        <f>HYPERLINK("https://klasma.github.io/Logging_2180/kartor_geotiff/A 26157-2022 georefererad karta.tif", "A 26157-2022")</f>
        <v/>
      </c>
      <c r="AA86">
        <f>HYPERLINK("https://klasma.github.io/Logging_2180/klagomål/A 26157-2022 FSC-klagomål.docx", "A 26157-2022")</f>
        <v/>
      </c>
      <c r="AB86">
        <f>HYPERLINK("https://klasma.github.io/Logging_2180/klagomålsmail/A 26157-2022 FSC-klagomål mail.docx", "A 26157-2022")</f>
        <v/>
      </c>
      <c r="AC86">
        <f>HYPERLINK("https://klasma.github.io/Logging_2180/tillsyn/A 26157-2022 tillsynsbegäran.docx", "A 26157-2022")</f>
        <v/>
      </c>
      <c r="AD86">
        <f>HYPERLINK("https://klasma.github.io/Logging_2180/tillsynsmail/A 26157-2022 tillsynsbegäran mail.docx", "A 26157-2022")</f>
        <v/>
      </c>
    </row>
    <row r="87" ht="15" customHeight="1">
      <c r="A87" t="inlineStr">
        <is>
          <t>A 15001-2023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45015</v>
      </c>
      <c r="E87" s="1" t="n">
        <v>46286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2.7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Ängsblåvinge</t>
        </is>
      </c>
      <c r="W87">
        <f>HYPERLINK("https://klasma.github.io/Logging_2180/artfynd/A 15001-2023 artfynd.xlsx", "A 15001-2023")</f>
        <v/>
      </c>
      <c r="X87">
        <f>HYPERLINK("https://klasma.github.io/Logging_2180/kartor/A 15001-2023 karta.png", "A 15001-2023")</f>
        <v/>
      </c>
      <c r="Y87">
        <f>HYPERLINK("https://klasma.github.io/Logging_2180/kartor_geotiff/A 15001-2023 georefererad karta.tif", "A 15001-2023")</f>
        <v/>
      </c>
      <c r="AA87">
        <f>HYPERLINK("https://klasma.github.io/Logging_2180/klagomål/A 15001-2023 FSC-klagomål.docx", "A 15001-2023")</f>
        <v/>
      </c>
      <c r="AB87">
        <f>HYPERLINK("https://klasma.github.io/Logging_2180/klagomålsmail/A 15001-2023 FSC-klagomål mail.docx", "A 15001-2023")</f>
        <v/>
      </c>
      <c r="AC87">
        <f>HYPERLINK("https://klasma.github.io/Logging_2180/tillsyn/A 15001-2023 tillsynsbegäran.docx", "A 15001-2023")</f>
        <v/>
      </c>
      <c r="AD87">
        <f>HYPERLINK("https://klasma.github.io/Logging_2180/tillsynsmail/A 15001-2023 tillsynsbegäran mail.docx", "A 15001-2023")</f>
        <v/>
      </c>
    </row>
    <row r="88" ht="15" customHeight="1">
      <c r="A88" t="inlineStr">
        <is>
          <t>A 33812-2022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44790</v>
      </c>
      <c r="E88" s="1" t="n">
        <v>46286</v>
      </c>
      <c r="F88" t="inlineStr">
        <is>
          <t>GÄVLEBORGS LÄN</t>
        </is>
      </c>
      <c r="G88" t="inlineStr">
        <is>
          <t>GÄVLE</t>
        </is>
      </c>
      <c r="I88" t="n">
        <v>2.1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Myskmadra</t>
        </is>
      </c>
      <c r="W88">
        <f>HYPERLINK("https://klasma.github.io/Logging_2180/artfynd/A 33812-2022 artfynd.xlsx", "A 33812-2022")</f>
        <v/>
      </c>
      <c r="X88">
        <f>HYPERLINK("https://klasma.github.io/Logging_2180/kartor/A 33812-2022 karta.png", "A 33812-2022")</f>
        <v/>
      </c>
      <c r="Y88">
        <f>HYPERLINK("https://klasma.github.io/Logging_2180/kartor_geotiff/A 33812-2022 georefererad karta.tif", "A 33812-2022")</f>
        <v/>
      </c>
      <c r="AA88">
        <f>HYPERLINK("https://klasma.github.io/Logging_2180/klagomål/A 33812-2022 FSC-klagomål.docx", "A 33812-2022")</f>
        <v/>
      </c>
      <c r="AB88">
        <f>HYPERLINK("https://klasma.github.io/Logging_2180/klagomålsmail/A 33812-2022 FSC-klagomål mail.docx", "A 33812-2022")</f>
        <v/>
      </c>
      <c r="AC88">
        <f>HYPERLINK("https://klasma.github.io/Logging_2180/tillsyn/A 33812-2022 tillsynsbegäran.docx", "A 33812-2022")</f>
        <v/>
      </c>
      <c r="AD88">
        <f>HYPERLINK("https://klasma.github.io/Logging_2180/tillsynsmail/A 33812-2022 tillsynsbegäran mail.docx", "A 33812-2022")</f>
        <v/>
      </c>
    </row>
    <row r="89" ht="15" customHeight="1">
      <c r="A89" t="inlineStr">
        <is>
          <t>A 45241-2022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46286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22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Blåsippa</t>
        </is>
      </c>
      <c r="W89">
        <f>HYPERLINK("https://klasma.github.io/Logging_2180/artfynd/A 45241-2022 artfynd.xlsx", "A 45241-2022")</f>
        <v/>
      </c>
      <c r="X89">
        <f>HYPERLINK("https://klasma.github.io/Logging_2180/kartor/A 45241-2022 karta.png", "A 45241-2022")</f>
        <v/>
      </c>
      <c r="Y89">
        <f>HYPERLINK("https://klasma.github.io/Logging_2180/kartor_geotiff/A 45241-2022 georefererad karta.tif", "A 45241-2022")</f>
        <v/>
      </c>
      <c r="AA89">
        <f>HYPERLINK("https://klasma.github.io/Logging_2180/klagomål/A 45241-2022 FSC-klagomål.docx", "A 45241-2022")</f>
        <v/>
      </c>
      <c r="AB89">
        <f>HYPERLINK("https://klasma.github.io/Logging_2180/klagomålsmail/A 45241-2022 FSC-klagomål mail.docx", "A 45241-2022")</f>
        <v/>
      </c>
      <c r="AC89">
        <f>HYPERLINK("https://klasma.github.io/Logging_2180/tillsyn/A 45241-2022 tillsynsbegäran.docx", "A 45241-2022")</f>
        <v/>
      </c>
      <c r="AD89">
        <f>HYPERLINK("https://klasma.github.io/Logging_2180/tillsynsmail/A 45241-2022 tillsynsbegäran mail.docx", "A 45241-2022")</f>
        <v/>
      </c>
    </row>
    <row r="90" ht="15" customHeight="1">
      <c r="A90" t="inlineStr">
        <is>
          <t>A 14730-2026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46101</v>
      </c>
      <c r="E90" s="1" t="n">
        <v>46286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8.199999999999999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Tjäder</t>
        </is>
      </c>
      <c r="W90">
        <f>HYPERLINK("https://klasma.github.io/Logging_2180/artfynd/A 14730-2026 artfynd.xlsx", "A 14730-2026")</f>
        <v/>
      </c>
      <c r="X90">
        <f>HYPERLINK("https://klasma.github.io/Logging_2180/kartor/A 14730-2026 karta.png", "A 14730-2026")</f>
        <v/>
      </c>
      <c r="Y90">
        <f>HYPERLINK("https://klasma.github.io/Logging_2180/kartor_geotiff/A 14730-2026 georefererad karta.tif", "A 14730-2026")</f>
        <v/>
      </c>
      <c r="AA90">
        <f>HYPERLINK("https://klasma.github.io/Logging_2180/klagomål/A 14730-2026 FSC-klagomål.docx", "A 14730-2026")</f>
        <v/>
      </c>
      <c r="AB90">
        <f>HYPERLINK("https://klasma.github.io/Logging_2180/klagomålsmail/A 14730-2026 FSC-klagomål mail.docx", "A 14730-2026")</f>
        <v/>
      </c>
      <c r="AC90">
        <f>HYPERLINK("https://klasma.github.io/Logging_2180/tillsyn/A 14730-2026 tillsynsbegäran.docx", "A 14730-2026")</f>
        <v/>
      </c>
      <c r="AD90">
        <f>HYPERLINK("https://klasma.github.io/Logging_2180/tillsynsmail/A 14730-2026 tillsynsbegäran mail.docx", "A 14730-2026")</f>
        <v/>
      </c>
      <c r="AE90">
        <f>HYPERLINK("https://klasma.github.io/Logging_2180/fåglar/A 14730-2026 prioriterade fågelarter.docx", "A 14730-2026")</f>
        <v/>
      </c>
    </row>
    <row r="91" ht="15" customHeight="1">
      <c r="A91" t="inlineStr">
        <is>
          <t>A 38550-2025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45884</v>
      </c>
      <c r="E91" s="1" t="n">
        <v>46286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0.5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Ullticka</t>
        </is>
      </c>
      <c r="W91">
        <f>HYPERLINK("https://klasma.github.io/Logging_2180/artfynd/A 38550-2025 artfynd.xlsx", "A 38550-2025")</f>
        <v/>
      </c>
      <c r="X91">
        <f>HYPERLINK("https://klasma.github.io/Logging_2180/kartor/A 38550-2025 karta.png", "A 38550-2025")</f>
        <v/>
      </c>
      <c r="Y91">
        <f>HYPERLINK("https://klasma.github.io/Logging_2180/kartor_geotiff/A 38550-2025 georefererad karta.tif", "A 38550-2025")</f>
        <v/>
      </c>
      <c r="AA91">
        <f>HYPERLINK("https://klasma.github.io/Logging_2180/klagomål/A 38550-2025 FSC-klagomål.docx", "A 38550-2025")</f>
        <v/>
      </c>
      <c r="AB91">
        <f>HYPERLINK("https://klasma.github.io/Logging_2180/klagomålsmail/A 38550-2025 FSC-klagomål mail.docx", "A 38550-2025")</f>
        <v/>
      </c>
      <c r="AC91">
        <f>HYPERLINK("https://klasma.github.io/Logging_2180/tillsyn/A 38550-2025 tillsynsbegäran.docx", "A 38550-2025")</f>
        <v/>
      </c>
      <c r="AD91">
        <f>HYPERLINK("https://klasma.github.io/Logging_2180/tillsynsmail/A 38550-2025 tillsynsbegäran mail.docx", "A 38550-2025")</f>
        <v/>
      </c>
    </row>
    <row r="92" ht="15" customHeight="1">
      <c r="A92" t="inlineStr">
        <is>
          <t>A 14714-2026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46101</v>
      </c>
      <c r="E92" s="1" t="n">
        <v>46286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1.8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Tjäder</t>
        </is>
      </c>
      <c r="W92">
        <f>HYPERLINK("https://klasma.github.io/Logging_2180/artfynd/A 14714-2026 artfynd.xlsx", "A 14714-2026")</f>
        <v/>
      </c>
      <c r="X92">
        <f>HYPERLINK("https://klasma.github.io/Logging_2180/kartor/A 14714-2026 karta.png", "A 14714-2026")</f>
        <v/>
      </c>
      <c r="Y92">
        <f>HYPERLINK("https://klasma.github.io/Logging_2180/kartor_geotiff/A 14714-2026 georefererad karta.tif", "A 14714-2026")</f>
        <v/>
      </c>
      <c r="AA92">
        <f>HYPERLINK("https://klasma.github.io/Logging_2180/klagomål/A 14714-2026 FSC-klagomål.docx", "A 14714-2026")</f>
        <v/>
      </c>
      <c r="AB92">
        <f>HYPERLINK("https://klasma.github.io/Logging_2180/klagomålsmail/A 14714-2026 FSC-klagomål mail.docx", "A 14714-2026")</f>
        <v/>
      </c>
      <c r="AC92">
        <f>HYPERLINK("https://klasma.github.io/Logging_2180/tillsyn/A 14714-2026 tillsynsbegäran.docx", "A 14714-2026")</f>
        <v/>
      </c>
      <c r="AD92">
        <f>HYPERLINK("https://klasma.github.io/Logging_2180/tillsynsmail/A 14714-2026 tillsynsbegäran mail.docx", "A 14714-2026")</f>
        <v/>
      </c>
      <c r="AE92">
        <f>HYPERLINK("https://klasma.github.io/Logging_2180/fåglar/A 14714-2026 prioriterade fågelarter.docx", "A 14714-2026")</f>
        <v/>
      </c>
    </row>
    <row r="93" ht="15" customHeight="1">
      <c r="A93" t="inlineStr">
        <is>
          <t>A 14711-2026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46101</v>
      </c>
      <c r="E93" s="1" t="n">
        <v>46286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Blanksvart spiklav</t>
        </is>
      </c>
      <c r="W93">
        <f>HYPERLINK("https://klasma.github.io/Logging_2180/artfynd/A 14711-2026 artfynd.xlsx", "A 14711-2026")</f>
        <v/>
      </c>
      <c r="X93">
        <f>HYPERLINK("https://klasma.github.io/Logging_2180/kartor/A 14711-2026 karta.png", "A 14711-2026")</f>
        <v/>
      </c>
      <c r="Y93">
        <f>HYPERLINK("https://klasma.github.io/Logging_2180/kartor_geotiff/A 14711-2026 georefererad karta.tif", "A 14711-2026")</f>
        <v/>
      </c>
      <c r="AA93">
        <f>HYPERLINK("https://klasma.github.io/Logging_2180/klagomål/A 14711-2026 FSC-klagomål.docx", "A 14711-2026")</f>
        <v/>
      </c>
      <c r="AB93">
        <f>HYPERLINK("https://klasma.github.io/Logging_2180/klagomålsmail/A 14711-2026 FSC-klagomål mail.docx", "A 14711-2026")</f>
        <v/>
      </c>
      <c r="AC93">
        <f>HYPERLINK("https://klasma.github.io/Logging_2180/tillsyn/A 14711-2026 tillsynsbegäran.docx", "A 14711-2026")</f>
        <v/>
      </c>
      <c r="AD93">
        <f>HYPERLINK("https://klasma.github.io/Logging_2180/tillsynsmail/A 14711-2026 tillsynsbegäran mail.docx", "A 14711-2026")</f>
        <v/>
      </c>
    </row>
    <row r="94" ht="15" customHeight="1">
      <c r="A94" t="inlineStr">
        <is>
          <t>A 10064-2025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45719</v>
      </c>
      <c r="E94" s="1" t="n">
        <v>46286</v>
      </c>
      <c r="F94" t="inlineStr">
        <is>
          <t>GÄVLEBORGS LÄN</t>
        </is>
      </c>
      <c r="G94" t="inlineStr">
        <is>
          <t>GÄVLE</t>
        </is>
      </c>
      <c r="I94" t="n">
        <v>4.6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HYPERLINK("https://klasma.github.io/Logging_2180/artfynd/A 10064-2025 artfynd.xlsx", "A 10064-2025")</f>
        <v/>
      </c>
      <c r="X94">
        <f>HYPERLINK("https://klasma.github.io/Logging_2180/kartor/A 10064-2025 karta.png", "A 10064-2025")</f>
        <v/>
      </c>
      <c r="Y94">
        <f>HYPERLINK("https://klasma.github.io/Logging_2180/kartor_geotiff/A 10064-2025 georefererad karta.tif", "A 10064-2025")</f>
        <v/>
      </c>
      <c r="AA94">
        <f>HYPERLINK("https://klasma.github.io/Logging_2180/klagomål/A 10064-2025 FSC-klagomål.docx", "A 10064-2025")</f>
        <v/>
      </c>
      <c r="AB94">
        <f>HYPERLINK("https://klasma.github.io/Logging_2180/klagomålsmail/A 10064-2025 FSC-klagomål mail.docx", "A 10064-2025")</f>
        <v/>
      </c>
      <c r="AC94">
        <f>HYPERLINK("https://klasma.github.io/Logging_2180/tillsyn/A 10064-2025 tillsynsbegäran.docx", "A 10064-2025")</f>
        <v/>
      </c>
      <c r="AD94">
        <f>HYPERLINK("https://klasma.github.io/Logging_2180/tillsynsmail/A 10064-2025 tillsynsbegäran mail.docx", "A 10064-2025")</f>
        <v/>
      </c>
    </row>
    <row r="95" ht="15" customHeight="1">
      <c r="A95" t="inlineStr">
        <is>
          <t>A 20734-2026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46286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HYPERLINK("https://klasma.github.io/Logging_2180/artfynd/A 20734-2026 artfynd.xlsx", "A 20734-2026")</f>
        <v/>
      </c>
      <c r="X95">
        <f>HYPERLINK("https://klasma.github.io/Logging_2180/kartor/A 20734-2026 karta.png", "A 20734-2026")</f>
        <v/>
      </c>
      <c r="Y95">
        <f>HYPERLINK("https://klasma.github.io/Logging_2180/kartor_geotiff/A 20734-2026 georefererad karta.tif", "A 20734-2026")</f>
        <v/>
      </c>
      <c r="AA95">
        <f>HYPERLINK("https://klasma.github.io/Logging_2180/klagomål/A 20734-2026 FSC-klagomål.docx", "A 20734-2026")</f>
        <v/>
      </c>
      <c r="AB95">
        <f>HYPERLINK("https://klasma.github.io/Logging_2180/klagomålsmail/A 20734-2026 FSC-klagomål mail.docx", "A 20734-2026")</f>
        <v/>
      </c>
      <c r="AC95">
        <f>HYPERLINK("https://klasma.github.io/Logging_2180/tillsyn/A 20734-2026 tillsynsbegäran.docx", "A 20734-2026")</f>
        <v/>
      </c>
      <c r="AD95">
        <f>HYPERLINK("https://klasma.github.io/Logging_2180/tillsynsmail/A 20734-2026 tillsynsbegäran mail.docx", "A 20734-2026")</f>
        <v/>
      </c>
    </row>
    <row r="96" ht="15" customHeight="1">
      <c r="A96" t="inlineStr">
        <is>
          <t>A 28875-2025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45820</v>
      </c>
      <c r="E96" s="1" t="n">
        <v>46286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43.3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Revlummer</t>
        </is>
      </c>
      <c r="W96">
        <f>HYPERLINK("https://klasma.github.io/Logging_2180/artfynd/A 28875-2025 artfynd.xlsx", "A 28875-2025")</f>
        <v/>
      </c>
      <c r="X96">
        <f>HYPERLINK("https://klasma.github.io/Logging_2180/kartor/A 28875-2025 karta.png", "A 28875-2025")</f>
        <v/>
      </c>
      <c r="Y96">
        <f>HYPERLINK("https://klasma.github.io/Logging_2180/kartor_geotiff/A 28875-2025 georefererad karta.tif", "A 28875-2025")</f>
        <v/>
      </c>
      <c r="AA96">
        <f>HYPERLINK("https://klasma.github.io/Logging_2180/klagomål/A 28875-2025 FSC-klagomål.docx", "A 28875-2025")</f>
        <v/>
      </c>
      <c r="AB96">
        <f>HYPERLINK("https://klasma.github.io/Logging_2180/klagomålsmail/A 28875-2025 FSC-klagomål mail.docx", "A 28875-2025")</f>
        <v/>
      </c>
      <c r="AC96">
        <f>HYPERLINK("https://klasma.github.io/Logging_2180/tillsyn/A 28875-2025 tillsynsbegäran.docx", "A 28875-2025")</f>
        <v/>
      </c>
      <c r="AD96">
        <f>HYPERLINK("https://klasma.github.io/Logging_2180/tillsynsmail/A 28875-2025 tillsynsbegäran mail.docx", "A 28875-2025")</f>
        <v/>
      </c>
    </row>
    <row r="97" ht="15" customHeight="1">
      <c r="A97" t="inlineStr">
        <is>
          <t>A 49393-2025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46286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Revlummer</t>
        </is>
      </c>
      <c r="W97">
        <f>HYPERLINK("https://klasma.github.io/Logging_2180/artfynd/A 49393-2025 artfynd.xlsx", "A 49393-2025")</f>
        <v/>
      </c>
      <c r="X97">
        <f>HYPERLINK("https://klasma.github.io/Logging_2180/kartor/A 49393-2025 karta.png", "A 49393-2025")</f>
        <v/>
      </c>
      <c r="Y97">
        <f>HYPERLINK("https://klasma.github.io/Logging_2180/kartor_geotiff/A 49393-2025 georefererad karta.tif", "A 49393-2025")</f>
        <v/>
      </c>
      <c r="AA97">
        <f>HYPERLINK("https://klasma.github.io/Logging_2180/klagomål/A 49393-2025 FSC-klagomål.docx", "A 49393-2025")</f>
        <v/>
      </c>
      <c r="AB97">
        <f>HYPERLINK("https://klasma.github.io/Logging_2180/klagomålsmail/A 49393-2025 FSC-klagomål mail.docx", "A 49393-2025")</f>
        <v/>
      </c>
      <c r="AC97">
        <f>HYPERLINK("https://klasma.github.io/Logging_2180/tillsyn/A 49393-2025 tillsynsbegäran.docx", "A 49393-2025")</f>
        <v/>
      </c>
      <c r="AD97">
        <f>HYPERLINK("https://klasma.github.io/Logging_2180/tillsynsmail/A 49393-2025 tillsynsbegäran mail.docx", "A 49393-2025")</f>
        <v/>
      </c>
    </row>
    <row r="98" ht="15" customHeight="1">
      <c r="A98" t="inlineStr">
        <is>
          <t>A 14703-2026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46101</v>
      </c>
      <c r="E98" s="1" t="n">
        <v>46286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2.8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HYPERLINK("https://klasma.github.io/Logging_2180/artfynd/A 14703-2026 artfynd.xlsx", "A 14703-2026")</f>
        <v/>
      </c>
      <c r="X98">
        <f>HYPERLINK("https://klasma.github.io/Logging_2180/kartor/A 14703-2026 karta.png", "A 14703-2026")</f>
        <v/>
      </c>
      <c r="Y98">
        <f>HYPERLINK("https://klasma.github.io/Logging_2180/kartor_geotiff/A 14703-2026 georefererad karta.tif", "A 14703-2026")</f>
        <v/>
      </c>
      <c r="AA98">
        <f>HYPERLINK("https://klasma.github.io/Logging_2180/klagomål/A 14703-2026 FSC-klagomål.docx", "A 14703-2026")</f>
        <v/>
      </c>
      <c r="AB98">
        <f>HYPERLINK("https://klasma.github.io/Logging_2180/klagomålsmail/A 14703-2026 FSC-klagomål mail.docx", "A 14703-2026")</f>
        <v/>
      </c>
      <c r="AC98">
        <f>HYPERLINK("https://klasma.github.io/Logging_2180/tillsyn/A 14703-2026 tillsynsbegäran.docx", "A 14703-2026")</f>
        <v/>
      </c>
      <c r="AD98">
        <f>HYPERLINK("https://klasma.github.io/Logging_2180/tillsynsmail/A 14703-2026 tillsynsbegäran mail.docx", "A 14703-2026")</f>
        <v/>
      </c>
      <c r="AE98">
        <f>HYPERLINK("https://klasma.github.io/Logging_2180/fåglar/A 14703-2026 prioriterade fågelarter.docx", "A 14703-2026")</f>
        <v/>
      </c>
    </row>
    <row r="99" ht="15" customHeight="1">
      <c r="A99" t="inlineStr">
        <is>
          <t>A 63036-2023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45272</v>
      </c>
      <c r="E99" s="1" t="n">
        <v>46286</v>
      </c>
      <c r="F99" t="inlineStr">
        <is>
          <t>GÄVLEBORGS LÄN</t>
        </is>
      </c>
      <c r="G99" t="inlineStr">
        <is>
          <t>GÄVLE</t>
        </is>
      </c>
      <c r="I99" t="n">
        <v>12.7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Kattfotslav</t>
        </is>
      </c>
      <c r="W99">
        <f>HYPERLINK("https://klasma.github.io/Logging_2180/artfynd/A 63036-2023 artfynd.xlsx", "A 63036-2023")</f>
        <v/>
      </c>
      <c r="X99">
        <f>HYPERLINK("https://klasma.github.io/Logging_2180/kartor/A 63036-2023 karta.png", "A 63036-2023")</f>
        <v/>
      </c>
      <c r="Y99">
        <f>HYPERLINK("https://klasma.github.io/Logging_2180/kartor_geotiff/A 63036-2023 georefererad karta.tif", "A 63036-2023")</f>
        <v/>
      </c>
      <c r="AA99">
        <f>HYPERLINK("https://klasma.github.io/Logging_2180/klagomål/A 63036-2023 FSC-klagomål.docx", "A 63036-2023")</f>
        <v/>
      </c>
      <c r="AB99">
        <f>HYPERLINK("https://klasma.github.io/Logging_2180/klagomålsmail/A 63036-2023 FSC-klagomål mail.docx", "A 63036-2023")</f>
        <v/>
      </c>
      <c r="AC99">
        <f>HYPERLINK("https://klasma.github.io/Logging_2180/tillsyn/A 63036-2023 tillsynsbegäran.docx", "A 63036-2023")</f>
        <v/>
      </c>
      <c r="AD99">
        <f>HYPERLINK("https://klasma.github.io/Logging_2180/tillsynsmail/A 63036-2023 tillsynsbegäran mail.docx", "A 63036-2023")</f>
        <v/>
      </c>
    </row>
    <row r="100" ht="15" customHeight="1">
      <c r="A100" t="inlineStr">
        <is>
          <t>A 13269-2026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46286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Havsörn</t>
        </is>
      </c>
      <c r="W100">
        <f>HYPERLINK("https://klasma.github.io/Logging_2180/artfynd/A 13269-2026 artfynd.xlsx", "A 13269-2026")</f>
        <v/>
      </c>
      <c r="X100">
        <f>HYPERLINK("https://klasma.github.io/Logging_2180/kartor/A 13269-2026 karta.png", "A 13269-2026")</f>
        <v/>
      </c>
      <c r="Y100">
        <f>HYPERLINK("https://klasma.github.io/Logging_2180/kartor_geotiff/A 13269-2026 georefererad karta.tif", "A 13269-2026")</f>
        <v/>
      </c>
      <c r="AA100">
        <f>HYPERLINK("https://klasma.github.io/Logging_2180/klagomål/A 13269-2026 FSC-klagomål.docx", "A 13269-2026")</f>
        <v/>
      </c>
      <c r="AB100">
        <f>HYPERLINK("https://klasma.github.io/Logging_2180/klagomålsmail/A 13269-2026 FSC-klagomål mail.docx", "A 13269-2026")</f>
        <v/>
      </c>
      <c r="AC100">
        <f>HYPERLINK("https://klasma.github.io/Logging_2180/tillsyn/A 13269-2026 tillsynsbegäran.docx", "A 13269-2026")</f>
        <v/>
      </c>
      <c r="AD100">
        <f>HYPERLINK("https://klasma.github.io/Logging_2180/tillsynsmail/A 13269-2026 tillsynsbegäran mail.docx", "A 13269-2026")</f>
        <v/>
      </c>
      <c r="AE100">
        <f>HYPERLINK("https://klasma.github.io/Logging_2180/fåglar/A 13269-2026 prioriterade fågelarter.docx", "A 13269-2026")</f>
        <v/>
      </c>
    </row>
    <row r="101" ht="15" customHeight="1">
      <c r="A101" t="inlineStr">
        <is>
          <t>A 22052-2026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46286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Gullpudra</t>
        </is>
      </c>
      <c r="W101">
        <f>HYPERLINK("https://klasma.github.io/Logging_2180/artfynd/A 22052-2026 artfynd.xlsx", "A 22052-2026")</f>
        <v/>
      </c>
      <c r="X101">
        <f>HYPERLINK("https://klasma.github.io/Logging_2180/kartor/A 22052-2026 karta.png", "A 22052-2026")</f>
        <v/>
      </c>
      <c r="Y101">
        <f>HYPERLINK("https://klasma.github.io/Logging_2180/kartor_geotiff/A 22052-2026 georefererad karta.tif", "A 22052-2026")</f>
        <v/>
      </c>
      <c r="AA101">
        <f>HYPERLINK("https://klasma.github.io/Logging_2180/klagomål/A 22052-2026 FSC-klagomål.docx", "A 22052-2026")</f>
        <v/>
      </c>
      <c r="AB101">
        <f>HYPERLINK("https://klasma.github.io/Logging_2180/klagomålsmail/A 22052-2026 FSC-klagomål mail.docx", "A 22052-2026")</f>
        <v/>
      </c>
      <c r="AC101">
        <f>HYPERLINK("https://klasma.github.io/Logging_2180/tillsyn/A 22052-2026 tillsynsbegäran.docx", "A 22052-2026")</f>
        <v/>
      </c>
      <c r="AD101">
        <f>HYPERLINK("https://klasma.github.io/Logging_2180/tillsynsmail/A 22052-2026 tillsynsbegäran mail.docx", "A 22052-2026")</f>
        <v/>
      </c>
    </row>
    <row r="102" ht="15" customHeight="1">
      <c r="A102" t="inlineStr">
        <is>
          <t>A 51508-2024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45604</v>
      </c>
      <c r="E102" s="1" t="n">
        <v>46286</v>
      </c>
      <c r="F102" t="inlineStr">
        <is>
          <t>GÄVLEBORGS LÄN</t>
        </is>
      </c>
      <c r="G102" t="inlineStr">
        <is>
          <t>GÄVLE</t>
        </is>
      </c>
      <c r="I102" t="n">
        <v>0.9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Tibast</t>
        </is>
      </c>
      <c r="W102">
        <f>HYPERLINK("https://klasma.github.io/Logging_2180/artfynd/A 51508-2024 artfynd.xlsx", "A 51508-2024")</f>
        <v/>
      </c>
      <c r="X102">
        <f>HYPERLINK("https://klasma.github.io/Logging_2180/kartor/A 51508-2024 karta.png", "A 51508-2024")</f>
        <v/>
      </c>
      <c r="Y102">
        <f>HYPERLINK("https://klasma.github.io/Logging_2180/kartor_geotiff/A 51508-2024 georefererad karta.tif", "A 51508-2024")</f>
        <v/>
      </c>
      <c r="AA102">
        <f>HYPERLINK("https://klasma.github.io/Logging_2180/klagomål/A 51508-2024 FSC-klagomål.docx", "A 51508-2024")</f>
        <v/>
      </c>
      <c r="AB102">
        <f>HYPERLINK("https://klasma.github.io/Logging_2180/klagomålsmail/A 51508-2024 FSC-klagomål mail.docx", "A 51508-2024")</f>
        <v/>
      </c>
      <c r="AC102">
        <f>HYPERLINK("https://klasma.github.io/Logging_2180/tillsyn/A 51508-2024 tillsynsbegäran.docx", "A 51508-2024")</f>
        <v/>
      </c>
      <c r="AD102">
        <f>HYPERLINK("https://klasma.github.io/Logging_2180/tillsynsmail/A 51508-2024 tillsynsbegäran mail.docx", "A 51508-2024")</f>
        <v/>
      </c>
    </row>
    <row r="103" ht="15" customHeight="1">
      <c r="A103" t="inlineStr">
        <is>
          <t>A 54963-2025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45967</v>
      </c>
      <c r="E103" s="1" t="n">
        <v>46286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7.9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Revlummer</t>
        </is>
      </c>
      <c r="W103">
        <f>HYPERLINK("https://klasma.github.io/Logging_2180/artfynd/A 54963-2025 artfynd.xlsx", "A 54963-2025")</f>
        <v/>
      </c>
      <c r="X103">
        <f>HYPERLINK("https://klasma.github.io/Logging_2180/kartor/A 54963-2025 karta.png", "A 54963-2025")</f>
        <v/>
      </c>
      <c r="Y103">
        <f>HYPERLINK("https://klasma.github.io/Logging_2180/kartor_geotiff/A 54963-2025 georefererad karta.tif", "A 54963-2025")</f>
        <v/>
      </c>
      <c r="AA103">
        <f>HYPERLINK("https://klasma.github.io/Logging_2180/klagomål/A 54963-2025 FSC-klagomål.docx", "A 54963-2025")</f>
        <v/>
      </c>
      <c r="AB103">
        <f>HYPERLINK("https://klasma.github.io/Logging_2180/klagomålsmail/A 54963-2025 FSC-klagomål mail.docx", "A 54963-2025")</f>
        <v/>
      </c>
      <c r="AC103">
        <f>HYPERLINK("https://klasma.github.io/Logging_2180/tillsyn/A 54963-2025 tillsynsbegäran.docx", "A 54963-2025")</f>
        <v/>
      </c>
      <c r="AD103">
        <f>HYPERLINK("https://klasma.github.io/Logging_2180/tillsynsmail/A 54963-2025 tillsynsbegäran mail.docx", "A 54963-2025")</f>
        <v/>
      </c>
    </row>
    <row r="104" ht="15" customHeight="1">
      <c r="A104" t="inlineStr">
        <is>
          <t>A 12437-2024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45379</v>
      </c>
      <c r="E104" s="1" t="n">
        <v>46286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Mindre bastardsvärmare</t>
        </is>
      </c>
      <c r="W104">
        <f>HYPERLINK("https://klasma.github.io/Logging_2180/artfynd/A 12437-2024 artfynd.xlsx", "A 12437-2024")</f>
        <v/>
      </c>
      <c r="X104">
        <f>HYPERLINK("https://klasma.github.io/Logging_2180/kartor/A 12437-2024 karta.png", "A 12437-2024")</f>
        <v/>
      </c>
      <c r="Y104">
        <f>HYPERLINK("https://klasma.github.io/Logging_2180/kartor_geotiff/A 12437-2024 georefererad karta.tif", "A 12437-2024")</f>
        <v/>
      </c>
      <c r="AA104">
        <f>HYPERLINK("https://klasma.github.io/Logging_2180/klagomål/A 12437-2024 FSC-klagomål.docx", "A 12437-2024")</f>
        <v/>
      </c>
      <c r="AB104">
        <f>HYPERLINK("https://klasma.github.io/Logging_2180/klagomålsmail/A 12437-2024 FSC-klagomål mail.docx", "A 12437-2024")</f>
        <v/>
      </c>
      <c r="AC104">
        <f>HYPERLINK("https://klasma.github.io/Logging_2180/tillsyn/A 12437-2024 tillsynsbegäran.docx", "A 12437-2024")</f>
        <v/>
      </c>
      <c r="AD104">
        <f>HYPERLINK("https://klasma.github.io/Logging_2180/tillsynsmail/A 12437-2024 tillsynsbegäran mail.docx", "A 12437-2024")</f>
        <v/>
      </c>
    </row>
    <row r="105" ht="15" customHeight="1">
      <c r="A105" t="inlineStr">
        <is>
          <t>A 10333-2025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45720</v>
      </c>
      <c r="E105" s="1" t="n">
        <v>46286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2</v>
      </c>
      <c r="V105" s="2" t="inlineStr">
        <is>
          <t>Tjäder</t>
        </is>
      </c>
      <c r="W105">
        <f>HYPERLINK("https://klasma.github.io/Logging_2180/artfynd/A 10333-2025 artfynd.xlsx", "A 10333-2025")</f>
        <v/>
      </c>
      <c r="X105">
        <f>HYPERLINK("https://klasma.github.io/Logging_2180/kartor/A 10333-2025 karta.png", "A 10333-2025")</f>
        <v/>
      </c>
      <c r="Y105">
        <f>HYPERLINK("https://klasma.github.io/Logging_2180/kartor_geotiff/A 10333-2025 georefererad karta.tif", "A 10333-2025")</f>
        <v/>
      </c>
      <c r="AA105">
        <f>HYPERLINK("https://klasma.github.io/Logging_2180/klagomål/A 10333-2025 FSC-klagomål.docx", "A 10333-2025")</f>
        <v/>
      </c>
      <c r="AB105">
        <f>HYPERLINK("https://klasma.github.io/Logging_2180/klagomålsmail/A 10333-2025 FSC-klagomål mail.docx", "A 10333-2025")</f>
        <v/>
      </c>
      <c r="AC105">
        <f>HYPERLINK("https://klasma.github.io/Logging_2180/tillsyn/A 10333-2025 tillsynsbegäran.docx", "A 10333-2025")</f>
        <v/>
      </c>
      <c r="AD105">
        <f>HYPERLINK("https://klasma.github.io/Logging_2180/tillsynsmail/A 10333-2025 tillsynsbegäran mail.docx", "A 10333-2025")</f>
        <v/>
      </c>
      <c r="AE105">
        <f>HYPERLINK("https://klasma.github.io/Logging_2180/fåglar/A 10333-2025 prioriterade fågelarter.docx", "A 10333-2025")</f>
        <v/>
      </c>
    </row>
    <row r="106" ht="15" customHeight="1">
      <c r="A106" t="inlineStr">
        <is>
          <t>A 58204-2025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45984</v>
      </c>
      <c r="E106" s="1" t="n">
        <v>46286</v>
      </c>
      <c r="F106" t="inlineStr">
        <is>
          <t>GÄVLEBORGS LÄN</t>
        </is>
      </c>
      <c r="G106" t="inlineStr">
        <is>
          <t>GÄVLE</t>
        </is>
      </c>
      <c r="I106" t="n">
        <v>4.4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Spillkråka</t>
        </is>
      </c>
      <c r="W106">
        <f>HYPERLINK("https://klasma.github.io/Logging_2180/artfynd/A 58204-2025 artfynd.xlsx", "A 58204-2025")</f>
        <v/>
      </c>
      <c r="X106">
        <f>HYPERLINK("https://klasma.github.io/Logging_2180/kartor/A 58204-2025 karta.png", "A 58204-2025")</f>
        <v/>
      </c>
      <c r="Y106">
        <f>HYPERLINK("https://klasma.github.io/Logging_2180/kartor_geotiff/A 58204-2025 georefererad karta.tif", "A 58204-2025")</f>
        <v/>
      </c>
      <c r="AA106">
        <f>HYPERLINK("https://klasma.github.io/Logging_2180/klagomål/A 58204-2025 FSC-klagomål.docx", "A 58204-2025")</f>
        <v/>
      </c>
      <c r="AB106">
        <f>HYPERLINK("https://klasma.github.io/Logging_2180/klagomålsmail/A 58204-2025 FSC-klagomål mail.docx", "A 58204-2025")</f>
        <v/>
      </c>
      <c r="AC106">
        <f>HYPERLINK("https://klasma.github.io/Logging_2180/tillsyn/A 58204-2025 tillsynsbegäran.docx", "A 58204-2025")</f>
        <v/>
      </c>
      <c r="AD106">
        <f>HYPERLINK("https://klasma.github.io/Logging_2180/tillsynsmail/A 58204-2025 tillsynsbegäran mail.docx", "A 58204-2025")</f>
        <v/>
      </c>
      <c r="AE106">
        <f>HYPERLINK("https://klasma.github.io/Logging_2180/fåglar/A 58204-2025 prioriterade fågelarter.docx", "A 58204-2025")</f>
        <v/>
      </c>
    </row>
    <row r="107" ht="15" customHeight="1">
      <c r="A107" t="inlineStr">
        <is>
          <t>A 22892-2026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46286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HYPERLINK("https://klasma.github.io/Logging_2180/artfynd/A 22892-2026 artfynd.xlsx", "A 22892-2026")</f>
        <v/>
      </c>
      <c r="X107">
        <f>HYPERLINK("https://klasma.github.io/Logging_2180/kartor/A 22892-2026 karta.png", "A 22892-2026")</f>
        <v/>
      </c>
      <c r="Y107">
        <f>HYPERLINK("https://klasma.github.io/Logging_2180/kartor_geotiff/A 22892-2026 georefererad karta.tif", "A 22892-2026")</f>
        <v/>
      </c>
      <c r="AA107">
        <f>HYPERLINK("https://klasma.github.io/Logging_2180/klagomål/A 22892-2026 FSC-klagomål.docx", "A 22892-2026")</f>
        <v/>
      </c>
      <c r="AB107">
        <f>HYPERLINK("https://klasma.github.io/Logging_2180/klagomålsmail/A 22892-2026 FSC-klagomål mail.docx", "A 22892-2026")</f>
        <v/>
      </c>
      <c r="AC107">
        <f>HYPERLINK("https://klasma.github.io/Logging_2180/tillsyn/A 22892-2026 tillsynsbegäran.docx", "A 22892-2026")</f>
        <v/>
      </c>
      <c r="AD107">
        <f>HYPERLINK("https://klasma.github.io/Logging_2180/tillsynsmail/A 22892-2026 tillsynsbegäran mail.docx", "A 22892-2026")</f>
        <v/>
      </c>
      <c r="AE107">
        <f>HYPERLINK("https://klasma.github.io/Logging_2180/fåglar/A 22892-2026 prioriterade fågelarter.docx", "A 22892-2026")</f>
        <v/>
      </c>
    </row>
    <row r="108" ht="15" customHeight="1">
      <c r="A108" t="inlineStr">
        <is>
          <t>A 12381-2023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44999</v>
      </c>
      <c r="E108" s="1" t="n">
        <v>46286</v>
      </c>
      <c r="F108" t="inlineStr">
        <is>
          <t>GÄVLEBORGS LÄN</t>
        </is>
      </c>
      <c r="G108" t="inlineStr">
        <is>
          <t>GÄVLE</t>
        </is>
      </c>
      <c r="I108" t="n">
        <v>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Brunlångöra</t>
        </is>
      </c>
      <c r="W108">
        <f>HYPERLINK("https://klasma.github.io/Logging_2180/artfynd/A 12381-2023 artfynd.xlsx", "A 12381-2023")</f>
        <v/>
      </c>
      <c r="X108">
        <f>HYPERLINK("https://klasma.github.io/Logging_2180/kartor/A 12381-2023 karta.png", "A 12381-2023")</f>
        <v/>
      </c>
      <c r="Y108">
        <f>HYPERLINK("https://klasma.github.io/Logging_2180/kartor_geotiff/A 12381-2023 georefererad karta.tif", "A 12381-2023")</f>
        <v/>
      </c>
      <c r="AA108">
        <f>HYPERLINK("https://klasma.github.io/Logging_2180/klagomål/A 12381-2023 FSC-klagomål.docx", "A 12381-2023")</f>
        <v/>
      </c>
      <c r="AB108">
        <f>HYPERLINK("https://klasma.github.io/Logging_2180/klagomålsmail/A 12381-2023 FSC-klagomål mail.docx", "A 12381-2023")</f>
        <v/>
      </c>
      <c r="AC108">
        <f>HYPERLINK("https://klasma.github.io/Logging_2180/tillsyn/A 12381-2023 tillsynsbegäran.docx", "A 12381-2023")</f>
        <v/>
      </c>
      <c r="AD108">
        <f>HYPERLINK("https://klasma.github.io/Logging_2180/tillsynsmail/A 12381-2023 tillsynsbegäran mail.docx", "A 12381-2023")</f>
        <v/>
      </c>
    </row>
    <row r="109" ht="15" customHeight="1">
      <c r="A109" t="inlineStr">
        <is>
          <t>A 21282-2024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45440</v>
      </c>
      <c r="E109" s="1" t="n">
        <v>46286</v>
      </c>
      <c r="F109" t="inlineStr">
        <is>
          <t>GÄVLEBORGS LÄN</t>
        </is>
      </c>
      <c r="G109" t="inlineStr">
        <is>
          <t>GÄVLE</t>
        </is>
      </c>
      <c r="I109" t="n">
        <v>7.4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2</v>
      </c>
      <c r="U109" t="n">
        <v>1</v>
      </c>
      <c r="V109" s="2" t="inlineStr">
        <is>
          <t>Skogsklocka</t>
        </is>
      </c>
      <c r="W109">
        <f>HYPERLINK("https://klasma.github.io/Logging_2180/artfynd/A 21282-2024 artfynd.xlsx", "A 21282-2024")</f>
        <v/>
      </c>
      <c r="X109">
        <f>HYPERLINK("https://klasma.github.io/Logging_2180/kartor/A 21282-2024 karta.png", "A 21282-2024")</f>
        <v/>
      </c>
      <c r="Y109">
        <f>HYPERLINK("https://klasma.github.io/Logging_2180/kartor_geotiff/A 21282-2024 georefererad karta.tif", "A 21282-2024")</f>
        <v/>
      </c>
      <c r="AA109">
        <f>HYPERLINK("https://klasma.github.io/Logging_2180/klagomål/A 21282-2024 FSC-klagomål.docx", "A 21282-2024")</f>
        <v/>
      </c>
      <c r="AB109">
        <f>HYPERLINK("https://klasma.github.io/Logging_2180/klagomålsmail/A 21282-2024 FSC-klagomål mail.docx", "A 21282-2024")</f>
        <v/>
      </c>
      <c r="AC109">
        <f>HYPERLINK("https://klasma.github.io/Logging_2180/tillsyn/A 21282-2024 tillsynsbegäran.docx", "A 21282-2024")</f>
        <v/>
      </c>
      <c r="AD109">
        <f>HYPERLINK("https://klasma.github.io/Logging_2180/tillsynsmail/A 21282-2024 tillsynsbegäran mail.docx", "A 21282-2024")</f>
        <v/>
      </c>
    </row>
    <row r="110" ht="15" customHeight="1">
      <c r="A110" t="inlineStr">
        <is>
          <t>A 57932-2024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45631</v>
      </c>
      <c r="E110" s="1" t="n">
        <v>46286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48.7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HYPERLINK("https://klasma.github.io/Logging_2180/artfynd/A 57932-2024 artfynd.xlsx", "A 57932-2024")</f>
        <v/>
      </c>
      <c r="X110">
        <f>HYPERLINK("https://klasma.github.io/Logging_2180/kartor/A 57932-2024 karta.png", "A 57932-2024")</f>
        <v/>
      </c>
      <c r="Y110">
        <f>HYPERLINK("https://klasma.github.io/Logging_2180/kartor_geotiff/A 57932-2024 georefererad karta.tif", "A 57932-2024")</f>
        <v/>
      </c>
      <c r="AA110">
        <f>HYPERLINK("https://klasma.github.io/Logging_2180/klagomål/A 57932-2024 FSC-klagomål.docx", "A 57932-2024")</f>
        <v/>
      </c>
      <c r="AB110">
        <f>HYPERLINK("https://klasma.github.io/Logging_2180/klagomålsmail/A 57932-2024 FSC-klagomål mail.docx", "A 57932-2024")</f>
        <v/>
      </c>
      <c r="AC110">
        <f>HYPERLINK("https://klasma.github.io/Logging_2180/tillsyn/A 57932-2024 tillsynsbegäran.docx", "A 57932-2024")</f>
        <v/>
      </c>
      <c r="AD110">
        <f>HYPERLINK("https://klasma.github.io/Logging_2180/tillsynsmail/A 57932-2024 tillsynsbegäran mail.docx", "A 57932-2024")</f>
        <v/>
      </c>
      <c r="AE110">
        <f>HYPERLINK("https://klasma.github.io/Logging_2180/fåglar/A 57932-2024 prioriterade fågelarter.docx", "A 57932-2024")</f>
        <v/>
      </c>
    </row>
    <row r="111" ht="15" customHeight="1">
      <c r="A111" t="inlineStr">
        <is>
          <t>A 50052-2025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45943</v>
      </c>
      <c r="E111" s="1" t="n">
        <v>46286</v>
      </c>
      <c r="F111" t="inlineStr">
        <is>
          <t>GÄVLEBORGS LÄN</t>
        </is>
      </c>
      <c r="G111" t="inlineStr">
        <is>
          <t>GÄVLE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0</v>
      </c>
      <c r="V111" s="2" t="inlineStr">
        <is>
          <t>Mosippa</t>
        </is>
      </c>
      <c r="W111">
        <f>HYPERLINK("https://klasma.github.io/Logging_2180/artfynd/A 50052-2025 artfynd.xlsx", "A 50052-2025")</f>
        <v/>
      </c>
      <c r="X111">
        <f>HYPERLINK("https://klasma.github.io/Logging_2180/kartor/A 50052-2025 karta.png", "A 50052-2025")</f>
        <v/>
      </c>
      <c r="Y111">
        <f>HYPERLINK("https://klasma.github.io/Logging_2180/kartor_geotiff/A 50052-2025 georefererad karta.tif", "A 50052-2025")</f>
        <v/>
      </c>
      <c r="AA111">
        <f>HYPERLINK("https://klasma.github.io/Logging_2180/klagomål/A 50052-2025 FSC-klagomål.docx", "A 50052-2025")</f>
        <v/>
      </c>
      <c r="AB111">
        <f>HYPERLINK("https://klasma.github.io/Logging_2180/klagomålsmail/A 50052-2025 FSC-klagomål mail.docx", "A 50052-2025")</f>
        <v/>
      </c>
      <c r="AC111">
        <f>HYPERLINK("https://klasma.github.io/Logging_2180/tillsyn/A 50052-2025 tillsynsbegäran.docx", "A 50052-2025")</f>
        <v/>
      </c>
      <c r="AD111">
        <f>HYPERLINK("https://klasma.github.io/Logging_2180/tillsynsmail/A 50052-2025 tillsynsbegäran mail.docx", "A 50052-2025")</f>
        <v/>
      </c>
    </row>
    <row r="112" ht="15" customHeight="1">
      <c r="A112" t="inlineStr">
        <is>
          <t>A 27063-2026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46286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HYPERLINK("https://klasma.github.io/Logging_2180/artfynd/A 27063-2026 artfynd.xlsx", "A 27063-2026")</f>
        <v/>
      </c>
      <c r="X112">
        <f>HYPERLINK("https://klasma.github.io/Logging_2180/kartor/A 27063-2026 karta.png", "A 27063-2026")</f>
        <v/>
      </c>
      <c r="Y112">
        <f>HYPERLINK("https://klasma.github.io/Logging_2180/kartor_geotiff/A 27063-2026 georefererad karta.tif", "A 27063-2026")</f>
        <v/>
      </c>
      <c r="AA112">
        <f>HYPERLINK("https://klasma.github.io/Logging_2180/klagomål/A 27063-2026 FSC-klagomål.docx", "A 27063-2026")</f>
        <v/>
      </c>
      <c r="AB112">
        <f>HYPERLINK("https://klasma.github.io/Logging_2180/klagomålsmail/A 27063-2026 FSC-klagomål mail.docx", "A 27063-2026")</f>
        <v/>
      </c>
      <c r="AC112">
        <f>HYPERLINK("https://klasma.github.io/Logging_2180/tillsyn/A 27063-2026 tillsynsbegäran.docx", "A 27063-2026")</f>
        <v/>
      </c>
      <c r="AD112">
        <f>HYPERLINK("https://klasma.github.io/Logging_2180/tillsynsmail/A 27063-2026 tillsynsbegäran mail.docx", "A 27063-2026")</f>
        <v/>
      </c>
    </row>
    <row r="113" ht="15" customHeight="1">
      <c r="A113" t="inlineStr">
        <is>
          <t>A 26871-2026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46185</v>
      </c>
      <c r="E113" s="1" t="n">
        <v>46286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4.2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Utter</t>
        </is>
      </c>
      <c r="W113">
        <f>HYPERLINK("https://klasma.github.io/Logging_2180/artfynd/A 26871-2026 artfynd.xlsx", "A 26871-2026")</f>
        <v/>
      </c>
      <c r="X113">
        <f>HYPERLINK("https://klasma.github.io/Logging_2180/kartor/A 26871-2026 karta.png", "A 26871-2026")</f>
        <v/>
      </c>
      <c r="Y113">
        <f>HYPERLINK("https://klasma.github.io/Logging_2180/kartor_geotiff/A 26871-2026 georefererad karta.tif", "A 26871-2026")</f>
        <v/>
      </c>
      <c r="AA113">
        <f>HYPERLINK("https://klasma.github.io/Logging_2180/klagomål/A 26871-2026 FSC-klagomål.docx", "A 26871-2026")</f>
        <v/>
      </c>
      <c r="AB113">
        <f>HYPERLINK("https://klasma.github.io/Logging_2180/klagomålsmail/A 26871-2026 FSC-klagomål mail.docx", "A 26871-2026")</f>
        <v/>
      </c>
      <c r="AC113">
        <f>HYPERLINK("https://klasma.github.io/Logging_2180/tillsyn/A 26871-2026 tillsynsbegäran.docx", "A 26871-2026")</f>
        <v/>
      </c>
      <c r="AD113">
        <f>HYPERLINK("https://klasma.github.io/Logging_2180/tillsynsmail/A 26871-2026 tillsynsbegäran mail.docx", "A 26871-2026")</f>
        <v/>
      </c>
    </row>
    <row r="114" ht="15" customHeight="1">
      <c r="A114" t="inlineStr">
        <is>
          <t>A 27058-2026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46286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Gullpudra</t>
        </is>
      </c>
      <c r="W114">
        <f>HYPERLINK("https://klasma.github.io/Logging_2180/artfynd/A 27058-2026 artfynd.xlsx", "A 27058-2026")</f>
        <v/>
      </c>
      <c r="X114">
        <f>HYPERLINK("https://klasma.github.io/Logging_2180/kartor/A 27058-2026 karta.png", "A 27058-2026")</f>
        <v/>
      </c>
      <c r="Y114">
        <f>HYPERLINK("https://klasma.github.io/Logging_2180/kartor_geotiff/A 27058-2026 georefererad karta.tif", "A 27058-2026")</f>
        <v/>
      </c>
      <c r="AA114">
        <f>HYPERLINK("https://klasma.github.io/Logging_2180/klagomål/A 27058-2026 FSC-klagomål.docx", "A 27058-2026")</f>
        <v/>
      </c>
      <c r="AB114">
        <f>HYPERLINK("https://klasma.github.io/Logging_2180/klagomålsmail/A 27058-2026 FSC-klagomål mail.docx", "A 27058-2026")</f>
        <v/>
      </c>
      <c r="AC114">
        <f>HYPERLINK("https://klasma.github.io/Logging_2180/tillsyn/A 27058-2026 tillsynsbegäran.docx", "A 27058-2026")</f>
        <v/>
      </c>
      <c r="AD114">
        <f>HYPERLINK("https://klasma.github.io/Logging_2180/tillsynsmail/A 27058-2026 tillsynsbegäran mail.docx", "A 27058-2026")</f>
        <v/>
      </c>
    </row>
    <row r="115" ht="15" customHeight="1">
      <c r="A115" t="inlineStr">
        <is>
          <t>A 27043-2026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46286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27043-2026 artfynd.xlsx", "A 27043-2026")</f>
        <v/>
      </c>
      <c r="X115">
        <f>HYPERLINK("https://klasma.github.io/Logging_2180/kartor/A 27043-2026 karta.png", "A 27043-2026")</f>
        <v/>
      </c>
      <c r="Y115">
        <f>HYPERLINK("https://klasma.github.io/Logging_2180/kartor_geotiff/A 27043-2026 georefererad karta.tif", "A 27043-2026")</f>
        <v/>
      </c>
      <c r="AA115">
        <f>HYPERLINK("https://klasma.github.io/Logging_2180/klagomål/A 27043-2026 FSC-klagomål.docx", "A 27043-2026")</f>
        <v/>
      </c>
      <c r="AB115">
        <f>HYPERLINK("https://klasma.github.io/Logging_2180/klagomålsmail/A 27043-2026 FSC-klagomål mail.docx", "A 27043-2026")</f>
        <v/>
      </c>
      <c r="AC115">
        <f>HYPERLINK("https://klasma.github.io/Logging_2180/tillsyn/A 27043-2026 tillsynsbegäran.docx", "A 27043-2026")</f>
        <v/>
      </c>
      <c r="AD115">
        <f>HYPERLINK("https://klasma.github.io/Logging_2180/tillsynsmail/A 27043-2026 tillsynsbegäran mail.docx", "A 27043-2026")</f>
        <v/>
      </c>
    </row>
    <row r="116" ht="15" customHeight="1">
      <c r="A116" t="inlineStr">
        <is>
          <t>A 11407-2025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46286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1.5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Myskmadra</t>
        </is>
      </c>
      <c r="W116">
        <f>HYPERLINK("https://klasma.github.io/Logging_2180/artfynd/A 11407-2025 artfynd.xlsx", "A 11407-2025")</f>
        <v/>
      </c>
      <c r="X116">
        <f>HYPERLINK("https://klasma.github.io/Logging_2180/kartor/A 11407-2025 karta.png", "A 11407-2025")</f>
        <v/>
      </c>
      <c r="Y116">
        <f>HYPERLINK("https://klasma.github.io/Logging_2180/kartor_geotiff/A 11407-2025 georefererad karta.tif", "A 11407-2025")</f>
        <v/>
      </c>
      <c r="AA116">
        <f>HYPERLINK("https://klasma.github.io/Logging_2180/klagomål/A 11407-2025 FSC-klagomål.docx", "A 11407-2025")</f>
        <v/>
      </c>
      <c r="AB116">
        <f>HYPERLINK("https://klasma.github.io/Logging_2180/klagomålsmail/A 11407-2025 FSC-klagomål mail.docx", "A 11407-2025")</f>
        <v/>
      </c>
      <c r="AC116">
        <f>HYPERLINK("https://klasma.github.io/Logging_2180/tillsyn/A 11407-2025 tillsynsbegäran.docx", "A 11407-2025")</f>
        <v/>
      </c>
      <c r="AD116">
        <f>HYPERLINK("https://klasma.github.io/Logging_2180/tillsynsmail/A 11407-2025 tillsynsbegäran mail.docx", "A 11407-2025")</f>
        <v/>
      </c>
    </row>
    <row r="117" ht="15" customHeight="1">
      <c r="A117" t="inlineStr">
        <is>
          <t>A 13684-2026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46097</v>
      </c>
      <c r="E117" s="1" t="n">
        <v>46286</v>
      </c>
      <c r="F117" t="inlineStr">
        <is>
          <t>GÄVLEBORGS LÄN</t>
        </is>
      </c>
      <c r="G117" t="inlineStr">
        <is>
          <t>GÄVLE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Igelkott</t>
        </is>
      </c>
      <c r="W117">
        <f>HYPERLINK("https://klasma.github.io/Logging_2180/artfynd/A 13684-2026 artfynd.xlsx", "A 13684-2026")</f>
        <v/>
      </c>
      <c r="X117">
        <f>HYPERLINK("https://klasma.github.io/Logging_2180/kartor/A 13684-2026 karta.png", "A 13684-2026")</f>
        <v/>
      </c>
      <c r="Y117">
        <f>HYPERLINK("https://klasma.github.io/Logging_2180/kartor_geotiff/A 13684-2026 georefererad karta.tif", "A 13684-2026")</f>
        <v/>
      </c>
      <c r="AA117">
        <f>HYPERLINK("https://klasma.github.io/Logging_2180/klagomål/A 13684-2026 FSC-klagomål.docx", "A 13684-2026")</f>
        <v/>
      </c>
      <c r="AB117">
        <f>HYPERLINK("https://klasma.github.io/Logging_2180/klagomålsmail/A 13684-2026 FSC-klagomål mail.docx", "A 13684-2026")</f>
        <v/>
      </c>
      <c r="AC117">
        <f>HYPERLINK("https://klasma.github.io/Logging_2180/tillsyn/A 13684-2026 tillsynsbegäran.docx", "A 13684-2026")</f>
        <v/>
      </c>
      <c r="AD117">
        <f>HYPERLINK("https://klasma.github.io/Logging_2180/tillsynsmail/A 13684-2026 tillsynsbegäran mail.docx", "A 13684-2026")</f>
        <v/>
      </c>
    </row>
    <row r="118" ht="15" customHeight="1">
      <c r="A118" t="inlineStr">
        <is>
          <t>A 28546-2026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46197</v>
      </c>
      <c r="E118" s="1" t="n">
        <v>46286</v>
      </c>
      <c r="F118" t="inlineStr">
        <is>
          <t>GÄVLEBORGS LÄN</t>
        </is>
      </c>
      <c r="G118" t="inlineStr">
        <is>
          <t>GÄVLE</t>
        </is>
      </c>
      <c r="H118" t="inlineStr">
        <is>
          <t>BillerudKorsnäs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Fiskgjuse</t>
        </is>
      </c>
      <c r="W118">
        <f>HYPERLINK("https://klasma.github.io/Logging_2180/artfynd/A 28546-2026 artfynd.xlsx", "A 28546-2026")</f>
        <v/>
      </c>
      <c r="X118">
        <f>HYPERLINK("https://klasma.github.io/Logging_2180/kartor/A 28546-2026 karta.png", "A 28546-2026")</f>
        <v/>
      </c>
      <c r="Y118">
        <f>HYPERLINK("https://klasma.github.io/Logging_2180/kartor_geotiff/A 28546-2026 georefererad karta.tif", "A 28546-2026")</f>
        <v/>
      </c>
      <c r="AA118">
        <f>HYPERLINK("https://klasma.github.io/Logging_2180/klagomål/A 28546-2026 FSC-klagomål.docx", "A 28546-2026")</f>
        <v/>
      </c>
      <c r="AB118">
        <f>HYPERLINK("https://klasma.github.io/Logging_2180/klagomålsmail/A 28546-2026 FSC-klagomål mail.docx", "A 28546-2026")</f>
        <v/>
      </c>
      <c r="AC118">
        <f>HYPERLINK("https://klasma.github.io/Logging_2180/tillsyn/A 28546-2026 tillsynsbegäran.docx", "A 28546-2026")</f>
        <v/>
      </c>
      <c r="AD118">
        <f>HYPERLINK("https://klasma.github.io/Logging_2180/tillsynsmail/A 28546-2026 tillsynsbegäran mail.docx", "A 28546-2026")</f>
        <v/>
      </c>
      <c r="AE118">
        <f>HYPERLINK("https://klasma.github.io/Logging_2180/fåglar/A 28546-2026 prioriterade fågelarter.docx", "A 28546-2026")</f>
        <v/>
      </c>
    </row>
    <row r="119" ht="15" customHeight="1">
      <c r="A119" t="inlineStr">
        <is>
          <t>A 17251-2026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46119</v>
      </c>
      <c r="E119" s="1" t="n">
        <v>46286</v>
      </c>
      <c r="F119" t="inlineStr">
        <is>
          <t>GÄVLEBORGS LÄN</t>
        </is>
      </c>
      <c r="G119" t="inlineStr">
        <is>
          <t>GÄVLE</t>
        </is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HYPERLINK("https://klasma.github.io/Logging_2180/artfynd/A 17251-2026 artfynd.xlsx", "A 17251-2026")</f>
        <v/>
      </c>
      <c r="X119">
        <f>HYPERLINK("https://klasma.github.io/Logging_2180/kartor/A 17251-2026 karta.png", "A 17251-2026")</f>
        <v/>
      </c>
      <c r="Y119">
        <f>HYPERLINK("https://klasma.github.io/Logging_2180/kartor_geotiff/A 17251-2026 georefererad karta.tif", "A 17251-2026")</f>
        <v/>
      </c>
      <c r="AA119">
        <f>HYPERLINK("https://klasma.github.io/Logging_2180/klagomål/A 17251-2026 FSC-klagomål.docx", "A 17251-2026")</f>
        <v/>
      </c>
      <c r="AB119">
        <f>HYPERLINK("https://klasma.github.io/Logging_2180/klagomålsmail/A 17251-2026 FSC-klagomål mail.docx", "A 17251-2026")</f>
        <v/>
      </c>
      <c r="AC119">
        <f>HYPERLINK("https://klasma.github.io/Logging_2180/tillsyn/A 17251-2026 tillsynsbegäran.docx", "A 17251-2026")</f>
        <v/>
      </c>
      <c r="AD119">
        <f>HYPERLINK("https://klasma.github.io/Logging_2180/tillsynsmail/A 17251-2026 tillsynsbegäran mail.docx", "A 17251-2026")</f>
        <v/>
      </c>
    </row>
    <row r="120" ht="15" customHeight="1">
      <c r="A120" t="inlineStr">
        <is>
          <t>A 19635-2026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46133</v>
      </c>
      <c r="E120" s="1" t="n">
        <v>46286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väst AB</t>
        </is>
      </c>
      <c r="I120" t="n">
        <v>1.6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Skinnlav</t>
        </is>
      </c>
      <c r="W120">
        <f>HYPERLINK("https://klasma.github.io/Logging_2180/artfynd/A 19635-2026 artfynd.xlsx", "A 19635-2026")</f>
        <v/>
      </c>
      <c r="X120">
        <f>HYPERLINK("https://klasma.github.io/Logging_2180/kartor/A 19635-2026 karta.png", "A 19635-2026")</f>
        <v/>
      </c>
      <c r="Y120">
        <f>HYPERLINK("https://klasma.github.io/Logging_2180/kartor_geotiff/A 19635-2026 georefererad karta.tif", "A 19635-2026")</f>
        <v/>
      </c>
      <c r="AA120">
        <f>HYPERLINK("https://klasma.github.io/Logging_2180/klagomål/A 19635-2026 FSC-klagomål.docx", "A 19635-2026")</f>
        <v/>
      </c>
      <c r="AB120">
        <f>HYPERLINK("https://klasma.github.io/Logging_2180/klagomålsmail/A 19635-2026 FSC-klagomål mail.docx", "A 19635-2026")</f>
        <v/>
      </c>
      <c r="AC120">
        <f>HYPERLINK("https://klasma.github.io/Logging_2180/tillsyn/A 19635-2026 tillsynsbegäran.docx", "A 19635-2026")</f>
        <v/>
      </c>
      <c r="AD120">
        <f>HYPERLINK("https://klasma.github.io/Logging_2180/tillsynsmail/A 19635-2026 tillsynsbegäran mail.docx", "A 19635-2026")</f>
        <v/>
      </c>
    </row>
    <row r="121" ht="15" customHeight="1">
      <c r="A121" t="inlineStr">
        <is>
          <t>A 18216-2024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45420</v>
      </c>
      <c r="E121" s="1" t="n">
        <v>46286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väst AB</t>
        </is>
      </c>
      <c r="I121" t="n">
        <v>2.3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Dofttaggsvamp</t>
        </is>
      </c>
      <c r="W121">
        <f>HYPERLINK("https://klasma.github.io/Logging_2180/artfynd/A 18216-2024 artfynd.xlsx", "A 18216-2024")</f>
        <v/>
      </c>
      <c r="X121">
        <f>HYPERLINK("https://klasma.github.io/Logging_2180/kartor/A 18216-2024 karta.png", "A 18216-2024")</f>
        <v/>
      </c>
      <c r="Y121">
        <f>HYPERLINK("https://klasma.github.io/Logging_2180/kartor_geotiff/A 18216-2024 georefererad karta.tif", "A 18216-2024")</f>
        <v/>
      </c>
      <c r="AA121">
        <f>HYPERLINK("https://klasma.github.io/Logging_2180/klagomål/A 18216-2024 FSC-klagomål.docx", "A 18216-2024")</f>
        <v/>
      </c>
      <c r="AB121">
        <f>HYPERLINK("https://klasma.github.io/Logging_2180/klagomålsmail/A 18216-2024 FSC-klagomål mail.docx", "A 18216-2024")</f>
        <v/>
      </c>
      <c r="AC121">
        <f>HYPERLINK("https://klasma.github.io/Logging_2180/tillsyn/A 18216-2024 tillsynsbegäran.docx", "A 18216-2024")</f>
        <v/>
      </c>
      <c r="AD121">
        <f>HYPERLINK("https://klasma.github.io/Logging_2180/tillsynsmail/A 18216-2024 tillsynsbegäran mail.docx", "A 18216-2024")</f>
        <v/>
      </c>
    </row>
    <row r="122" ht="15" customHeight="1">
      <c r="A122" t="inlineStr">
        <is>
          <t>A 13396-2026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46094</v>
      </c>
      <c r="E122" s="1" t="n">
        <v>46286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HYPERLINK("https://klasma.github.io/Logging_2180/artfynd/A 13396-2026 artfynd.xlsx", "A 13396-2026")</f>
        <v/>
      </c>
      <c r="X122">
        <f>HYPERLINK("https://klasma.github.io/Logging_2180/kartor/A 13396-2026 karta.png", "A 13396-2026")</f>
        <v/>
      </c>
      <c r="Y122">
        <f>HYPERLINK("https://klasma.github.io/Logging_2180/kartor_geotiff/A 13396-2026 georefererad karta.tif", "A 13396-2026")</f>
        <v/>
      </c>
      <c r="AA122">
        <f>HYPERLINK("https://klasma.github.io/Logging_2180/klagomål/A 13396-2026 FSC-klagomål.docx", "A 13396-2026")</f>
        <v/>
      </c>
      <c r="AB122">
        <f>HYPERLINK("https://klasma.github.io/Logging_2180/klagomålsmail/A 13396-2026 FSC-klagomål mail.docx", "A 13396-2026")</f>
        <v/>
      </c>
      <c r="AC122">
        <f>HYPERLINK("https://klasma.github.io/Logging_2180/tillsyn/A 13396-2026 tillsynsbegäran.docx", "A 13396-2026")</f>
        <v/>
      </c>
      <c r="AD122">
        <f>HYPERLINK("https://klasma.github.io/Logging_2180/tillsynsmail/A 13396-2026 tillsynsbegäran mail.docx", "A 13396-2026")</f>
        <v/>
      </c>
    </row>
    <row r="123" ht="15" customHeight="1">
      <c r="A123" t="inlineStr">
        <is>
          <t>A 33832-2026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46251</v>
      </c>
      <c r="E123" s="1" t="n">
        <v>46286</v>
      </c>
      <c r="F123" t="inlineStr">
        <is>
          <t>GÄVLEBORGS LÄN</t>
        </is>
      </c>
      <c r="G123" t="inlineStr">
        <is>
          <t>GÄVLE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HYPERLINK("https://klasma.github.io/Logging_2180/artfynd/A 33832-2026 artfynd.xlsx", "A 33832-2026")</f>
        <v/>
      </c>
      <c r="X123">
        <f>HYPERLINK("https://klasma.github.io/Logging_2180/kartor/A 33832-2026 karta.png", "A 33832-2026")</f>
        <v/>
      </c>
      <c r="Y123">
        <f>HYPERLINK("https://klasma.github.io/Logging_2180/kartor_geotiff/A 33832-2026 georefererad karta.tif", "A 33832-2026")</f>
        <v/>
      </c>
      <c r="AA123">
        <f>HYPERLINK("https://klasma.github.io/Logging_2180/klagomål/A 33832-2026 FSC-klagomål.docx", "A 33832-2026")</f>
        <v/>
      </c>
      <c r="AB123">
        <f>HYPERLINK("https://klasma.github.io/Logging_2180/klagomålsmail/A 33832-2026 FSC-klagomål mail.docx", "A 33832-2026")</f>
        <v/>
      </c>
      <c r="AC123">
        <f>HYPERLINK("https://klasma.github.io/Logging_2180/tillsyn/A 33832-2026 tillsynsbegäran.docx", "A 33832-2026")</f>
        <v/>
      </c>
      <c r="AD123">
        <f>HYPERLINK("https://klasma.github.io/Logging_2180/tillsynsmail/A 33832-2026 tillsynsbegäran mail.docx", "A 33832-2026")</f>
        <v/>
      </c>
    </row>
    <row r="124" ht="15" customHeight="1">
      <c r="A124" t="inlineStr">
        <is>
          <t>A 37927-2022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44811</v>
      </c>
      <c r="E124" s="1" t="n">
        <v>46286</v>
      </c>
      <c r="F124" t="inlineStr">
        <is>
          <t>GÄVLEBORGS LÄN</t>
        </is>
      </c>
      <c r="G124" t="inlineStr">
        <is>
          <t>GÄVLE</t>
        </is>
      </c>
      <c r="I124" t="n">
        <v>1.6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10</v>
      </c>
      <c r="U124" t="n">
        <v>10</v>
      </c>
      <c r="V124" s="2" t="inlineStr">
        <is>
          <t>Knärot</t>
        </is>
      </c>
      <c r="W124">
        <f>HYPERLINK("https://klasma.github.io/Logging_2180/artfynd/A 37927-2022 artfynd.xlsx", "A 37927-2022")</f>
        <v/>
      </c>
      <c r="X124">
        <f>HYPERLINK("https://klasma.github.io/Logging_2180/kartor/A 37927-2022 karta.png", "A 37927-2022")</f>
        <v/>
      </c>
      <c r="Y124">
        <f>HYPERLINK("https://klasma.github.io/Logging_2180/kartor_geotiff/A 37927-2022 georefererad karta.tif", "A 37927-2022")</f>
        <v/>
      </c>
      <c r="Z124">
        <f>HYPERLINK("https://klasma.github.io/Logging_2180/knärot/A 37927-2022 karta knärot.png", "A 37927-2022")</f>
        <v/>
      </c>
      <c r="AA124">
        <f>HYPERLINK("https://klasma.github.io/Logging_2180/klagomål/A 37927-2022 FSC-klagomål.docx", "A 37927-2022")</f>
        <v/>
      </c>
      <c r="AB124">
        <f>HYPERLINK("https://klasma.github.io/Logging_2180/klagomålsmail/A 37927-2022 FSC-klagomål mail.docx", "A 37927-2022")</f>
        <v/>
      </c>
      <c r="AC124">
        <f>HYPERLINK("https://klasma.github.io/Logging_2180/tillsyn/A 37927-2022 tillsynsbegäran.docx", "A 37927-2022")</f>
        <v/>
      </c>
      <c r="AD124">
        <f>HYPERLINK("https://klasma.github.io/Logging_2180/tillsynsmail/A 37927-2022 tillsynsbegäran mail.docx", "A 37927-2022")</f>
        <v/>
      </c>
    </row>
    <row r="125" ht="15" customHeight="1">
      <c r="A125" t="inlineStr">
        <is>
          <t>A 34086-2026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46252</v>
      </c>
      <c r="E125" s="1" t="n">
        <v>46286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6.1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Gullgröppa</t>
        </is>
      </c>
      <c r="W125">
        <f>HYPERLINK("https://klasma.github.io/Logging_2180/artfynd/A 34086-2026 artfynd.xlsx", "A 34086-2026")</f>
        <v/>
      </c>
      <c r="X125">
        <f>HYPERLINK("https://klasma.github.io/Logging_2180/kartor/A 34086-2026 karta.png", "A 34086-2026")</f>
        <v/>
      </c>
      <c r="Y125">
        <f>HYPERLINK("https://klasma.github.io/Logging_2180/kartor_geotiff/A 34086-2026 georefererad karta.tif", "A 34086-2026")</f>
        <v/>
      </c>
      <c r="AA125">
        <f>HYPERLINK("https://klasma.github.io/Logging_2180/klagomål/A 34086-2026 FSC-klagomål.docx", "A 34086-2026")</f>
        <v/>
      </c>
      <c r="AB125">
        <f>HYPERLINK("https://klasma.github.io/Logging_2180/klagomålsmail/A 34086-2026 FSC-klagomål mail.docx", "A 34086-2026")</f>
        <v/>
      </c>
      <c r="AC125">
        <f>HYPERLINK("https://klasma.github.io/Logging_2180/tillsyn/A 34086-2026 tillsynsbegäran.docx", "A 34086-2026")</f>
        <v/>
      </c>
      <c r="AD125">
        <f>HYPERLINK("https://klasma.github.io/Logging_2180/tillsynsmail/A 34086-2026 tillsynsbegäran mail.docx", "A 34086-2026")</f>
        <v/>
      </c>
    </row>
    <row r="126" ht="15" customHeight="1">
      <c r="A126" t="inlineStr">
        <is>
          <t>A 34589-2026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46255</v>
      </c>
      <c r="E126" s="1" t="n">
        <v>46286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15.3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HYPERLINK("https://klasma.github.io/Logging_2180/artfynd/A 34589-2026 artfynd.xlsx", "A 34589-2026")</f>
        <v/>
      </c>
      <c r="X126">
        <f>HYPERLINK("https://klasma.github.io/Logging_2180/kartor/A 34589-2026 karta.png", "A 34589-2026")</f>
        <v/>
      </c>
      <c r="Y126">
        <f>HYPERLINK("https://klasma.github.io/Logging_2180/kartor_geotiff/A 34589-2026 georefererad karta.tif", "A 34589-2026")</f>
        <v/>
      </c>
      <c r="AA126">
        <f>HYPERLINK("https://klasma.github.io/Logging_2180/klagomål/A 34589-2026 FSC-klagomål.docx", "A 34589-2026")</f>
        <v/>
      </c>
      <c r="AB126">
        <f>HYPERLINK("https://klasma.github.io/Logging_2180/klagomålsmail/A 34589-2026 FSC-klagomål mail.docx", "A 34589-2026")</f>
        <v/>
      </c>
      <c r="AC126">
        <f>HYPERLINK("https://klasma.github.io/Logging_2180/tillsyn/A 34589-2026 tillsynsbegäran.docx", "A 34589-2026")</f>
        <v/>
      </c>
      <c r="AD126">
        <f>HYPERLINK("https://klasma.github.io/Logging_2180/tillsynsmail/A 34589-2026 tillsynsbegäran mail.docx", "A 34589-2026")</f>
        <v/>
      </c>
    </row>
    <row r="127" ht="15" customHeight="1">
      <c r="A127" t="inlineStr">
        <is>
          <t>A 31448-2026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46217</v>
      </c>
      <c r="E127" s="1" t="n">
        <v>46286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6.8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Mindre tåtelsmygare</t>
        </is>
      </c>
      <c r="W127">
        <f>HYPERLINK("https://klasma.github.io/Logging_2180/artfynd/A 31448-2026 artfynd.xlsx", "A 31448-2026")</f>
        <v/>
      </c>
      <c r="X127">
        <f>HYPERLINK("https://klasma.github.io/Logging_2180/kartor/A 31448-2026 karta.png", "A 31448-2026")</f>
        <v/>
      </c>
      <c r="Y127">
        <f>HYPERLINK("https://klasma.github.io/Logging_2180/kartor_geotiff/A 31448-2026 georefererad karta.tif", "A 31448-2026")</f>
        <v/>
      </c>
      <c r="AA127">
        <f>HYPERLINK("https://klasma.github.io/Logging_2180/klagomål/A 31448-2026 FSC-klagomål.docx", "A 31448-2026")</f>
        <v/>
      </c>
      <c r="AB127">
        <f>HYPERLINK("https://klasma.github.io/Logging_2180/klagomålsmail/A 31448-2026 FSC-klagomål mail.docx", "A 31448-2026")</f>
        <v/>
      </c>
      <c r="AC127">
        <f>HYPERLINK("https://klasma.github.io/Logging_2180/tillsyn/A 31448-2026 tillsynsbegäran.docx", "A 31448-2026")</f>
        <v/>
      </c>
      <c r="AD127">
        <f>HYPERLINK("https://klasma.github.io/Logging_2180/tillsynsmail/A 31448-2026 tillsynsbegäran mail.docx", "A 31448-2026")</f>
        <v/>
      </c>
    </row>
    <row r="128" ht="15" customHeight="1">
      <c r="A128" t="inlineStr">
        <is>
          <t>A 12083-2025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46286</v>
      </c>
      <c r="F128" t="inlineStr">
        <is>
          <t>GÄVLEBORGS LÄN</t>
        </is>
      </c>
      <c r="G128" t="inlineStr">
        <is>
          <t>GÄVLE</t>
        </is>
      </c>
      <c r="I128" t="n">
        <v>6.3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Grönsiska</t>
        </is>
      </c>
      <c r="W128">
        <f>HYPERLINK("https://klasma.github.io/Logging_2180/artfynd/A 12083-2025 artfynd.xlsx", "A 12083-2025")</f>
        <v/>
      </c>
      <c r="X128">
        <f>HYPERLINK("https://klasma.github.io/Logging_2180/kartor/A 12083-2025 karta.png", "A 12083-2025")</f>
        <v/>
      </c>
      <c r="Y128">
        <f>HYPERLINK("https://klasma.github.io/Logging_2180/kartor_geotiff/A 12083-2025 georefererad karta.tif", "A 12083-2025")</f>
        <v/>
      </c>
      <c r="AA128">
        <f>HYPERLINK("https://klasma.github.io/Logging_2180/klagomål/A 12083-2025 FSC-klagomål.docx", "A 12083-2025")</f>
        <v/>
      </c>
      <c r="AB128">
        <f>HYPERLINK("https://klasma.github.io/Logging_2180/klagomålsmail/A 12083-2025 FSC-klagomål mail.docx", "A 12083-2025")</f>
        <v/>
      </c>
      <c r="AC128">
        <f>HYPERLINK("https://klasma.github.io/Logging_2180/tillsyn/A 12083-2025 tillsynsbegäran.docx", "A 12083-2025")</f>
        <v/>
      </c>
      <c r="AD128">
        <f>HYPERLINK("https://klasma.github.io/Logging_2180/tillsynsmail/A 12083-2025 tillsynsbegäran mail.docx", "A 12083-2025")</f>
        <v/>
      </c>
    </row>
    <row r="129" ht="15" customHeight="1">
      <c r="A129" t="inlineStr">
        <is>
          <t>A 13227-2024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45386</v>
      </c>
      <c r="E129" s="1" t="n">
        <v>46286</v>
      </c>
      <c r="F129" t="inlineStr">
        <is>
          <t>GÄVLEBORGS LÄN</t>
        </is>
      </c>
      <c r="G129" t="inlineStr">
        <is>
          <t>GÄVLE</t>
        </is>
      </c>
      <c r="H129" t="inlineStr">
        <is>
          <t>Övriga statliga verk och myndigheter</t>
        </is>
      </c>
      <c r="I129" t="n">
        <v>5.9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Större vattensalamander</t>
        </is>
      </c>
      <c r="W129">
        <f>HYPERLINK("https://klasma.github.io/Logging_2180/artfynd/A 13227-2024 artfynd.xlsx", "A 13227-2024")</f>
        <v/>
      </c>
      <c r="X129">
        <f>HYPERLINK("https://klasma.github.io/Logging_2180/kartor/A 13227-2024 karta.png", "A 13227-2024")</f>
        <v/>
      </c>
      <c r="Y129">
        <f>HYPERLINK("https://klasma.github.io/Logging_2180/kartor_geotiff/A 13227-2024 georefererad karta.tif", "A 13227-2024")</f>
        <v/>
      </c>
      <c r="AA129">
        <f>HYPERLINK("https://klasma.github.io/Logging_2180/klagomål/A 13227-2024 FSC-klagomål.docx", "A 13227-2024")</f>
        <v/>
      </c>
      <c r="AB129">
        <f>HYPERLINK("https://klasma.github.io/Logging_2180/klagomålsmail/A 13227-2024 FSC-klagomål mail.docx", "A 13227-2024")</f>
        <v/>
      </c>
      <c r="AC129">
        <f>HYPERLINK("https://klasma.github.io/Logging_2180/tillsyn/A 13227-2024 tillsynsbegäran.docx", "A 13227-2024")</f>
        <v/>
      </c>
      <c r="AD129">
        <f>HYPERLINK("https://klasma.github.io/Logging_2180/tillsynsmail/A 13227-2024 tillsynsbegäran mail.docx", "A 13227-2024")</f>
        <v/>
      </c>
    </row>
    <row r="130" ht="15" customHeight="1">
      <c r="A130" t="inlineStr">
        <is>
          <t>A 36090-2026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46267</v>
      </c>
      <c r="E130" s="1" t="n">
        <v>46286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2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Tvåblad</t>
        </is>
      </c>
      <c r="W130">
        <f>HYPERLINK("https://klasma.github.io/Logging_2180/artfynd/A 36090-2026 artfynd.xlsx", "A 36090-2026")</f>
        <v/>
      </c>
      <c r="X130">
        <f>HYPERLINK("https://klasma.github.io/Logging_2180/kartor/A 36090-2026 karta.png", "A 36090-2026")</f>
        <v/>
      </c>
      <c r="Y130">
        <f>HYPERLINK("https://klasma.github.io/Logging_2180/kartor_geotiff/A 36090-2026 georefererad karta.tif", "A 36090-2026")</f>
        <v/>
      </c>
      <c r="AA130">
        <f>HYPERLINK("https://klasma.github.io/Logging_2180/klagomål/A 36090-2026 FSC-klagomål.docx", "A 36090-2026")</f>
        <v/>
      </c>
      <c r="AB130">
        <f>HYPERLINK("https://klasma.github.io/Logging_2180/klagomålsmail/A 36090-2026 FSC-klagomål mail.docx", "A 36090-2026")</f>
        <v/>
      </c>
      <c r="AC130">
        <f>HYPERLINK("https://klasma.github.io/Logging_2180/tillsyn/A 36090-2026 tillsynsbegäran.docx", "A 36090-2026")</f>
        <v/>
      </c>
      <c r="AD130">
        <f>HYPERLINK("https://klasma.github.io/Logging_2180/tillsynsmail/A 36090-2026 tillsynsbegäran mail.docx", "A 36090-2026")</f>
        <v/>
      </c>
    </row>
    <row r="131" ht="15" customHeight="1">
      <c r="A131" t="inlineStr">
        <is>
          <t>A 23003-2026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46160</v>
      </c>
      <c r="E131" s="1" t="n">
        <v>46286</v>
      </c>
      <c r="F131" t="inlineStr">
        <is>
          <t>GÄVLEBORGS LÄN</t>
        </is>
      </c>
      <c r="G131" t="inlineStr">
        <is>
          <t>GÄVLE</t>
        </is>
      </c>
      <c r="I131" t="n">
        <v>12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Tjäder</t>
        </is>
      </c>
      <c r="W131">
        <f>HYPERLINK("https://klasma.github.io/Logging_2180/artfynd/A 23003-2026 artfynd.xlsx", "A 23003-2026")</f>
        <v/>
      </c>
      <c r="X131">
        <f>HYPERLINK("https://klasma.github.io/Logging_2180/kartor/A 23003-2026 karta.png", "A 23003-2026")</f>
        <v/>
      </c>
      <c r="Y131">
        <f>HYPERLINK("https://klasma.github.io/Logging_2180/kartor_geotiff/A 23003-2026 georefererad karta.tif", "A 23003-2026")</f>
        <v/>
      </c>
      <c r="AA131">
        <f>HYPERLINK("https://klasma.github.io/Logging_2180/klagomål/A 23003-2026 FSC-klagomål.docx", "A 23003-2026")</f>
        <v/>
      </c>
      <c r="AB131">
        <f>HYPERLINK("https://klasma.github.io/Logging_2180/klagomålsmail/A 23003-2026 FSC-klagomål mail.docx", "A 23003-2026")</f>
        <v/>
      </c>
      <c r="AC131">
        <f>HYPERLINK("https://klasma.github.io/Logging_2180/tillsyn/A 23003-2026 tillsynsbegäran.docx", "A 23003-2026")</f>
        <v/>
      </c>
      <c r="AD131">
        <f>HYPERLINK("https://klasma.github.io/Logging_2180/tillsynsmail/A 23003-2026 tillsynsbegäran mail.docx", "A 23003-2026")</f>
        <v/>
      </c>
      <c r="AE131">
        <f>HYPERLINK("https://klasma.github.io/Logging_2180/fåglar/A 23003-2026 prioriterade fågelarter.docx", "A 23003-2026")</f>
        <v/>
      </c>
    </row>
    <row r="132" ht="15" customHeight="1">
      <c r="A132" t="inlineStr">
        <is>
          <t>A 34890-2026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46259</v>
      </c>
      <c r="E132" s="1" t="n">
        <v>46286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18.3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4</v>
      </c>
      <c r="U132" t="n">
        <v>0</v>
      </c>
      <c r="V132" s="2" t="inlineStr">
        <is>
          <t>Spillkråka</t>
        </is>
      </c>
      <c r="W132">
        <f>HYPERLINK("https://klasma.github.io/Logging_2180/artfynd/A 34890-2026 artfynd.xlsx", "A 34890-2026")</f>
        <v/>
      </c>
      <c r="X132">
        <f>HYPERLINK("https://klasma.github.io/Logging_2180/kartor/A 34890-2026 karta.png", "A 34890-2026")</f>
        <v/>
      </c>
      <c r="Y132">
        <f>HYPERLINK("https://klasma.github.io/Logging_2180/kartor_geotiff/A 34890-2026 georefererad karta.tif", "A 34890-2026")</f>
        <v/>
      </c>
      <c r="AA132">
        <f>HYPERLINK("https://klasma.github.io/Logging_2180/klagomål/A 34890-2026 FSC-klagomål.docx", "A 34890-2026")</f>
        <v/>
      </c>
      <c r="AB132">
        <f>HYPERLINK("https://klasma.github.io/Logging_2180/klagomålsmail/A 34890-2026 FSC-klagomål mail.docx", "A 34890-2026")</f>
        <v/>
      </c>
      <c r="AC132">
        <f>HYPERLINK("https://klasma.github.io/Logging_2180/tillsyn/A 34890-2026 tillsynsbegäran.docx", "A 34890-2026")</f>
        <v/>
      </c>
      <c r="AD132">
        <f>HYPERLINK("https://klasma.github.io/Logging_2180/tillsynsmail/A 34890-2026 tillsynsbegäran mail.docx", "A 34890-2026")</f>
        <v/>
      </c>
      <c r="AE132">
        <f>HYPERLINK("https://klasma.github.io/Logging_2180/fåglar/A 34890-2026 prioriterade fågelarter.docx", "A 34890-2026")</f>
        <v/>
      </c>
    </row>
    <row r="133" ht="15" customHeight="1">
      <c r="A133" t="inlineStr">
        <is>
          <t>A 37220-2026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46274</v>
      </c>
      <c r="E133" s="1" t="n">
        <v>46286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5.1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Revlummer</t>
        </is>
      </c>
      <c r="W133">
        <f>HYPERLINK("https://klasma.github.io/Logging_2180/artfynd/A 37220-2026 artfynd.xlsx", "A 37220-2026")</f>
        <v/>
      </c>
      <c r="X133">
        <f>HYPERLINK("https://klasma.github.io/Logging_2180/kartor/A 37220-2026 karta.png", "A 37220-2026")</f>
        <v/>
      </c>
      <c r="Y133">
        <f>HYPERLINK("https://klasma.github.io/Logging_2180/kartor_geotiff/A 37220-2026 georefererad karta.tif", "A 37220-2026")</f>
        <v/>
      </c>
      <c r="AA133">
        <f>HYPERLINK("https://klasma.github.io/Logging_2180/klagomål/A 37220-2026 FSC-klagomål.docx", "A 37220-2026")</f>
        <v/>
      </c>
      <c r="AB133">
        <f>HYPERLINK("https://klasma.github.io/Logging_2180/klagomålsmail/A 37220-2026 FSC-klagomål mail.docx", "A 37220-2026")</f>
        <v/>
      </c>
      <c r="AC133">
        <f>HYPERLINK("https://klasma.github.io/Logging_2180/tillsyn/A 37220-2026 tillsynsbegäran.docx", "A 37220-2026")</f>
        <v/>
      </c>
      <c r="AD133">
        <f>HYPERLINK("https://klasma.github.io/Logging_2180/tillsynsmail/A 37220-2026 tillsynsbegäran mail.docx", "A 37220-2026")</f>
        <v/>
      </c>
    </row>
    <row r="134" ht="15" customHeight="1">
      <c r="A134" t="inlineStr">
        <is>
          <t>A 38571-2026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46283</v>
      </c>
      <c r="E134" s="1" t="n">
        <v>46286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0.9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Platt spretmossa</t>
        </is>
      </c>
      <c r="W134">
        <f>HYPERLINK("https://klasma.github.io/Logging_2180/artfynd/A 38571-2026 artfynd.xlsx", "A 38571-2026")</f>
        <v/>
      </c>
      <c r="X134">
        <f>HYPERLINK("https://klasma.github.io/Logging_2180/kartor/A 38571-2026 karta.png", "A 38571-2026")</f>
        <v/>
      </c>
      <c r="Y134">
        <f>HYPERLINK("https://klasma.github.io/Logging_2180/kartor_geotiff/A 38571-2026 georefererad karta.tif", "A 38571-2026")</f>
        <v/>
      </c>
      <c r="AA134">
        <f>HYPERLINK("https://klasma.github.io/Logging_2180/klagomål/A 38571-2026 FSC-klagomål.docx", "A 38571-2026")</f>
        <v/>
      </c>
      <c r="AB134">
        <f>HYPERLINK("https://klasma.github.io/Logging_2180/klagomålsmail/A 38571-2026 FSC-klagomål mail.docx", "A 38571-2026")</f>
        <v/>
      </c>
      <c r="AC134">
        <f>HYPERLINK("https://klasma.github.io/Logging_2180/tillsyn/A 38571-2026 tillsynsbegäran.docx", "A 38571-2026")</f>
        <v/>
      </c>
      <c r="AD134">
        <f>HYPERLINK("https://klasma.github.io/Logging_2180/tillsynsmail/A 38571-2026 tillsynsbegäran mail.docx", "A 38571-2026")</f>
        <v/>
      </c>
    </row>
    <row r="135" ht="15" customHeight="1">
      <c r="A135" t="inlineStr">
        <is>
          <t>A 35830-2026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46265</v>
      </c>
      <c r="E135" s="1" t="n">
        <v>46286</v>
      </c>
      <c r="F135" t="inlineStr">
        <is>
          <t>GÄVLEBORGS LÄN</t>
        </is>
      </c>
      <c r="G135" t="inlineStr">
        <is>
          <t>GÄVLE</t>
        </is>
      </c>
      <c r="I135" t="n">
        <v>1.4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Bredgentiana</t>
        </is>
      </c>
      <c r="W135">
        <f>HYPERLINK("https://klasma.github.io/Logging_2180/artfynd/A 35830-2026 artfynd.xlsx", "A 35830-2026")</f>
        <v/>
      </c>
      <c r="X135">
        <f>HYPERLINK("https://klasma.github.io/Logging_2180/kartor/A 35830-2026 karta.png", "A 35830-2026")</f>
        <v/>
      </c>
      <c r="Y135">
        <f>HYPERLINK("https://klasma.github.io/Logging_2180/kartor_geotiff/A 35830-2026 georefererad karta.tif", "A 35830-2026")</f>
        <v/>
      </c>
      <c r="AA135">
        <f>HYPERLINK("https://klasma.github.io/Logging_2180/klagomål/A 35830-2026 FSC-klagomål.docx", "A 35830-2026")</f>
        <v/>
      </c>
      <c r="AB135">
        <f>HYPERLINK("https://klasma.github.io/Logging_2180/klagomålsmail/A 35830-2026 FSC-klagomål mail.docx", "A 35830-2026")</f>
        <v/>
      </c>
      <c r="AC135">
        <f>HYPERLINK("https://klasma.github.io/Logging_2180/tillsyn/A 35830-2026 tillsynsbegäran.docx", "A 35830-2026")</f>
        <v/>
      </c>
      <c r="AD135">
        <f>HYPERLINK("https://klasma.github.io/Logging_2180/tillsynsmail/A 35830-2026 tillsynsbegäran mail.docx", "A 35830-2026")</f>
        <v/>
      </c>
    </row>
    <row r="136" ht="15" customHeight="1">
      <c r="A136" t="inlineStr">
        <is>
          <t>A 38300-2026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46282</v>
      </c>
      <c r="E136" s="1" t="n">
        <v>46286</v>
      </c>
      <c r="F136" t="inlineStr">
        <is>
          <t>GÄVLEBORGS LÄN</t>
        </is>
      </c>
      <c r="G136" t="inlineStr">
        <is>
          <t>GÄVLE</t>
        </is>
      </c>
      <c r="I136" t="n">
        <v>3.7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Sparvuggla</t>
        </is>
      </c>
      <c r="W136">
        <f>HYPERLINK("https://klasma.github.io/Logging_2180/artfynd/A 38300-2026 artfynd.xlsx", "A 38300-2026")</f>
        <v/>
      </c>
      <c r="X136">
        <f>HYPERLINK("https://klasma.github.io/Logging_2180/kartor/A 38300-2026 karta.png", "A 38300-2026")</f>
        <v/>
      </c>
      <c r="Y136">
        <f>HYPERLINK("https://klasma.github.io/Logging_2180/kartor_geotiff/A 38300-2026 georefererad karta.tif", "A 38300-2026")</f>
        <v/>
      </c>
      <c r="AA136">
        <f>HYPERLINK("https://klasma.github.io/Logging_2180/klagomål/A 38300-2026 FSC-klagomål.docx", "A 38300-2026")</f>
        <v/>
      </c>
      <c r="AB136">
        <f>HYPERLINK("https://klasma.github.io/Logging_2180/klagomålsmail/A 38300-2026 FSC-klagomål mail.docx", "A 38300-2026")</f>
        <v/>
      </c>
      <c r="AC136">
        <f>HYPERLINK("https://klasma.github.io/Logging_2180/tillsyn/A 38300-2026 tillsynsbegäran.docx", "A 38300-2026")</f>
        <v/>
      </c>
      <c r="AD136">
        <f>HYPERLINK("https://klasma.github.io/Logging_2180/tillsynsmail/A 38300-2026 tillsynsbegäran mail.docx", "A 38300-2026")</f>
        <v/>
      </c>
      <c r="AE136">
        <f>HYPERLINK("https://klasma.github.io/Logging_2180/fåglar/A 38300-2026 prioriterade fågelarter.docx", "A 38300-2026")</f>
        <v/>
      </c>
    </row>
    <row r="137" ht="15" customHeight="1">
      <c r="A137" t="inlineStr">
        <is>
          <t>A 47642-2024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45588</v>
      </c>
      <c r="E137" s="1" t="n">
        <v>46286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8.199999999999999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Orre</t>
        </is>
      </c>
      <c r="W137">
        <f>HYPERLINK("https://klasma.github.io/Logging_2180/artfynd/A 47642-2024 artfynd.xlsx", "A 47642-2024")</f>
        <v/>
      </c>
      <c r="X137">
        <f>HYPERLINK("https://klasma.github.io/Logging_2180/kartor/A 47642-2024 karta.png", "A 47642-2024")</f>
        <v/>
      </c>
      <c r="Y137">
        <f>HYPERLINK("https://klasma.github.io/Logging_2180/kartor_geotiff/A 47642-2024 georefererad karta.tif", "A 47642-2024")</f>
        <v/>
      </c>
      <c r="AA137">
        <f>HYPERLINK("https://klasma.github.io/Logging_2180/klagomål/A 47642-2024 FSC-klagomål.docx", "A 47642-2024")</f>
        <v/>
      </c>
      <c r="AB137">
        <f>HYPERLINK("https://klasma.github.io/Logging_2180/klagomålsmail/A 47642-2024 FSC-klagomål mail.docx", "A 47642-2024")</f>
        <v/>
      </c>
      <c r="AC137">
        <f>HYPERLINK("https://klasma.github.io/Logging_2180/tillsyn/A 47642-2024 tillsynsbegäran.docx", "A 47642-2024")</f>
        <v/>
      </c>
      <c r="AD137">
        <f>HYPERLINK("https://klasma.github.io/Logging_2180/tillsynsmail/A 47642-2024 tillsynsbegäran mail.docx", "A 47642-2024")</f>
        <v/>
      </c>
      <c r="AE137">
        <f>HYPERLINK("https://klasma.github.io/Logging_2180/fåglar/A 47642-2024 prioriterade fågelarter.docx", "A 47642-2024")</f>
        <v/>
      </c>
    </row>
    <row r="138" ht="15" customHeight="1">
      <c r="A138" t="inlineStr">
        <is>
          <t>A 12338-2025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45730</v>
      </c>
      <c r="E138" s="1" t="n">
        <v>46286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6.8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1</v>
      </c>
      <c r="V138" s="2" t="inlineStr">
        <is>
          <t>Skogsklocka</t>
        </is>
      </c>
      <c r="W138">
        <f>HYPERLINK("https://klasma.github.io/Logging_2180/artfynd/A 12338-2025 artfynd.xlsx", "A 12338-2025")</f>
        <v/>
      </c>
      <c r="X138">
        <f>HYPERLINK("https://klasma.github.io/Logging_2180/kartor/A 12338-2025 karta.png", "A 12338-2025")</f>
        <v/>
      </c>
      <c r="Y138">
        <f>HYPERLINK("https://klasma.github.io/Logging_2180/kartor_geotiff/A 12338-2025 georefererad karta.tif", "A 12338-2025")</f>
        <v/>
      </c>
      <c r="AA138">
        <f>HYPERLINK("https://klasma.github.io/Logging_2180/klagomål/A 12338-2025 FSC-klagomål.docx", "A 12338-2025")</f>
        <v/>
      </c>
      <c r="AB138">
        <f>HYPERLINK("https://klasma.github.io/Logging_2180/klagomålsmail/A 12338-2025 FSC-klagomål mail.docx", "A 12338-2025")</f>
        <v/>
      </c>
      <c r="AC138">
        <f>HYPERLINK("https://klasma.github.io/Logging_2180/tillsyn/A 12338-2025 tillsynsbegäran.docx", "A 12338-2025")</f>
        <v/>
      </c>
      <c r="AD138">
        <f>HYPERLINK("https://klasma.github.io/Logging_2180/tillsynsmail/A 12338-2025 tillsynsbegäran mail.docx", "A 12338-2025")</f>
        <v/>
      </c>
    </row>
    <row r="139" ht="15" customHeight="1">
      <c r="A139" t="inlineStr">
        <is>
          <t>A 30302-2025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45827</v>
      </c>
      <c r="E139" s="1" t="n">
        <v>46286</v>
      </c>
      <c r="F139" t="inlineStr">
        <is>
          <t>GÄVLEBORGS LÄN</t>
        </is>
      </c>
      <c r="G139" t="inlineStr">
        <is>
          <t>GÄVLE</t>
        </is>
      </c>
      <c r="I139" t="n">
        <v>1.4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0</v>
      </c>
      <c r="V139" s="2" t="inlineStr">
        <is>
          <t>Fläcknycklar</t>
        </is>
      </c>
      <c r="W139">
        <f>HYPERLINK("https://klasma.github.io/Logging_2180/artfynd/A 30302-2025 artfynd.xlsx", "A 30302-2025")</f>
        <v/>
      </c>
      <c r="X139">
        <f>HYPERLINK("https://klasma.github.io/Logging_2180/kartor/A 30302-2025 karta.png", "A 30302-2025")</f>
        <v/>
      </c>
      <c r="Y139">
        <f>HYPERLINK("https://klasma.github.io/Logging_2180/kartor_geotiff/A 30302-2025 georefererad karta.tif", "A 30302-2025")</f>
        <v/>
      </c>
      <c r="AA139">
        <f>HYPERLINK("https://klasma.github.io/Logging_2180/klagomål/A 30302-2025 FSC-klagomål.docx", "A 30302-2025")</f>
        <v/>
      </c>
      <c r="AB139">
        <f>HYPERLINK("https://klasma.github.io/Logging_2180/klagomålsmail/A 30302-2025 FSC-klagomål mail.docx", "A 30302-2025")</f>
        <v/>
      </c>
      <c r="AC139">
        <f>HYPERLINK("https://klasma.github.io/Logging_2180/tillsyn/A 30302-2025 tillsynsbegäran.docx", "A 30302-2025")</f>
        <v/>
      </c>
      <c r="AD139">
        <f>HYPERLINK("https://klasma.github.io/Logging_2180/tillsynsmail/A 30302-2025 tillsynsbegäran mail.docx", "A 30302-2025")</f>
        <v/>
      </c>
    </row>
    <row r="140" ht="15" customHeight="1">
      <c r="A140" t="inlineStr">
        <is>
          <t>A 11411-2025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46286</v>
      </c>
      <c r="F140" t="inlineStr">
        <is>
          <t>GÄVLEBORGS LÄN</t>
        </is>
      </c>
      <c r="G140" t="inlineStr">
        <is>
          <t>GÄVLE</t>
        </is>
      </c>
      <c r="I140" t="n">
        <v>2.4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Blåsippa</t>
        </is>
      </c>
      <c r="W140">
        <f>HYPERLINK("https://klasma.github.io/Logging_2180/artfynd/A 11411-2025 artfynd.xlsx", "A 11411-2025")</f>
        <v/>
      </c>
      <c r="X140">
        <f>HYPERLINK("https://klasma.github.io/Logging_2180/kartor/A 11411-2025 karta.png", "A 11411-2025")</f>
        <v/>
      </c>
      <c r="Y140">
        <f>HYPERLINK("https://klasma.github.io/Logging_2180/kartor_geotiff/A 11411-2025 georefererad karta.tif", "A 11411-2025")</f>
        <v/>
      </c>
      <c r="AA140">
        <f>HYPERLINK("https://klasma.github.io/Logging_2180/klagomål/A 11411-2025 FSC-klagomål.docx", "A 11411-2025")</f>
        <v/>
      </c>
      <c r="AB140">
        <f>HYPERLINK("https://klasma.github.io/Logging_2180/klagomålsmail/A 11411-2025 FSC-klagomål mail.docx", "A 11411-2025")</f>
        <v/>
      </c>
      <c r="AC140">
        <f>HYPERLINK("https://klasma.github.io/Logging_2180/tillsyn/A 11411-2025 tillsynsbegäran.docx", "A 11411-2025")</f>
        <v/>
      </c>
      <c r="AD140">
        <f>HYPERLINK("https://klasma.github.io/Logging_2180/tillsynsmail/A 11411-2025 tillsynsbegäran mail.docx", "A 11411-2025")</f>
        <v/>
      </c>
    </row>
    <row r="141" ht="15" customHeight="1">
      <c r="A141" t="inlineStr">
        <is>
          <t>S 399-2022</t>
        </is>
      </c>
      <c r="B141" t="inlineStr">
        <is>
          <t>samrådsanmälan</t>
        </is>
      </c>
      <c r="C141" t="inlineStr">
        <is>
          <t>Skogsgödsling</t>
        </is>
      </c>
      <c r="D141" s="1" t="n">
        <v>44585</v>
      </c>
      <c r="E141" s="1" t="n">
        <v>46286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väst AB</t>
        </is>
      </c>
      <c r="I141" t="n">
        <v>44.4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Fläcknycklar</t>
        </is>
      </c>
      <c r="W141">
        <f>HYPERLINK("https://klasma.github.io/Logging_2180/artfynd/S 399-2022 artfynd.xlsx", "S 399-2022")</f>
        <v/>
      </c>
      <c r="X141">
        <f>HYPERLINK("https://klasma.github.io/Logging_2180/kartor/S 399-2022 karta.png", "S 399-2022")</f>
        <v/>
      </c>
      <c r="Y141">
        <f>HYPERLINK("https://klasma.github.io/Logging_2180/kartor_geotiff/S 399-2022 georefererad karta.tif", "S 399-2022")</f>
        <v/>
      </c>
      <c r="AA141">
        <f>HYPERLINK("https://klasma.github.io/Logging_2180/klagomål/S 399-2022 FSC-klagomål.docx", "S 399-2022")</f>
        <v/>
      </c>
      <c r="AB141">
        <f>HYPERLINK("https://klasma.github.io/Logging_2180/klagomålsmail/S 399-2022 FSC-klagomål mail.docx", "S 399-2022")</f>
        <v/>
      </c>
      <c r="AC141">
        <f>HYPERLINK("https://klasma.github.io/Logging_2180/tillsyn/S 399-2022 tillsynsbegäran.docx", "S 399-2022")</f>
        <v/>
      </c>
      <c r="AD141">
        <f>HYPERLINK("https://klasma.github.io/Logging_2180/tillsynsmail/S 399-2022 tillsynsbegäran mail.docx", "S 399-2022")</f>
        <v/>
      </c>
    </row>
    <row r="142" ht="15" customHeight="1">
      <c r="A142" t="inlineStr">
        <is>
          <t>S 235-2025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45680</v>
      </c>
      <c r="E142" s="1" t="n">
        <v>46286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väst AB</t>
        </is>
      </c>
      <c r="I142" t="n">
        <v>12.7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Tallticka</t>
        </is>
      </c>
      <c r="W142">
        <f>HYPERLINK("https://klasma.github.io/Logging_2180/artfynd/S 235-2025 artfynd.xlsx", "S 235-2025")</f>
        <v/>
      </c>
      <c r="X142">
        <f>HYPERLINK("https://klasma.github.io/Logging_2180/kartor/S 235-2025 karta.png", "S 235-2025")</f>
        <v/>
      </c>
      <c r="Y142">
        <f>HYPERLINK("https://klasma.github.io/Logging_2180/kartor_geotiff/S 235-2025 georefererad karta.tif", "S 235-2025")</f>
        <v/>
      </c>
      <c r="AA142">
        <f>HYPERLINK("https://klasma.github.io/Logging_2180/klagomål/S 235-2025 FSC-klagomål.docx", "S 235-2025")</f>
        <v/>
      </c>
      <c r="AB142">
        <f>HYPERLINK("https://klasma.github.io/Logging_2180/klagomålsmail/S 235-2025 FSC-klagomål mail.docx", "S 235-2025")</f>
        <v/>
      </c>
      <c r="AC142">
        <f>HYPERLINK("https://klasma.github.io/Logging_2180/tillsyn/S 235-2025 tillsynsbegäran.docx", "S 235-2025")</f>
        <v/>
      </c>
      <c r="AD142">
        <f>HYPERLINK("https://klasma.github.io/Logging_2180/tillsynsmail/S 235-2025 tillsynsbegäran mail.docx", "S 235-2025")</f>
        <v/>
      </c>
    </row>
    <row r="143" ht="15" customHeight="1">
      <c r="A143" t="inlineStr">
        <is>
          <t>S 3895-2024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45562</v>
      </c>
      <c r="E143" s="1" t="n">
        <v>46286</v>
      </c>
      <c r="F143" t="inlineStr">
        <is>
          <t>GÄVLEBORGS LÄN</t>
        </is>
      </c>
      <c r="G143" t="inlineStr">
        <is>
          <t>GÄVLE</t>
        </is>
      </c>
      <c r="I143" t="n">
        <v>14.3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16</v>
      </c>
      <c r="U143" t="n">
        <v>3</v>
      </c>
      <c r="V143" s="2" t="inlineStr">
        <is>
          <t>Väddnätfjäril</t>
        </is>
      </c>
      <c r="W143">
        <f>HYPERLINK("https://klasma.github.io/Logging_2180/artfynd/S 3895-2024 artfynd.xlsx", "S 3895-2024")</f>
        <v/>
      </c>
      <c r="X143">
        <f>HYPERLINK("https://klasma.github.io/Logging_2180/kartor/S 3895-2024 karta.png", "S 3895-2024")</f>
        <v/>
      </c>
      <c r="Y143">
        <f>HYPERLINK("https://klasma.github.io/Logging_2180/kartor_geotiff/S 3895-2024 georefererad karta.tif", "S 3895-2024")</f>
        <v/>
      </c>
      <c r="AA143">
        <f>HYPERLINK("https://klasma.github.io/Logging_2180/klagomål/S 3895-2024 FSC-klagomål.docx", "S 3895-2024")</f>
        <v/>
      </c>
      <c r="AB143">
        <f>HYPERLINK("https://klasma.github.io/Logging_2180/klagomålsmail/S 3895-2024 FSC-klagomål mail.docx", "S 3895-2024")</f>
        <v/>
      </c>
      <c r="AC143">
        <f>HYPERLINK("https://klasma.github.io/Logging_2180/tillsyn/S 3895-2024 tillsynsbegäran.docx", "S 3895-2024")</f>
        <v/>
      </c>
      <c r="AD143">
        <f>HYPERLINK("https://klasma.github.io/Logging_2180/tillsynsmail/S 3895-2024 tillsynsbegäran mail.docx", "S 3895-2024")</f>
        <v/>
      </c>
    </row>
    <row r="144" ht="15" customHeight="1">
      <c r="A144" t="inlineStr">
        <is>
          <t>S 952-2026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46113</v>
      </c>
      <c r="E144" s="1" t="n">
        <v>46286</v>
      </c>
      <c r="F144" t="inlineStr">
        <is>
          <t>GÄVLEBORGS LÄN</t>
        </is>
      </c>
      <c r="G144" t="inlineStr">
        <is>
          <t>GÄVLE</t>
        </is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3</v>
      </c>
      <c r="U144" t="n">
        <v>0</v>
      </c>
      <c r="V144" s="2" t="inlineStr">
        <is>
          <t>Mosippa</t>
        </is>
      </c>
      <c r="W144">
        <f>HYPERLINK("https://klasma.github.io/Logging_2180/artfynd/S 952-2026 artfynd.xlsx", "S 952-2026")</f>
        <v/>
      </c>
      <c r="X144">
        <f>HYPERLINK("https://klasma.github.io/Logging_2180/kartor/S 952-2026 karta.png", "S 952-2026")</f>
        <v/>
      </c>
      <c r="Y144">
        <f>HYPERLINK("https://klasma.github.io/Logging_2180/kartor_geotiff/S 952-2026 georefererad karta.tif", "S 952-2026")</f>
        <v/>
      </c>
      <c r="AA144">
        <f>HYPERLINK("https://klasma.github.io/Logging_2180/klagomål/S 952-2026 FSC-klagomål.docx", "S 952-2026")</f>
        <v/>
      </c>
      <c r="AB144">
        <f>HYPERLINK("https://klasma.github.io/Logging_2180/klagomålsmail/S 952-2026 FSC-klagomål mail.docx", "S 952-2026")</f>
        <v/>
      </c>
      <c r="AC144">
        <f>HYPERLINK("https://klasma.github.io/Logging_2180/tillsyn/S 952-2026 tillsynsbegäran.docx", "S 952-2026")</f>
        <v/>
      </c>
      <c r="AD144">
        <f>HYPERLINK("https://klasma.github.io/Logging_2180/tillsynsmail/S 952-2026 tillsynsbegäran mail.docx", "S 952-2026")</f>
        <v/>
      </c>
    </row>
    <row r="145" ht="15" customHeight="1">
      <c r="A145" t="inlineStr">
        <is>
          <t>A 66494-2021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44519</v>
      </c>
      <c r="E145" s="1" t="n">
        <v>46286</v>
      </c>
      <c r="F145" t="inlineStr">
        <is>
          <t>GÄVLEBORGS LÄN</t>
        </is>
      </c>
      <c r="G145" t="inlineStr">
        <is>
          <t>GÄVLE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46286</v>
      </c>
      <c r="F146" t="inlineStr">
        <is>
          <t>GÄVLEBORGS LÄN</t>
        </is>
      </c>
      <c r="G146" t="inlineStr">
        <is>
          <t>GÄVLE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46286</v>
      </c>
      <c r="F147" t="inlineStr">
        <is>
          <t>GÄVLEBORGS LÄN</t>
        </is>
      </c>
      <c r="G147" t="inlineStr">
        <is>
          <t>GÄVLE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44886</v>
      </c>
      <c r="E148" s="1" t="n">
        <v>46286</v>
      </c>
      <c r="F148" t="inlineStr">
        <is>
          <t>GÄVLEBORGS LÄN</t>
        </is>
      </c>
      <c r="G148" t="inlineStr">
        <is>
          <t>GÄVLE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11235-2022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44629</v>
      </c>
      <c r="E149" s="1" t="n">
        <v>46286</v>
      </c>
      <c r="F149" t="inlineStr">
        <is>
          <t>GÄVLEBORGS LÄN</t>
        </is>
      </c>
      <c r="G149" t="inlineStr">
        <is>
          <t>GÄVLE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44805</v>
      </c>
      <c r="E150" s="1" t="n">
        <v>46286</v>
      </c>
      <c r="F150" t="inlineStr">
        <is>
          <t>GÄVLEBORGS LÄN</t>
        </is>
      </c>
      <c r="G150" t="inlineStr">
        <is>
          <t>GÄVLE</t>
        </is>
      </c>
      <c r="H150" t="inlineStr">
        <is>
          <t>Kyrkan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59810-2021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44494</v>
      </c>
      <c r="E151" s="1" t="n">
        <v>46286</v>
      </c>
      <c r="F151" t="inlineStr">
        <is>
          <t>GÄVLEBORGS LÄN</t>
        </is>
      </c>
      <c r="G151" t="inlineStr">
        <is>
          <t>GÄVLE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26349-2022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44735</v>
      </c>
      <c r="E152" s="1" t="n">
        <v>46286</v>
      </c>
      <c r="F152" t="inlineStr">
        <is>
          <t>GÄVLEBORGS LÄN</t>
        </is>
      </c>
      <c r="G152" t="inlineStr">
        <is>
          <t>GÄVLE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44775</v>
      </c>
      <c r="E153" s="1" t="n">
        <v>46286</v>
      </c>
      <c r="F153" t="inlineStr">
        <is>
          <t>GÄVLEBORGS LÄN</t>
        </is>
      </c>
      <c r="G153" t="inlineStr">
        <is>
          <t>GÄVLE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51809-2021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44462</v>
      </c>
      <c r="E154" s="1" t="n">
        <v>46286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44573</v>
      </c>
      <c r="E155" s="1" t="n">
        <v>46286</v>
      </c>
      <c r="F155" t="inlineStr">
        <is>
          <t>GÄVLEBORGS LÄN</t>
        </is>
      </c>
      <c r="G155" t="inlineStr">
        <is>
          <t>GÄVLE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15704-2022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44663</v>
      </c>
      <c r="E156" s="1" t="n">
        <v>46286</v>
      </c>
      <c r="F156" t="inlineStr">
        <is>
          <t>GÄVLEBORGS LÄN</t>
        </is>
      </c>
      <c r="G156" t="inlineStr">
        <is>
          <t>GÄVLE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44882</v>
      </c>
      <c r="E157" s="1" t="n">
        <v>46286</v>
      </c>
      <c r="F157" t="inlineStr">
        <is>
          <t>GÄVLEBORGS LÄN</t>
        </is>
      </c>
      <c r="G157" t="inlineStr">
        <is>
          <t>GÄVLE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44813</v>
      </c>
      <c r="E158" s="1" t="n">
        <v>46286</v>
      </c>
      <c r="F158" t="inlineStr">
        <is>
          <t>GÄVLEBORGS LÄN</t>
        </is>
      </c>
      <c r="G158" t="inlineStr">
        <is>
          <t>GÄVLE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44756</v>
      </c>
      <c r="E159" s="1" t="n">
        <v>46286</v>
      </c>
      <c r="F159" t="inlineStr">
        <is>
          <t>GÄVLEBORGS LÄN</t>
        </is>
      </c>
      <c r="G159" t="inlineStr">
        <is>
          <t>GÄVLE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44671</v>
      </c>
      <c r="E160" s="1" t="n">
        <v>46286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46286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50389-2021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44459</v>
      </c>
      <c r="E162" s="1" t="n">
        <v>46286</v>
      </c>
      <c r="F162" t="inlineStr">
        <is>
          <t>GÄVLEBORGS LÄN</t>
        </is>
      </c>
      <c r="G162" t="inlineStr">
        <is>
          <t>GÄVLE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44599</v>
      </c>
      <c r="E163" s="1" t="n">
        <v>46286</v>
      </c>
      <c r="F163" t="inlineStr">
        <is>
          <t>GÄVLEBORGS LÄN</t>
        </is>
      </c>
      <c r="G163" t="inlineStr">
        <is>
          <t>GÄVLE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44735</v>
      </c>
      <c r="E164" s="1" t="n">
        <v>46286</v>
      </c>
      <c r="F164" t="inlineStr">
        <is>
          <t>GÄVLEBORGS LÄN</t>
        </is>
      </c>
      <c r="G164" t="inlineStr">
        <is>
          <t>GÄVLE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44658</v>
      </c>
      <c r="E165" s="1" t="n">
        <v>46286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44776</v>
      </c>
      <c r="E166" s="1" t="n">
        <v>46286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44571</v>
      </c>
      <c r="E167" s="1" t="n">
        <v>46286</v>
      </c>
      <c r="F167" t="inlineStr">
        <is>
          <t>GÄVLEBORGS LÄN</t>
        </is>
      </c>
      <c r="G167" t="inlineStr">
        <is>
          <t>GÄVLE</t>
        </is>
      </c>
      <c r="I167" t="n">
        <v>12.2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33280-2022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44788</v>
      </c>
      <c r="E168" s="1" t="n">
        <v>46286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öst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44589</v>
      </c>
      <c r="E169" s="1" t="n">
        <v>46286</v>
      </c>
      <c r="F169" t="inlineStr">
        <is>
          <t>GÄVLEBORGS LÄN</t>
        </is>
      </c>
      <c r="G169" t="inlineStr">
        <is>
          <t>GÄVLE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46286</v>
      </c>
      <c r="F170" t="inlineStr">
        <is>
          <t>GÄVLEBORGS LÄN</t>
        </is>
      </c>
      <c r="G170" t="inlineStr">
        <is>
          <t>GÄVLE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44796</v>
      </c>
      <c r="E171" s="1" t="n">
        <v>46286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46286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44599</v>
      </c>
      <c r="E173" s="1" t="n">
        <v>46286</v>
      </c>
      <c r="F173" t="inlineStr">
        <is>
          <t>GÄVLEBORGS LÄN</t>
        </is>
      </c>
      <c r="G173" t="inlineStr">
        <is>
          <t>GÄVLE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46286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44840</v>
      </c>
      <c r="E175" s="1" t="n">
        <v>46286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väst AB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51249-2021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44461</v>
      </c>
      <c r="E176" s="1" t="n">
        <v>46286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öst AB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46286</v>
      </c>
      <c r="F177" t="inlineStr">
        <is>
          <t>GÄVLEBORGS LÄN</t>
        </is>
      </c>
      <c r="G177" t="inlineStr">
        <is>
          <t>GÄVLE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44734</v>
      </c>
      <c r="E178" s="1" t="n">
        <v>46286</v>
      </c>
      <c r="F178" t="inlineStr">
        <is>
          <t>GÄVLEBORGS LÄN</t>
        </is>
      </c>
      <c r="G178" t="inlineStr">
        <is>
          <t>GÄVLE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46286</v>
      </c>
      <c r="F179" t="inlineStr">
        <is>
          <t>GÄVLEBORGS LÄN</t>
        </is>
      </c>
      <c r="G179" t="inlineStr">
        <is>
          <t>GÄVLE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44795</v>
      </c>
      <c r="E180" s="1" t="n">
        <v>46286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59515-2021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44491</v>
      </c>
      <c r="E181" s="1" t="n">
        <v>46286</v>
      </c>
      <c r="F181" t="inlineStr">
        <is>
          <t>GÄVLEBORGS LÄN</t>
        </is>
      </c>
      <c r="G181" t="inlineStr">
        <is>
          <t>GÄVLE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46286</v>
      </c>
      <c r="F182" t="inlineStr">
        <is>
          <t>GÄVLEBORGS LÄN</t>
        </is>
      </c>
      <c r="G182" t="inlineStr">
        <is>
          <t>GÄVLE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55976-2022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44889</v>
      </c>
      <c r="E183" s="1" t="n">
        <v>46286</v>
      </c>
      <c r="F183" t="inlineStr">
        <is>
          <t>GÄVLEBORGS LÄN</t>
        </is>
      </c>
      <c r="G183" t="inlineStr">
        <is>
          <t>GÄVLE</t>
        </is>
      </c>
      <c r="H183" t="inlineStr">
        <is>
          <t>Kyrkan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45014</v>
      </c>
      <c r="E184" s="1" t="n">
        <v>46286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23587-2024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45454</v>
      </c>
      <c r="E185" s="1" t="n">
        <v>46286</v>
      </c>
      <c r="F185" t="inlineStr">
        <is>
          <t>GÄVLEBORGS LÄN</t>
        </is>
      </c>
      <c r="G185" t="inlineStr">
        <is>
          <t>GÄVLE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44959</v>
      </c>
      <c r="E186" s="1" t="n">
        <v>46286</v>
      </c>
      <c r="F186" t="inlineStr">
        <is>
          <t>GÄVLEBORGS LÄN</t>
        </is>
      </c>
      <c r="G186" t="inlineStr">
        <is>
          <t>GÄVLE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45611</v>
      </c>
      <c r="E187" s="1" t="n">
        <v>46286</v>
      </c>
      <c r="F187" t="inlineStr">
        <is>
          <t>GÄVLEBORGS LÄN</t>
        </is>
      </c>
      <c r="G187" t="inlineStr">
        <is>
          <t>GÄVLE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18017-2023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45040</v>
      </c>
      <c r="E188" s="1" t="n">
        <v>46286</v>
      </c>
      <c r="F188" t="inlineStr">
        <is>
          <t>GÄVLEBORGS LÄN</t>
        </is>
      </c>
      <c r="G188" t="inlineStr">
        <is>
          <t>GÄVLE</t>
        </is>
      </c>
      <c r="H188" t="inlineStr">
        <is>
          <t>Bergvik skog väst AB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46286</v>
      </c>
      <c r="F189" t="inlineStr">
        <is>
          <t>GÄVLEBORGS LÄN</t>
        </is>
      </c>
      <c r="G189" t="inlineStr">
        <is>
          <t>GÄVLE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45660</v>
      </c>
      <c r="E190" s="1" t="n">
        <v>46286</v>
      </c>
      <c r="F190" t="inlineStr">
        <is>
          <t>GÄVLEBORGS LÄN</t>
        </is>
      </c>
      <c r="G190" t="inlineStr">
        <is>
          <t>GÄVLE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44585</v>
      </c>
      <c r="E191" s="1" t="n">
        <v>46286</v>
      </c>
      <c r="F191" t="inlineStr">
        <is>
          <t>GÄVLEBORGS LÄN</t>
        </is>
      </c>
      <c r="G191" t="inlineStr">
        <is>
          <t>GÄVLE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44637</v>
      </c>
      <c r="E192" s="1" t="n">
        <v>46286</v>
      </c>
      <c r="F192" t="inlineStr">
        <is>
          <t>GÄVLEBORGS LÄN</t>
        </is>
      </c>
      <c r="G192" t="inlineStr">
        <is>
          <t>GÄVLE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44656</v>
      </c>
      <c r="E193" s="1" t="n">
        <v>46286</v>
      </c>
      <c r="F193" t="inlineStr">
        <is>
          <t>GÄVLEBORGS LÄN</t>
        </is>
      </c>
      <c r="G193" t="inlineStr">
        <is>
          <t>GÄVLE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45666</v>
      </c>
      <c r="E194" s="1" t="n">
        <v>46286</v>
      </c>
      <c r="F194" t="inlineStr">
        <is>
          <t>GÄVLEBORGS LÄN</t>
        </is>
      </c>
      <c r="G194" t="inlineStr">
        <is>
          <t>GÄVLE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45726</v>
      </c>
      <c r="E195" s="1" t="n">
        <v>46286</v>
      </c>
      <c r="F195" t="inlineStr">
        <is>
          <t>GÄVLEBORGS LÄN</t>
        </is>
      </c>
      <c r="G195" t="inlineStr">
        <is>
          <t>GÄVLE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61492-2024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45646</v>
      </c>
      <c r="E196" s="1" t="n">
        <v>46286</v>
      </c>
      <c r="F196" t="inlineStr">
        <is>
          <t>GÄVLEBORGS LÄN</t>
        </is>
      </c>
      <c r="G196" t="inlineStr">
        <is>
          <t>GÄVLE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38793-2024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45547</v>
      </c>
      <c r="E197" s="1" t="n">
        <v>46286</v>
      </c>
      <c r="F197" t="inlineStr">
        <is>
          <t>GÄVLEBORGS LÄN</t>
        </is>
      </c>
      <c r="G197" t="inlineStr">
        <is>
          <t>GÄVLE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45089</v>
      </c>
      <c r="E198" s="1" t="n">
        <v>46286</v>
      </c>
      <c r="F198" t="inlineStr">
        <is>
          <t>GÄVLEBORGS LÄN</t>
        </is>
      </c>
      <c r="G198" t="inlineStr">
        <is>
          <t>GÄVLE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46286</v>
      </c>
      <c r="F199" t="inlineStr">
        <is>
          <t>GÄVLEBORGS LÄN</t>
        </is>
      </c>
      <c r="G199" t="inlineStr">
        <is>
          <t>GÄVLE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37534-2023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45158</v>
      </c>
      <c r="E200" s="1" t="n">
        <v>46286</v>
      </c>
      <c r="F200" t="inlineStr">
        <is>
          <t>GÄVLEBORGS LÄN</t>
        </is>
      </c>
      <c r="G200" t="inlineStr">
        <is>
          <t>GÄVLE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45158</v>
      </c>
      <c r="E201" s="1" t="n">
        <v>46286</v>
      </c>
      <c r="F201" t="inlineStr">
        <is>
          <t>GÄVLEBORGS LÄN</t>
        </is>
      </c>
      <c r="G201" t="inlineStr">
        <is>
          <t>GÄVLE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46286</v>
      </c>
      <c r="F202" t="inlineStr">
        <is>
          <t>GÄVLEBORGS LÄN</t>
        </is>
      </c>
      <c r="G202" t="inlineStr">
        <is>
          <t>GÄVLE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21795-2022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44708</v>
      </c>
      <c r="E203" s="1" t="n">
        <v>46286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9426-2025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45715</v>
      </c>
      <c r="E204" s="1" t="n">
        <v>46286</v>
      </c>
      <c r="F204" t="inlineStr">
        <is>
          <t>GÄVLEBORGS LÄN</t>
        </is>
      </c>
      <c r="G204" t="inlineStr">
        <is>
          <t>GÄVLE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45104</v>
      </c>
      <c r="E205" s="1" t="n">
        <v>46286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väst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45278-2022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44840</v>
      </c>
      <c r="E206" s="1" t="n">
        <v>46286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8.5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49771-2022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46286</v>
      </c>
      <c r="F207" t="inlineStr">
        <is>
          <t>GÄVLEBORGS LÄN</t>
        </is>
      </c>
      <c r="G207" t="inlineStr">
        <is>
          <t>GÄVLE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2400-2023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44942</v>
      </c>
      <c r="E208" s="1" t="n">
        <v>46286</v>
      </c>
      <c r="F208" t="inlineStr">
        <is>
          <t>GÄVLEBORGS LÄN</t>
        </is>
      </c>
      <c r="G208" t="inlineStr">
        <is>
          <t>GÄVLE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19095-2022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44691</v>
      </c>
      <c r="E209" s="1" t="n">
        <v>46286</v>
      </c>
      <c r="F209" t="inlineStr">
        <is>
          <t>GÄVLEBORGS LÄN</t>
        </is>
      </c>
      <c r="G209" t="inlineStr">
        <is>
          <t>GÄVLE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46286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45324</v>
      </c>
      <c r="E211" s="1" t="n">
        <v>46286</v>
      </c>
      <c r="F211" t="inlineStr">
        <is>
          <t>GÄVLEBORGS LÄN</t>
        </is>
      </c>
      <c r="G211" t="inlineStr">
        <is>
          <t>GÄVLE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45117</v>
      </c>
      <c r="E212" s="1" t="n">
        <v>46286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29923-2022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44756</v>
      </c>
      <c r="E213" s="1" t="n">
        <v>46286</v>
      </c>
      <c r="F213" t="inlineStr">
        <is>
          <t>GÄVLEBORGS LÄN</t>
        </is>
      </c>
      <c r="G213" t="inlineStr">
        <is>
          <t>GÄVLE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29927-2022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44756</v>
      </c>
      <c r="E214" s="1" t="n">
        <v>46286</v>
      </c>
      <c r="F214" t="inlineStr">
        <is>
          <t>GÄVLEBORGS LÄN</t>
        </is>
      </c>
      <c r="G214" t="inlineStr">
        <is>
          <t>GÄVLE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45084</v>
      </c>
      <c r="E215" s="1" t="n">
        <v>46286</v>
      </c>
      <c r="F215" t="inlineStr">
        <is>
          <t>GÄVLEBORGS LÄN</t>
        </is>
      </c>
      <c r="G215" t="inlineStr">
        <is>
          <t>GÄVLE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71249-2021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44539</v>
      </c>
      <c r="E216" s="1" t="n">
        <v>46286</v>
      </c>
      <c r="F216" t="inlineStr">
        <is>
          <t>GÄVLEBORGS LÄN</t>
        </is>
      </c>
      <c r="G216" t="inlineStr">
        <is>
          <t>GÄVLE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45125</v>
      </c>
      <c r="E217" s="1" t="n">
        <v>46286</v>
      </c>
      <c r="F217" t="inlineStr">
        <is>
          <t>GÄVLEBORGS LÄN</t>
        </is>
      </c>
      <c r="G217" t="inlineStr">
        <is>
          <t>GÄVLE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58370-2024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45632</v>
      </c>
      <c r="E218" s="1" t="n">
        <v>46286</v>
      </c>
      <c r="F218" t="inlineStr">
        <is>
          <t>GÄVLEBORGS LÄN</t>
        </is>
      </c>
      <c r="G218" t="inlineStr">
        <is>
          <t>GÄVLE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19424-2022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44693</v>
      </c>
      <c r="E219" s="1" t="n">
        <v>46286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50871-2022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44867</v>
      </c>
      <c r="E220" s="1" t="n">
        <v>46286</v>
      </c>
      <c r="F220" t="inlineStr">
        <is>
          <t>GÄVLEBORGS LÄN</t>
        </is>
      </c>
      <c r="G220" t="inlineStr">
        <is>
          <t>GÄVLE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38558-2023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45162</v>
      </c>
      <c r="E221" s="1" t="n">
        <v>46286</v>
      </c>
      <c r="F221" t="inlineStr">
        <is>
          <t>GÄVLEBORGS LÄN</t>
        </is>
      </c>
      <c r="G221" t="inlineStr">
        <is>
          <t>GÄVLE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10001-2025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45719</v>
      </c>
      <c r="E222" s="1" t="n">
        <v>46286</v>
      </c>
      <c r="F222" t="inlineStr">
        <is>
          <t>GÄVLEBORGS LÄN</t>
        </is>
      </c>
      <c r="G222" t="inlineStr">
        <is>
          <t>GÄVLE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44733</v>
      </c>
      <c r="E223" s="1" t="n">
        <v>46286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öst AB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37258-2024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46286</v>
      </c>
      <c r="F224" t="inlineStr">
        <is>
          <t>GÄVLEBORGS LÄN</t>
        </is>
      </c>
      <c r="G224" t="inlineStr">
        <is>
          <t>GÄVLE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61300-2024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45645</v>
      </c>
      <c r="E225" s="1" t="n">
        <v>46286</v>
      </c>
      <c r="F225" t="inlineStr">
        <is>
          <t>GÄVLEBORGS LÄN</t>
        </is>
      </c>
      <c r="G225" t="inlineStr">
        <is>
          <t>GÄVLE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45652</v>
      </c>
      <c r="E226" s="1" t="n">
        <v>46286</v>
      </c>
      <c r="F226" t="inlineStr">
        <is>
          <t>GÄVLEBORGS LÄN</t>
        </is>
      </c>
      <c r="G226" t="inlineStr">
        <is>
          <t>GÄVLE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10577-2023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44988</v>
      </c>
      <c r="E227" s="1" t="n">
        <v>46286</v>
      </c>
      <c r="F227" t="inlineStr">
        <is>
          <t>GÄVLEBORGS LÄN</t>
        </is>
      </c>
      <c r="G227" t="inlineStr">
        <is>
          <t>GÄVLE</t>
        </is>
      </c>
      <c r="H227" t="inlineStr">
        <is>
          <t>Kyrkan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27787-2024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45475</v>
      </c>
      <c r="E228" s="1" t="n">
        <v>46286</v>
      </c>
      <c r="F228" t="inlineStr">
        <is>
          <t>GÄVLEBORGS LÄN</t>
        </is>
      </c>
      <c r="G228" t="inlineStr">
        <is>
          <t>GÄVLE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40498-2022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44823</v>
      </c>
      <c r="E229" s="1" t="n">
        <v>46286</v>
      </c>
      <c r="F229" t="inlineStr">
        <is>
          <t>GÄVLEBORGS LÄN</t>
        </is>
      </c>
      <c r="G229" t="inlineStr">
        <is>
          <t>GÄVLE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16624-2023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45030</v>
      </c>
      <c r="E230" s="1" t="n">
        <v>46286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45726</v>
      </c>
      <c r="E231" s="1" t="n">
        <v>46286</v>
      </c>
      <c r="F231" t="inlineStr">
        <is>
          <t>GÄVLEBORGS LÄN</t>
        </is>
      </c>
      <c r="G231" t="inlineStr">
        <is>
          <t>GÄVLE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4482-2022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44589</v>
      </c>
      <c r="E232" s="1" t="n">
        <v>46286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öst AB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26129-2024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45468</v>
      </c>
      <c r="E233" s="1" t="n">
        <v>46286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9.9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45146</v>
      </c>
      <c r="E234" s="1" t="n">
        <v>46286</v>
      </c>
      <c r="F234" t="inlineStr">
        <is>
          <t>GÄVLEBORGS LÄN</t>
        </is>
      </c>
      <c r="G234" t="inlineStr">
        <is>
          <t>GÄVLE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35206-2024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45530</v>
      </c>
      <c r="E235" s="1" t="n">
        <v>46286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öst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45324</v>
      </c>
      <c r="E236" s="1" t="n">
        <v>46286</v>
      </c>
      <c r="F236" t="inlineStr">
        <is>
          <t>GÄVLEBORGS LÄN</t>
        </is>
      </c>
      <c r="G236" t="inlineStr">
        <is>
          <t>GÄVLE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45672</v>
      </c>
      <c r="E237" s="1" t="n">
        <v>46286</v>
      </c>
      <c r="F237" t="inlineStr">
        <is>
          <t>GÄVLEBORGS LÄN</t>
        </is>
      </c>
      <c r="G237" t="inlineStr">
        <is>
          <t>GÄVLE</t>
        </is>
      </c>
      <c r="H237" t="inlineStr">
        <is>
          <t>Kyrkan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45261</v>
      </c>
      <c r="E238" s="1" t="n">
        <v>46286</v>
      </c>
      <c r="F238" t="inlineStr">
        <is>
          <t>GÄVLEBORGS LÄN</t>
        </is>
      </c>
      <c r="G238" t="inlineStr">
        <is>
          <t>GÄVLE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17062-2023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45034</v>
      </c>
      <c r="E239" s="1" t="n">
        <v>46286</v>
      </c>
      <c r="F239" t="inlineStr">
        <is>
          <t>GÄVLEBORGS LÄN</t>
        </is>
      </c>
      <c r="G239" t="inlineStr">
        <is>
          <t>GÄVLE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44951</v>
      </c>
      <c r="E240" s="1" t="n">
        <v>46286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25593-2024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46286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18217-2024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45420</v>
      </c>
      <c r="E242" s="1" t="n">
        <v>46286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44935</v>
      </c>
      <c r="E243" s="1" t="n">
        <v>46286</v>
      </c>
      <c r="F243" t="inlineStr">
        <is>
          <t>GÄVLEBORGS LÄN</t>
        </is>
      </c>
      <c r="G243" t="inlineStr">
        <is>
          <t>GÄVLE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10352-2025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45720</v>
      </c>
      <c r="E244" s="1" t="n">
        <v>46286</v>
      </c>
      <c r="F244" t="inlineStr">
        <is>
          <t>GÄVLEBORGS LÄN</t>
        </is>
      </c>
      <c r="G244" t="inlineStr">
        <is>
          <t>GÄVLE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44960</v>
      </c>
      <c r="E245" s="1" t="n">
        <v>46286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öst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45084</v>
      </c>
      <c r="E246" s="1" t="n">
        <v>46286</v>
      </c>
      <c r="F246" t="inlineStr">
        <is>
          <t>GÄVLEBORGS LÄN</t>
        </is>
      </c>
      <c r="G246" t="inlineStr">
        <is>
          <t>GÄVLE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46286</v>
      </c>
      <c r="F247" t="inlineStr">
        <is>
          <t>GÄVLEBORGS LÄN</t>
        </is>
      </c>
      <c r="G247" t="inlineStr">
        <is>
          <t>GÄVLE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65879-2021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44517</v>
      </c>
      <c r="E248" s="1" t="n">
        <v>46286</v>
      </c>
      <c r="F248" t="inlineStr">
        <is>
          <t>GÄVLEBORGS LÄN</t>
        </is>
      </c>
      <c r="G248" t="inlineStr">
        <is>
          <t>GÄVLE</t>
        </is>
      </c>
      <c r="H248" t="inlineStr">
        <is>
          <t>Kyrkan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70043-2021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44533</v>
      </c>
      <c r="E249" s="1" t="n">
        <v>46286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34600-2024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45526</v>
      </c>
      <c r="E250" s="1" t="n">
        <v>46286</v>
      </c>
      <c r="F250" t="inlineStr">
        <is>
          <t>GÄVLEBORGS LÄN</t>
        </is>
      </c>
      <c r="G250" t="inlineStr">
        <is>
          <t>GÄVLE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45681</v>
      </c>
      <c r="E251" s="1" t="n">
        <v>46286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48834-2024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45593</v>
      </c>
      <c r="E252" s="1" t="n">
        <v>46286</v>
      </c>
      <c r="F252" t="inlineStr">
        <is>
          <t>GÄVLEBORGS LÄN</t>
        </is>
      </c>
      <c r="G252" t="inlineStr">
        <is>
          <t>GÄVLE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45468</v>
      </c>
      <c r="E253" s="1" t="n">
        <v>46286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26094-2025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45805</v>
      </c>
      <c r="E254" s="1" t="n">
        <v>46286</v>
      </c>
      <c r="F254" t="inlineStr">
        <is>
          <t>GÄVLEBORGS LÄN</t>
        </is>
      </c>
      <c r="G254" t="inlineStr">
        <is>
          <t>GÄVLE</t>
        </is>
      </c>
      <c r="I254" t="n">
        <v>12.4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38627-2025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45884</v>
      </c>
      <c r="E255" s="1" t="n">
        <v>46286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13499-2026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46094</v>
      </c>
      <c r="E256" s="1" t="n">
        <v>46286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öst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57341-2023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45245</v>
      </c>
      <c r="E257" s="1" t="n">
        <v>46286</v>
      </c>
      <c r="F257" t="inlineStr">
        <is>
          <t>GÄVLEBORGS LÄN</t>
        </is>
      </c>
      <c r="G257" t="inlineStr">
        <is>
          <t>GÄVLE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45862</v>
      </c>
      <c r="E258" s="1" t="n">
        <v>46286</v>
      </c>
      <c r="F258" t="inlineStr">
        <is>
          <t>GÄVLEBORGS LÄN</t>
        </is>
      </c>
      <c r="G258" t="inlineStr">
        <is>
          <t>GÄVLE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18162-2022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44684</v>
      </c>
      <c r="E259" s="1" t="n">
        <v>46286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46286</v>
      </c>
      <c r="F260" t="inlineStr">
        <is>
          <t>GÄVLEBORGS LÄN</t>
        </is>
      </c>
      <c r="G260" t="inlineStr">
        <is>
          <t>GÄVLE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45744</v>
      </c>
      <c r="E261" s="1" t="n">
        <v>46286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öst AB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45905</v>
      </c>
      <c r="E262" s="1" t="n">
        <v>46286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46286</v>
      </c>
      <c r="F263" t="inlineStr">
        <is>
          <t>GÄVLEBORGS LÄN</t>
        </is>
      </c>
      <c r="G263" t="inlineStr">
        <is>
          <t>GÄVLE</t>
        </is>
      </c>
      <c r="H263" t="inlineStr">
        <is>
          <t>Kyrkan</t>
        </is>
      </c>
      <c r="I263" t="n">
        <v>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15536-2026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46286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öst AB</t>
        </is>
      </c>
      <c r="I264" t="n">
        <v>22.4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46077</v>
      </c>
      <c r="E265" s="1" t="n">
        <v>46286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öst AB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46286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15092-2026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46105</v>
      </c>
      <c r="E267" s="1" t="n">
        <v>46286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38255-2023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45161</v>
      </c>
      <c r="E268" s="1" t="n">
        <v>46286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38516-2025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45884</v>
      </c>
      <c r="E269" s="1" t="n">
        <v>46286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öst AB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15105-2025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45744</v>
      </c>
      <c r="E270" s="1" t="n">
        <v>46286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öst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31062-2023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45113</v>
      </c>
      <c r="E271" s="1" t="n">
        <v>46286</v>
      </c>
      <c r="F271" t="inlineStr">
        <is>
          <t>GÄVLEBORGS LÄN</t>
        </is>
      </c>
      <c r="G271" t="inlineStr">
        <is>
          <t>GÄVLE</t>
        </is>
      </c>
      <c r="H271" t="inlineStr">
        <is>
          <t>Kommuner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26249-2022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44735</v>
      </c>
      <c r="E272" s="1" t="n">
        <v>46286</v>
      </c>
      <c r="F272" t="inlineStr">
        <is>
          <t>GÄVLEBORGS LÄN</t>
        </is>
      </c>
      <c r="G272" t="inlineStr">
        <is>
          <t>GÄVLE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51876-2023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45223</v>
      </c>
      <c r="E273" s="1" t="n">
        <v>46286</v>
      </c>
      <c r="F273" t="inlineStr">
        <is>
          <t>GÄVLEBORGS LÄN</t>
        </is>
      </c>
      <c r="G273" t="inlineStr">
        <is>
          <t>GÄVLE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45715</v>
      </c>
      <c r="E274" s="1" t="n">
        <v>46286</v>
      </c>
      <c r="F274" t="inlineStr">
        <is>
          <t>GÄVLEBORGS LÄN</t>
        </is>
      </c>
      <c r="G274" t="inlineStr">
        <is>
          <t>GÄVLE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9331-2026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46070</v>
      </c>
      <c r="E275" s="1" t="n">
        <v>46286</v>
      </c>
      <c r="F275" t="inlineStr">
        <is>
          <t>GÄVLEBORGS LÄN</t>
        </is>
      </c>
      <c r="G275" t="inlineStr">
        <is>
          <t>GÄVLE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19555-2022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44693</v>
      </c>
      <c r="E276" s="1" t="n">
        <v>46286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39878-2025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45891</v>
      </c>
      <c r="E277" s="1" t="n">
        <v>46286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8568-2026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46065</v>
      </c>
      <c r="E278" s="1" t="n">
        <v>46286</v>
      </c>
      <c r="F278" t="inlineStr">
        <is>
          <t>GÄVLEBORGS LÄN</t>
        </is>
      </c>
      <c r="G278" t="inlineStr">
        <is>
          <t>GÄVLE</t>
        </is>
      </c>
      <c r="I278" t="n">
        <v>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15444-2024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45401</v>
      </c>
      <c r="E279" s="1" t="n">
        <v>46286</v>
      </c>
      <c r="F279" t="inlineStr">
        <is>
          <t>GÄVLEBORGS LÄN</t>
        </is>
      </c>
      <c r="G279" t="inlineStr">
        <is>
          <t>GÄVLE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15689-2026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46107</v>
      </c>
      <c r="E280" s="1" t="n">
        <v>46286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öst AB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15275-2026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46286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15.2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45454</v>
      </c>
      <c r="E282" s="1" t="n">
        <v>46286</v>
      </c>
      <c r="F282" t="inlineStr">
        <is>
          <t>GÄVLEBORGS LÄN</t>
        </is>
      </c>
      <c r="G282" t="inlineStr">
        <is>
          <t>GÄVLE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49380-2024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45595</v>
      </c>
      <c r="E283" s="1" t="n">
        <v>46286</v>
      </c>
      <c r="F283" t="inlineStr">
        <is>
          <t>GÄVLEBORGS LÄN</t>
        </is>
      </c>
      <c r="G283" t="inlineStr">
        <is>
          <t>GÄVLE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45742</v>
      </c>
      <c r="E284" s="1" t="n">
        <v>46286</v>
      </c>
      <c r="F284" t="inlineStr">
        <is>
          <t>GÄVLEBORGS LÄN</t>
        </is>
      </c>
      <c r="G284" t="inlineStr">
        <is>
          <t>GÄVLE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46286</v>
      </c>
      <c r="F285" t="inlineStr">
        <is>
          <t>GÄVLEBORGS LÄN</t>
        </is>
      </c>
      <c r="G285" t="inlineStr">
        <is>
          <t>GÄVLE</t>
        </is>
      </c>
      <c r="H285" t="inlineStr">
        <is>
          <t>Kyrkan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40297-2025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45895</v>
      </c>
      <c r="E286" s="1" t="n">
        <v>46286</v>
      </c>
      <c r="F286" t="inlineStr">
        <is>
          <t>GÄVLEBORGS LÄN</t>
        </is>
      </c>
      <c r="G286" t="inlineStr">
        <is>
          <t>GÄVLE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3334-2022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44585</v>
      </c>
      <c r="E287" s="1" t="n">
        <v>46286</v>
      </c>
      <c r="F287" t="inlineStr">
        <is>
          <t>GÄVLEBORGS LÄN</t>
        </is>
      </c>
      <c r="G287" t="inlineStr">
        <is>
          <t>GÄVLE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45665</v>
      </c>
      <c r="E288" s="1" t="n">
        <v>46286</v>
      </c>
      <c r="F288" t="inlineStr">
        <is>
          <t>GÄVLEBORGS LÄN</t>
        </is>
      </c>
      <c r="G288" t="inlineStr">
        <is>
          <t>GÄVLE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9025-2026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46069</v>
      </c>
      <c r="E289" s="1" t="n">
        <v>46286</v>
      </c>
      <c r="F289" t="inlineStr">
        <is>
          <t>GÄVLEBORGS LÄN</t>
        </is>
      </c>
      <c r="G289" t="inlineStr">
        <is>
          <t>GÄVLE</t>
        </is>
      </c>
      <c r="I289" t="n">
        <v>12.7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45896</v>
      </c>
      <c r="E290" s="1" t="n">
        <v>46286</v>
      </c>
      <c r="F290" t="inlineStr">
        <is>
          <t>GÄVLEBORGS LÄN</t>
        </is>
      </c>
      <c r="G290" t="inlineStr">
        <is>
          <t>GÄVLE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45882</v>
      </c>
      <c r="E291" s="1" t="n">
        <v>46286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45897</v>
      </c>
      <c r="E292" s="1" t="n">
        <v>46286</v>
      </c>
      <c r="F292" t="inlineStr">
        <is>
          <t>GÄVLEBORGS LÄN</t>
        </is>
      </c>
      <c r="G292" t="inlineStr">
        <is>
          <t>GÄVLE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26334-2022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44735</v>
      </c>
      <c r="E293" s="1" t="n">
        <v>46286</v>
      </c>
      <c r="F293" t="inlineStr">
        <is>
          <t>GÄVLEBORGS LÄN</t>
        </is>
      </c>
      <c r="G293" t="inlineStr">
        <is>
          <t>GÄVLE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46286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9.699999999999999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41046-2025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45898</v>
      </c>
      <c r="E295" s="1" t="n">
        <v>46286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20999-2022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44701</v>
      </c>
      <c r="E296" s="1" t="n">
        <v>46286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26.3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15939-2025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45749</v>
      </c>
      <c r="E297" s="1" t="n">
        <v>46286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41083-2025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46286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41093-2025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45898</v>
      </c>
      <c r="E299" s="1" t="n">
        <v>46286</v>
      </c>
      <c r="F299" t="inlineStr">
        <is>
          <t>GÄVLEBORGS LÄN</t>
        </is>
      </c>
      <c r="G299" t="inlineStr">
        <is>
          <t>GÄVLE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45869</v>
      </c>
      <c r="E300" s="1" t="n">
        <v>46286</v>
      </c>
      <c r="F300" t="inlineStr">
        <is>
          <t>GÄVLEBORGS LÄN</t>
        </is>
      </c>
      <c r="G300" t="inlineStr">
        <is>
          <t>GÄVLE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40992-2025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45898</v>
      </c>
      <c r="E301" s="1" t="n">
        <v>46286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40993-2025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45898</v>
      </c>
      <c r="E302" s="1" t="n">
        <v>46286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45898</v>
      </c>
      <c r="E303" s="1" t="n">
        <v>46286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32143-2024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45511</v>
      </c>
      <c r="E304" s="1" t="n">
        <v>46286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30104-2024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45485</v>
      </c>
      <c r="E305" s="1" t="n">
        <v>46286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57570-2024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45630</v>
      </c>
      <c r="E306" s="1" t="n">
        <v>46286</v>
      </c>
      <c r="F306" t="inlineStr">
        <is>
          <t>GÄVLEBORGS LÄN</t>
        </is>
      </c>
      <c r="G306" t="inlineStr">
        <is>
          <t>GÄVLE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14355-2026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46100</v>
      </c>
      <c r="E307" s="1" t="n">
        <v>46286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45902</v>
      </c>
      <c r="E308" s="1" t="n">
        <v>46286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väst AB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42557-2025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45905</v>
      </c>
      <c r="E309" s="1" t="n">
        <v>46286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väst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45909</v>
      </c>
      <c r="E310" s="1" t="n">
        <v>46286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43089-2025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45909</v>
      </c>
      <c r="E311" s="1" t="n">
        <v>46286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43097-2025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45909</v>
      </c>
      <c r="E312" s="1" t="n">
        <v>46286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43087-2025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45909</v>
      </c>
      <c r="E313" s="1" t="n">
        <v>46286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6331-2022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44600</v>
      </c>
      <c r="E314" s="1" t="n">
        <v>46286</v>
      </c>
      <c r="F314" t="inlineStr">
        <is>
          <t>GÄVLEBORGS LÄN</t>
        </is>
      </c>
      <c r="G314" t="inlineStr">
        <is>
          <t>GÄVLE</t>
        </is>
      </c>
      <c r="H314" t="inlineStr">
        <is>
          <t>Kyrkan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15647-2026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46286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43356-2025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46286</v>
      </c>
      <c r="F316" t="inlineStr">
        <is>
          <t>GÄVLEBORGS LÄN</t>
        </is>
      </c>
      <c r="G316" t="inlineStr">
        <is>
          <t>GÄVLE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45908</v>
      </c>
      <c r="E317" s="1" t="n">
        <v>46286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20589-2026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46140</v>
      </c>
      <c r="E318" s="1" t="n">
        <v>46286</v>
      </c>
      <c r="F318" t="inlineStr">
        <is>
          <t>GÄVLEBORGS LÄN</t>
        </is>
      </c>
      <c r="G318" t="inlineStr">
        <is>
          <t>GÄVLE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1096-2026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46286</v>
      </c>
      <c r="F319" t="inlineStr">
        <is>
          <t>GÄVLEBORGS LÄN</t>
        </is>
      </c>
      <c r="G319" t="inlineStr">
        <is>
          <t>GÄVLE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18168-2022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44684</v>
      </c>
      <c r="E320" s="1" t="n">
        <v>46286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46077</v>
      </c>
      <c r="E321" s="1" t="n">
        <v>46286</v>
      </c>
      <c r="F321" t="inlineStr">
        <is>
          <t>GÄVLEBORGS LÄN</t>
        </is>
      </c>
      <c r="G321" t="inlineStr">
        <is>
          <t>GÄVLE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46111</v>
      </c>
      <c r="E322" s="1" t="n">
        <v>46286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öst AB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46111</v>
      </c>
      <c r="E323" s="1" t="n">
        <v>46286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46108</v>
      </c>
      <c r="E324" s="1" t="n">
        <v>46286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44060-2025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46286</v>
      </c>
      <c r="F325" t="inlineStr">
        <is>
          <t>GÄVLEBORGS LÄN</t>
        </is>
      </c>
      <c r="G325" t="inlineStr">
        <is>
          <t>GÄVLE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20736-2026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46141</v>
      </c>
      <c r="E326" s="1" t="n">
        <v>46286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1475-2026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46033</v>
      </c>
      <c r="E327" s="1" t="n">
        <v>46286</v>
      </c>
      <c r="F327" t="inlineStr">
        <is>
          <t>GÄVLEBORGS LÄN</t>
        </is>
      </c>
      <c r="G327" t="inlineStr">
        <is>
          <t>GÄVLE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20785-2026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46141</v>
      </c>
      <c r="E328" s="1" t="n">
        <v>46286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19730-2022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44694</v>
      </c>
      <c r="E329" s="1" t="n">
        <v>46286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45138</v>
      </c>
      <c r="E330" s="1" t="n">
        <v>46286</v>
      </c>
      <c r="F330" t="inlineStr">
        <is>
          <t>GÄVLEBORGS LÄN</t>
        </is>
      </c>
      <c r="G330" t="inlineStr">
        <is>
          <t>GÄVLE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39022-2025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45888</v>
      </c>
      <c r="E331" s="1" t="n">
        <v>46286</v>
      </c>
      <c r="F331" t="inlineStr">
        <is>
          <t>GÄVLEBORGS LÄN</t>
        </is>
      </c>
      <c r="G331" t="inlineStr">
        <is>
          <t>GÄVLE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45705</v>
      </c>
      <c r="E332" s="1" t="n">
        <v>46286</v>
      </c>
      <c r="F332" t="inlineStr">
        <is>
          <t>GÄVLEBORGS LÄN</t>
        </is>
      </c>
      <c r="G332" t="inlineStr">
        <is>
          <t>GÄVLE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40091-2023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45168</v>
      </c>
      <c r="E333" s="1" t="n">
        <v>46286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44951</v>
      </c>
      <c r="E334" s="1" t="n">
        <v>46286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44951</v>
      </c>
      <c r="E335" s="1" t="n">
        <v>46286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45850-2025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45923</v>
      </c>
      <c r="E336" s="1" t="n">
        <v>46286</v>
      </c>
      <c r="F336" t="inlineStr">
        <is>
          <t>GÄVLEBORGS LÄN</t>
        </is>
      </c>
      <c r="G336" t="inlineStr">
        <is>
          <t>GÄVLE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45896</v>
      </c>
      <c r="E337" s="1" t="n">
        <v>46286</v>
      </c>
      <c r="F337" t="inlineStr">
        <is>
          <t>GÄVLEBORGS LÄN</t>
        </is>
      </c>
      <c r="G337" t="inlineStr">
        <is>
          <t>GÄVLE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45784</v>
      </c>
      <c r="E338" s="1" t="n">
        <v>46286</v>
      </c>
      <c r="F338" t="inlineStr">
        <is>
          <t>GÄVLEBORGS LÄN</t>
        </is>
      </c>
      <c r="G338" t="inlineStr">
        <is>
          <t>GÄVLE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46286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46011-2025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45924</v>
      </c>
      <c r="E340" s="1" t="n">
        <v>46286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59322-2022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44904</v>
      </c>
      <c r="E341" s="1" t="n">
        <v>46286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44962</v>
      </c>
      <c r="E342" s="1" t="n">
        <v>46286</v>
      </c>
      <c r="F342" t="inlineStr">
        <is>
          <t>GÄVLEBORGS LÄN</t>
        </is>
      </c>
      <c r="G342" t="inlineStr">
        <is>
          <t>GÄVLE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45660</v>
      </c>
      <c r="E343" s="1" t="n">
        <v>46286</v>
      </c>
      <c r="F343" t="inlineStr">
        <is>
          <t>GÄVLEBORGS LÄN</t>
        </is>
      </c>
      <c r="G343" t="inlineStr">
        <is>
          <t>GÄVLE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45926</v>
      </c>
      <c r="E344" s="1" t="n">
        <v>46286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20685-2026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46141</v>
      </c>
      <c r="E345" s="1" t="n">
        <v>46286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20735-2026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46286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46552-2025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45926</v>
      </c>
      <c r="E347" s="1" t="n">
        <v>46286</v>
      </c>
      <c r="F347" t="inlineStr">
        <is>
          <t>GÄVLEBORGS LÄN</t>
        </is>
      </c>
      <c r="G347" t="inlineStr">
        <is>
          <t>GÄVLE</t>
        </is>
      </c>
      <c r="H347" t="inlineStr">
        <is>
          <t>Kyrkan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46790-2025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46286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47602-2025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45931</v>
      </c>
      <c r="E349" s="1" t="n">
        <v>46286</v>
      </c>
      <c r="F349" t="inlineStr">
        <is>
          <t>GÄVLEBORGS LÄN</t>
        </is>
      </c>
      <c r="G349" t="inlineStr">
        <is>
          <t>GÄVLE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47612-2025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45931</v>
      </c>
      <c r="E350" s="1" t="n">
        <v>46286</v>
      </c>
      <c r="F350" t="inlineStr">
        <is>
          <t>GÄVLEBORGS LÄN</t>
        </is>
      </c>
      <c r="G350" t="inlineStr">
        <is>
          <t>GÄVLE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44942</v>
      </c>
      <c r="E351" s="1" t="n">
        <v>46286</v>
      </c>
      <c r="F351" t="inlineStr">
        <is>
          <t>GÄVLEBORGS LÄN</t>
        </is>
      </c>
      <c r="G351" t="inlineStr">
        <is>
          <t>GÄVLE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20906-2026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46142</v>
      </c>
      <c r="E352" s="1" t="n">
        <v>46286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46286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47108-2024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45586</v>
      </c>
      <c r="E354" s="1" t="n">
        <v>46286</v>
      </c>
      <c r="F354" t="inlineStr">
        <is>
          <t>GÄVLEBORGS LÄN</t>
        </is>
      </c>
      <c r="G354" t="inlineStr">
        <is>
          <t>GÄVLE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47171-2025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45930</v>
      </c>
      <c r="E355" s="1" t="n">
        <v>46286</v>
      </c>
      <c r="F355" t="inlineStr">
        <is>
          <t>GÄVLEBORGS LÄN</t>
        </is>
      </c>
      <c r="G355" t="inlineStr">
        <is>
          <t>GÄVLE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47172-2025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45930</v>
      </c>
      <c r="E356" s="1" t="n">
        <v>46286</v>
      </c>
      <c r="F356" t="inlineStr">
        <is>
          <t>GÄVLEBORGS LÄN</t>
        </is>
      </c>
      <c r="G356" t="inlineStr">
        <is>
          <t>GÄVLE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21300-2024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45440</v>
      </c>
      <c r="E357" s="1" t="n">
        <v>46286</v>
      </c>
      <c r="F357" t="inlineStr">
        <is>
          <t>GÄVLEBORGS LÄN</t>
        </is>
      </c>
      <c r="G357" t="inlineStr">
        <is>
          <t>GÄVLE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47746-2023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45203</v>
      </c>
      <c r="E358" s="1" t="n">
        <v>46286</v>
      </c>
      <c r="F358" t="inlineStr">
        <is>
          <t>GÄVLEBORGS LÄN</t>
        </is>
      </c>
      <c r="G358" t="inlineStr">
        <is>
          <t>GÄVLE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48004-2025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45932</v>
      </c>
      <c r="E359" s="1" t="n">
        <v>46286</v>
      </c>
      <c r="F359" t="inlineStr">
        <is>
          <t>GÄVLEBORGS LÄN</t>
        </is>
      </c>
      <c r="G359" t="inlineStr">
        <is>
          <t>GÄVLE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45632</v>
      </c>
      <c r="E360" s="1" t="n">
        <v>46286</v>
      </c>
      <c r="F360" t="inlineStr">
        <is>
          <t>GÄVLEBORGS LÄN</t>
        </is>
      </c>
      <c r="G360" t="inlineStr">
        <is>
          <t>GÄVLE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48117-2025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45933</v>
      </c>
      <c r="E361" s="1" t="n">
        <v>46286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52495-2021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44466</v>
      </c>
      <c r="E362" s="1" t="n">
        <v>46286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48246-2025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45933</v>
      </c>
      <c r="E363" s="1" t="n">
        <v>46286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48251-2025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46286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48002-2025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45932</v>
      </c>
      <c r="E365" s="1" t="n">
        <v>46286</v>
      </c>
      <c r="F365" t="inlineStr">
        <is>
          <t>GÄVLEBORGS LÄN</t>
        </is>
      </c>
      <c r="G365" t="inlineStr">
        <is>
          <t>GÄVLE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47994-2025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45932</v>
      </c>
      <c r="E366" s="1" t="n">
        <v>46286</v>
      </c>
      <c r="F366" t="inlineStr">
        <is>
          <t>GÄVLEBORGS LÄN</t>
        </is>
      </c>
      <c r="G366" t="inlineStr">
        <is>
          <t>GÄVLE</t>
        </is>
      </c>
      <c r="I366" t="n">
        <v>10.1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34668-2024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45526</v>
      </c>
      <c r="E367" s="1" t="n">
        <v>46286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45666</v>
      </c>
      <c r="E368" s="1" t="n">
        <v>46286</v>
      </c>
      <c r="F368" t="inlineStr">
        <is>
          <t>GÄVLEBORGS LÄN</t>
        </is>
      </c>
      <c r="G368" t="inlineStr">
        <is>
          <t>GÄVLE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48249-2025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45933</v>
      </c>
      <c r="E369" s="1" t="n">
        <v>46286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46286</v>
      </c>
      <c r="F370" t="inlineStr">
        <is>
          <t>GÄVLEBORGS LÄN</t>
        </is>
      </c>
      <c r="G370" t="inlineStr">
        <is>
          <t>GÄVLE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20689-2024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45436</v>
      </c>
      <c r="E371" s="1" t="n">
        <v>46286</v>
      </c>
      <c r="F371" t="inlineStr">
        <is>
          <t>GÄVLEBORGS LÄN</t>
        </is>
      </c>
      <c r="G371" t="inlineStr">
        <is>
          <t>GÄVLE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21364-2026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46147</v>
      </c>
      <c r="E372" s="1" t="n">
        <v>46286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32353-2023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45120</v>
      </c>
      <c r="E373" s="1" t="n">
        <v>46286</v>
      </c>
      <c r="F373" t="inlineStr">
        <is>
          <t>GÄVLEBORGS LÄN</t>
        </is>
      </c>
      <c r="G373" t="inlineStr">
        <is>
          <t>GÄVLE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48986-2025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45937</v>
      </c>
      <c r="E374" s="1" t="n">
        <v>46286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21033-2026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46146</v>
      </c>
      <c r="E375" s="1" t="n">
        <v>46286</v>
      </c>
      <c r="F375" t="inlineStr">
        <is>
          <t>GÄVLEBORGS LÄN</t>
        </is>
      </c>
      <c r="G375" t="inlineStr">
        <is>
          <t>GÄVLE</t>
        </is>
      </c>
      <c r="H375" t="inlineStr">
        <is>
          <t>Kyrkan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49384-2025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46286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väst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45939</v>
      </c>
      <c r="E377" s="1" t="n">
        <v>46286</v>
      </c>
      <c r="F377" t="inlineStr">
        <is>
          <t>GÄVLEBORGS LÄN</t>
        </is>
      </c>
      <c r="G377" t="inlineStr">
        <is>
          <t>GÄVLE</t>
        </is>
      </c>
      <c r="H377" t="inlineStr">
        <is>
          <t>Kyrkan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44369-2025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45916</v>
      </c>
      <c r="E378" s="1" t="n">
        <v>46286</v>
      </c>
      <c r="F378" t="inlineStr">
        <is>
          <t>GÄVLEBORGS LÄN</t>
        </is>
      </c>
      <c r="G378" t="inlineStr">
        <is>
          <t>GÄVLE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49510-2025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45939</v>
      </c>
      <c r="E379" s="1" t="n">
        <v>46286</v>
      </c>
      <c r="F379" t="inlineStr">
        <is>
          <t>GÄVLEBORGS LÄN</t>
        </is>
      </c>
      <c r="G379" t="inlineStr">
        <is>
          <t>GÄVLE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14707-2026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46101</v>
      </c>
      <c r="E380" s="1" t="n">
        <v>46286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49934-2025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45940</v>
      </c>
      <c r="E381" s="1" t="n">
        <v>46286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49842-2025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45940</v>
      </c>
      <c r="E382" s="1" t="n">
        <v>46286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16144-2026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46286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50177-2025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45943</v>
      </c>
      <c r="E384" s="1" t="n">
        <v>46286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61301-2024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45645</v>
      </c>
      <c r="E385" s="1" t="n">
        <v>46286</v>
      </c>
      <c r="F385" t="inlineStr">
        <is>
          <t>GÄVLEBORGS LÄN</t>
        </is>
      </c>
      <c r="G385" t="inlineStr">
        <is>
          <t>GÄVLE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50345-2025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45944</v>
      </c>
      <c r="E386" s="1" t="n">
        <v>46286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64868-2023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45282</v>
      </c>
      <c r="E387" s="1" t="n">
        <v>46286</v>
      </c>
      <c r="F387" t="inlineStr">
        <is>
          <t>GÄVLEBORGS LÄN</t>
        </is>
      </c>
      <c r="G387" t="inlineStr">
        <is>
          <t>GÄVLE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50356-2025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45944</v>
      </c>
      <c r="E388" s="1" t="n">
        <v>46286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28005-2025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45817</v>
      </c>
      <c r="E389" s="1" t="n">
        <v>46286</v>
      </c>
      <c r="F389" t="inlineStr">
        <is>
          <t>GÄVLEBORGS LÄN</t>
        </is>
      </c>
      <c r="G389" t="inlineStr">
        <is>
          <t>GÄVLE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45672</v>
      </c>
      <c r="E390" s="1" t="n">
        <v>46286</v>
      </c>
      <c r="F390" t="inlineStr">
        <is>
          <t>GÄVLEBORGS LÄN</t>
        </is>
      </c>
      <c r="G390" t="inlineStr">
        <is>
          <t>GÄVLE</t>
        </is>
      </c>
      <c r="H390" t="inlineStr">
        <is>
          <t>Kyrkan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61016-2024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45645</v>
      </c>
      <c r="E391" s="1" t="n">
        <v>46286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18361-2024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45422</v>
      </c>
      <c r="E392" s="1" t="n">
        <v>46286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22111-2026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46286</v>
      </c>
      <c r="F393" t="inlineStr">
        <is>
          <t>GÄVLEBORGS LÄN</t>
        </is>
      </c>
      <c r="G393" t="inlineStr">
        <is>
          <t>GÄVLE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38495-2023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45162</v>
      </c>
      <c r="E394" s="1" t="n">
        <v>46286</v>
      </c>
      <c r="F394" t="inlineStr">
        <is>
          <t>GÄVLEBORGS LÄN</t>
        </is>
      </c>
      <c r="G394" t="inlineStr">
        <is>
          <t>GÄVLE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20682-2023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45058</v>
      </c>
      <c r="E395" s="1" t="n">
        <v>46286</v>
      </c>
      <c r="F395" t="inlineStr">
        <is>
          <t>GÄVLEBORGS LÄN</t>
        </is>
      </c>
      <c r="G395" t="inlineStr">
        <is>
          <t>GÄVLE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48247-2025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45933</v>
      </c>
      <c r="E396" s="1" t="n">
        <v>46286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51893-2025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45952</v>
      </c>
      <c r="E397" s="1" t="n">
        <v>46286</v>
      </c>
      <c r="F397" t="inlineStr">
        <is>
          <t>GÄVLEBORGS LÄN</t>
        </is>
      </c>
      <c r="G397" t="inlineStr">
        <is>
          <t>GÄVLE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3639-2022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44586</v>
      </c>
      <c r="E398" s="1" t="n">
        <v>46286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45953</v>
      </c>
      <c r="E399" s="1" t="n">
        <v>46286</v>
      </c>
      <c r="F399" t="inlineStr">
        <is>
          <t>GÄVLEBORGS LÄN</t>
        </is>
      </c>
      <c r="G399" t="inlineStr">
        <is>
          <t>GÄVLE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52970-2025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45957</v>
      </c>
      <c r="E400" s="1" t="n">
        <v>46286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45658</v>
      </c>
      <c r="E401" s="1" t="n">
        <v>46286</v>
      </c>
      <c r="F401" t="inlineStr">
        <is>
          <t>GÄVLEBORGS LÄN</t>
        </is>
      </c>
      <c r="G401" t="inlineStr">
        <is>
          <t>GÄVLE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66351-2021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44518</v>
      </c>
      <c r="E402" s="1" t="n">
        <v>46286</v>
      </c>
      <c r="F402" t="inlineStr">
        <is>
          <t>GÄVLEBORGS LÄN</t>
        </is>
      </c>
      <c r="G402" t="inlineStr">
        <is>
          <t>GÄVLE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24724-2023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45084</v>
      </c>
      <c r="E403" s="1" t="n">
        <v>46286</v>
      </c>
      <c r="F403" t="inlineStr">
        <is>
          <t>GÄVLEBORGS LÄN</t>
        </is>
      </c>
      <c r="G403" t="inlineStr">
        <is>
          <t>GÄVLE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22053-2026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46153</v>
      </c>
      <c r="E404" s="1" t="n">
        <v>46286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52801-2025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45957</v>
      </c>
      <c r="E405" s="1" t="n">
        <v>46286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45957</v>
      </c>
      <c r="E406" s="1" t="n">
        <v>46286</v>
      </c>
      <c r="F406" t="inlineStr">
        <is>
          <t>GÄVLEBORGS LÄN</t>
        </is>
      </c>
      <c r="G406" t="inlineStr">
        <is>
          <t>GÄVLE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29929-2022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44756</v>
      </c>
      <c r="E407" s="1" t="n">
        <v>46286</v>
      </c>
      <c r="F407" t="inlineStr">
        <is>
          <t>GÄVLEBORGS LÄN</t>
        </is>
      </c>
      <c r="G407" t="inlineStr">
        <is>
          <t>GÄVLE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38673-2024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45547</v>
      </c>
      <c r="E408" s="1" t="n">
        <v>46286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46286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53541-2025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45960</v>
      </c>
      <c r="E410" s="1" t="n">
        <v>46286</v>
      </c>
      <c r="F410" t="inlineStr">
        <is>
          <t>GÄVLEBORGS LÄN</t>
        </is>
      </c>
      <c r="G410" t="inlineStr">
        <is>
          <t>GÄVLE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1244-2023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44936</v>
      </c>
      <c r="E411" s="1" t="n">
        <v>46286</v>
      </c>
      <c r="F411" t="inlineStr">
        <is>
          <t>GÄVLEBORGS LÄN</t>
        </is>
      </c>
      <c r="G411" t="inlineStr">
        <is>
          <t>GÄVLE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54135-2025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45964</v>
      </c>
      <c r="E412" s="1" t="n">
        <v>46286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10118-2025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45719</v>
      </c>
      <c r="E413" s="1" t="n">
        <v>46286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54480-2025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45965</v>
      </c>
      <c r="E414" s="1" t="n">
        <v>46286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60442-2022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44911</v>
      </c>
      <c r="E415" s="1" t="n">
        <v>46286</v>
      </c>
      <c r="F415" t="inlineStr">
        <is>
          <t>GÄVLEBORGS LÄN</t>
        </is>
      </c>
      <c r="G415" t="inlineStr">
        <is>
          <t>GÄVLE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50314-2024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45600</v>
      </c>
      <c r="E416" s="1" t="n">
        <v>46286</v>
      </c>
      <c r="F416" t="inlineStr">
        <is>
          <t>GÄVLEBORGS LÄN</t>
        </is>
      </c>
      <c r="G416" t="inlineStr">
        <is>
          <t>GÄVLE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22584-2026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46155</v>
      </c>
      <c r="E417" s="1" t="n">
        <v>46286</v>
      </c>
      <c r="F417" t="inlineStr">
        <is>
          <t>GÄVLEBORGS LÄN</t>
        </is>
      </c>
      <c r="G417" t="inlineStr">
        <is>
          <t>GÄVLE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17300-2026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46119</v>
      </c>
      <c r="E418" s="1" t="n">
        <v>46286</v>
      </c>
      <c r="F418" t="inlineStr">
        <is>
          <t>GÄVLEBORGS LÄN</t>
        </is>
      </c>
      <c r="G418" t="inlineStr">
        <is>
          <t>GÄVLE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45719</v>
      </c>
      <c r="E419" s="1" t="n">
        <v>46286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61786-2024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45649</v>
      </c>
      <c r="E420" s="1" t="n">
        <v>46286</v>
      </c>
      <c r="F420" t="inlineStr">
        <is>
          <t>GÄVLEBORGS LÄN</t>
        </is>
      </c>
      <c r="G420" t="inlineStr">
        <is>
          <t>GÄVLE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15158-2026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46286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22545-2026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46155</v>
      </c>
      <c r="E422" s="1" t="n">
        <v>46286</v>
      </c>
      <c r="F422" t="inlineStr">
        <is>
          <t>GÄVLEBORGS LÄN</t>
        </is>
      </c>
      <c r="G422" t="inlineStr">
        <is>
          <t>GÄVLE</t>
        </is>
      </c>
      <c r="H422" t="inlineStr">
        <is>
          <t>Kyrkan</t>
        </is>
      </c>
      <c r="I422" t="n">
        <v>10.1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54958-2025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45967</v>
      </c>
      <c r="E423" s="1" t="n">
        <v>46286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54960-2025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45967</v>
      </c>
      <c r="E424" s="1" t="n">
        <v>46286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54966-2025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45967</v>
      </c>
      <c r="E425" s="1" t="n">
        <v>46286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54768-2025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45966</v>
      </c>
      <c r="E426" s="1" t="n">
        <v>46286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54959-2025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45967</v>
      </c>
      <c r="E427" s="1" t="n">
        <v>46286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54599-2025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45965</v>
      </c>
      <c r="E428" s="1" t="n">
        <v>46286</v>
      </c>
      <c r="F428" t="inlineStr">
        <is>
          <t>GÄVLEBORGS LÄN</t>
        </is>
      </c>
      <c r="G428" t="inlineStr">
        <is>
          <t>GÄVLE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55432-2025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46286</v>
      </c>
      <c r="F429" t="inlineStr">
        <is>
          <t>GÄVLEBORGS LÄN</t>
        </is>
      </c>
      <c r="G429" t="inlineStr">
        <is>
          <t>GÄVLE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3615-2024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45320</v>
      </c>
      <c r="E430" s="1" t="n">
        <v>46286</v>
      </c>
      <c r="F430" t="inlineStr">
        <is>
          <t>GÄVLEBORGS LÄN</t>
        </is>
      </c>
      <c r="G430" t="inlineStr">
        <is>
          <t>GÄVLE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55221-2025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45968</v>
      </c>
      <c r="E431" s="1" t="n">
        <v>46286</v>
      </c>
      <c r="F431" t="inlineStr">
        <is>
          <t>GÄVLEBORGS LÄN</t>
        </is>
      </c>
      <c r="G431" t="inlineStr">
        <is>
          <t>GÄVLE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56121-2025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45973</v>
      </c>
      <c r="E432" s="1" t="n">
        <v>46286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46155</v>
      </c>
      <c r="E433" s="1" t="n">
        <v>46286</v>
      </c>
      <c r="F433" t="inlineStr">
        <is>
          <t>GÄVLEBORGS LÄN</t>
        </is>
      </c>
      <c r="G433" t="inlineStr">
        <is>
          <t>GÄVLE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56120-2025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46286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46286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väst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46286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väst AB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45974</v>
      </c>
      <c r="E437" s="1" t="n">
        <v>46286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56277-2025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46286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56267-2025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45974</v>
      </c>
      <c r="E439" s="1" t="n">
        <v>46286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56272-2025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45974</v>
      </c>
      <c r="E440" s="1" t="n">
        <v>46286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46286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46286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32255-2023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45120</v>
      </c>
      <c r="E443" s="1" t="n">
        <v>46286</v>
      </c>
      <c r="F443" t="inlineStr">
        <is>
          <t>GÄVLEBORGS LÄN</t>
        </is>
      </c>
      <c r="G443" t="inlineStr">
        <is>
          <t>GÄVLE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56268-2025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46286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6.8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56269-2025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45974</v>
      </c>
      <c r="E445" s="1" t="n">
        <v>46286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56270-2025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46286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56774-2025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46286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56776-2025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45978</v>
      </c>
      <c r="E448" s="1" t="n">
        <v>46286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väst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15152-2026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46286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56773-2025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45978</v>
      </c>
      <c r="E450" s="1" t="n">
        <v>46286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väst AB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44800-2024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45574</v>
      </c>
      <c r="E451" s="1" t="n">
        <v>46286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45312</v>
      </c>
      <c r="E452" s="1" t="n">
        <v>46286</v>
      </c>
      <c r="F452" t="inlineStr">
        <is>
          <t>GÄVLEBORGS LÄN</t>
        </is>
      </c>
      <c r="G452" t="inlineStr">
        <is>
          <t>GÄVLE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14666-2026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46101</v>
      </c>
      <c r="E453" s="1" t="n">
        <v>46286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15.1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22342-2026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46154</v>
      </c>
      <c r="E454" s="1" t="n">
        <v>46286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väst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59817-2023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45257</v>
      </c>
      <c r="E455" s="1" t="n">
        <v>46286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väst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46107</v>
      </c>
      <c r="E456" s="1" t="n">
        <v>46286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43771-2025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45912</v>
      </c>
      <c r="E457" s="1" t="n">
        <v>46286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7.3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43780-2025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45912</v>
      </c>
      <c r="E458" s="1" t="n">
        <v>46286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45448-2025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45922</v>
      </c>
      <c r="E459" s="1" t="n">
        <v>46286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45469-2025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45922</v>
      </c>
      <c r="E460" s="1" t="n">
        <v>46286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45548-2025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45922</v>
      </c>
      <c r="E461" s="1" t="n">
        <v>46286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45410-2025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45922</v>
      </c>
      <c r="E462" s="1" t="n">
        <v>46286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45442-2025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45922</v>
      </c>
      <c r="E463" s="1" t="n">
        <v>46286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43742-2025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45912</v>
      </c>
      <c r="E464" s="1" t="n">
        <v>46286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58542-2025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45985</v>
      </c>
      <c r="E465" s="1" t="n">
        <v>46286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43774-2025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45912</v>
      </c>
      <c r="E466" s="1" t="n">
        <v>46286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45426-2025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45922</v>
      </c>
      <c r="E467" s="1" t="n">
        <v>46286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8.199999999999999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14173-2022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44651</v>
      </c>
      <c r="E468" s="1" t="n">
        <v>46286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väst AB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45546-2025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45922</v>
      </c>
      <c r="E469" s="1" t="n">
        <v>46286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45415-2025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45922</v>
      </c>
      <c r="E470" s="1" t="n">
        <v>46286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45438-2025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46286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45456-2025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45922</v>
      </c>
      <c r="E472" s="1" t="n">
        <v>46286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58925-2025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45987</v>
      </c>
      <c r="E473" s="1" t="n">
        <v>46286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15765-2026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46286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45312</v>
      </c>
      <c r="E475" s="1" t="n">
        <v>46286</v>
      </c>
      <c r="F475" t="inlineStr">
        <is>
          <t>GÄVLEBORGS LÄN</t>
        </is>
      </c>
      <c r="G475" t="inlineStr">
        <is>
          <t>GÄVLE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42876-2023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45182</v>
      </c>
      <c r="E476" s="1" t="n">
        <v>46286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väst AB</t>
        </is>
      </c>
      <c r="I476" t="n">
        <v>22.7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43764-2025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45912</v>
      </c>
      <c r="E477" s="1" t="n">
        <v>46286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17404-2025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45757</v>
      </c>
      <c r="E478" s="1" t="n">
        <v>46286</v>
      </c>
      <c r="F478" t="inlineStr">
        <is>
          <t>GÄVLEBORGS LÄN</t>
        </is>
      </c>
      <c r="G478" t="inlineStr">
        <is>
          <t>GÄVLE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46106</v>
      </c>
      <c r="E479" s="1" t="n">
        <v>46286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59624-2025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45992</v>
      </c>
      <c r="E480" s="1" t="n">
        <v>46286</v>
      </c>
      <c r="F480" t="inlineStr">
        <is>
          <t>GÄVLEBORGS LÄN</t>
        </is>
      </c>
      <c r="G480" t="inlineStr">
        <is>
          <t>GÄVLE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15167-2026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46105</v>
      </c>
      <c r="E481" s="1" t="n">
        <v>46286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15711-2026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46107</v>
      </c>
      <c r="E482" s="1" t="n">
        <v>46286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60038-2025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45993</v>
      </c>
      <c r="E483" s="1" t="n">
        <v>46286</v>
      </c>
      <c r="F483" t="inlineStr">
        <is>
          <t>GÄVLEBORGS LÄN</t>
        </is>
      </c>
      <c r="G483" t="inlineStr">
        <is>
          <t>GÄVLE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59627-2025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45992</v>
      </c>
      <c r="E484" s="1" t="n">
        <v>46286</v>
      </c>
      <c r="F484" t="inlineStr">
        <is>
          <t>GÄVLEBORGS LÄN</t>
        </is>
      </c>
      <c r="G484" t="inlineStr">
        <is>
          <t>GÄVLE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37146-2024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45539</v>
      </c>
      <c r="E485" s="1" t="n">
        <v>46286</v>
      </c>
      <c r="F485" t="inlineStr">
        <is>
          <t>GÄVLEBORGS LÄN</t>
        </is>
      </c>
      <c r="G485" t="inlineStr">
        <is>
          <t>GÄVLE</t>
        </is>
      </c>
      <c r="I485" t="n">
        <v>9.4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22508-2026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46286</v>
      </c>
      <c r="F486" t="inlineStr">
        <is>
          <t>GÄVLEBORGS LÄN</t>
        </is>
      </c>
      <c r="G486" t="inlineStr">
        <is>
          <t>GÄVLE</t>
        </is>
      </c>
      <c r="H486" t="inlineStr">
        <is>
          <t>Kyrkan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45660</v>
      </c>
      <c r="E487" s="1" t="n">
        <v>46286</v>
      </c>
      <c r="F487" t="inlineStr">
        <is>
          <t>GÄVLEBORGS LÄN</t>
        </is>
      </c>
      <c r="G487" t="inlineStr">
        <is>
          <t>GÄVLE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23117-2026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46161</v>
      </c>
      <c r="E488" s="1" t="n">
        <v>46286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23591-2026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46163</v>
      </c>
      <c r="E489" s="1" t="n">
        <v>46286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väst AB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45673</v>
      </c>
      <c r="E490" s="1" t="n">
        <v>46286</v>
      </c>
      <c r="F490" t="inlineStr">
        <is>
          <t>GÄVLEBORGS LÄN</t>
        </is>
      </c>
      <c r="G490" t="inlineStr">
        <is>
          <t>GÄVLE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45673</v>
      </c>
      <c r="E491" s="1" t="n">
        <v>46286</v>
      </c>
      <c r="F491" t="inlineStr">
        <is>
          <t>GÄVLEBORGS LÄN</t>
        </is>
      </c>
      <c r="G491" t="inlineStr">
        <is>
          <t>GÄVLE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60105-2025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45994</v>
      </c>
      <c r="E492" s="1" t="n">
        <v>46286</v>
      </c>
      <c r="F492" t="inlineStr">
        <is>
          <t>GÄVLEBORGS LÄN</t>
        </is>
      </c>
      <c r="G492" t="inlineStr">
        <is>
          <t>GÄVLE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60364-2025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45995</v>
      </c>
      <c r="E493" s="1" t="n">
        <v>46286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60532-2025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45995</v>
      </c>
      <c r="E494" s="1" t="n">
        <v>46286</v>
      </c>
      <c r="F494" t="inlineStr">
        <is>
          <t>GÄVLEBORGS LÄN</t>
        </is>
      </c>
      <c r="G494" t="inlineStr">
        <is>
          <t>GÄVLE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55217-2025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45968</v>
      </c>
      <c r="E495" s="1" t="n">
        <v>46286</v>
      </c>
      <c r="F495" t="inlineStr">
        <is>
          <t>GÄVLEBORGS LÄN</t>
        </is>
      </c>
      <c r="G495" t="inlineStr">
        <is>
          <t>GÄVLE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60536-2025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46286</v>
      </c>
      <c r="F496" t="inlineStr">
        <is>
          <t>GÄVLEBORGS LÄN</t>
        </is>
      </c>
      <c r="G496" t="inlineStr">
        <is>
          <t>GÄVLE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61501-2024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45646</v>
      </c>
      <c r="E497" s="1" t="n">
        <v>46286</v>
      </c>
      <c r="F497" t="inlineStr">
        <is>
          <t>GÄVLEBORGS LÄN</t>
        </is>
      </c>
      <c r="G497" t="inlineStr">
        <is>
          <t>GÄVLE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47458-2022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44853</v>
      </c>
      <c r="E498" s="1" t="n">
        <v>46286</v>
      </c>
      <c r="F498" t="inlineStr">
        <is>
          <t>GÄVLEBORGS LÄN</t>
        </is>
      </c>
      <c r="G498" t="inlineStr">
        <is>
          <t>GÄVLE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23956-2026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46167</v>
      </c>
      <c r="E499" s="1" t="n">
        <v>46286</v>
      </c>
      <c r="F499" t="inlineStr">
        <is>
          <t>GÄVLEBORGS LÄN</t>
        </is>
      </c>
      <c r="G499" t="inlineStr">
        <is>
          <t>GÄVLE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1252-2026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46031</v>
      </c>
      <c r="E500" s="1" t="n">
        <v>46286</v>
      </c>
      <c r="F500" t="inlineStr">
        <is>
          <t>GÄVLEBORGS LÄN</t>
        </is>
      </c>
      <c r="G500" t="inlineStr">
        <is>
          <t>GÄVLE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61093-2025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46000</v>
      </c>
      <c r="E501" s="1" t="n">
        <v>46286</v>
      </c>
      <c r="F501" t="inlineStr">
        <is>
          <t>GÄVLEBORGS LÄN</t>
        </is>
      </c>
      <c r="G501" t="inlineStr">
        <is>
          <t>GÄVLE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44938-2022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44841</v>
      </c>
      <c r="E502" s="1" t="n">
        <v>46286</v>
      </c>
      <c r="F502" t="inlineStr">
        <is>
          <t>GÄVLEBORGS LÄN</t>
        </is>
      </c>
      <c r="G502" t="inlineStr">
        <is>
          <t>GÄVLE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61880-2025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46003</v>
      </c>
      <c r="E503" s="1" t="n">
        <v>46286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61650-2025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46002</v>
      </c>
      <c r="E504" s="1" t="n">
        <v>46286</v>
      </c>
      <c r="F504" t="inlineStr">
        <is>
          <t>GÄVLEBORGS LÄN</t>
        </is>
      </c>
      <c r="G504" t="inlineStr">
        <is>
          <t>GÄVLE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5241-2024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45330</v>
      </c>
      <c r="E505" s="1" t="n">
        <v>46286</v>
      </c>
      <c r="F505" t="inlineStr">
        <is>
          <t>GÄVLEBORGS LÄN</t>
        </is>
      </c>
      <c r="G505" t="inlineStr">
        <is>
          <t>GÄVLE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61648-2025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46002</v>
      </c>
      <c r="E506" s="1" t="n">
        <v>46286</v>
      </c>
      <c r="F506" t="inlineStr">
        <is>
          <t>GÄVLEBORGS LÄN</t>
        </is>
      </c>
      <c r="G506" t="inlineStr">
        <is>
          <t>GÄVLE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61651-2025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46002</v>
      </c>
      <c r="E507" s="1" t="n">
        <v>46286</v>
      </c>
      <c r="F507" t="inlineStr">
        <is>
          <t>GÄVLEBORGS LÄN</t>
        </is>
      </c>
      <c r="G507" t="inlineStr">
        <is>
          <t>GÄVLE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61879-2025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46003</v>
      </c>
      <c r="E508" s="1" t="n">
        <v>46286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62226-2025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46006</v>
      </c>
      <c r="E509" s="1" t="n">
        <v>46286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50582-2023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45217</v>
      </c>
      <c r="E510" s="1" t="n">
        <v>46286</v>
      </c>
      <c r="F510" t="inlineStr">
        <is>
          <t>GÄVLEBORGS LÄN</t>
        </is>
      </c>
      <c r="G510" t="inlineStr">
        <is>
          <t>GÄVLE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62742-2025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46008</v>
      </c>
      <c r="E511" s="1" t="n">
        <v>46286</v>
      </c>
      <c r="F511" t="inlineStr">
        <is>
          <t>GÄVLEBORGS LÄN</t>
        </is>
      </c>
      <c r="G511" t="inlineStr">
        <is>
          <t>GÄVLE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24325-2026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46169</v>
      </c>
      <c r="E512" s="1" t="n">
        <v>46286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9235-2022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44616</v>
      </c>
      <c r="E513" s="1" t="n">
        <v>46286</v>
      </c>
      <c r="F513" t="inlineStr">
        <is>
          <t>GÄVLEBORGS LÄN</t>
        </is>
      </c>
      <c r="G513" t="inlineStr">
        <is>
          <t>GÄVLE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24398-2026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46169</v>
      </c>
      <c r="E514" s="1" t="n">
        <v>46286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24400-2026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46169</v>
      </c>
      <c r="E515" s="1" t="n">
        <v>46286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53082-2022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44876</v>
      </c>
      <c r="E516" s="1" t="n">
        <v>46286</v>
      </c>
      <c r="F516" t="inlineStr">
        <is>
          <t>GÄVLEBORGS LÄN</t>
        </is>
      </c>
      <c r="G516" t="inlineStr">
        <is>
          <t>GÄVLE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72734-2021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44546</v>
      </c>
      <c r="E517" s="1" t="n">
        <v>46286</v>
      </c>
      <c r="F517" t="inlineStr">
        <is>
          <t>GÄVLEBORGS LÄN</t>
        </is>
      </c>
      <c r="G517" t="inlineStr">
        <is>
          <t>GÄVLE</t>
        </is>
      </c>
      <c r="H517" t="inlineStr">
        <is>
          <t>Kommuner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24295-2026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46286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24306-2026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46169</v>
      </c>
      <c r="E519" s="1" t="n">
        <v>46286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24089-2026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46286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46169</v>
      </c>
      <c r="E521" s="1" t="n">
        <v>46286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53432-2021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44468</v>
      </c>
      <c r="E522" s="1" t="n">
        <v>46286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24090-2026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46286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35450-2025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45855</v>
      </c>
      <c r="E524" s="1" t="n">
        <v>46286</v>
      </c>
      <c r="F524" t="inlineStr">
        <is>
          <t>GÄVLEBORGS LÄN</t>
        </is>
      </c>
      <c r="G524" t="inlineStr">
        <is>
          <t>GÄVLE</t>
        </is>
      </c>
      <c r="I524" t="n">
        <v>8.199999999999999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24373-2026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46169</v>
      </c>
      <c r="E525" s="1" t="n">
        <v>46286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24099-2026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46168</v>
      </c>
      <c r="E526" s="1" t="n">
        <v>46286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58445-2021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44488</v>
      </c>
      <c r="E527" s="1" t="n">
        <v>46286</v>
      </c>
      <c r="F527" t="inlineStr">
        <is>
          <t>GÄVLEBORGS LÄN</t>
        </is>
      </c>
      <c r="G527" t="inlineStr">
        <is>
          <t>GÄVLE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63801-2025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46019</v>
      </c>
      <c r="E528" s="1" t="n">
        <v>46286</v>
      </c>
      <c r="F528" t="inlineStr">
        <is>
          <t>GÄVLEBORGS LÄN</t>
        </is>
      </c>
      <c r="G528" t="inlineStr">
        <is>
          <t>GÄVLE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54953-2025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45967</v>
      </c>
      <c r="E529" s="1" t="n">
        <v>46286</v>
      </c>
      <c r="F529" t="inlineStr">
        <is>
          <t>GÄVLEBORGS LÄN</t>
        </is>
      </c>
      <c r="G529" t="inlineStr">
        <is>
          <t>GÄVLE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66493-2021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44519</v>
      </c>
      <c r="E530" s="1" t="n">
        <v>46286</v>
      </c>
      <c r="F530" t="inlineStr">
        <is>
          <t>GÄVLEBORGS LÄN</t>
        </is>
      </c>
      <c r="G530" t="inlineStr">
        <is>
          <t>GÄVLE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47942-2025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45932</v>
      </c>
      <c r="E531" s="1" t="n">
        <v>46286</v>
      </c>
      <c r="F531" t="inlineStr">
        <is>
          <t>GÄVLEBORGS LÄN</t>
        </is>
      </c>
      <c r="G531" t="inlineStr">
        <is>
          <t>GÄVLE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47981-2025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45932</v>
      </c>
      <c r="E532" s="1" t="n">
        <v>46286</v>
      </c>
      <c r="F532" t="inlineStr">
        <is>
          <t>GÄVLEBORGS LÄN</t>
        </is>
      </c>
      <c r="G532" t="inlineStr">
        <is>
          <t>GÄVLE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63800-2025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46019</v>
      </c>
      <c r="E533" s="1" t="n">
        <v>46286</v>
      </c>
      <c r="F533" t="inlineStr">
        <is>
          <t>GÄVLEBORGS LÄN</t>
        </is>
      </c>
      <c r="G533" t="inlineStr">
        <is>
          <t>GÄVLE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42788-2025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45908</v>
      </c>
      <c r="E534" s="1" t="n">
        <v>46286</v>
      </c>
      <c r="F534" t="inlineStr">
        <is>
          <t>GÄVLEBORGS LÄN</t>
        </is>
      </c>
      <c r="G534" t="inlineStr">
        <is>
          <t>GÄVLE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48928-2025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45937</v>
      </c>
      <c r="E535" s="1" t="n">
        <v>46286</v>
      </c>
      <c r="F535" t="inlineStr">
        <is>
          <t>GÄVLEBORGS LÄN</t>
        </is>
      </c>
      <c r="G535" t="inlineStr">
        <is>
          <t>GÄVLE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48864-2025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45937</v>
      </c>
      <c r="E536" s="1" t="n">
        <v>46286</v>
      </c>
      <c r="F536" t="inlineStr">
        <is>
          <t>GÄVLEBORGS LÄN</t>
        </is>
      </c>
      <c r="G536" t="inlineStr">
        <is>
          <t>GÄVLE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42692-2025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45908</v>
      </c>
      <c r="E537" s="1" t="n">
        <v>46286</v>
      </c>
      <c r="F537" t="inlineStr">
        <is>
          <t>GÄVLEBORGS LÄN</t>
        </is>
      </c>
      <c r="G537" t="inlineStr">
        <is>
          <t>GÄVLE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47694-2025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45931</v>
      </c>
      <c r="E538" s="1" t="n">
        <v>46286</v>
      </c>
      <c r="F538" t="inlineStr">
        <is>
          <t>GÄVLEBORGS LÄN</t>
        </is>
      </c>
      <c r="G538" t="inlineStr">
        <is>
          <t>GÄVLE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47916-2025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45932</v>
      </c>
      <c r="E539" s="1" t="n">
        <v>46286</v>
      </c>
      <c r="F539" t="inlineStr">
        <is>
          <t>GÄVLEBORGS LÄN</t>
        </is>
      </c>
      <c r="G539" t="inlineStr">
        <is>
          <t>GÄVLE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64142-2025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46022</v>
      </c>
      <c r="E540" s="1" t="n">
        <v>46286</v>
      </c>
      <c r="F540" t="inlineStr">
        <is>
          <t>GÄVLEBORGS LÄN</t>
        </is>
      </c>
      <c r="G540" t="inlineStr">
        <is>
          <t>GÄVLE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25812-2023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45090</v>
      </c>
      <c r="E541" s="1" t="n">
        <v>46286</v>
      </c>
      <c r="F541" t="inlineStr">
        <is>
          <t>GÄVLEBORGS LÄN</t>
        </is>
      </c>
      <c r="G541" t="inlineStr">
        <is>
          <t>GÄVLE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872-2026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46030</v>
      </c>
      <c r="E542" s="1" t="n">
        <v>46286</v>
      </c>
      <c r="F542" t="inlineStr">
        <is>
          <t>GÄVLEBORGS LÄN</t>
        </is>
      </c>
      <c r="G542" t="inlineStr">
        <is>
          <t>GÄVLE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46170</v>
      </c>
      <c r="E543" s="1" t="n">
        <v>46286</v>
      </c>
      <c r="F543" t="inlineStr">
        <is>
          <t>GÄVLEBORGS LÄN</t>
        </is>
      </c>
      <c r="G543" t="inlineStr">
        <is>
          <t>GÄVLE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1238-2023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44936</v>
      </c>
      <c r="E544" s="1" t="n">
        <v>46286</v>
      </c>
      <c r="F544" t="inlineStr">
        <is>
          <t>GÄVLEBORGS LÄN</t>
        </is>
      </c>
      <c r="G544" t="inlineStr">
        <is>
          <t>GÄVLE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61878-2025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46003</v>
      </c>
      <c r="E545" s="1" t="n">
        <v>46286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46030</v>
      </c>
      <c r="E546" s="1" t="n">
        <v>46286</v>
      </c>
      <c r="F546" t="inlineStr">
        <is>
          <t>GÄVLEBORGS LÄN</t>
        </is>
      </c>
      <c r="G546" t="inlineStr">
        <is>
          <t>GÄVLE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24810-2026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46173</v>
      </c>
      <c r="E547" s="1" t="n">
        <v>46286</v>
      </c>
      <c r="F547" t="inlineStr">
        <is>
          <t>GÄVLEBORGS LÄN</t>
        </is>
      </c>
      <c r="G547" t="inlineStr">
        <is>
          <t>GÄVLE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45312</v>
      </c>
      <c r="E548" s="1" t="n">
        <v>46286</v>
      </c>
      <c r="F548" t="inlineStr">
        <is>
          <t>GÄVLEBORGS LÄN</t>
        </is>
      </c>
      <c r="G548" t="inlineStr">
        <is>
          <t>GÄVLE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46286</v>
      </c>
      <c r="F549" t="inlineStr">
        <is>
          <t>GÄVLEBORGS LÄN</t>
        </is>
      </c>
      <c r="G549" t="inlineStr">
        <is>
          <t>GÄVLE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51071-2023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45218</v>
      </c>
      <c r="E550" s="1" t="n">
        <v>46286</v>
      </c>
      <c r="F550" t="inlineStr">
        <is>
          <t>GÄVLEBORGS LÄN</t>
        </is>
      </c>
      <c r="G550" t="inlineStr">
        <is>
          <t>GÄVLE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17113-2024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45412</v>
      </c>
      <c r="E551" s="1" t="n">
        <v>46286</v>
      </c>
      <c r="F551" t="inlineStr">
        <is>
          <t>GÄVLEBORGS LÄN</t>
        </is>
      </c>
      <c r="G551" t="inlineStr">
        <is>
          <t>GÄVLE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49401-2024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45595</v>
      </c>
      <c r="E552" s="1" t="n">
        <v>46286</v>
      </c>
      <c r="F552" t="inlineStr">
        <is>
          <t>GÄVLEBORGS LÄN</t>
        </is>
      </c>
      <c r="G552" t="inlineStr">
        <is>
          <t>GÄVLE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3156-2026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46041</v>
      </c>
      <c r="E553" s="1" t="n">
        <v>46286</v>
      </c>
      <c r="F553" t="inlineStr">
        <is>
          <t>GÄVLEBORGS LÄN</t>
        </is>
      </c>
      <c r="G553" t="inlineStr">
        <is>
          <t>GÄVLE</t>
        </is>
      </c>
      <c r="I553" t="n">
        <v>9.699999999999999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64871-2023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45282</v>
      </c>
      <c r="E554" s="1" t="n">
        <v>46286</v>
      </c>
      <c r="F554" t="inlineStr">
        <is>
          <t>GÄVLEBORGS LÄN</t>
        </is>
      </c>
      <c r="G554" t="inlineStr">
        <is>
          <t>GÄVLE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64875-2023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45282</v>
      </c>
      <c r="E555" s="1" t="n">
        <v>46286</v>
      </c>
      <c r="F555" t="inlineStr">
        <is>
          <t>GÄVLEBORGS LÄN</t>
        </is>
      </c>
      <c r="G555" t="inlineStr">
        <is>
          <t>GÄVLE</t>
        </is>
      </c>
      <c r="I555" t="n">
        <v>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64878-2023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45282</v>
      </c>
      <c r="E556" s="1" t="n">
        <v>46286</v>
      </c>
      <c r="F556" t="inlineStr">
        <is>
          <t>GÄVLEBORGS LÄN</t>
        </is>
      </c>
      <c r="G556" t="inlineStr">
        <is>
          <t>GÄVLE</t>
        </is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24669-2026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46171</v>
      </c>
      <c r="E557" s="1" t="n">
        <v>46286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21.4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4308-2026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46045</v>
      </c>
      <c r="E558" s="1" t="n">
        <v>46286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väst AB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46147</v>
      </c>
      <c r="E559" s="1" t="n">
        <v>46286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46045</v>
      </c>
      <c r="E560" s="1" t="n">
        <v>46286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46045</v>
      </c>
      <c r="E561" s="1" t="n">
        <v>46286</v>
      </c>
      <c r="F561" t="inlineStr">
        <is>
          <t>GÄVLEBORGS LÄN</t>
        </is>
      </c>
      <c r="G561" t="inlineStr">
        <is>
          <t>GÄVLE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25384-2026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46176</v>
      </c>
      <c r="E562" s="1" t="n">
        <v>46286</v>
      </c>
      <c r="F562" t="inlineStr">
        <is>
          <t>GÄVLEBORGS LÄN</t>
        </is>
      </c>
      <c r="G562" t="inlineStr">
        <is>
          <t>GÄVLE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42934-2023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45182</v>
      </c>
      <c r="E563" s="1" t="n">
        <v>46286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väst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36638-2022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44804</v>
      </c>
      <c r="E564" s="1" t="n">
        <v>46286</v>
      </c>
      <c r="F564" t="inlineStr">
        <is>
          <t>GÄVLEBORGS LÄN</t>
        </is>
      </c>
      <c r="G564" t="inlineStr">
        <is>
          <t>GÄVLE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45628-2022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44845</v>
      </c>
      <c r="E565" s="1" t="n">
        <v>46286</v>
      </c>
      <c r="F565" t="inlineStr">
        <is>
          <t>GÄVLEBORGS LÄN</t>
        </is>
      </c>
      <c r="G565" t="inlineStr">
        <is>
          <t>GÄVLE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46176</v>
      </c>
      <c r="E566" s="1" t="n">
        <v>46286</v>
      </c>
      <c r="F566" t="inlineStr">
        <is>
          <t>GÄVLEBORGS LÄN</t>
        </is>
      </c>
      <c r="G566" t="inlineStr">
        <is>
          <t>GÄVLE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46052</v>
      </c>
      <c r="E567" s="1" t="n">
        <v>46286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60792-2024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45644</v>
      </c>
      <c r="E568" s="1" t="n">
        <v>46286</v>
      </c>
      <c r="F568" t="inlineStr">
        <is>
          <t>GÄVLEBORGS LÄN</t>
        </is>
      </c>
      <c r="G568" t="inlineStr">
        <is>
          <t>GÄVLE</t>
        </is>
      </c>
      <c r="H568" t="inlineStr">
        <is>
          <t>Kyrkan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60801-2024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45644</v>
      </c>
      <c r="E569" s="1" t="n">
        <v>46286</v>
      </c>
      <c r="F569" t="inlineStr">
        <is>
          <t>GÄVLEBORGS LÄN</t>
        </is>
      </c>
      <c r="G569" t="inlineStr">
        <is>
          <t>GÄVLE</t>
        </is>
      </c>
      <c r="H569" t="inlineStr">
        <is>
          <t>Kyrkan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6055-2026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46052</v>
      </c>
      <c r="E570" s="1" t="n">
        <v>46286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6046-2026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46052</v>
      </c>
      <c r="E571" s="1" t="n">
        <v>46286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25808-2026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46178</v>
      </c>
      <c r="E572" s="1" t="n">
        <v>46286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väst AB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21367-2026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46147</v>
      </c>
      <c r="E573" s="1" t="n">
        <v>46286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12.8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22577-2022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44713</v>
      </c>
      <c r="E574" s="1" t="n">
        <v>46286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väst AB</t>
        </is>
      </c>
      <c r="I574" t="n">
        <v>10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25500-2026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46177</v>
      </c>
      <c r="E575" s="1" t="n">
        <v>46286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6673-2026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46056</v>
      </c>
      <c r="E576" s="1" t="n">
        <v>46286</v>
      </c>
      <c r="F576" t="inlineStr">
        <is>
          <t>GÄVLEBORGS LÄN</t>
        </is>
      </c>
      <c r="G576" t="inlineStr">
        <is>
          <t>GÄVLE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6681-2026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46056</v>
      </c>
      <c r="E577" s="1" t="n">
        <v>46286</v>
      </c>
      <c r="F577" t="inlineStr">
        <is>
          <t>GÄVLEBORGS LÄN</t>
        </is>
      </c>
      <c r="G577" t="inlineStr">
        <is>
          <t>GÄVLE</t>
        </is>
      </c>
      <c r="I577" t="n">
        <v>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57168-2023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45245</v>
      </c>
      <c r="E578" s="1" t="n">
        <v>46286</v>
      </c>
      <c r="F578" t="inlineStr">
        <is>
          <t>GÄVLEBORGS LÄN</t>
        </is>
      </c>
      <c r="G578" t="inlineStr">
        <is>
          <t>GÄVLE</t>
        </is>
      </c>
      <c r="H578" t="inlineStr">
        <is>
          <t>Kyrkan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20676-2026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46141</v>
      </c>
      <c r="E579" s="1" t="n">
        <v>46286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6683-2026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46056</v>
      </c>
      <c r="E580" s="1" t="n">
        <v>46286</v>
      </c>
      <c r="F580" t="inlineStr">
        <is>
          <t>GÄVLEBORGS LÄN</t>
        </is>
      </c>
      <c r="G580" t="inlineStr">
        <is>
          <t>GÄVLE</t>
        </is>
      </c>
      <c r="I580" t="n">
        <v>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15207-2024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45400</v>
      </c>
      <c r="E581" s="1" t="n">
        <v>46286</v>
      </c>
      <c r="F581" t="inlineStr">
        <is>
          <t>GÄVLEBORGS LÄN</t>
        </is>
      </c>
      <c r="G581" t="inlineStr">
        <is>
          <t>GÄVLE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7239-2026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46058</v>
      </c>
      <c r="E582" s="1" t="n">
        <v>46286</v>
      </c>
      <c r="F582" t="inlineStr">
        <is>
          <t>GÄVLEBORGS LÄN</t>
        </is>
      </c>
      <c r="G582" t="inlineStr">
        <is>
          <t>GÄVLE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46058</v>
      </c>
      <c r="E583" s="1" t="n">
        <v>46286</v>
      </c>
      <c r="F583" t="inlineStr">
        <is>
          <t>GÄVLEBORGS LÄN</t>
        </is>
      </c>
      <c r="G583" t="inlineStr">
        <is>
          <t>GÄVLE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14553-2026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46100</v>
      </c>
      <c r="E584" s="1" t="n">
        <v>46286</v>
      </c>
      <c r="F584" t="inlineStr">
        <is>
          <t>GÄVLEBORGS LÄN</t>
        </is>
      </c>
      <c r="G584" t="inlineStr">
        <is>
          <t>GÄVLE</t>
        </is>
      </c>
      <c r="H584" t="inlineStr">
        <is>
          <t>Övriga statliga verk och myndigheter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25513-2026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46177</v>
      </c>
      <c r="E585" s="1" t="n">
        <v>46286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29016-2023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45104</v>
      </c>
      <c r="E586" s="1" t="n">
        <v>46286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8292-2026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46063</v>
      </c>
      <c r="E587" s="1" t="n">
        <v>46286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väst AB</t>
        </is>
      </c>
      <c r="I587" t="n">
        <v>11.6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8303-2026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46286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väst AB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8298-2026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46063</v>
      </c>
      <c r="E589" s="1" t="n">
        <v>46286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väst AB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7665-2026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46062</v>
      </c>
      <c r="E590" s="1" t="n">
        <v>46286</v>
      </c>
      <c r="F590" t="inlineStr">
        <is>
          <t>GÄVLEBORGS LÄN</t>
        </is>
      </c>
      <c r="G590" t="inlineStr">
        <is>
          <t>GÄVLE</t>
        </is>
      </c>
      <c r="H590" t="inlineStr">
        <is>
          <t>Kyrkan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7673-2026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46062</v>
      </c>
      <c r="E591" s="1" t="n">
        <v>46286</v>
      </c>
      <c r="F591" t="inlineStr">
        <is>
          <t>GÄVLEBORGS LÄN</t>
        </is>
      </c>
      <c r="G591" t="inlineStr">
        <is>
          <t>GÄVLE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8301-2026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46063</v>
      </c>
      <c r="E592" s="1" t="n">
        <v>46286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väst AB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25582-2026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46177</v>
      </c>
      <c r="E593" s="1" t="n">
        <v>46286</v>
      </c>
      <c r="F593" t="inlineStr">
        <is>
          <t>GÄVLEBORGS LÄN</t>
        </is>
      </c>
      <c r="G593" t="inlineStr">
        <is>
          <t>GÄVLE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25829-2026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46178</v>
      </c>
      <c r="E594" s="1" t="n">
        <v>46286</v>
      </c>
      <c r="F594" t="inlineStr">
        <is>
          <t>GÄVLEBORGS LÄN</t>
        </is>
      </c>
      <c r="G594" t="inlineStr">
        <is>
          <t>GÄVLE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60396-2022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44910</v>
      </c>
      <c r="E595" s="1" t="n">
        <v>46286</v>
      </c>
      <c r="F595" t="inlineStr">
        <is>
          <t>GÄVLEBORGS LÄN</t>
        </is>
      </c>
      <c r="G595" t="inlineStr">
        <is>
          <t>GÄVLE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25623-2026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46177</v>
      </c>
      <c r="E596" s="1" t="n">
        <v>46286</v>
      </c>
      <c r="F596" t="inlineStr">
        <is>
          <t>GÄVLEBORGS LÄN</t>
        </is>
      </c>
      <c r="G596" t="inlineStr">
        <is>
          <t>GÄVLE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25276-2024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45462</v>
      </c>
      <c r="E597" s="1" t="n">
        <v>46286</v>
      </c>
      <c r="F597" t="inlineStr">
        <is>
          <t>GÄVLEBORGS LÄN</t>
        </is>
      </c>
      <c r="G597" t="inlineStr">
        <is>
          <t>GÄVLE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8558-2026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46065</v>
      </c>
      <c r="E598" s="1" t="n">
        <v>46286</v>
      </c>
      <c r="F598" t="inlineStr">
        <is>
          <t>GÄVLEBORGS LÄN</t>
        </is>
      </c>
      <c r="G598" t="inlineStr">
        <is>
          <t>GÄVLE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45660</v>
      </c>
      <c r="E599" s="1" t="n">
        <v>46286</v>
      </c>
      <c r="F599" t="inlineStr">
        <is>
          <t>GÄVLEBORGS LÄN</t>
        </is>
      </c>
      <c r="G599" t="inlineStr">
        <is>
          <t>GÄVLE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45660</v>
      </c>
      <c r="E600" s="1" t="n">
        <v>46286</v>
      </c>
      <c r="F600" t="inlineStr">
        <is>
          <t>GÄVLEBORGS LÄN</t>
        </is>
      </c>
      <c r="G600" t="inlineStr">
        <is>
          <t>GÄVLE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9129-2026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46286</v>
      </c>
      <c r="F601" t="inlineStr">
        <is>
          <t>GÄVLEBORGS LÄN</t>
        </is>
      </c>
      <c r="G601" t="inlineStr">
        <is>
          <t>GÄVLE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27182-2022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44741</v>
      </c>
      <c r="E602" s="1" t="n">
        <v>46286</v>
      </c>
      <c r="F602" t="inlineStr">
        <is>
          <t>GÄVLEBORGS LÄN</t>
        </is>
      </c>
      <c r="G602" t="inlineStr">
        <is>
          <t>GÄVLE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26016-2026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46286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8954-2026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46069</v>
      </c>
      <c r="E604" s="1" t="n">
        <v>46286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väst AB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47143-2024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45586</v>
      </c>
      <c r="E605" s="1" t="n">
        <v>46286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9534-2026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46071</v>
      </c>
      <c r="E606" s="1" t="n">
        <v>46286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väst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10063-2026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46073</v>
      </c>
      <c r="E607" s="1" t="n">
        <v>46286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9779-2026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46072</v>
      </c>
      <c r="E608" s="1" t="n">
        <v>46286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9673-2026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46072</v>
      </c>
      <c r="E609" s="1" t="n">
        <v>46286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8031-2024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45350</v>
      </c>
      <c r="E610" s="1" t="n">
        <v>46286</v>
      </c>
      <c r="F610" t="inlineStr">
        <is>
          <t>GÄVLEBORGS LÄN</t>
        </is>
      </c>
      <c r="G610" t="inlineStr">
        <is>
          <t>GÄVLE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61351-2021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44498</v>
      </c>
      <c r="E611" s="1" t="n">
        <v>46286</v>
      </c>
      <c r="F611" t="inlineStr">
        <is>
          <t>GÄVLEBORGS LÄN</t>
        </is>
      </c>
      <c r="G611" t="inlineStr">
        <is>
          <t>GÄVLE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10257-2026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46076</v>
      </c>
      <c r="E612" s="1" t="n">
        <v>46286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10273-2026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46076</v>
      </c>
      <c r="E613" s="1" t="n">
        <v>46286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10504-2026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46077</v>
      </c>
      <c r="E614" s="1" t="n">
        <v>46286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53281-2024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45614</v>
      </c>
      <c r="E615" s="1" t="n">
        <v>46286</v>
      </c>
      <c r="F615" t="inlineStr">
        <is>
          <t>GÄVLEBORGS LÄN</t>
        </is>
      </c>
      <c r="G615" t="inlineStr">
        <is>
          <t>GÄVLE</t>
        </is>
      </c>
      <c r="I615" t="n">
        <v>6.5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26600-2026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46183</v>
      </c>
      <c r="E616" s="1" t="n">
        <v>46286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11114-2026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46079</v>
      </c>
      <c r="E617" s="1" t="n">
        <v>46286</v>
      </c>
      <c r="F617" t="inlineStr">
        <is>
          <t>GÄVLEBORGS LÄN</t>
        </is>
      </c>
      <c r="G617" t="inlineStr">
        <is>
          <t>GÄVLE</t>
        </is>
      </c>
      <c r="H617" t="inlineStr">
        <is>
          <t>Kommuner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60879-2023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45261</v>
      </c>
      <c r="E618" s="1" t="n">
        <v>46286</v>
      </c>
      <c r="F618" t="inlineStr">
        <is>
          <t>GÄVLEBORGS LÄN</t>
        </is>
      </c>
      <c r="G618" t="inlineStr">
        <is>
          <t>GÄVLE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46286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26658-2026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46184</v>
      </c>
      <c r="E620" s="1" t="n">
        <v>46286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15312-2023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45019</v>
      </c>
      <c r="E621" s="1" t="n">
        <v>46286</v>
      </c>
      <c r="F621" t="inlineStr">
        <is>
          <t>GÄVLEBORGS LÄN</t>
        </is>
      </c>
      <c r="G621" t="inlineStr">
        <is>
          <t>GÄVLE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26991-2026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46185</v>
      </c>
      <c r="E622" s="1" t="n">
        <v>46286</v>
      </c>
      <c r="F622" t="inlineStr">
        <is>
          <t>GÄVLEBORGS LÄN</t>
        </is>
      </c>
      <c r="G622" t="inlineStr">
        <is>
          <t>GÄVLE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11523-2026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46083</v>
      </c>
      <c r="E623" s="1" t="n">
        <v>46286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27048-2026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46185</v>
      </c>
      <c r="E624" s="1" t="n">
        <v>46286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27052-2026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46286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27065-2026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46185</v>
      </c>
      <c r="E626" s="1" t="n">
        <v>46286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27067-2026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46185</v>
      </c>
      <c r="E627" s="1" t="n">
        <v>46286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11926-2026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46085</v>
      </c>
      <c r="E628" s="1" t="n">
        <v>46286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27053-2026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46185</v>
      </c>
      <c r="E629" s="1" t="n">
        <v>46286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27060-2026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46286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12015-2026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46085</v>
      </c>
      <c r="E631" s="1" t="n">
        <v>46286</v>
      </c>
      <c r="F631" t="inlineStr">
        <is>
          <t>GÄVLEBORGS LÄN</t>
        </is>
      </c>
      <c r="G631" t="inlineStr">
        <is>
          <t>GÄVLE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52387-2022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44874</v>
      </c>
      <c r="E632" s="1" t="n">
        <v>46286</v>
      </c>
      <c r="F632" t="inlineStr">
        <is>
          <t>GÄVLEBORGS LÄN</t>
        </is>
      </c>
      <c r="G632" t="inlineStr">
        <is>
          <t>GÄVLE</t>
        </is>
      </c>
      <c r="H632" t="inlineStr">
        <is>
          <t>Kommuner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31011-2023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45113</v>
      </c>
      <c r="E633" s="1" t="n">
        <v>46286</v>
      </c>
      <c r="F633" t="inlineStr">
        <is>
          <t>GÄVLEBORGS LÄN</t>
        </is>
      </c>
      <c r="G633" t="inlineStr">
        <is>
          <t>GÄVLE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27057-2026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46185</v>
      </c>
      <c r="E634" s="1" t="n">
        <v>46286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27068-2026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46185</v>
      </c>
      <c r="E635" s="1" t="n">
        <v>46286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27361-2026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46188</v>
      </c>
      <c r="E636" s="1" t="n">
        <v>46286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27041-2026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46185</v>
      </c>
      <c r="E637" s="1" t="n">
        <v>46286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27051-2026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46185</v>
      </c>
      <c r="E638" s="1" t="n">
        <v>46286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22466-2023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45070</v>
      </c>
      <c r="E639" s="1" t="n">
        <v>46286</v>
      </c>
      <c r="F639" t="inlineStr">
        <is>
          <t>GÄVLEBORGS LÄN</t>
        </is>
      </c>
      <c r="G639" t="inlineStr">
        <is>
          <t>GÄVLE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27042-2026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46185</v>
      </c>
      <c r="E640" s="1" t="n">
        <v>46286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27056-2026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46185</v>
      </c>
      <c r="E641" s="1" t="n">
        <v>46286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27066-2026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46185</v>
      </c>
      <c r="E642" s="1" t="n">
        <v>46286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27069-2026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46286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16023-2023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45026</v>
      </c>
      <c r="E644" s="1" t="n">
        <v>46286</v>
      </c>
      <c r="F644" t="inlineStr">
        <is>
          <t>GÄVLEBORGS LÄN</t>
        </is>
      </c>
      <c r="G644" t="inlineStr">
        <is>
          <t>GÄVLE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27359-2026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46188</v>
      </c>
      <c r="E645" s="1" t="n">
        <v>46286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27360-2026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46188</v>
      </c>
      <c r="E646" s="1" t="n">
        <v>46286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26885-2026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46286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26942-2026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46286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väst AB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25829-2024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45467</v>
      </c>
      <c r="E649" s="1" t="n">
        <v>46286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27046-2026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46185</v>
      </c>
      <c r="E650" s="1" t="n">
        <v>46286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27040-2026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46185</v>
      </c>
      <c r="E651" s="1" t="n">
        <v>46286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27055-2026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46185</v>
      </c>
      <c r="E652" s="1" t="n">
        <v>46286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27059-2026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46185</v>
      </c>
      <c r="E653" s="1" t="n">
        <v>46286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27061-2026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46286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7235-2025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45702</v>
      </c>
      <c r="E655" s="1" t="n">
        <v>46286</v>
      </c>
      <c r="F655" t="inlineStr">
        <is>
          <t>GÄVLEBORGS LÄN</t>
        </is>
      </c>
      <c r="G655" t="inlineStr">
        <is>
          <t>GÄVLE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12948-2026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46092</v>
      </c>
      <c r="E656" s="1" t="n">
        <v>46286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71215-2021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44539</v>
      </c>
      <c r="E657" s="1" t="n">
        <v>46286</v>
      </c>
      <c r="F657" t="inlineStr">
        <is>
          <t>GÄVLEBORGS LÄN</t>
        </is>
      </c>
      <c r="G657" t="inlineStr">
        <is>
          <t>GÄVLE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12952-2026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46092</v>
      </c>
      <c r="E658" s="1" t="n">
        <v>46286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12990-2026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46092</v>
      </c>
      <c r="E659" s="1" t="n">
        <v>46286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13475-2026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46094</v>
      </c>
      <c r="E660" s="1" t="n">
        <v>46286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13498-2026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46094</v>
      </c>
      <c r="E661" s="1" t="n">
        <v>46286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13317-2026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46094</v>
      </c>
      <c r="E662" s="1" t="n">
        <v>46286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13489-2026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46094</v>
      </c>
      <c r="E663" s="1" t="n">
        <v>46286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13500-2026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46094</v>
      </c>
      <c r="E664" s="1" t="n">
        <v>46286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13521-2026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46094</v>
      </c>
      <c r="E665" s="1" t="n">
        <v>46286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13329-2026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46094</v>
      </c>
      <c r="E666" s="1" t="n">
        <v>46286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13432-2026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46094</v>
      </c>
      <c r="E667" s="1" t="n">
        <v>46286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13389-2026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46286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13503-2026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46094</v>
      </c>
      <c r="E669" s="1" t="n">
        <v>46286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61879-2024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45652</v>
      </c>
      <c r="E670" s="1" t="n">
        <v>46286</v>
      </c>
      <c r="F670" t="inlineStr">
        <is>
          <t>GÄVLEBORGS LÄN</t>
        </is>
      </c>
      <c r="G670" t="inlineStr">
        <is>
          <t>GÄVLE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13104-2026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46093</v>
      </c>
      <c r="E671" s="1" t="n">
        <v>46286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13527-2026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46094</v>
      </c>
      <c r="E672" s="1" t="n">
        <v>46286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7.5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19712-2022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44694</v>
      </c>
      <c r="E673" s="1" t="n">
        <v>46286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väst AB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13574-2026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46095</v>
      </c>
      <c r="E674" s="1" t="n">
        <v>46286</v>
      </c>
      <c r="F674" t="inlineStr">
        <is>
          <t>GÄVLEBORGS LÄN</t>
        </is>
      </c>
      <c r="G674" t="inlineStr">
        <is>
          <t>GÄVLE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39509-2022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44818</v>
      </c>
      <c r="E675" s="1" t="n">
        <v>46286</v>
      </c>
      <c r="F675" t="inlineStr">
        <is>
          <t>GÄVLEBORGS LÄN</t>
        </is>
      </c>
      <c r="G675" t="inlineStr">
        <is>
          <t>GÄVLE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13893-2026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46098</v>
      </c>
      <c r="E676" s="1" t="n">
        <v>46286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väst AB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19164-2026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46132</v>
      </c>
      <c r="E677" s="1" t="n">
        <v>46286</v>
      </c>
      <c r="F677" t="inlineStr">
        <is>
          <t>GÄVLEBORGS LÄN</t>
        </is>
      </c>
      <c r="G677" t="inlineStr">
        <is>
          <t>GÄVLE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14280-2026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46099</v>
      </c>
      <c r="E678" s="1" t="n">
        <v>46286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14401-2026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46100</v>
      </c>
      <c r="E679" s="1" t="n">
        <v>46286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28332-2026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46286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28334-2026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46196</v>
      </c>
      <c r="E681" s="1" t="n">
        <v>46286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30662-2022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44763</v>
      </c>
      <c r="E682" s="1" t="n">
        <v>46286</v>
      </c>
      <c r="F682" t="inlineStr">
        <is>
          <t>GÄVLEBORGS LÄN</t>
        </is>
      </c>
      <c r="G682" t="inlineStr">
        <is>
          <t>GÄVLE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28379-2026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46196</v>
      </c>
      <c r="E683" s="1" t="n">
        <v>46286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28331-2026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46196</v>
      </c>
      <c r="E684" s="1" t="n">
        <v>46286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61004-2024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45645</v>
      </c>
      <c r="E685" s="1" t="n">
        <v>46286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14963-2026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46104</v>
      </c>
      <c r="E686" s="1" t="n">
        <v>46286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14583-2026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46101</v>
      </c>
      <c r="E687" s="1" t="n">
        <v>46286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väst AB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28140-2026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46195</v>
      </c>
      <c r="E688" s="1" t="n">
        <v>46286</v>
      </c>
      <c r="F688" t="inlineStr">
        <is>
          <t>GÄVLEBORGS LÄN</t>
        </is>
      </c>
      <c r="G688" t="inlineStr">
        <is>
          <t>GÄVLE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15046-2026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46104</v>
      </c>
      <c r="E689" s="1" t="n">
        <v>46286</v>
      </c>
      <c r="F689" t="inlineStr">
        <is>
          <t>GÄVLEBORGS LÄN</t>
        </is>
      </c>
      <c r="G689" t="inlineStr">
        <is>
          <t>GÄVLE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37352-2024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45540</v>
      </c>
      <c r="E690" s="1" t="n">
        <v>46286</v>
      </c>
      <c r="F690" t="inlineStr">
        <is>
          <t>GÄVLEBORGS LÄN</t>
        </is>
      </c>
      <c r="G690" t="inlineStr">
        <is>
          <t>GÄVLE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17605-2025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45757</v>
      </c>
      <c r="E691" s="1" t="n">
        <v>46286</v>
      </c>
      <c r="F691" t="inlineStr">
        <is>
          <t>GÄVLEBORGS LÄN</t>
        </is>
      </c>
      <c r="G691" t="inlineStr">
        <is>
          <t>GÄVLE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17607-2025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45757</v>
      </c>
      <c r="E692" s="1" t="n">
        <v>46286</v>
      </c>
      <c r="F692" t="inlineStr">
        <is>
          <t>GÄVLEBORGS LÄN</t>
        </is>
      </c>
      <c r="G692" t="inlineStr">
        <is>
          <t>GÄVLE</t>
        </is>
      </c>
      <c r="I692" t="n">
        <v>7.6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22968-2026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46160</v>
      </c>
      <c r="E693" s="1" t="n">
        <v>46286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väst AB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15669-2026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46106</v>
      </c>
      <c r="E694" s="1" t="n">
        <v>46286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väst AB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29494-2026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46198</v>
      </c>
      <c r="E695" s="1" t="n">
        <v>46286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väst AB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29506-2026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46198</v>
      </c>
      <c r="E696" s="1" t="n">
        <v>46286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väst AB</t>
        </is>
      </c>
      <c r="I696" t="n">
        <v>52.7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15535-2026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46106</v>
      </c>
      <c r="E697" s="1" t="n">
        <v>46286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15097-2026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46105</v>
      </c>
      <c r="E698" s="1" t="n">
        <v>46286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28654-2026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46286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28485-2026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46197</v>
      </c>
      <c r="E700" s="1" t="n">
        <v>46286</v>
      </c>
      <c r="F700" t="inlineStr">
        <is>
          <t>GÄVLEBORGS LÄN</t>
        </is>
      </c>
      <c r="G700" t="inlineStr">
        <is>
          <t>GÄVLE</t>
        </is>
      </c>
      <c r="H700" t="inlineStr">
        <is>
          <t>BillerudKorsnäs AB</t>
        </is>
      </c>
      <c r="I700" t="n">
        <v>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28656-2026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46286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28659-2026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46286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56487-2023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45243</v>
      </c>
      <c r="E703" s="1" t="n">
        <v>46286</v>
      </c>
      <c r="F703" t="inlineStr">
        <is>
          <t>GÄVLEBORGS LÄN</t>
        </is>
      </c>
      <c r="G703" t="inlineStr">
        <is>
          <t>GÄVLE</t>
        </is>
      </c>
      <c r="I703" t="n">
        <v>8.699999999999999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9307-2022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44616</v>
      </c>
      <c r="E704" s="1" t="n">
        <v>46286</v>
      </c>
      <c r="F704" t="inlineStr">
        <is>
          <t>GÄVLEBORGS LÄN</t>
        </is>
      </c>
      <c r="G704" t="inlineStr">
        <is>
          <t>GÄVLE</t>
        </is>
      </c>
      <c r="I704" t="n">
        <v>4.8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28655-2026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46198</v>
      </c>
      <c r="E705" s="1" t="n">
        <v>46286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28657-2026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46198</v>
      </c>
      <c r="E706" s="1" t="n">
        <v>46286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28658-2026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46198</v>
      </c>
      <c r="E707" s="1" t="n">
        <v>46286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15985-2026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46108</v>
      </c>
      <c r="E708" s="1" t="n">
        <v>46286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13193-2025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45735</v>
      </c>
      <c r="E709" s="1" t="n">
        <v>46286</v>
      </c>
      <c r="F709" t="inlineStr">
        <is>
          <t>GÄVLEBORGS LÄN</t>
        </is>
      </c>
      <c r="G709" t="inlineStr">
        <is>
          <t>GÄVLE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31866-2023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45106</v>
      </c>
      <c r="E710" s="1" t="n">
        <v>46286</v>
      </c>
      <c r="F710" t="inlineStr">
        <is>
          <t>GÄVLEBORGS LÄN</t>
        </is>
      </c>
      <c r="G710" t="inlineStr">
        <is>
          <t>GÄVLE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14807-2023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45014</v>
      </c>
      <c r="E711" s="1" t="n">
        <v>46286</v>
      </c>
      <c r="F711" t="inlineStr">
        <is>
          <t>GÄVLEBORGS LÄN</t>
        </is>
      </c>
      <c r="G711" t="inlineStr">
        <is>
          <t>GÄVLE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32890-2026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46244</v>
      </c>
      <c r="E712" s="1" t="n">
        <v>46286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29142-2026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46202</v>
      </c>
      <c r="E713" s="1" t="n">
        <v>46286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16430-2026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46111</v>
      </c>
      <c r="E714" s="1" t="n">
        <v>46286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väst AB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29333-2026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46202</v>
      </c>
      <c r="E715" s="1" t="n">
        <v>46286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3.3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33880-2022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44790</v>
      </c>
      <c r="E716" s="1" t="n">
        <v>46286</v>
      </c>
      <c r="F716" t="inlineStr">
        <is>
          <t>GÄVLEBORGS LÄN</t>
        </is>
      </c>
      <c r="G716" t="inlineStr">
        <is>
          <t>GÄVLE</t>
        </is>
      </c>
      <c r="I716" t="n">
        <v>9.4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32887-2026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46244</v>
      </c>
      <c r="E717" s="1" t="n">
        <v>46286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6370-2025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45699</v>
      </c>
      <c r="E718" s="1" t="n">
        <v>46286</v>
      </c>
      <c r="F718" t="inlineStr">
        <is>
          <t>GÄVLEBORGS LÄN</t>
        </is>
      </c>
      <c r="G718" t="inlineStr">
        <is>
          <t>GÄVLE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17471-2026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46120</v>
      </c>
      <c r="E719" s="1" t="n">
        <v>46286</v>
      </c>
      <c r="F719" t="inlineStr">
        <is>
          <t>GÄVLEBORGS LÄN</t>
        </is>
      </c>
      <c r="G719" t="inlineStr">
        <is>
          <t>GÄVLE</t>
        </is>
      </c>
      <c r="I719" t="n">
        <v>5.1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11691-2024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45373</v>
      </c>
      <c r="E720" s="1" t="n">
        <v>46286</v>
      </c>
      <c r="F720" t="inlineStr">
        <is>
          <t>GÄVLEBORGS LÄN</t>
        </is>
      </c>
      <c r="G720" t="inlineStr">
        <is>
          <t>GÄVLE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17830-2026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46122</v>
      </c>
      <c r="E721" s="1" t="n">
        <v>46286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62766-2022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44885</v>
      </c>
      <c r="E722" s="1" t="n">
        <v>46286</v>
      </c>
      <c r="F722" t="inlineStr">
        <is>
          <t>GÄVLEBORGS LÄN</t>
        </is>
      </c>
      <c r="G722" t="inlineStr">
        <is>
          <t>GÄVLE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10488-2026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46077</v>
      </c>
      <c r="E723" s="1" t="n">
        <v>46286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32888-2026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46244</v>
      </c>
      <c r="E724" s="1" t="n">
        <v>46286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64873-2023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45282</v>
      </c>
      <c r="E725" s="1" t="n">
        <v>46286</v>
      </c>
      <c r="F725" t="inlineStr">
        <is>
          <t>GÄVLEBORGS LÄN</t>
        </is>
      </c>
      <c r="G725" t="inlineStr">
        <is>
          <t>GÄVLE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18173-2026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46125</v>
      </c>
      <c r="E726" s="1" t="n">
        <v>46286</v>
      </c>
      <c r="F726" t="inlineStr">
        <is>
          <t>GÄVLEBORGS LÄN</t>
        </is>
      </c>
      <c r="G726" t="inlineStr">
        <is>
          <t>GÄVLE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11572-2026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46084</v>
      </c>
      <c r="E727" s="1" t="n">
        <v>46286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18175-2026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46125</v>
      </c>
      <c r="E728" s="1" t="n">
        <v>46286</v>
      </c>
      <c r="F728" t="inlineStr">
        <is>
          <t>GÄVLEBORGS LÄN</t>
        </is>
      </c>
      <c r="G728" t="inlineStr">
        <is>
          <t>GÄVLE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17976-2026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46124</v>
      </c>
      <c r="E729" s="1" t="n">
        <v>46286</v>
      </c>
      <c r="F729" t="inlineStr">
        <is>
          <t>GÄVLEBORGS LÄN</t>
        </is>
      </c>
      <c r="G729" t="inlineStr">
        <is>
          <t>GÄVLE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17977-2026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46124</v>
      </c>
      <c r="E730" s="1" t="n">
        <v>46286</v>
      </c>
      <c r="F730" t="inlineStr">
        <is>
          <t>GÄVLEBORGS LÄN</t>
        </is>
      </c>
      <c r="G730" t="inlineStr">
        <is>
          <t>GÄVLE</t>
        </is>
      </c>
      <c r="I730" t="n">
        <v>0.2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17974-2026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46124</v>
      </c>
      <c r="E731" s="1" t="n">
        <v>46286</v>
      </c>
      <c r="F731" t="inlineStr">
        <is>
          <t>GÄVLEBORGS LÄN</t>
        </is>
      </c>
      <c r="G731" t="inlineStr">
        <is>
          <t>GÄVLE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13046-2026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46093</v>
      </c>
      <c r="E732" s="1" t="n">
        <v>46286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18657-2026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46128</v>
      </c>
      <c r="E733" s="1" t="n">
        <v>46286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15635-2026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46106</v>
      </c>
      <c r="E734" s="1" t="n">
        <v>46286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14966-2026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46104</v>
      </c>
      <c r="E735" s="1" t="n">
        <v>46286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29862-2023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45107</v>
      </c>
      <c r="E736" s="1" t="n">
        <v>46286</v>
      </c>
      <c r="F736" t="inlineStr">
        <is>
          <t>GÄVLEBORGS LÄN</t>
        </is>
      </c>
      <c r="G736" t="inlineStr">
        <is>
          <t>GÄVLE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18817-2026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46128</v>
      </c>
      <c r="E737" s="1" t="n">
        <v>46286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13492-2026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46094</v>
      </c>
      <c r="E738" s="1" t="n">
        <v>46286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15558-2026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46106</v>
      </c>
      <c r="E739" s="1" t="n">
        <v>46286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15568-2026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46106</v>
      </c>
      <c r="E740" s="1" t="n">
        <v>46286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15634-2026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46106</v>
      </c>
      <c r="E741" s="1" t="n">
        <v>46286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36.3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19087-2026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46132</v>
      </c>
      <c r="E742" s="1" t="n">
        <v>46286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24478-2023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45082</v>
      </c>
      <c r="E743" s="1" t="n">
        <v>46286</v>
      </c>
      <c r="F743" t="inlineStr">
        <is>
          <t>GÄVLEBORGS LÄN</t>
        </is>
      </c>
      <c r="G743" t="inlineStr">
        <is>
          <t>GÄVLE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19088-2026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46132</v>
      </c>
      <c r="E744" s="1" t="n">
        <v>46286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19085-2026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46132</v>
      </c>
      <c r="E745" s="1" t="n">
        <v>46286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33265-2026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46246</v>
      </c>
      <c r="E746" s="1" t="n">
        <v>46286</v>
      </c>
      <c r="F746" t="inlineStr">
        <is>
          <t>GÄVLEBORGS LÄN</t>
        </is>
      </c>
      <c r="G746" t="inlineStr">
        <is>
          <t>GÄVLE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17088-2023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45034</v>
      </c>
      <c r="E747" s="1" t="n">
        <v>46286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19371-2026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46133</v>
      </c>
      <c r="E748" s="1" t="n">
        <v>46286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19370-2026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46133</v>
      </c>
      <c r="E749" s="1" t="n">
        <v>46286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4.2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7792-2023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44973</v>
      </c>
      <c r="E750" s="1" t="n">
        <v>46286</v>
      </c>
      <c r="F750" t="inlineStr">
        <is>
          <t>GÄVLEBORGS LÄN</t>
        </is>
      </c>
      <c r="G750" t="inlineStr">
        <is>
          <t>GÄVLE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19122-2026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46132</v>
      </c>
      <c r="E751" s="1" t="n">
        <v>46286</v>
      </c>
      <c r="F751" t="inlineStr">
        <is>
          <t>GÄVLEBORGS LÄN</t>
        </is>
      </c>
      <c r="G751" t="inlineStr">
        <is>
          <t>GÄVLE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14735-2024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45397</v>
      </c>
      <c r="E752" s="1" t="n">
        <v>46286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19714-2026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46134</v>
      </c>
      <c r="E753" s="1" t="n">
        <v>46286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19715-2026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46134</v>
      </c>
      <c r="E754" s="1" t="n">
        <v>46286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12386-2026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46090</v>
      </c>
      <c r="E755" s="1" t="n">
        <v>46286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29364-2026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46203</v>
      </c>
      <c r="E756" s="1" t="n">
        <v>46286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33346-2026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46246</v>
      </c>
      <c r="E757" s="1" t="n">
        <v>46286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19713-2026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46134</v>
      </c>
      <c r="E758" s="1" t="n">
        <v>46286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19716-2026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46134</v>
      </c>
      <c r="E759" s="1" t="n">
        <v>46286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15176-2026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46105</v>
      </c>
      <c r="E760" s="1" t="n">
        <v>46286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35761-2022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44800</v>
      </c>
      <c r="E761" s="1" t="n">
        <v>46286</v>
      </c>
      <c r="F761" t="inlineStr">
        <is>
          <t>GÄVLEBORGS LÄN</t>
        </is>
      </c>
      <c r="G761" t="inlineStr">
        <is>
          <t>GÄVLE</t>
        </is>
      </c>
      <c r="I761" t="n">
        <v>8.199999999999999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19712-2026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46134</v>
      </c>
      <c r="E762" s="1" t="n">
        <v>46286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4.8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14365-2026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46100</v>
      </c>
      <c r="E763" s="1" t="n">
        <v>46286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19372-2026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46133</v>
      </c>
      <c r="E764" s="1" t="n">
        <v>46286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3.9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19711-2026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46134</v>
      </c>
      <c r="E765" s="1" t="n">
        <v>46286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7.2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44000-2025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45915</v>
      </c>
      <c r="E766" s="1" t="n">
        <v>46286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15324-2026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46105</v>
      </c>
      <c r="E767" s="1" t="n">
        <v>46286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46029</v>
      </c>
      <c r="E768" s="1" t="n">
        <v>46286</v>
      </c>
      <c r="F768" t="inlineStr">
        <is>
          <t>GÄVLEBORGS LÄN</t>
        </is>
      </c>
      <c r="G768" t="inlineStr">
        <is>
          <t>GÄVLE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15835-2026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46107</v>
      </c>
      <c r="E769" s="1" t="n">
        <v>46286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5.2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4402-2025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45686</v>
      </c>
      <c r="E770" s="1" t="n">
        <v>46286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4.8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50537-2025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45945</v>
      </c>
      <c r="E771" s="1" t="n">
        <v>46286</v>
      </c>
      <c r="F771" t="inlineStr">
        <is>
          <t>GÄVLEBORGS LÄN</t>
        </is>
      </c>
      <c r="G771" t="inlineStr">
        <is>
          <t>GÄVLE</t>
        </is>
      </c>
      <c r="I771" t="n">
        <v>4.4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61918-2023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45266</v>
      </c>
      <c r="E772" s="1" t="n">
        <v>46286</v>
      </c>
      <c r="F772" t="inlineStr">
        <is>
          <t>GÄVLEBORGS LÄN</t>
        </is>
      </c>
      <c r="G772" t="inlineStr">
        <is>
          <t>GÄVLE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15801-2026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46107</v>
      </c>
      <c r="E773" s="1" t="n">
        <v>46286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33350-2026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46246</v>
      </c>
      <c r="E774" s="1" t="n">
        <v>46286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17245-2024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45414</v>
      </c>
      <c r="E775" s="1" t="n">
        <v>46286</v>
      </c>
      <c r="F775" t="inlineStr">
        <is>
          <t>GÄVLEBORGS LÄN</t>
        </is>
      </c>
      <c r="G775" t="inlineStr">
        <is>
          <t>GÄVLE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33349-2026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46246</v>
      </c>
      <c r="E776" s="1" t="n">
        <v>46286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62255-2022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44922</v>
      </c>
      <c r="E777" s="1" t="n">
        <v>46286</v>
      </c>
      <c r="F777" t="inlineStr">
        <is>
          <t>GÄVLEBORGS LÄN</t>
        </is>
      </c>
      <c r="G777" t="inlineStr">
        <is>
          <t>GÄVLE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33231-2026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46246</v>
      </c>
      <c r="E778" s="1" t="n">
        <v>46286</v>
      </c>
      <c r="F778" t="inlineStr">
        <is>
          <t>GÄVLEBORGS LÄN</t>
        </is>
      </c>
      <c r="G778" t="inlineStr">
        <is>
          <t>GÄVLE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57928-2024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45631</v>
      </c>
      <c r="E779" s="1" t="n">
        <v>46286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33347-2026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46246</v>
      </c>
      <c r="E780" s="1" t="n">
        <v>46286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33348-2026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46246</v>
      </c>
      <c r="E781" s="1" t="n">
        <v>46286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9422-2025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45715</v>
      </c>
      <c r="E782" s="1" t="n">
        <v>46286</v>
      </c>
      <c r="F782" t="inlineStr">
        <is>
          <t>GÄVLEBORGS LÄN</t>
        </is>
      </c>
      <c r="G782" t="inlineStr">
        <is>
          <t>GÄVLE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33719-2026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46251</v>
      </c>
      <c r="E783" s="1" t="n">
        <v>46286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61843-2023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45266</v>
      </c>
      <c r="E784" s="1" t="n">
        <v>46286</v>
      </c>
      <c r="F784" t="inlineStr">
        <is>
          <t>GÄVLEBORGS LÄN</t>
        </is>
      </c>
      <c r="G784" t="inlineStr">
        <is>
          <t>GÄVLE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45660</v>
      </c>
      <c r="E785" s="1" t="n">
        <v>46286</v>
      </c>
      <c r="F785" t="inlineStr">
        <is>
          <t>GÄVLEBORGS LÄN</t>
        </is>
      </c>
      <c r="G785" t="inlineStr">
        <is>
          <t>GÄVLE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15456-2026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46106</v>
      </c>
      <c r="E786" s="1" t="n">
        <v>46286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51758-2025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45950</v>
      </c>
      <c r="E787" s="1" t="n">
        <v>46286</v>
      </c>
      <c r="F787" t="inlineStr">
        <is>
          <t>GÄVLEBORGS LÄN</t>
        </is>
      </c>
      <c r="G787" t="inlineStr">
        <is>
          <t>GÄVLE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33449-2024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45519</v>
      </c>
      <c r="E788" s="1" t="n">
        <v>46286</v>
      </c>
      <c r="F788" t="inlineStr">
        <is>
          <t>GÄVLEBORGS LÄN</t>
        </is>
      </c>
      <c r="G788" t="inlineStr">
        <is>
          <t>GÄVLE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33586-2026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46248</v>
      </c>
      <c r="E789" s="1" t="n">
        <v>46286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35440-2023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45146</v>
      </c>
      <c r="E790" s="1" t="n">
        <v>46286</v>
      </c>
      <c r="F790" t="inlineStr">
        <is>
          <t>GÄVLEBORGS LÄN</t>
        </is>
      </c>
      <c r="G790" t="inlineStr">
        <is>
          <t>GÄVLE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31019-2026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46206</v>
      </c>
      <c r="E791" s="1" t="n">
        <v>46286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3662-2022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44586</v>
      </c>
      <c r="E792" s="1" t="n">
        <v>46286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7410-2025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45705</v>
      </c>
      <c r="E793" s="1" t="n">
        <v>46286</v>
      </c>
      <c r="F793" t="inlineStr">
        <is>
          <t>GÄVLEBORGS LÄN</t>
        </is>
      </c>
      <c r="G793" t="inlineStr">
        <is>
          <t>GÄVLE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35331-2024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45530</v>
      </c>
      <c r="E794" s="1" t="n">
        <v>46286</v>
      </c>
      <c r="F794" t="inlineStr">
        <is>
          <t>GÄVLEBORGS LÄN</t>
        </is>
      </c>
      <c r="G794" t="inlineStr">
        <is>
          <t>GÄVLE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44927</v>
      </c>
      <c r="E795" s="1" t="n">
        <v>46286</v>
      </c>
      <c r="F795" t="inlineStr">
        <is>
          <t>GÄVLEBORGS LÄN</t>
        </is>
      </c>
      <c r="G795" t="inlineStr">
        <is>
          <t>GÄVLE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30324-2026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46207</v>
      </c>
      <c r="E796" s="1" t="n">
        <v>46286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12.4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44806-2024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45574</v>
      </c>
      <c r="E797" s="1" t="n">
        <v>46286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22363-2026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46154</v>
      </c>
      <c r="E798" s="1" t="n">
        <v>46286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väst AB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33664-2026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46248</v>
      </c>
      <c r="E799" s="1" t="n">
        <v>46286</v>
      </c>
      <c r="F799" t="inlineStr">
        <is>
          <t>GÄVLEBORGS LÄN</t>
        </is>
      </c>
      <c r="G799" t="inlineStr">
        <is>
          <t>GÄVLE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52250-2024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45608</v>
      </c>
      <c r="E800" s="1" t="n">
        <v>46286</v>
      </c>
      <c r="F800" t="inlineStr">
        <is>
          <t>GÄVLEBORGS LÄN</t>
        </is>
      </c>
      <c r="G800" t="inlineStr">
        <is>
          <t>GÄVLE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33662-2026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46248</v>
      </c>
      <c r="E801" s="1" t="n">
        <v>46286</v>
      </c>
      <c r="F801" t="inlineStr">
        <is>
          <t>GÄVLEBORGS LÄN</t>
        </is>
      </c>
      <c r="G801" t="inlineStr">
        <is>
          <t>GÄVLE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30875-2022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44767</v>
      </c>
      <c r="E802" s="1" t="n">
        <v>46286</v>
      </c>
      <c r="F802" t="inlineStr">
        <is>
          <t>GÄVLEBORGS LÄN</t>
        </is>
      </c>
      <c r="G802" t="inlineStr">
        <is>
          <t>GÄVLE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33585-2026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46248</v>
      </c>
      <c r="E803" s="1" t="n">
        <v>46286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60349-2022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44910</v>
      </c>
      <c r="E804" s="1" t="n">
        <v>46286</v>
      </c>
      <c r="F804" t="inlineStr">
        <is>
          <t>GÄVLEBORGS LÄN</t>
        </is>
      </c>
      <c r="G804" t="inlineStr">
        <is>
          <t>GÄVLE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41100-2024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45559</v>
      </c>
      <c r="E805" s="1" t="n">
        <v>46286</v>
      </c>
      <c r="F805" t="inlineStr">
        <is>
          <t>GÄVLEBORGS LÄN</t>
        </is>
      </c>
      <c r="G805" t="inlineStr">
        <is>
          <t>GÄVLE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24367-2026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46169</v>
      </c>
      <c r="E806" s="1" t="n">
        <v>46286</v>
      </c>
      <c r="F806" t="inlineStr">
        <is>
          <t>GÄVLEBORGS LÄN</t>
        </is>
      </c>
      <c r="G806" t="inlineStr">
        <is>
          <t>GÄVLE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34033-2026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46252</v>
      </c>
      <c r="E807" s="1" t="n">
        <v>46286</v>
      </c>
      <c r="F807" t="inlineStr">
        <is>
          <t>GÄVLEBORGS LÄN</t>
        </is>
      </c>
      <c r="G807" t="inlineStr">
        <is>
          <t>GÄVLE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30600-2026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46210</v>
      </c>
      <c r="E808" s="1" t="n">
        <v>46286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30601-2026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46210</v>
      </c>
      <c r="E809" s="1" t="n">
        <v>46286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35205-2024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45530</v>
      </c>
      <c r="E810" s="1" t="n">
        <v>46286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16401-2025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45751</v>
      </c>
      <c r="E811" s="1" t="n">
        <v>46286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väst AB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34415-2026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46254</v>
      </c>
      <c r="E812" s="1" t="n">
        <v>46286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34590-2026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46255</v>
      </c>
      <c r="E813" s="1" t="n">
        <v>46286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5633-2024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45334</v>
      </c>
      <c r="E814" s="1" t="n">
        <v>46286</v>
      </c>
      <c r="F814" t="inlineStr">
        <is>
          <t>GÄVLEBORGS LÄN</t>
        </is>
      </c>
      <c r="G814" t="inlineStr">
        <is>
          <t>GÄVLE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34591-2026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46255</v>
      </c>
      <c r="E815" s="1" t="n">
        <v>46286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13961-2024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45392</v>
      </c>
      <c r="E816" s="1" t="n">
        <v>46286</v>
      </c>
      <c r="F816" t="inlineStr">
        <is>
          <t>GÄVLEBORGS LÄN</t>
        </is>
      </c>
      <c r="G816" t="inlineStr">
        <is>
          <t>GÄVLE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34593-2026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46255</v>
      </c>
      <c r="E817" s="1" t="n">
        <v>46286</v>
      </c>
      <c r="F817" t="inlineStr">
        <is>
          <t>GÄVLEBORGS LÄN</t>
        </is>
      </c>
      <c r="G817" t="inlineStr">
        <is>
          <t>GÄVLE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25466-2023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45089</v>
      </c>
      <c r="E818" s="1" t="n">
        <v>46286</v>
      </c>
      <c r="F818" t="inlineStr">
        <is>
          <t>GÄVLEBORGS LÄN</t>
        </is>
      </c>
      <c r="G818" t="inlineStr">
        <is>
          <t>GÄVLE</t>
        </is>
      </c>
      <c r="I818" t="n">
        <v>5.5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34432-2026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46254</v>
      </c>
      <c r="E819" s="1" t="n">
        <v>46286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30967-2026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46213</v>
      </c>
      <c r="E820" s="1" t="n">
        <v>46286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7060-2022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44603</v>
      </c>
      <c r="E821" s="1" t="n">
        <v>46286</v>
      </c>
      <c r="F821" t="inlineStr">
        <is>
          <t>GÄVLEBORGS LÄN</t>
        </is>
      </c>
      <c r="G821" t="inlineStr">
        <is>
          <t>GÄVLE</t>
        </is>
      </c>
      <c r="I821" t="n">
        <v>10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34733-2026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46258</v>
      </c>
      <c r="E822" s="1" t="n">
        <v>46286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11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41708-2023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45176</v>
      </c>
      <c r="E823" s="1" t="n">
        <v>46286</v>
      </c>
      <c r="F823" t="inlineStr">
        <is>
          <t>GÄVLEBORGS LÄN</t>
        </is>
      </c>
      <c r="G823" t="inlineStr">
        <is>
          <t>GÄVLE</t>
        </is>
      </c>
      <c r="I823" t="n">
        <v>6.5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41712-2023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45176</v>
      </c>
      <c r="E824" s="1" t="n">
        <v>46286</v>
      </c>
      <c r="F824" t="inlineStr">
        <is>
          <t>GÄVLEBORGS LÄN</t>
        </is>
      </c>
      <c r="G824" t="inlineStr">
        <is>
          <t>GÄVLE</t>
        </is>
      </c>
      <c r="I824" t="n">
        <v>7.8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5413-2023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44959</v>
      </c>
      <c r="E825" s="1" t="n">
        <v>46286</v>
      </c>
      <c r="F825" t="inlineStr">
        <is>
          <t>GÄVLEBORGS LÄN</t>
        </is>
      </c>
      <c r="G825" t="inlineStr">
        <is>
          <t>GÄVLE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34822-2026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46258</v>
      </c>
      <c r="E826" s="1" t="n">
        <v>46286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31445-2026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46217</v>
      </c>
      <c r="E827" s="1" t="n">
        <v>46286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väst AB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30948-2026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46213</v>
      </c>
      <c r="E828" s="1" t="n">
        <v>46286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4235-2025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45685</v>
      </c>
      <c r="E829" s="1" t="n">
        <v>46286</v>
      </c>
      <c r="F829" t="inlineStr">
        <is>
          <t>GÄVLEBORGS LÄN</t>
        </is>
      </c>
      <c r="G829" t="inlineStr">
        <is>
          <t>GÄVLE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34686-2026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46258</v>
      </c>
      <c r="E830" s="1" t="n">
        <v>46286</v>
      </c>
      <c r="F830" t="inlineStr">
        <is>
          <t>GÄVLEBORGS LÄN</t>
        </is>
      </c>
      <c r="G830" t="inlineStr">
        <is>
          <t>GÄVLE</t>
        </is>
      </c>
      <c r="I830" t="n">
        <v>3.2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30969-2026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46213</v>
      </c>
      <c r="E831" s="1" t="n">
        <v>46286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45660</v>
      </c>
      <c r="E832" s="1" t="n">
        <v>46286</v>
      </c>
      <c r="F832" t="inlineStr">
        <is>
          <t>GÄVLEBORGS LÄN</t>
        </is>
      </c>
      <c r="G832" t="inlineStr">
        <is>
          <t>GÄVLE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30951-2026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46213</v>
      </c>
      <c r="E833" s="1" t="n">
        <v>46286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56138-2023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45240</v>
      </c>
      <c r="E834" s="1" t="n">
        <v>46286</v>
      </c>
      <c r="F834" t="inlineStr">
        <is>
          <t>GÄVLEBORGS LÄN</t>
        </is>
      </c>
      <c r="G834" t="inlineStr">
        <is>
          <t>GÄVLE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31234-2026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46217</v>
      </c>
      <c r="E835" s="1" t="n">
        <v>46286</v>
      </c>
      <c r="F835" t="inlineStr">
        <is>
          <t>GÄVLEBORGS LÄN</t>
        </is>
      </c>
      <c r="G835" t="inlineStr">
        <is>
          <t>GÄVLE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35388-2026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46261</v>
      </c>
      <c r="E836" s="1" t="n">
        <v>46286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35120-2026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46260</v>
      </c>
      <c r="E837" s="1" t="n">
        <v>46286</v>
      </c>
      <c r="F837" t="inlineStr">
        <is>
          <t>GÄVLEBORGS LÄN</t>
        </is>
      </c>
      <c r="G837" t="inlineStr">
        <is>
          <t>GÄVLE</t>
        </is>
      </c>
      <c r="I837" t="n">
        <v>5.6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33635-2024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45520</v>
      </c>
      <c r="E838" s="1" t="n">
        <v>46286</v>
      </c>
      <c r="F838" t="inlineStr">
        <is>
          <t>GÄVLEBORGS LÄN</t>
        </is>
      </c>
      <c r="G838" t="inlineStr">
        <is>
          <t>GÄVLE</t>
        </is>
      </c>
      <c r="I838" t="n">
        <v>3.9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33637-2024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45520</v>
      </c>
      <c r="E839" s="1" t="n">
        <v>46286</v>
      </c>
      <c r="F839" t="inlineStr">
        <is>
          <t>GÄVLEBORGS LÄN</t>
        </is>
      </c>
      <c r="G839" t="inlineStr">
        <is>
          <t>GÄVLE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35302-2026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46261</v>
      </c>
      <c r="E840" s="1" t="n">
        <v>46286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4.4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35326-2026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46261</v>
      </c>
      <c r="E841" s="1" t="n">
        <v>46286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5.2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25645-2023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45089</v>
      </c>
      <c r="E842" s="1" t="n">
        <v>46286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7998-2023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44973</v>
      </c>
      <c r="E843" s="1" t="n">
        <v>46286</v>
      </c>
      <c r="F843" t="inlineStr">
        <is>
          <t>GÄVLEBORGS LÄN</t>
        </is>
      </c>
      <c r="G843" t="inlineStr">
        <is>
          <t>GÄVLE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35387-2026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46286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54207-2023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45232</v>
      </c>
      <c r="E845" s="1" t="n">
        <v>46286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väst AB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15935-2025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45749</v>
      </c>
      <c r="E846" s="1" t="n">
        <v>46286</v>
      </c>
      <c r="F846" t="inlineStr">
        <is>
          <t>GÄVLEBORGS LÄN</t>
        </is>
      </c>
      <c r="G846" t="inlineStr">
        <is>
          <t>GÄVLE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35780-2026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46265</v>
      </c>
      <c r="E847" s="1" t="n">
        <v>46286</v>
      </c>
      <c r="F847" t="inlineStr">
        <is>
          <t>GÄVLEBORGS LÄN</t>
        </is>
      </c>
      <c r="G847" t="inlineStr">
        <is>
          <t>GÄVLE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35541-2026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46262</v>
      </c>
      <c r="E848" s="1" t="n">
        <v>46286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väst AB</t>
        </is>
      </c>
      <c r="I848" t="n">
        <v>5.3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31528-2026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46220</v>
      </c>
      <c r="E849" s="1" t="n">
        <v>46286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11.4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25814-2023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45090</v>
      </c>
      <c r="E850" s="1" t="n">
        <v>46286</v>
      </c>
      <c r="F850" t="inlineStr">
        <is>
          <t>GÄVLEBORGS LÄN</t>
        </is>
      </c>
      <c r="G850" t="inlineStr">
        <is>
          <t>GÄVLE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14792-2023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45014</v>
      </c>
      <c r="E851" s="1" t="n">
        <v>46286</v>
      </c>
      <c r="F851" t="inlineStr">
        <is>
          <t>GÄVLEBORGS LÄN</t>
        </is>
      </c>
      <c r="G851" t="inlineStr">
        <is>
          <t>GÄVLE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12079-2025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45728</v>
      </c>
      <c r="E852" s="1" t="n">
        <v>46286</v>
      </c>
      <c r="F852" t="inlineStr">
        <is>
          <t>GÄVLEBORGS LÄN</t>
        </is>
      </c>
      <c r="G852" t="inlineStr">
        <is>
          <t>GÄVLE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1594-2024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45306</v>
      </c>
      <c r="E853" s="1" t="n">
        <v>46286</v>
      </c>
      <c r="F853" t="inlineStr">
        <is>
          <t>GÄVLEBORGS LÄN</t>
        </is>
      </c>
      <c r="G853" t="inlineStr">
        <is>
          <t>GÄVLE</t>
        </is>
      </c>
      <c r="I853" t="n">
        <v>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35495-2026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46262</v>
      </c>
      <c r="E854" s="1" t="n">
        <v>46286</v>
      </c>
      <c r="F854" t="inlineStr">
        <is>
          <t>GÄVLEBORGS LÄN</t>
        </is>
      </c>
      <c r="G854" t="inlineStr">
        <is>
          <t>GÄVLE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35818-2026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46265</v>
      </c>
      <c r="E855" s="1" t="n">
        <v>46286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väst AB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31566-2026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46223</v>
      </c>
      <c r="E856" s="1" t="n">
        <v>46286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10.2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35577-2026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46262</v>
      </c>
      <c r="E857" s="1" t="n">
        <v>46286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35561-2026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46262</v>
      </c>
      <c r="E858" s="1" t="n">
        <v>46286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väst AB</t>
        </is>
      </c>
      <c r="I858" t="n">
        <v>4.5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36091-2026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46267</v>
      </c>
      <c r="E859" s="1" t="n">
        <v>46286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36132-2026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46267</v>
      </c>
      <c r="E860" s="1" t="n">
        <v>46286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36089-2026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46267</v>
      </c>
      <c r="E861" s="1" t="n">
        <v>46286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62983-2023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45272</v>
      </c>
      <c r="E862" s="1" t="n">
        <v>46286</v>
      </c>
      <c r="F862" t="inlineStr">
        <is>
          <t>GÄVLEBORGS LÄN</t>
        </is>
      </c>
      <c r="G862" t="inlineStr">
        <is>
          <t>GÄVLE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33901-2024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45523</v>
      </c>
      <c r="E863" s="1" t="n">
        <v>46286</v>
      </c>
      <c r="F863" t="inlineStr">
        <is>
          <t>GÄVLEBORGS LÄN</t>
        </is>
      </c>
      <c r="G863" t="inlineStr">
        <is>
          <t>GÄVLE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36093-2026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46267</v>
      </c>
      <c r="E864" s="1" t="n">
        <v>46286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5.4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36086-2026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46267</v>
      </c>
      <c r="E865" s="1" t="n">
        <v>46286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36512-2026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46269</v>
      </c>
      <c r="E866" s="1" t="n">
        <v>46286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36522-2026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46269</v>
      </c>
      <c r="E867" s="1" t="n">
        <v>46286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36558-2026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46269</v>
      </c>
      <c r="E868" s="1" t="n">
        <v>46286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20621-2025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45776</v>
      </c>
      <c r="E869" s="1" t="n">
        <v>46286</v>
      </c>
      <c r="F869" t="inlineStr">
        <is>
          <t>GÄVLEBORGS LÄN</t>
        </is>
      </c>
      <c r="G869" t="inlineStr">
        <is>
          <t>GÄVLE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36530-2026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46269</v>
      </c>
      <c r="E870" s="1" t="n">
        <v>46286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14974-2026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46104</v>
      </c>
      <c r="E871" s="1" t="n">
        <v>46286</v>
      </c>
      <c r="F871" t="inlineStr">
        <is>
          <t>GÄVLEBORGS LÄN</t>
        </is>
      </c>
      <c r="G871" t="inlineStr">
        <is>
          <t>GÄVLE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36909-2026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46273</v>
      </c>
      <c r="E872" s="1" t="n">
        <v>46286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5.2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36945-2026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46273</v>
      </c>
      <c r="E873" s="1" t="n">
        <v>46286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36957-2026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46273</v>
      </c>
      <c r="E874" s="1" t="n">
        <v>46286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45938-2024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45580</v>
      </c>
      <c r="E875" s="1" t="n">
        <v>46286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5.3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21431-2025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45782</v>
      </c>
      <c r="E876" s="1" t="n">
        <v>46286</v>
      </c>
      <c r="F876" t="inlineStr">
        <is>
          <t>GÄVLEBORGS LÄN</t>
        </is>
      </c>
      <c r="G876" t="inlineStr">
        <is>
          <t>GÄVLE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36962-2026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46273</v>
      </c>
      <c r="E877" s="1" t="n">
        <v>46286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36920-2026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46273</v>
      </c>
      <c r="E878" s="1" t="n">
        <v>46286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36739-2026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46272</v>
      </c>
      <c r="E879" s="1" t="n">
        <v>46286</v>
      </c>
      <c r="F879" t="inlineStr">
        <is>
          <t>GÄVLEBORGS LÄN</t>
        </is>
      </c>
      <c r="G879" t="inlineStr">
        <is>
          <t>GÄVLE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36732-2026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46272</v>
      </c>
      <c r="E880" s="1" t="n">
        <v>46286</v>
      </c>
      <c r="F880" t="inlineStr">
        <is>
          <t>GÄVLEBORGS LÄN</t>
        </is>
      </c>
      <c r="G880" t="inlineStr">
        <is>
          <t>GÄVLE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36935-2026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46273</v>
      </c>
      <c r="E881" s="1" t="n">
        <v>46286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6.1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36784-2026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46272</v>
      </c>
      <c r="E882" s="1" t="n">
        <v>46286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väst AB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37223-2026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46274</v>
      </c>
      <c r="E883" s="1" t="n">
        <v>46286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7202-2025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45702</v>
      </c>
      <c r="E884" s="1" t="n">
        <v>46286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37391-2026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46275</v>
      </c>
      <c r="E885" s="1" t="n">
        <v>46286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väst AB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37401-2026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46275</v>
      </c>
      <c r="E886" s="1" t="n">
        <v>46286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19.1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37134-2026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46274</v>
      </c>
      <c r="E887" s="1" t="n">
        <v>46286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37150-2026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46274</v>
      </c>
      <c r="E888" s="1" t="n">
        <v>46286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37611-2026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46276</v>
      </c>
      <c r="E889" s="1" t="n">
        <v>46286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59044-2023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45252</v>
      </c>
      <c r="E890" s="1" t="n">
        <v>46286</v>
      </c>
      <c r="F890" t="inlineStr">
        <is>
          <t>GÄVLEBORGS LÄN</t>
        </is>
      </c>
      <c r="G890" t="inlineStr">
        <is>
          <t>GÄVLE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37640-2026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46276</v>
      </c>
      <c r="E891" s="1" t="n">
        <v>46286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6.5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3862-2024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45322</v>
      </c>
      <c r="E892" s="1" t="n">
        <v>46286</v>
      </c>
      <c r="F892" t="inlineStr">
        <is>
          <t>GÄVLEBORGS LÄN</t>
        </is>
      </c>
      <c r="G892" t="inlineStr">
        <is>
          <t>GÄVLE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37573-2026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46276</v>
      </c>
      <c r="E893" s="1" t="n">
        <v>46286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37759-2026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46279</v>
      </c>
      <c r="E894" s="1" t="n">
        <v>46286</v>
      </c>
      <c r="F894" t="inlineStr">
        <is>
          <t>GÄVLEBORGS LÄN</t>
        </is>
      </c>
      <c r="G894" t="inlineStr">
        <is>
          <t>GÄVLE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37553-2026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46276</v>
      </c>
      <c r="E895" s="1" t="n">
        <v>46286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7451-2025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45705</v>
      </c>
      <c r="E896" s="1" t="n">
        <v>46286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37765-2026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46279</v>
      </c>
      <c r="E897" s="1" t="n">
        <v>46286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38012-2026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46280</v>
      </c>
      <c r="E898" s="1" t="n">
        <v>46286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38045-2026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46280</v>
      </c>
      <c r="E899" s="1" t="n">
        <v>46286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13.9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37938-2026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46280</v>
      </c>
      <c r="E900" s="1" t="n">
        <v>46286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38051-2026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46280</v>
      </c>
      <c r="E901" s="1" t="n">
        <v>46286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37935-2026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46280</v>
      </c>
      <c r="E902" s="1" t="n">
        <v>46286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2.3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37937-2026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46280</v>
      </c>
      <c r="E903" s="1" t="n">
        <v>46286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38195-2026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46281</v>
      </c>
      <c r="E904" s="1" t="n">
        <v>46286</v>
      </c>
      <c r="F904" t="inlineStr">
        <is>
          <t>GÄVLEBORGS LÄN</t>
        </is>
      </c>
      <c r="G904" t="inlineStr">
        <is>
          <t>GÄVLE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38130-2026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46281</v>
      </c>
      <c r="E905" s="1" t="n">
        <v>46286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5.8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38049-2026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46280</v>
      </c>
      <c r="E906" s="1" t="n">
        <v>46286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37934-2026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46280</v>
      </c>
      <c r="E907" s="1" t="n">
        <v>46286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4.3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38144-2026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46281</v>
      </c>
      <c r="E908" s="1" t="n">
        <v>46286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23291-2025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45791</v>
      </c>
      <c r="E909" s="1" t="n">
        <v>46286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23232-2025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45791</v>
      </c>
      <c r="E910" s="1" t="n">
        <v>46286</v>
      </c>
      <c r="F910" t="inlineStr">
        <is>
          <t>GÄVLEBORGS LÄN</t>
        </is>
      </c>
      <c r="G910" t="inlineStr">
        <is>
          <t>GÄVLE</t>
        </is>
      </c>
      <c r="I910" t="n">
        <v>10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22879-2025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45790</v>
      </c>
      <c r="E911" s="1" t="n">
        <v>46286</v>
      </c>
      <c r="F911" t="inlineStr">
        <is>
          <t>GÄVLEBORGS LÄN</t>
        </is>
      </c>
      <c r="G911" t="inlineStr">
        <is>
          <t>GÄVLE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23324-2025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45791</v>
      </c>
      <c r="E912" s="1" t="n">
        <v>46286</v>
      </c>
      <c r="F912" t="inlineStr">
        <is>
          <t>GÄVLEBORGS LÄN</t>
        </is>
      </c>
      <c r="G912" t="inlineStr">
        <is>
          <t>GÄVLE</t>
        </is>
      </c>
      <c r="I912" t="n">
        <v>6.2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38014-2026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46280</v>
      </c>
      <c r="E913" s="1" t="n">
        <v>46286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22923-2025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45790</v>
      </c>
      <c r="E914" s="1" t="n">
        <v>46286</v>
      </c>
      <c r="F914" t="inlineStr">
        <is>
          <t>GÄVLEBORGS LÄN</t>
        </is>
      </c>
      <c r="G914" t="inlineStr">
        <is>
          <t>GÄVLE</t>
        </is>
      </c>
      <c r="I914" t="n">
        <v>20.8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45660</v>
      </c>
      <c r="E915" s="1" t="n">
        <v>46286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väst AB</t>
        </is>
      </c>
      <c r="I915" t="n">
        <v>3.7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38331-2026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46282</v>
      </c>
      <c r="E916" s="1" t="n">
        <v>46286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32437-2026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46239</v>
      </c>
      <c r="E917" s="1" t="n">
        <v>46286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3.6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38524-2026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46283</v>
      </c>
      <c r="E918" s="1" t="n">
        <v>46286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väst AB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24228-2025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45797</v>
      </c>
      <c r="E919" s="1" t="n">
        <v>46286</v>
      </c>
      <c r="F919" t="inlineStr">
        <is>
          <t>GÄVLEBORGS LÄN</t>
        </is>
      </c>
      <c r="G919" t="inlineStr">
        <is>
          <t>GÄVLE</t>
        </is>
      </c>
      <c r="I919" t="n">
        <v>0.4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38336-2026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46282</v>
      </c>
      <c r="E920" s="1" t="n">
        <v>46286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55878-2024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45623</v>
      </c>
      <c r="E921" s="1" t="n">
        <v>46286</v>
      </c>
      <c r="F921" t="inlineStr">
        <is>
          <t>GÄVLEBORGS LÄN</t>
        </is>
      </c>
      <c r="G921" t="inlineStr">
        <is>
          <t>GÄVLE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32436-2026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46239</v>
      </c>
      <c r="E922" s="1" t="n">
        <v>46286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48913-2024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45594</v>
      </c>
      <c r="E923" s="1" t="n">
        <v>46286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24225-2025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45797</v>
      </c>
      <c r="E924" s="1" t="n">
        <v>46286</v>
      </c>
      <c r="F924" t="inlineStr">
        <is>
          <t>GÄVLEBORGS LÄN</t>
        </is>
      </c>
      <c r="G924" t="inlineStr">
        <is>
          <t>GÄVLE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38552-2026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46283</v>
      </c>
      <c r="E925" s="1" t="n">
        <v>46286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väst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58373-2024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45632</v>
      </c>
      <c r="E926" s="1" t="n">
        <v>46286</v>
      </c>
      <c r="F926" t="inlineStr">
        <is>
          <t>GÄVLEBORGS LÄN</t>
        </is>
      </c>
      <c r="G926" t="inlineStr">
        <is>
          <t>GÄVLE</t>
        </is>
      </c>
      <c r="I926" t="n">
        <v>13.1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31367-2024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45505</v>
      </c>
      <c r="E927" s="1" t="n">
        <v>46286</v>
      </c>
      <c r="F927" t="inlineStr">
        <is>
          <t>GÄVLEBORGS LÄN</t>
        </is>
      </c>
      <c r="G927" t="inlineStr">
        <is>
          <t>GÄVLE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38612-2026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46283</v>
      </c>
      <c r="E928" s="1" t="n">
        <v>46286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24614-2025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45798</v>
      </c>
      <c r="E929" s="1" t="n">
        <v>46286</v>
      </c>
      <c r="F929" t="inlineStr">
        <is>
          <t>GÄVLEBORGS LÄN</t>
        </is>
      </c>
      <c r="G929" t="inlineStr">
        <is>
          <t>GÄVLE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38568-2026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46283</v>
      </c>
      <c r="E930" s="1" t="n">
        <v>46286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väst AB</t>
        </is>
      </c>
      <c r="I930" t="n">
        <v>4.6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38562-2026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46283</v>
      </c>
      <c r="E931" s="1" t="n">
        <v>46286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38582-2026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46283</v>
      </c>
      <c r="E932" s="1" t="n">
        <v>46286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12.8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38551-2026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46283</v>
      </c>
      <c r="E933" s="1" t="n">
        <v>46286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väst AB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38334-2026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46282</v>
      </c>
      <c r="E934" s="1" t="n">
        <v>46286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2.8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38386-2026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46282</v>
      </c>
      <c r="E935" s="1" t="n">
        <v>46286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38333-2026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46282</v>
      </c>
      <c r="E936" s="1" t="n">
        <v>46286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38335-2026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46282</v>
      </c>
      <c r="E937" s="1" t="n">
        <v>46286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38609-2026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46283</v>
      </c>
      <c r="E938" s="1" t="n">
        <v>46286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38393-2026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46282</v>
      </c>
      <c r="E939" s="1" t="n">
        <v>46286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19.8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38586-2026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46283</v>
      </c>
      <c r="E940" s="1" t="n">
        <v>46286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38587-2026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46283</v>
      </c>
      <c r="E941" s="1" t="n">
        <v>46286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38623-2026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46283</v>
      </c>
      <c r="E942" s="1" t="n">
        <v>46286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väst AB</t>
        </is>
      </c>
      <c r="I942" t="n">
        <v>8.5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38624-2026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46283</v>
      </c>
      <c r="E943" s="1" t="n">
        <v>46286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38653-2026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46283</v>
      </c>
      <c r="E944" s="1" t="n">
        <v>46286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väst AB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38588-2026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46283</v>
      </c>
      <c r="E945" s="1" t="n">
        <v>46286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5.7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38584-2026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46283</v>
      </c>
      <c r="E946" s="1" t="n">
        <v>46286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3.1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26564-2022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44739</v>
      </c>
      <c r="E947" s="1" t="n">
        <v>46286</v>
      </c>
      <c r="F947" t="inlineStr">
        <is>
          <t>GÄVLEBORGS LÄN</t>
        </is>
      </c>
      <c r="G947" t="inlineStr">
        <is>
          <t>GÄVLE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25878-2025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45804</v>
      </c>
      <c r="E948" s="1" t="n">
        <v>46286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27666-2025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45813</v>
      </c>
      <c r="E949" s="1" t="n">
        <v>46286</v>
      </c>
      <c r="F949" t="inlineStr">
        <is>
          <t>GÄVLEBORGS LÄN</t>
        </is>
      </c>
      <c r="G949" t="inlineStr">
        <is>
          <t>GÄVLE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27611-2025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45813</v>
      </c>
      <c r="E950" s="1" t="n">
        <v>46286</v>
      </c>
      <c r="F950" t="inlineStr">
        <is>
          <t>GÄVLEBORGS LÄN</t>
        </is>
      </c>
      <c r="G950" t="inlineStr">
        <is>
          <t>GÄVLE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28009-2025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45817</v>
      </c>
      <c r="E951" s="1" t="n">
        <v>46286</v>
      </c>
      <c r="F951" t="inlineStr">
        <is>
          <t>GÄVLEBORGS LÄN</t>
        </is>
      </c>
      <c r="G951" t="inlineStr">
        <is>
          <t>GÄVLE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28481-2025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45819</v>
      </c>
      <c r="E952" s="1" t="n">
        <v>46286</v>
      </c>
      <c r="F952" t="inlineStr">
        <is>
          <t>GÄVLEBORGS LÄN</t>
        </is>
      </c>
      <c r="G952" t="inlineStr">
        <is>
          <t>GÄVLE</t>
        </is>
      </c>
      <c r="I952" t="n">
        <v>13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28624-2025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45819</v>
      </c>
      <c r="E953" s="1" t="n">
        <v>46286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väst AB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30301-2025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45827</v>
      </c>
      <c r="E954" s="1" t="n">
        <v>46286</v>
      </c>
      <c r="F954" t="inlineStr">
        <is>
          <t>GÄVLEBORGS LÄN</t>
        </is>
      </c>
      <c r="G954" t="inlineStr">
        <is>
          <t>GÄVLE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30202-2025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45827</v>
      </c>
      <c r="E955" s="1" t="n">
        <v>46286</v>
      </c>
      <c r="F955" t="inlineStr">
        <is>
          <t>GÄVLEBORGS LÄN</t>
        </is>
      </c>
      <c r="G955" t="inlineStr">
        <is>
          <t>GÄVLE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14563-2025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45741</v>
      </c>
      <c r="E956" s="1" t="n">
        <v>46286</v>
      </c>
      <c r="F956" t="inlineStr">
        <is>
          <t>GÄVLEBORGS LÄN</t>
        </is>
      </c>
      <c r="G956" t="inlineStr">
        <is>
          <t>GÄVLE</t>
        </is>
      </c>
      <c r="I956" t="n">
        <v>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30300-2025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45827</v>
      </c>
      <c r="E957" s="1" t="n">
        <v>46286</v>
      </c>
      <c r="F957" t="inlineStr">
        <is>
          <t>GÄVLEBORGS LÄN</t>
        </is>
      </c>
      <c r="G957" t="inlineStr">
        <is>
          <t>GÄVLE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30304-2025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45827</v>
      </c>
      <c r="E958" s="1" t="n">
        <v>46286</v>
      </c>
      <c r="F958" t="inlineStr">
        <is>
          <t>GÄVLEBORGS LÄN</t>
        </is>
      </c>
      <c r="G958" t="inlineStr">
        <is>
          <t>GÄVLE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30915-2025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45832</v>
      </c>
      <c r="E959" s="1" t="n">
        <v>46286</v>
      </c>
      <c r="F959" t="inlineStr">
        <is>
          <t>GÄVLEBORGS LÄN</t>
        </is>
      </c>
      <c r="G959" t="inlineStr">
        <is>
          <t>GÄVLE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31920-2025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45834</v>
      </c>
      <c r="E960" s="1" t="n">
        <v>46286</v>
      </c>
      <c r="F960" t="inlineStr">
        <is>
          <t>GÄVLEBORGS LÄN</t>
        </is>
      </c>
      <c r="G960" t="inlineStr">
        <is>
          <t>GÄVLE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32022-2025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45835</v>
      </c>
      <c r="E961" s="1" t="n">
        <v>46286</v>
      </c>
      <c r="F961" t="inlineStr">
        <is>
          <t>GÄVLEBORGS LÄN</t>
        </is>
      </c>
      <c r="G961" t="inlineStr">
        <is>
          <t>GÄVLE</t>
        </is>
      </c>
      <c r="I961" t="n">
        <v>3.2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21978-2025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45784</v>
      </c>
      <c r="E962" s="1" t="n">
        <v>46286</v>
      </c>
      <c r="F962" t="inlineStr">
        <is>
          <t>GÄVLEBORGS LÄN</t>
        </is>
      </c>
      <c r="G962" t="inlineStr">
        <is>
          <t>GÄVLE</t>
        </is>
      </c>
      <c r="I962" t="n">
        <v>2.8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34116-2025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45845</v>
      </c>
      <c r="E963" s="1" t="n">
        <v>46286</v>
      </c>
      <c r="F963" t="inlineStr">
        <is>
          <t>GÄVLEBORGS LÄN</t>
        </is>
      </c>
      <c r="G963" t="inlineStr">
        <is>
          <t>GÄVLE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34113-2025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45845</v>
      </c>
      <c r="E964" s="1" t="n">
        <v>46286</v>
      </c>
      <c r="F964" t="inlineStr">
        <is>
          <t>GÄVLEBORGS LÄN</t>
        </is>
      </c>
      <c r="G964" t="inlineStr">
        <is>
          <t>GÄVLE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34725-2025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45848</v>
      </c>
      <c r="E965" s="1" t="n">
        <v>46286</v>
      </c>
      <c r="F965" t="inlineStr">
        <is>
          <t>GÄVLEBORGS LÄN</t>
        </is>
      </c>
      <c r="G965" t="inlineStr">
        <is>
          <t>GÄVLE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34722-2025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45848</v>
      </c>
      <c r="E966" s="1" t="n">
        <v>46286</v>
      </c>
      <c r="F966" t="inlineStr">
        <is>
          <t>GÄVLEBORGS LÄN</t>
        </is>
      </c>
      <c r="G966" t="inlineStr">
        <is>
          <t>GÄVLE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37253-2024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45540</v>
      </c>
      <c r="E967" s="1" t="n">
        <v>46286</v>
      </c>
      <c r="F967" t="inlineStr">
        <is>
          <t>GÄVLEBORGS LÄN</t>
        </is>
      </c>
      <c r="G967" t="inlineStr">
        <is>
          <t>GÄVLE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35337-2025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45854</v>
      </c>
      <c r="E968" s="1" t="n">
        <v>46286</v>
      </c>
      <c r="F968" t="inlineStr">
        <is>
          <t>GÄVLEBORGS LÄN</t>
        </is>
      </c>
      <c r="G968" t="inlineStr">
        <is>
          <t>GÄVLE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35650-2025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45859</v>
      </c>
      <c r="E969" s="1" t="n">
        <v>46286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väst AB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35878-2025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45862</v>
      </c>
      <c r="E970" s="1" t="n">
        <v>46286</v>
      </c>
      <c r="F970" t="inlineStr">
        <is>
          <t>GÄVLEBORGS LÄN</t>
        </is>
      </c>
      <c r="G970" t="inlineStr">
        <is>
          <t>GÄVLE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35938-2025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45862</v>
      </c>
      <c r="E971" s="1" t="n">
        <v>46286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väst AB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35919-2025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45862</v>
      </c>
      <c r="E972" s="1" t="n">
        <v>46286</v>
      </c>
      <c r="F972" t="inlineStr">
        <is>
          <t>GÄVLEBORGS LÄN</t>
        </is>
      </c>
      <c r="G972" t="inlineStr">
        <is>
          <t>GÄVLE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36106-2025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45866</v>
      </c>
      <c r="E973" s="1" t="n">
        <v>46286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väst AB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36255-2025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45867</v>
      </c>
      <c r="E974" s="1" t="n">
        <v>46286</v>
      </c>
      <c r="F974" t="inlineStr">
        <is>
          <t>GÄVLEBORGS LÄN</t>
        </is>
      </c>
      <c r="G974" t="inlineStr">
        <is>
          <t>GÄVLE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36493-2025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45869</v>
      </c>
      <c r="E975" s="1" t="n">
        <v>46286</v>
      </c>
      <c r="F975" t="inlineStr">
        <is>
          <t>GÄVLEBORGS LÄN</t>
        </is>
      </c>
      <c r="G975" t="inlineStr">
        <is>
          <t>GÄVLE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36516-2025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45869</v>
      </c>
      <c r="E976" s="1" t="n">
        <v>46286</v>
      </c>
      <c r="F976" t="inlineStr">
        <is>
          <t>GÄVLEBORGS LÄN</t>
        </is>
      </c>
      <c r="G976" t="inlineStr">
        <is>
          <t>GÄVLE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36680-2025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45873</v>
      </c>
      <c r="E977" s="1" t="n">
        <v>46286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väst AB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38240-2024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45545</v>
      </c>
      <c r="E978" s="1" t="n">
        <v>46286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väst AB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14093-2025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45740</v>
      </c>
      <c r="E979" s="1" t="n">
        <v>46286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öst AB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S 3425-2023</t>
        </is>
      </c>
      <c r="B980" t="inlineStr">
        <is>
          <t>samrådsanmälan</t>
        </is>
      </c>
      <c r="C980" t="inlineStr">
        <is>
          <t>Annan skogsbruksåtgärd</t>
        </is>
      </c>
      <c r="D980" s="1" t="n">
        <v>45205</v>
      </c>
      <c r="E980" s="1" t="n">
        <v>46286</v>
      </c>
      <c r="F980" t="inlineStr">
        <is>
          <t>GÄVLEBORGS LÄN</t>
        </is>
      </c>
      <c r="G980" t="inlineStr">
        <is>
          <t>GÄVLE</t>
        </is>
      </c>
      <c r="I980" t="n">
        <v>0.2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  <c r="Z980">
        <f>HYPERLINK("https://klasma.github.io/Logging_2180/knärot/S 3425-2023 karta knärot.png", "S 3425-2023")</f>
        <v/>
      </c>
      <c r="AA980">
        <f>HYPERLINK("https://klasma.github.io/Logging_2180/klagomål/S 3425-2023 FSC-klagomål.docx", "S 3425-2023")</f>
        <v/>
      </c>
      <c r="AB980">
        <f>HYPERLINK("https://klasma.github.io/Logging_2180/klagomålsmail/S 3425-2023 FSC-klagomål mail.docx", "S 3425-2023")</f>
        <v/>
      </c>
      <c r="AC980">
        <f>HYPERLINK("https://klasma.github.io/Logging_2180/tillsyn/S 3425-2023 tillsynsbegäran.docx", "S 3425-2023")</f>
        <v/>
      </c>
      <c r="AD980">
        <f>HYPERLINK("https://klasma.github.io/Logging_2180/tillsynsmail/S 3425-2023 tillsynsbegäran mail.docx", "S 3425-2023")</f>
        <v/>
      </c>
    </row>
    <row r="981" ht="15" customHeight="1">
      <c r="A981" t="inlineStr">
        <is>
          <t>S 889-2023</t>
        </is>
      </c>
      <c r="B981" t="inlineStr">
        <is>
          <t>samrådsanmälan</t>
        </is>
      </c>
      <c r="C981" t="inlineStr">
        <is>
          <t>Skogsgödsling</t>
        </is>
      </c>
      <c r="D981" s="1" t="n">
        <v>44995</v>
      </c>
      <c r="E981" s="1" t="n">
        <v>46286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väst AB</t>
        </is>
      </c>
      <c r="I981" t="n">
        <v>13.3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S 886-2024</t>
        </is>
      </c>
      <c r="B982" t="inlineStr">
        <is>
          <t>samrådsanmälan</t>
        </is>
      </c>
      <c r="C982" t="inlineStr">
        <is>
          <t>Annan skogsbruksåtgärd</t>
        </is>
      </c>
      <c r="D982" s="1" t="n">
        <v>45376</v>
      </c>
      <c r="E982" s="1" t="n">
        <v>46286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11.9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S 2464-2024</t>
        </is>
      </c>
      <c r="B983" t="inlineStr">
        <is>
          <t>samrådsanmälan</t>
        </is>
      </c>
      <c r="C983" t="inlineStr">
        <is>
          <t>Skogsbilväg</t>
        </is>
      </c>
      <c r="D983" s="1" t="n">
        <v>45470</v>
      </c>
      <c r="E983" s="1" t="n">
        <v>46286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väst AB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>
      <c r="A984" t="inlineStr">
        <is>
          <t>S 644-2026</t>
        </is>
      </c>
      <c r="B984" t="inlineStr">
        <is>
          <t>samrådsanmälan</t>
        </is>
      </c>
      <c r="C984" t="inlineStr">
        <is>
          <t>Skogsgödsling</t>
        </is>
      </c>
      <c r="D984" s="1" t="n">
        <v>46089</v>
      </c>
      <c r="E984" s="1" t="n">
        <v>46286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29.2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2026-09-21T02:01:30Z</dcterms:created>
  <dcterms:modified xmlns:dcterms="http://purl.org/dc/terms/" xmlns:xsi="http://www.w3.org/2001/XMLSchema-instance" xsi:type="dcterms:W3CDTF">2026-09-21T02:01:32Z</dcterms:modified>
</cp:coreProperties>
</file>