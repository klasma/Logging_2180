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46310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46310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46310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46310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46310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46310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46310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46310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46310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46310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46310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46310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46310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46310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46310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46310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38344-2026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46310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3.9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38344-2026 artfynd.xlsx", "A 38344-2026")</f>
        <v/>
      </c>
      <c r="X31">
        <f>HYPERLINK("https://klasma.github.io/Logging_2180/kartor/A 38344-2026 karta.png", "A 38344-2026")</f>
        <v/>
      </c>
      <c r="Y31">
        <f>HYPERLINK("https://klasma.github.io/Logging_2180/kartor_geotiff/A 38344-2026 georefererad karta.tif", "A 38344-2026")</f>
        <v/>
      </c>
      <c r="AA31">
        <f>HYPERLINK("https://klasma.github.io/Logging_2180/klagomål/A 38344-2026 FSC-klagomål.docx", "A 38344-2026")</f>
        <v/>
      </c>
      <c r="AB31">
        <f>HYPERLINK("https://klasma.github.io/Logging_2180/klagomålsmail/A 38344-2026 FSC-klagomål mail.docx", "A 38344-2026")</f>
        <v/>
      </c>
      <c r="AC31">
        <f>HYPERLINK("https://klasma.github.io/Logging_2180/tillsyn/A 38344-2026 tillsynsbegäran.docx", "A 38344-2026")</f>
        <v/>
      </c>
      <c r="AD31">
        <f>HYPERLINK("https://klasma.github.io/Logging_2180/tillsynsmail/A 38344-2026 tillsynsbegäran mail.docx", "A 38344-2026")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46310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46310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46310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46310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46310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46310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46310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46310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46310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46310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46310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46310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46310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46310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46310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46310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46310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46310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29821-2023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46310</v>
      </c>
      <c r="F51" t="inlineStr">
        <is>
          <t>GÄVLEBORGS LÄN</t>
        </is>
      </c>
      <c r="G51" t="inlineStr">
        <is>
          <t>GÄVLE</t>
        </is>
      </c>
      <c r="I51" t="n">
        <v>5.3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Järnsparv
Svartvit flugsnappare</t>
        </is>
      </c>
      <c r="W51">
        <f>HYPERLINK("https://klasma.github.io/Logging_2180/artfynd/A 29821-2023 artfynd.xlsx", "A 29821-2023")</f>
        <v/>
      </c>
      <c r="X51">
        <f>HYPERLINK("https://klasma.github.io/Logging_2180/kartor/A 29821-2023 karta.png", "A 29821-2023")</f>
        <v/>
      </c>
      <c r="Y51">
        <f>HYPERLINK("https://klasma.github.io/Logging_2180/kartor_geotiff/A 29821-2023 georefererad karta.tif", "A 29821-2023")</f>
        <v/>
      </c>
      <c r="AA51">
        <f>HYPERLINK("https://klasma.github.io/Logging_2180/klagomål/A 29821-2023 FSC-klagomål.docx", "A 29821-2023")</f>
        <v/>
      </c>
      <c r="AB51">
        <f>HYPERLINK("https://klasma.github.io/Logging_2180/klagomålsmail/A 29821-2023 FSC-klagomål mail.docx", "A 29821-2023")</f>
        <v/>
      </c>
      <c r="AC51">
        <f>HYPERLINK("https://klasma.github.io/Logging_2180/tillsyn/A 29821-2023 tillsynsbegäran.docx", "A 29821-2023")</f>
        <v/>
      </c>
      <c r="AD51">
        <f>HYPERLINK("https://klasma.github.io/Logging_2180/tillsynsmail/A 29821-2023 tillsynsbegäran mail.docx", "A 29821-2023")</f>
        <v/>
      </c>
      <c r="AE51">
        <f>HYPERLINK("https://klasma.github.io/Logging_2180/fåglar/A 29821-2023 prioriterade fågelarter.docx", "A 29821-2023")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46310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46310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46310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2</v>
      </c>
      <c r="V54" s="2" t="inlineStr">
        <is>
          <t>Ullticka
Järpe</t>
        </is>
      </c>
      <c r="W54">
        <f>HYPERLINK("https://klasma.github.io/Logging_2180/artfynd/A 13727-2025 artfynd.xlsx", "A 13727-2025")</f>
        <v/>
      </c>
      <c r="X54">
        <f>HYPERLINK("https://klasma.github.io/Logging_2180/kartor/A 13727-2025 karta.png", "A 13727-2025")</f>
        <v/>
      </c>
      <c r="Y54">
        <f>HYPERLINK("https://klasma.github.io/Logging_2180/kartor_geotiff/A 13727-2025 georefererad karta.tif", "A 13727-2025")</f>
        <v/>
      </c>
      <c r="AA54">
        <f>HYPERLINK("https://klasma.github.io/Logging_2180/klagomål/A 13727-2025 FSC-klagomål.docx", "A 13727-2025")</f>
        <v/>
      </c>
      <c r="AB54">
        <f>HYPERLINK("https://klasma.github.io/Logging_2180/klagomålsmail/A 13727-2025 FSC-klagomål mail.docx", "A 13727-2025")</f>
        <v/>
      </c>
      <c r="AC54">
        <f>HYPERLINK("https://klasma.github.io/Logging_2180/tillsyn/A 13727-2025 tillsynsbegäran.docx", "A 13727-2025")</f>
        <v/>
      </c>
      <c r="AD54">
        <f>HYPERLINK("https://klasma.github.io/Logging_2180/tillsynsmail/A 13727-2025 tillsynsbegäran mail.docx", "A 13727-2025")</f>
        <v/>
      </c>
      <c r="AE54">
        <f>HYPERLINK("https://klasma.github.io/Logging_2180/fåglar/A 13727-2025 prioriterade fågelarter.docx", "A 13727-2025")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46310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46310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Pärluggla
Sparvuggla</t>
        </is>
      </c>
      <c r="W56">
        <f>HYPERLINK("https://klasma.github.io/Logging_2180/artfynd/A 13487-2026 artfynd.xlsx", "A 13487-2026")</f>
        <v/>
      </c>
      <c r="X56">
        <f>HYPERLINK("https://klasma.github.io/Logging_2180/kartor/A 13487-2026 karta.png", "A 13487-2026")</f>
        <v/>
      </c>
      <c r="Y56">
        <f>HYPERLINK("https://klasma.github.io/Logging_2180/kartor_geotiff/A 13487-2026 georefererad karta.tif", "A 13487-2026")</f>
        <v/>
      </c>
      <c r="AA56">
        <f>HYPERLINK("https://klasma.github.io/Logging_2180/klagomål/A 13487-2026 FSC-klagomål.docx", "A 13487-2026")</f>
        <v/>
      </c>
      <c r="AB56">
        <f>HYPERLINK("https://klasma.github.io/Logging_2180/klagomålsmail/A 13487-2026 FSC-klagomål mail.docx", "A 13487-2026")</f>
        <v/>
      </c>
      <c r="AC56">
        <f>HYPERLINK("https://klasma.github.io/Logging_2180/tillsyn/A 13487-2026 tillsynsbegäran.docx", "A 13487-2026")</f>
        <v/>
      </c>
      <c r="AD56">
        <f>HYPERLINK("https://klasma.github.io/Logging_2180/tillsynsmail/A 13487-2026 tillsynsbegäran mail.docx", "A 13487-2026")</f>
        <v/>
      </c>
      <c r="AE56">
        <f>HYPERLINK("https://klasma.github.io/Logging_2180/fåglar/A 13487-2026 prioriterade fågelarter.docx", "A 13487-2026")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46310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46310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46310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46310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56538-2022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46310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Dropptaggsvamp
Blåsippa</t>
        </is>
      </c>
      <c r="W61">
        <f>HYPERLINK("https://klasma.github.io/Logging_2180/artfynd/A 56538-2022 artfynd.xlsx", "A 56538-2022")</f>
        <v/>
      </c>
      <c r="X61">
        <f>HYPERLINK("https://klasma.github.io/Logging_2180/kartor/A 56538-2022 karta.png", "A 56538-2022")</f>
        <v/>
      </c>
      <c r="Y61">
        <f>HYPERLINK("https://klasma.github.io/Logging_2180/kartor_geotiff/A 56538-2022 georefererad karta.tif", "A 56538-2022")</f>
        <v/>
      </c>
      <c r="AA61">
        <f>HYPERLINK("https://klasma.github.io/Logging_2180/klagomål/A 56538-2022 FSC-klagomål.docx", "A 56538-2022")</f>
        <v/>
      </c>
      <c r="AB61">
        <f>HYPERLINK("https://klasma.github.io/Logging_2180/klagomålsmail/A 56538-2022 FSC-klagomål mail.docx", "A 56538-2022")</f>
        <v/>
      </c>
      <c r="AC61">
        <f>HYPERLINK("https://klasma.github.io/Logging_2180/tillsyn/A 56538-2022 tillsynsbegäran.docx", "A 56538-2022")</f>
        <v/>
      </c>
      <c r="AD61">
        <f>HYPERLINK("https://klasma.github.io/Logging_2180/tillsynsmail/A 56538-2022 tillsynsbegäran mail.docx", "A 56538-2022")</f>
        <v/>
      </c>
    </row>
    <row r="62" ht="15" customHeight="1">
      <c r="A62" t="inlineStr">
        <is>
          <t>A 18218-2024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46310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13.1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Blåsippa
Havsörn</t>
        </is>
      </c>
      <c r="W62">
        <f>HYPERLINK("https://klasma.github.io/Logging_2180/artfynd/A 18218-2024 artfynd.xlsx", "A 18218-2024")</f>
        <v/>
      </c>
      <c r="X62">
        <f>HYPERLINK("https://klasma.github.io/Logging_2180/kartor/A 18218-2024 karta.png", "A 18218-2024")</f>
        <v/>
      </c>
      <c r="Y62">
        <f>HYPERLINK("https://klasma.github.io/Logging_2180/kartor_geotiff/A 18218-2024 georefererad karta.tif", "A 18218-2024")</f>
        <v/>
      </c>
      <c r="AA62">
        <f>HYPERLINK("https://klasma.github.io/Logging_2180/klagomål/A 18218-2024 FSC-klagomål.docx", "A 18218-2024")</f>
        <v/>
      </c>
      <c r="AB62">
        <f>HYPERLINK("https://klasma.github.io/Logging_2180/klagomålsmail/A 18218-2024 FSC-klagomål mail.docx", "A 18218-2024")</f>
        <v/>
      </c>
      <c r="AC62">
        <f>HYPERLINK("https://klasma.github.io/Logging_2180/tillsyn/A 18218-2024 tillsynsbegäran.docx", "A 18218-2024")</f>
        <v/>
      </c>
      <c r="AD62">
        <f>HYPERLINK("https://klasma.github.io/Logging_2180/tillsynsmail/A 18218-2024 tillsynsbegäran mail.docx", "A 18218-2024")</f>
        <v/>
      </c>
      <c r="AE62">
        <f>HYPERLINK("https://klasma.github.io/Logging_2180/fåglar/A 18218-2024 prioriterade fågelarter.docx", "A 18218-2024")</f>
        <v/>
      </c>
    </row>
    <row r="63" ht="15" customHeight="1">
      <c r="A63" t="inlineStr">
        <is>
          <t>A 64533-2023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46310</v>
      </c>
      <c r="F63" t="inlineStr">
        <is>
          <t>GÄVLEBORGS LÄN</t>
        </is>
      </c>
      <c r="G63" t="inlineStr">
        <is>
          <t>GÄVLE</t>
        </is>
      </c>
      <c r="I63" t="n">
        <v>1.1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Aspvedgnagare
Jättesvampmal</t>
        </is>
      </c>
      <c r="W63">
        <f>HYPERLINK("https://klasma.github.io/Logging_2180/artfynd/A 64533-2023 artfynd.xlsx", "A 64533-2023")</f>
        <v/>
      </c>
      <c r="X63">
        <f>HYPERLINK("https://klasma.github.io/Logging_2180/kartor/A 64533-2023 karta.png", "A 64533-2023")</f>
        <v/>
      </c>
      <c r="Y63">
        <f>HYPERLINK("https://klasma.github.io/Logging_2180/kartor_geotiff/A 64533-2023 georefererad karta.tif", "A 64533-2023")</f>
        <v/>
      </c>
      <c r="AA63">
        <f>HYPERLINK("https://klasma.github.io/Logging_2180/klagomål/A 64533-2023 FSC-klagomål.docx", "A 64533-2023")</f>
        <v/>
      </c>
      <c r="AB63">
        <f>HYPERLINK("https://klasma.github.io/Logging_2180/klagomålsmail/A 64533-2023 FSC-klagomål mail.docx", "A 64533-2023")</f>
        <v/>
      </c>
      <c r="AC63">
        <f>HYPERLINK("https://klasma.github.io/Logging_2180/tillsyn/A 64533-2023 tillsynsbegäran.docx", "A 64533-2023")</f>
        <v/>
      </c>
      <c r="AD63">
        <f>HYPERLINK("https://klasma.github.io/Logging_2180/tillsynsmail/A 64533-2023 tillsynsbegäran mail.docx", "A 64533-2023")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46310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6473-2024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46310</v>
      </c>
      <c r="F65" t="inlineStr">
        <is>
          <t>GÄVLEBORGS LÄN</t>
        </is>
      </c>
      <c r="G65" t="inlineStr">
        <is>
          <t>GÄVLE</t>
        </is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Tibast
Nattviol</t>
        </is>
      </c>
      <c r="W65">
        <f>HYPERLINK("https://klasma.github.io/Logging_2180/artfynd/A 6473-2024 artfynd.xlsx", "A 6473-2024")</f>
        <v/>
      </c>
      <c r="X65">
        <f>HYPERLINK("https://klasma.github.io/Logging_2180/kartor/A 6473-2024 karta.png", "A 6473-2024")</f>
        <v/>
      </c>
      <c r="Y65">
        <f>HYPERLINK("https://klasma.github.io/Logging_2180/kartor_geotiff/A 6473-2024 georefererad karta.tif", "A 6473-2024")</f>
        <v/>
      </c>
      <c r="AA65">
        <f>HYPERLINK("https://klasma.github.io/Logging_2180/klagomål/A 6473-2024 FSC-klagomål.docx", "A 6473-2024")</f>
        <v/>
      </c>
      <c r="AB65">
        <f>HYPERLINK("https://klasma.github.io/Logging_2180/klagomålsmail/A 6473-2024 FSC-klagomål mail.docx", "A 6473-2024")</f>
        <v/>
      </c>
      <c r="AC65">
        <f>HYPERLINK("https://klasma.github.io/Logging_2180/tillsyn/A 6473-2024 tillsynsbegäran.docx", "A 6473-2024")</f>
        <v/>
      </c>
      <c r="AD65">
        <f>HYPERLINK("https://klasma.github.io/Logging_2180/tillsynsmail/A 6473-2024 tillsynsbegäran mail.docx", "A 6473-2024")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46310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46310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46310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27054-2026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46310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27054-2026 artfynd.xlsx", "A 27054-2026")</f>
        <v/>
      </c>
      <c r="X69">
        <f>HYPERLINK("https://klasma.github.io/Logging_2180/kartor/A 27054-2026 karta.png", "A 27054-2026")</f>
        <v/>
      </c>
      <c r="Y69">
        <f>HYPERLINK("https://klasma.github.io/Logging_2180/kartor_geotiff/A 27054-2026 georefererad karta.tif", "A 27054-2026")</f>
        <v/>
      </c>
      <c r="AA69">
        <f>HYPERLINK("https://klasma.github.io/Logging_2180/klagomål/A 27054-2026 FSC-klagomål.docx", "A 27054-2026")</f>
        <v/>
      </c>
      <c r="AB69">
        <f>HYPERLINK("https://klasma.github.io/Logging_2180/klagomålsmail/A 27054-2026 FSC-klagomål mail.docx", "A 27054-2026")</f>
        <v/>
      </c>
      <c r="AC69">
        <f>HYPERLINK("https://klasma.github.io/Logging_2180/tillsyn/A 27054-2026 tillsynsbegäran.docx", "A 27054-2026")</f>
        <v/>
      </c>
      <c r="AD69">
        <f>HYPERLINK("https://klasma.github.io/Logging_2180/tillsynsmail/A 27054-2026 tillsynsbegäran mail.docx", "A 27054-2026")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46310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38046-2026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46310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4.3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Garnlav
Knärot</t>
        </is>
      </c>
      <c r="W71">
        <f>HYPERLINK("https://klasma.github.io/Logging_2180/artfynd/A 38046-2026 artfynd.xlsx", "A 38046-2026")</f>
        <v/>
      </c>
      <c r="X71">
        <f>HYPERLINK("https://klasma.github.io/Logging_2180/kartor/A 38046-2026 karta.png", "A 38046-2026")</f>
        <v/>
      </c>
      <c r="Y71">
        <f>HYPERLINK("https://klasma.github.io/Logging_2180/kartor_geotiff/A 38046-2026 georefererad karta.tif", "A 38046-2026")</f>
        <v/>
      </c>
      <c r="Z71">
        <f>HYPERLINK("https://klasma.github.io/Logging_2180/knärot/A 38046-2026 karta knärot.png", "A 38046-2026")</f>
        <v/>
      </c>
      <c r="AA71">
        <f>HYPERLINK("https://klasma.github.io/Logging_2180/klagomål/A 38046-2026 FSC-klagomål.docx", "A 38046-2026")</f>
        <v/>
      </c>
      <c r="AB71">
        <f>HYPERLINK("https://klasma.github.io/Logging_2180/klagomålsmail/A 38046-2026 FSC-klagomål mail.docx", "A 38046-2026")</f>
        <v/>
      </c>
      <c r="AC71">
        <f>HYPERLINK("https://klasma.github.io/Logging_2180/tillsyn/A 38046-2026 tillsynsbegäran.docx", "A 38046-2026")</f>
        <v/>
      </c>
      <c r="AD71">
        <f>HYPERLINK("https://klasma.github.io/Logging_2180/tillsynsmail/A 38046-2026 tillsynsbegäran mail.docx", "A 38046-2026")</f>
        <v/>
      </c>
    </row>
    <row r="72" ht="15" customHeight="1">
      <c r="A72" t="inlineStr">
        <is>
          <t>A 34434-2026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46310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Grönsångare
Vätteros</t>
        </is>
      </c>
      <c r="W72">
        <f>HYPERLINK("https://klasma.github.io/Logging_2180/artfynd/A 34434-2026 artfynd.xlsx", "A 34434-2026")</f>
        <v/>
      </c>
      <c r="X72">
        <f>HYPERLINK("https://klasma.github.io/Logging_2180/kartor/A 34434-2026 karta.png", "A 34434-2026")</f>
        <v/>
      </c>
      <c r="Y72">
        <f>HYPERLINK("https://klasma.github.io/Logging_2180/kartor_geotiff/A 34434-2026 georefererad karta.tif", "A 34434-2026")</f>
        <v/>
      </c>
      <c r="AA72">
        <f>HYPERLINK("https://klasma.github.io/Logging_2180/klagomål/A 34434-2026 FSC-klagomål.docx", "A 34434-2026")</f>
        <v/>
      </c>
      <c r="AB72">
        <f>HYPERLINK("https://klasma.github.io/Logging_2180/klagomålsmail/A 34434-2026 FSC-klagomål mail.docx", "A 34434-2026")</f>
        <v/>
      </c>
      <c r="AC72">
        <f>HYPERLINK("https://klasma.github.io/Logging_2180/tillsyn/A 34434-2026 tillsynsbegäran.docx", "A 34434-2026")</f>
        <v/>
      </c>
      <c r="AD72">
        <f>HYPERLINK("https://klasma.github.io/Logging_2180/tillsynsmail/A 34434-2026 tillsynsbegäran mail.docx", "A 34434-2026")</f>
        <v/>
      </c>
      <c r="AE72">
        <f>HYPERLINK("https://klasma.github.io/Logging_2180/fåglar/A 34434-2026 prioriterade fågelarter.docx", "A 34434-2026")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46310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46310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46310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121</v>
      </c>
      <c r="U75" t="n">
        <v>0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46310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46310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46310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47642-2024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46310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8.199999999999999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HYPERLINK("https://klasma.github.io/Logging_2180/artfynd/A 47642-2024 artfynd.xlsx", "A 47642-2024")</f>
        <v/>
      </c>
      <c r="X79">
        <f>HYPERLINK("https://klasma.github.io/Logging_2180/kartor/A 47642-2024 karta.png", "A 47642-2024")</f>
        <v/>
      </c>
      <c r="Y79">
        <f>HYPERLINK("https://klasma.github.io/Logging_2180/kartor_geotiff/A 47642-2024 georefererad karta.tif", "A 47642-2024")</f>
        <v/>
      </c>
      <c r="AA79">
        <f>HYPERLINK("https://klasma.github.io/Logging_2180/klagomål/A 47642-2024 FSC-klagomål.docx", "A 47642-2024")</f>
        <v/>
      </c>
      <c r="AB79">
        <f>HYPERLINK("https://klasma.github.io/Logging_2180/klagomålsmail/A 47642-2024 FSC-klagomål mail.docx", "A 47642-2024")</f>
        <v/>
      </c>
      <c r="AC79">
        <f>HYPERLINK("https://klasma.github.io/Logging_2180/tillsyn/A 47642-2024 tillsynsbegäran.docx", "A 47642-2024")</f>
        <v/>
      </c>
      <c r="AD79">
        <f>HYPERLINK("https://klasma.github.io/Logging_2180/tillsynsmail/A 47642-2024 tillsynsbegäran mail.docx", "A 47642-2024")</f>
        <v/>
      </c>
      <c r="AE79">
        <f>HYPERLINK("https://klasma.github.io/Logging_2180/fåglar/A 47642-2024 prioriterade fågelarter.docx", "A 47642-2024")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46310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46310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46310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46310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35225-2024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46310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Blåsippa</t>
        </is>
      </c>
      <c r="W84">
        <f>HYPERLINK("https://klasma.github.io/Logging_2180/artfynd/A 35225-2024 artfynd.xlsx", "A 35225-2024")</f>
        <v/>
      </c>
      <c r="X84">
        <f>HYPERLINK("https://klasma.github.io/Logging_2180/kartor/A 35225-2024 karta.png", "A 35225-2024")</f>
        <v/>
      </c>
      <c r="Y84">
        <f>HYPERLINK("https://klasma.github.io/Logging_2180/kartor_geotiff/A 35225-2024 georefererad karta.tif", "A 35225-2024")</f>
        <v/>
      </c>
      <c r="AA84">
        <f>HYPERLINK("https://klasma.github.io/Logging_2180/klagomål/A 35225-2024 FSC-klagomål.docx", "A 35225-2024")</f>
        <v/>
      </c>
      <c r="AB84">
        <f>HYPERLINK("https://klasma.github.io/Logging_2180/klagomålsmail/A 35225-2024 FSC-klagomål mail.docx", "A 35225-2024")</f>
        <v/>
      </c>
      <c r="AC84">
        <f>HYPERLINK("https://klasma.github.io/Logging_2180/tillsyn/A 35225-2024 tillsynsbegäran.docx", "A 35225-2024")</f>
        <v/>
      </c>
      <c r="AD84">
        <f>HYPERLINK("https://klasma.github.io/Logging_2180/tillsynsmail/A 35225-2024 tillsynsbegäran mail.docx", "A 35225-2024")</f>
        <v/>
      </c>
    </row>
    <row r="85" ht="15" customHeight="1">
      <c r="A85" t="inlineStr">
        <is>
          <t>A 38550-2025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46310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0.5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HYPERLINK("https://klasma.github.io/Logging_2180/artfynd/A 38550-2025 artfynd.xlsx", "A 38550-2025")</f>
        <v/>
      </c>
      <c r="X85">
        <f>HYPERLINK("https://klasma.github.io/Logging_2180/kartor/A 38550-2025 karta.png", "A 38550-2025")</f>
        <v/>
      </c>
      <c r="Y85">
        <f>HYPERLINK("https://klasma.github.io/Logging_2180/kartor_geotiff/A 38550-2025 georefererad karta.tif", "A 38550-2025")</f>
        <v/>
      </c>
      <c r="AA85">
        <f>HYPERLINK("https://klasma.github.io/Logging_2180/klagomål/A 38550-2025 FSC-klagomål.docx", "A 38550-2025")</f>
        <v/>
      </c>
      <c r="AB85">
        <f>HYPERLINK("https://klasma.github.io/Logging_2180/klagomålsmail/A 38550-2025 FSC-klagomål mail.docx", "A 38550-2025")</f>
        <v/>
      </c>
      <c r="AC85">
        <f>HYPERLINK("https://klasma.github.io/Logging_2180/tillsyn/A 38550-2025 tillsynsbegäran.docx", "A 38550-2025")</f>
        <v/>
      </c>
      <c r="AD85">
        <f>HYPERLINK("https://klasma.github.io/Logging_2180/tillsynsmail/A 38550-2025 tillsynsbegäran mail.docx", "A 38550-2025")</f>
        <v/>
      </c>
    </row>
    <row r="86" ht="15" customHeight="1">
      <c r="A86" t="inlineStr">
        <is>
          <t>A 15001-2023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46310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Ängsblåvinge</t>
        </is>
      </c>
      <c r="W86">
        <f>HYPERLINK("https://klasma.github.io/Logging_2180/artfynd/A 15001-2023 artfynd.xlsx", "A 15001-2023")</f>
        <v/>
      </c>
      <c r="X86">
        <f>HYPERLINK("https://klasma.github.io/Logging_2180/kartor/A 15001-2023 karta.png", "A 15001-2023")</f>
        <v/>
      </c>
      <c r="Y86">
        <f>HYPERLINK("https://klasma.github.io/Logging_2180/kartor_geotiff/A 15001-2023 georefererad karta.tif", "A 15001-2023")</f>
        <v/>
      </c>
      <c r="AA86">
        <f>HYPERLINK("https://klasma.github.io/Logging_2180/klagomål/A 15001-2023 FSC-klagomål.docx", "A 15001-2023")</f>
        <v/>
      </c>
      <c r="AB86">
        <f>HYPERLINK("https://klasma.github.io/Logging_2180/klagomålsmail/A 15001-2023 FSC-klagomål mail.docx", "A 15001-2023")</f>
        <v/>
      </c>
      <c r="AC86">
        <f>HYPERLINK("https://klasma.github.io/Logging_2180/tillsyn/A 15001-2023 tillsynsbegäran.docx", "A 15001-2023")</f>
        <v/>
      </c>
      <c r="AD86">
        <f>HYPERLINK("https://klasma.github.io/Logging_2180/tillsynsmail/A 15001-2023 tillsynsbegäran mail.docx", "A 15001-2023")</f>
        <v/>
      </c>
    </row>
    <row r="87" ht="15" customHeight="1">
      <c r="A87" t="inlineStr">
        <is>
          <t>A 33812-2022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44790</v>
      </c>
      <c r="E87" s="1" t="n">
        <v>46310</v>
      </c>
      <c r="F87" t="inlineStr">
        <is>
          <t>GÄVLEBORGS LÄN</t>
        </is>
      </c>
      <c r="G87" t="inlineStr">
        <is>
          <t>GÄVLE</t>
        </is>
      </c>
      <c r="I87" t="n">
        <v>2.1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Myskmadra</t>
        </is>
      </c>
      <c r="W87">
        <f>HYPERLINK("https://klasma.github.io/Logging_2180/artfynd/A 33812-2022 artfynd.xlsx", "A 33812-2022")</f>
        <v/>
      </c>
      <c r="X87">
        <f>HYPERLINK("https://klasma.github.io/Logging_2180/kartor/A 33812-2022 karta.png", "A 33812-2022")</f>
        <v/>
      </c>
      <c r="Y87">
        <f>HYPERLINK("https://klasma.github.io/Logging_2180/kartor_geotiff/A 33812-2022 georefererad karta.tif", "A 33812-2022")</f>
        <v/>
      </c>
      <c r="AA87">
        <f>HYPERLINK("https://klasma.github.io/Logging_2180/klagomål/A 33812-2022 FSC-klagomål.docx", "A 33812-2022")</f>
        <v/>
      </c>
      <c r="AB87">
        <f>HYPERLINK("https://klasma.github.io/Logging_2180/klagomålsmail/A 33812-2022 FSC-klagomål mail.docx", "A 33812-2022")</f>
        <v/>
      </c>
      <c r="AC87">
        <f>HYPERLINK("https://klasma.github.io/Logging_2180/tillsyn/A 33812-2022 tillsynsbegäran.docx", "A 33812-2022")</f>
        <v/>
      </c>
      <c r="AD87">
        <f>HYPERLINK("https://klasma.github.io/Logging_2180/tillsynsmail/A 33812-2022 tillsynsbegäran mail.docx", "A 33812-2022")</f>
        <v/>
      </c>
    </row>
    <row r="88" ht="15" customHeight="1">
      <c r="A88" t="inlineStr">
        <is>
          <t>A 32254-2023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46310</v>
      </c>
      <c r="F88" t="inlineStr">
        <is>
          <t>GÄVLEBORGS LÄN</t>
        </is>
      </c>
      <c r="G88" t="inlineStr">
        <is>
          <t>GÄVLE</t>
        </is>
      </c>
      <c r="I88" t="n">
        <v>2.5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Slåtterfibbla</t>
        </is>
      </c>
      <c r="W88">
        <f>HYPERLINK("https://klasma.github.io/Logging_2180/artfynd/A 32254-2023 artfynd.xlsx", "A 32254-2023")</f>
        <v/>
      </c>
      <c r="X88">
        <f>HYPERLINK("https://klasma.github.io/Logging_2180/kartor/A 32254-2023 karta.png", "A 32254-2023")</f>
        <v/>
      </c>
      <c r="Y88">
        <f>HYPERLINK("https://klasma.github.io/Logging_2180/kartor_geotiff/A 32254-2023 georefererad karta.tif", "A 32254-2023")</f>
        <v/>
      </c>
      <c r="AA88">
        <f>HYPERLINK("https://klasma.github.io/Logging_2180/klagomål/A 32254-2023 FSC-klagomål.docx", "A 32254-2023")</f>
        <v/>
      </c>
      <c r="AB88">
        <f>HYPERLINK("https://klasma.github.io/Logging_2180/klagomålsmail/A 32254-2023 FSC-klagomål mail.docx", "A 32254-2023")</f>
        <v/>
      </c>
      <c r="AC88">
        <f>HYPERLINK("https://klasma.github.io/Logging_2180/tillsyn/A 32254-2023 tillsynsbegäran.docx", "A 32254-2023")</f>
        <v/>
      </c>
      <c r="AD88">
        <f>HYPERLINK("https://klasma.github.io/Logging_2180/tillsynsmail/A 32254-2023 tillsynsbegäran mail.docx", "A 32254-2023")</f>
        <v/>
      </c>
    </row>
    <row r="89" ht="15" customHeight="1">
      <c r="A89" t="inlineStr">
        <is>
          <t>A 61056-2024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46310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5.3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Myggblomster</t>
        </is>
      </c>
      <c r="W89">
        <f>HYPERLINK("https://klasma.github.io/Logging_2180/artfynd/A 61056-2024 artfynd.xlsx", "A 61056-2024")</f>
        <v/>
      </c>
      <c r="X89">
        <f>HYPERLINK("https://klasma.github.io/Logging_2180/kartor/A 61056-2024 karta.png", "A 61056-2024")</f>
        <v/>
      </c>
      <c r="Y89">
        <f>HYPERLINK("https://klasma.github.io/Logging_2180/kartor_geotiff/A 61056-2024 georefererad karta.tif", "A 61056-2024")</f>
        <v/>
      </c>
      <c r="AA89">
        <f>HYPERLINK("https://klasma.github.io/Logging_2180/klagomål/A 61056-2024 FSC-klagomål.docx", "A 61056-2024")</f>
        <v/>
      </c>
      <c r="AB89">
        <f>HYPERLINK("https://klasma.github.io/Logging_2180/klagomålsmail/A 61056-2024 FSC-klagomål mail.docx", "A 61056-2024")</f>
        <v/>
      </c>
      <c r="AC89">
        <f>HYPERLINK("https://klasma.github.io/Logging_2180/tillsyn/A 61056-2024 tillsynsbegäran.docx", "A 61056-2024")</f>
        <v/>
      </c>
      <c r="AD89">
        <f>HYPERLINK("https://klasma.github.io/Logging_2180/tillsynsmail/A 61056-2024 tillsynsbegäran mail.docx", "A 61056-2024")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46310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11411-2025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46310</v>
      </c>
      <c r="F91" t="inlineStr">
        <is>
          <t>GÄVLEBORGS LÄN</t>
        </is>
      </c>
      <c r="G91" t="inlineStr">
        <is>
          <t>GÄVLE</t>
        </is>
      </c>
      <c r="I91" t="n">
        <v>2.4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11411-2025 artfynd.xlsx", "A 11411-2025")</f>
        <v/>
      </c>
      <c r="X91">
        <f>HYPERLINK("https://klasma.github.io/Logging_2180/kartor/A 11411-2025 karta.png", "A 11411-2025")</f>
        <v/>
      </c>
      <c r="Y91">
        <f>HYPERLINK("https://klasma.github.io/Logging_2180/kartor_geotiff/A 11411-2025 georefererad karta.tif", "A 11411-2025")</f>
        <v/>
      </c>
      <c r="AA91">
        <f>HYPERLINK("https://klasma.github.io/Logging_2180/klagomål/A 11411-2025 FSC-klagomål.docx", "A 11411-2025")</f>
        <v/>
      </c>
      <c r="AB91">
        <f>HYPERLINK("https://klasma.github.io/Logging_2180/klagomålsmail/A 11411-2025 FSC-klagomål mail.docx", "A 11411-2025")</f>
        <v/>
      </c>
      <c r="AC91">
        <f>HYPERLINK("https://klasma.github.io/Logging_2180/tillsyn/A 11411-2025 tillsynsbegäran.docx", "A 11411-2025")</f>
        <v/>
      </c>
      <c r="AD91">
        <f>HYPERLINK("https://klasma.github.io/Logging_2180/tillsynsmail/A 11411-2025 tillsynsbegäran mail.docx", "A 11411-2025")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46310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46310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46310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50052-2025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46310</v>
      </c>
      <c r="F95" t="inlineStr">
        <is>
          <t>GÄVLEBORGS LÄN</t>
        </is>
      </c>
      <c r="G95" t="inlineStr">
        <is>
          <t>GÄVLE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Mosippa</t>
        </is>
      </c>
      <c r="W95">
        <f>HYPERLINK("https://klasma.github.io/Logging_2180/artfynd/A 50052-2025 artfynd.xlsx", "A 50052-2025")</f>
        <v/>
      </c>
      <c r="X95">
        <f>HYPERLINK("https://klasma.github.io/Logging_2180/kartor/A 50052-2025 karta.png", "A 50052-2025")</f>
        <v/>
      </c>
      <c r="Y95">
        <f>HYPERLINK("https://klasma.github.io/Logging_2180/kartor_geotiff/A 50052-2025 georefererad karta.tif", "A 50052-2025")</f>
        <v/>
      </c>
      <c r="AA95">
        <f>HYPERLINK("https://klasma.github.io/Logging_2180/klagomål/A 50052-2025 FSC-klagomål.docx", "A 50052-2025")</f>
        <v/>
      </c>
      <c r="AB95">
        <f>HYPERLINK("https://klasma.github.io/Logging_2180/klagomålsmail/A 50052-2025 FSC-klagomål mail.docx", "A 50052-2025")</f>
        <v/>
      </c>
      <c r="AC95">
        <f>HYPERLINK("https://klasma.github.io/Logging_2180/tillsyn/A 50052-2025 tillsynsbegäran.docx", "A 50052-2025")</f>
        <v/>
      </c>
      <c r="AD95">
        <f>HYPERLINK("https://klasma.github.io/Logging_2180/tillsynsmail/A 50052-2025 tillsynsbegäran mail.docx", "A 50052-2025")</f>
        <v/>
      </c>
    </row>
    <row r="96" ht="15" customHeight="1">
      <c r="A96" t="inlineStr">
        <is>
          <t>A 13684-2026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46097</v>
      </c>
      <c r="E96" s="1" t="n">
        <v>46310</v>
      </c>
      <c r="F96" t="inlineStr">
        <is>
          <t>GÄVLEBORGS LÄN</t>
        </is>
      </c>
      <c r="G96" t="inlineStr">
        <is>
          <t>GÄVLE</t>
        </is>
      </c>
      <c r="I96" t="n">
        <v>21.3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Igelkott</t>
        </is>
      </c>
      <c r="W96">
        <f>HYPERLINK("https://klasma.github.io/Logging_2180/artfynd/A 13684-2026 artfynd.xlsx", "A 13684-2026")</f>
        <v/>
      </c>
      <c r="X96">
        <f>HYPERLINK("https://klasma.github.io/Logging_2180/kartor/A 13684-2026 karta.png", "A 13684-2026")</f>
        <v/>
      </c>
      <c r="Y96">
        <f>HYPERLINK("https://klasma.github.io/Logging_2180/kartor_geotiff/A 13684-2026 georefererad karta.tif", "A 13684-2026")</f>
        <v/>
      </c>
      <c r="AA96">
        <f>HYPERLINK("https://klasma.github.io/Logging_2180/klagomål/A 13684-2026 FSC-klagomål.docx", "A 13684-2026")</f>
        <v/>
      </c>
      <c r="AB96">
        <f>HYPERLINK("https://klasma.github.io/Logging_2180/klagomålsmail/A 13684-2026 FSC-klagomål mail.docx", "A 13684-2026")</f>
        <v/>
      </c>
      <c r="AC96">
        <f>HYPERLINK("https://klasma.github.io/Logging_2180/tillsyn/A 13684-2026 tillsynsbegäran.docx", "A 13684-2026")</f>
        <v/>
      </c>
      <c r="AD96">
        <f>HYPERLINK("https://klasma.github.io/Logging_2180/tillsynsmail/A 13684-2026 tillsynsbegäran mail.docx", "A 13684-2026")</f>
        <v/>
      </c>
    </row>
    <row r="97" ht="15" customHeight="1">
      <c r="A97" t="inlineStr">
        <is>
          <t>A 51508-2024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45604</v>
      </c>
      <c r="E97" s="1" t="n">
        <v>46310</v>
      </c>
      <c r="F97" t="inlineStr">
        <is>
          <t>GÄVLEBORGS LÄN</t>
        </is>
      </c>
      <c r="G97" t="inlineStr">
        <is>
          <t>GÄVLE</t>
        </is>
      </c>
      <c r="I97" t="n">
        <v>0.9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Tibast</t>
        </is>
      </c>
      <c r="W97">
        <f>HYPERLINK("https://klasma.github.io/Logging_2180/artfynd/A 51508-2024 artfynd.xlsx", "A 51508-2024")</f>
        <v/>
      </c>
      <c r="X97">
        <f>HYPERLINK("https://klasma.github.io/Logging_2180/kartor/A 51508-2024 karta.png", "A 51508-2024")</f>
        <v/>
      </c>
      <c r="Y97">
        <f>HYPERLINK("https://klasma.github.io/Logging_2180/kartor_geotiff/A 51508-2024 georefererad karta.tif", "A 51508-2024")</f>
        <v/>
      </c>
      <c r="AA97">
        <f>HYPERLINK("https://klasma.github.io/Logging_2180/klagomål/A 51508-2024 FSC-klagomål.docx", "A 51508-2024")</f>
        <v/>
      </c>
      <c r="AB97">
        <f>HYPERLINK("https://klasma.github.io/Logging_2180/klagomålsmail/A 51508-2024 FSC-klagomål mail.docx", "A 51508-2024")</f>
        <v/>
      </c>
      <c r="AC97">
        <f>HYPERLINK("https://klasma.github.io/Logging_2180/tillsyn/A 51508-2024 tillsynsbegäran.docx", "A 51508-2024")</f>
        <v/>
      </c>
      <c r="AD97">
        <f>HYPERLINK("https://klasma.github.io/Logging_2180/tillsynsmail/A 51508-2024 tillsynsbegäran mail.docx", "A 51508-2024")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46310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58204-2025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45984</v>
      </c>
      <c r="E99" s="1" t="n">
        <v>46310</v>
      </c>
      <c r="F99" t="inlineStr">
        <is>
          <t>GÄVLEBORGS LÄN</t>
        </is>
      </c>
      <c r="G99" t="inlineStr">
        <is>
          <t>GÄVLE</t>
        </is>
      </c>
      <c r="I99" t="n">
        <v>4.4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HYPERLINK("https://klasma.github.io/Logging_2180/artfynd/A 58204-2025 artfynd.xlsx", "A 58204-2025")</f>
        <v/>
      </c>
      <c r="X99">
        <f>HYPERLINK("https://klasma.github.io/Logging_2180/kartor/A 58204-2025 karta.png", "A 58204-2025")</f>
        <v/>
      </c>
      <c r="Y99">
        <f>HYPERLINK("https://klasma.github.io/Logging_2180/kartor_geotiff/A 58204-2025 georefererad karta.tif", "A 58204-2025")</f>
        <v/>
      </c>
      <c r="AA99">
        <f>HYPERLINK("https://klasma.github.io/Logging_2180/klagomål/A 58204-2025 FSC-klagomål.docx", "A 58204-2025")</f>
        <v/>
      </c>
      <c r="AB99">
        <f>HYPERLINK("https://klasma.github.io/Logging_2180/klagomålsmail/A 58204-2025 FSC-klagomål mail.docx", "A 58204-2025")</f>
        <v/>
      </c>
      <c r="AC99">
        <f>HYPERLINK("https://klasma.github.io/Logging_2180/tillsyn/A 58204-2025 tillsynsbegäran.docx", "A 58204-2025")</f>
        <v/>
      </c>
      <c r="AD99">
        <f>HYPERLINK("https://klasma.github.io/Logging_2180/tillsynsmail/A 58204-2025 tillsynsbegäran mail.docx", "A 58204-2025")</f>
        <v/>
      </c>
      <c r="AE99">
        <f>HYPERLINK("https://klasma.github.io/Logging_2180/fåglar/A 58204-2025 prioriterade fågelarter.docx", "A 58204-2025")</f>
        <v/>
      </c>
    </row>
    <row r="100" ht="15" customHeight="1">
      <c r="A100" t="inlineStr">
        <is>
          <t>A 45241-2022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46310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22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45241-2022 artfynd.xlsx", "A 45241-2022")</f>
        <v/>
      </c>
      <c r="X100">
        <f>HYPERLINK("https://klasma.github.io/Logging_2180/kartor/A 45241-2022 karta.png", "A 45241-2022")</f>
        <v/>
      </c>
      <c r="Y100">
        <f>HYPERLINK("https://klasma.github.io/Logging_2180/kartor_geotiff/A 45241-2022 georefererad karta.tif", "A 45241-2022")</f>
        <v/>
      </c>
      <c r="AA100">
        <f>HYPERLINK("https://klasma.github.io/Logging_2180/klagomål/A 45241-2022 FSC-klagomål.docx", "A 45241-2022")</f>
        <v/>
      </c>
      <c r="AB100">
        <f>HYPERLINK("https://klasma.github.io/Logging_2180/klagomålsmail/A 45241-2022 FSC-klagomål mail.docx", "A 45241-2022")</f>
        <v/>
      </c>
      <c r="AC100">
        <f>HYPERLINK("https://klasma.github.io/Logging_2180/tillsyn/A 45241-2022 tillsynsbegäran.docx", "A 45241-2022")</f>
        <v/>
      </c>
      <c r="AD100">
        <f>HYPERLINK("https://klasma.github.io/Logging_2180/tillsynsmail/A 45241-2022 tillsynsbegäran mail.docx", "A 45241-2022")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46310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46310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46310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14714-2026 artfynd.xlsx", "A 14714-2026")</f>
        <v/>
      </c>
      <c r="X103">
        <f>HYPERLINK("https://klasma.github.io/Logging_2180/kartor/A 14714-2026 karta.png", "A 14714-2026")</f>
        <v/>
      </c>
      <c r="Y103">
        <f>HYPERLINK("https://klasma.github.io/Logging_2180/kartor_geotiff/A 14714-2026 georefererad karta.tif", "A 14714-2026")</f>
        <v/>
      </c>
      <c r="AA103">
        <f>HYPERLINK("https://klasma.github.io/Logging_2180/klagomål/A 14714-2026 FSC-klagomål.docx", "A 14714-2026")</f>
        <v/>
      </c>
      <c r="AB103">
        <f>HYPERLINK("https://klasma.github.io/Logging_2180/klagomålsmail/A 14714-2026 FSC-klagomål mail.docx", "A 14714-2026")</f>
        <v/>
      </c>
      <c r="AC103">
        <f>HYPERLINK("https://klasma.github.io/Logging_2180/tillsyn/A 14714-2026 tillsynsbegäran.docx", "A 14714-2026")</f>
        <v/>
      </c>
      <c r="AD103">
        <f>HYPERLINK("https://klasma.github.io/Logging_2180/tillsynsmail/A 14714-2026 tillsynsbegäran mail.docx", "A 14714-2026")</f>
        <v/>
      </c>
      <c r="AE103">
        <f>HYPERLINK("https://klasma.github.io/Logging_2180/fåglar/A 14714-2026 prioriterade fågelarter.docx", "A 14714-2026")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46310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46310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20734-2026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46310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20734-2026 artfynd.xlsx", "A 20734-2026")</f>
        <v/>
      </c>
      <c r="X106">
        <f>HYPERLINK("https://klasma.github.io/Logging_2180/kartor/A 20734-2026 karta.png", "A 20734-2026")</f>
        <v/>
      </c>
      <c r="Y106">
        <f>HYPERLINK("https://klasma.github.io/Logging_2180/kartor_geotiff/A 20734-2026 georefererad karta.tif", "A 20734-2026")</f>
        <v/>
      </c>
      <c r="AA106">
        <f>HYPERLINK("https://klasma.github.io/Logging_2180/klagomål/A 20734-2026 FSC-klagomål.docx", "A 20734-2026")</f>
        <v/>
      </c>
      <c r="AB106">
        <f>HYPERLINK("https://klasma.github.io/Logging_2180/klagomålsmail/A 20734-2026 FSC-klagomål mail.docx", "A 20734-2026")</f>
        <v/>
      </c>
      <c r="AC106">
        <f>HYPERLINK("https://klasma.github.io/Logging_2180/tillsyn/A 20734-2026 tillsynsbegäran.docx", "A 20734-2026")</f>
        <v/>
      </c>
      <c r="AD106">
        <f>HYPERLINK("https://klasma.github.io/Logging_2180/tillsynsmail/A 20734-2026 tillsynsbegäran mail.docx", "A 20734-2026")</f>
        <v/>
      </c>
    </row>
    <row r="107" ht="15" customHeight="1">
      <c r="A107" t="inlineStr">
        <is>
          <t>A 12437-2024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45379</v>
      </c>
      <c r="E107" s="1" t="n">
        <v>46310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HYPERLINK("https://klasma.github.io/Logging_2180/artfynd/A 12437-2024 artfynd.xlsx", "A 12437-2024")</f>
        <v/>
      </c>
      <c r="X107">
        <f>HYPERLINK("https://klasma.github.io/Logging_2180/kartor/A 12437-2024 karta.png", "A 12437-2024")</f>
        <v/>
      </c>
      <c r="Y107">
        <f>HYPERLINK("https://klasma.github.io/Logging_2180/kartor_geotiff/A 12437-2024 georefererad karta.tif", "A 12437-2024")</f>
        <v/>
      </c>
      <c r="AA107">
        <f>HYPERLINK("https://klasma.github.io/Logging_2180/klagomål/A 12437-2024 FSC-klagomål.docx", "A 12437-2024")</f>
        <v/>
      </c>
      <c r="AB107">
        <f>HYPERLINK("https://klasma.github.io/Logging_2180/klagomålsmail/A 12437-2024 FSC-klagomål mail.docx", "A 12437-2024")</f>
        <v/>
      </c>
      <c r="AC107">
        <f>HYPERLINK("https://klasma.github.io/Logging_2180/tillsyn/A 12437-2024 tillsynsbegäran.docx", "A 12437-2024")</f>
        <v/>
      </c>
      <c r="AD107">
        <f>HYPERLINK("https://klasma.github.io/Logging_2180/tillsynsmail/A 12437-2024 tillsynsbegäran mail.docx", "A 12437-2024")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46310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10333-2025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46310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Tjäder</t>
        </is>
      </c>
      <c r="W109">
        <f>HYPERLINK("https://klasma.github.io/Logging_2180/artfynd/A 10333-2025 artfynd.xlsx", "A 10333-2025")</f>
        <v/>
      </c>
      <c r="X109">
        <f>HYPERLINK("https://klasma.github.io/Logging_2180/kartor/A 10333-2025 karta.png", "A 10333-2025")</f>
        <v/>
      </c>
      <c r="Y109">
        <f>HYPERLINK("https://klasma.github.io/Logging_2180/kartor_geotiff/A 10333-2025 georefererad karta.tif", "A 10333-2025")</f>
        <v/>
      </c>
      <c r="AA109">
        <f>HYPERLINK("https://klasma.github.io/Logging_2180/klagomål/A 10333-2025 FSC-klagomål.docx", "A 10333-2025")</f>
        <v/>
      </c>
      <c r="AB109">
        <f>HYPERLINK("https://klasma.github.io/Logging_2180/klagomålsmail/A 10333-2025 FSC-klagomål mail.docx", "A 10333-2025")</f>
        <v/>
      </c>
      <c r="AC109">
        <f>HYPERLINK("https://klasma.github.io/Logging_2180/tillsyn/A 10333-2025 tillsynsbegäran.docx", "A 10333-2025")</f>
        <v/>
      </c>
      <c r="AD109">
        <f>HYPERLINK("https://klasma.github.io/Logging_2180/tillsynsmail/A 10333-2025 tillsynsbegäran mail.docx", "A 10333-2025")</f>
        <v/>
      </c>
      <c r="AE109">
        <f>HYPERLINK("https://klasma.github.io/Logging_2180/fåglar/A 10333-2025 prioriterade fågelarter.docx", "A 10333-2025")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46310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22892-2026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46310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HYPERLINK("https://klasma.github.io/Logging_2180/artfynd/A 22892-2026 artfynd.xlsx", "A 22892-2026")</f>
        <v/>
      </c>
      <c r="X111">
        <f>HYPERLINK("https://klasma.github.io/Logging_2180/kartor/A 22892-2026 karta.png", "A 22892-2026")</f>
        <v/>
      </c>
      <c r="Y111">
        <f>HYPERLINK("https://klasma.github.io/Logging_2180/kartor_geotiff/A 22892-2026 georefererad karta.tif", "A 22892-2026")</f>
        <v/>
      </c>
      <c r="AA111">
        <f>HYPERLINK("https://klasma.github.io/Logging_2180/klagomål/A 22892-2026 FSC-klagomål.docx", "A 22892-2026")</f>
        <v/>
      </c>
      <c r="AB111">
        <f>HYPERLINK("https://klasma.github.io/Logging_2180/klagomålsmail/A 22892-2026 FSC-klagomål mail.docx", "A 22892-2026")</f>
        <v/>
      </c>
      <c r="AC111">
        <f>HYPERLINK("https://klasma.github.io/Logging_2180/tillsyn/A 22892-2026 tillsynsbegäran.docx", "A 22892-2026")</f>
        <v/>
      </c>
      <c r="AD111">
        <f>HYPERLINK("https://klasma.github.io/Logging_2180/tillsynsmail/A 22892-2026 tillsynsbegäran mail.docx", "A 22892-2026")</f>
        <v/>
      </c>
      <c r="AE111">
        <f>HYPERLINK("https://klasma.github.io/Logging_2180/fåglar/A 22892-2026 prioriterade fågelarter.docx", "A 22892-2026")</f>
        <v/>
      </c>
    </row>
    <row r="112" ht="15" customHeight="1">
      <c r="A112" t="inlineStr">
        <is>
          <t>A 12381-2023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44999</v>
      </c>
      <c r="E112" s="1" t="n">
        <v>46310</v>
      </c>
      <c r="F112" t="inlineStr">
        <is>
          <t>GÄVLEBORGS LÄN</t>
        </is>
      </c>
      <c r="G112" t="inlineStr">
        <is>
          <t>GÄVLE</t>
        </is>
      </c>
      <c r="I112" t="n">
        <v>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Brunlångöra</t>
        </is>
      </c>
      <c r="W112">
        <f>HYPERLINK("https://klasma.github.io/Logging_2180/artfynd/A 12381-2023 artfynd.xlsx", "A 12381-2023")</f>
        <v/>
      </c>
      <c r="X112">
        <f>HYPERLINK("https://klasma.github.io/Logging_2180/kartor/A 12381-2023 karta.png", "A 12381-2023")</f>
        <v/>
      </c>
      <c r="Y112">
        <f>HYPERLINK("https://klasma.github.io/Logging_2180/kartor_geotiff/A 12381-2023 georefererad karta.tif", "A 12381-2023")</f>
        <v/>
      </c>
      <c r="AA112">
        <f>HYPERLINK("https://klasma.github.io/Logging_2180/klagomål/A 12381-2023 FSC-klagomål.docx", "A 12381-2023")</f>
        <v/>
      </c>
      <c r="AB112">
        <f>HYPERLINK("https://klasma.github.io/Logging_2180/klagomålsmail/A 12381-2023 FSC-klagomål mail.docx", "A 12381-2023")</f>
        <v/>
      </c>
      <c r="AC112">
        <f>HYPERLINK("https://klasma.github.io/Logging_2180/tillsyn/A 12381-2023 tillsynsbegäran.docx", "A 12381-2023")</f>
        <v/>
      </c>
      <c r="AD112">
        <f>HYPERLINK("https://klasma.github.io/Logging_2180/tillsynsmail/A 12381-2023 tillsynsbegäran mail.docx", "A 12381-2023")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46310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57932-2024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46310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48.7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HYPERLINK("https://klasma.github.io/Logging_2180/artfynd/A 57932-2024 artfynd.xlsx", "A 57932-2024")</f>
        <v/>
      </c>
      <c r="X114">
        <f>HYPERLINK("https://klasma.github.io/Logging_2180/kartor/A 57932-2024 karta.png", "A 57932-2024")</f>
        <v/>
      </c>
      <c r="Y114">
        <f>HYPERLINK("https://klasma.github.io/Logging_2180/kartor_geotiff/A 57932-2024 georefererad karta.tif", "A 57932-2024")</f>
        <v/>
      </c>
      <c r="AA114">
        <f>HYPERLINK("https://klasma.github.io/Logging_2180/klagomål/A 57932-2024 FSC-klagomål.docx", "A 57932-2024")</f>
        <v/>
      </c>
      <c r="AB114">
        <f>HYPERLINK("https://klasma.github.io/Logging_2180/klagomålsmail/A 57932-2024 FSC-klagomål mail.docx", "A 57932-2024")</f>
        <v/>
      </c>
      <c r="AC114">
        <f>HYPERLINK("https://klasma.github.io/Logging_2180/tillsyn/A 57932-2024 tillsynsbegäran.docx", "A 57932-2024")</f>
        <v/>
      </c>
      <c r="AD114">
        <f>HYPERLINK("https://klasma.github.io/Logging_2180/tillsynsmail/A 57932-2024 tillsynsbegäran mail.docx", "A 57932-2024")</f>
        <v/>
      </c>
      <c r="AE114">
        <f>HYPERLINK("https://klasma.github.io/Logging_2180/fåglar/A 57932-2024 prioriterade fågelarter.docx", "A 57932-2024")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46310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46310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27058-2026 artfynd.xlsx", "A 27058-2026")</f>
        <v/>
      </c>
      <c r="X116">
        <f>HYPERLINK("https://klasma.github.io/Logging_2180/kartor/A 27058-2026 karta.png", "A 27058-2026")</f>
        <v/>
      </c>
      <c r="Y116">
        <f>HYPERLINK("https://klasma.github.io/Logging_2180/kartor_geotiff/A 27058-2026 georefererad karta.tif", "A 27058-2026")</f>
        <v/>
      </c>
      <c r="AA116">
        <f>HYPERLINK("https://klasma.github.io/Logging_2180/klagomål/A 27058-2026 FSC-klagomål.docx", "A 27058-2026")</f>
        <v/>
      </c>
      <c r="AB116">
        <f>HYPERLINK("https://klasma.github.io/Logging_2180/klagomålsmail/A 27058-2026 FSC-klagomål mail.docx", "A 27058-2026")</f>
        <v/>
      </c>
      <c r="AC116">
        <f>HYPERLINK("https://klasma.github.io/Logging_2180/tillsyn/A 27058-2026 tillsynsbegäran.docx", "A 27058-2026")</f>
        <v/>
      </c>
      <c r="AD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46310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46310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46310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37220-2026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46274</v>
      </c>
      <c r="E120" s="1" t="n">
        <v>46310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5.1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HYPERLINK("https://klasma.github.io/Logging_2180/artfynd/A 37220-2026 artfynd.xlsx", "A 37220-2026")</f>
        <v/>
      </c>
      <c r="X120">
        <f>HYPERLINK("https://klasma.github.io/Logging_2180/kartor/A 37220-2026 karta.png", "A 37220-2026")</f>
        <v/>
      </c>
      <c r="Y120">
        <f>HYPERLINK("https://klasma.github.io/Logging_2180/kartor_geotiff/A 37220-2026 georefererad karta.tif", "A 37220-2026")</f>
        <v/>
      </c>
      <c r="AA120">
        <f>HYPERLINK("https://klasma.github.io/Logging_2180/klagomål/A 37220-2026 FSC-klagomål.docx", "A 37220-2026")</f>
        <v/>
      </c>
      <c r="AB120">
        <f>HYPERLINK("https://klasma.github.io/Logging_2180/klagomålsmail/A 37220-2026 FSC-klagomål mail.docx", "A 37220-2026")</f>
        <v/>
      </c>
      <c r="AC120">
        <f>HYPERLINK("https://klasma.github.io/Logging_2180/tillsyn/A 37220-2026 tillsynsbegäran.docx", "A 37220-2026")</f>
        <v/>
      </c>
      <c r="AD120">
        <f>HYPERLINK("https://klasma.github.io/Logging_2180/tillsynsmail/A 37220-2026 tillsynsbegäran mail.docx", "A 37220-2026")</f>
        <v/>
      </c>
    </row>
    <row r="121" ht="15" customHeight="1">
      <c r="A121" t="inlineStr">
        <is>
          <t>A 38571-2026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46283</v>
      </c>
      <c r="E121" s="1" t="n">
        <v>46310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0.9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Platt spretmossa</t>
        </is>
      </c>
      <c r="W121">
        <f>HYPERLINK("https://klasma.github.io/Logging_2180/artfynd/A 38571-2026 artfynd.xlsx", "A 38571-2026")</f>
        <v/>
      </c>
      <c r="X121">
        <f>HYPERLINK("https://klasma.github.io/Logging_2180/kartor/A 38571-2026 karta.png", "A 38571-2026")</f>
        <v/>
      </c>
      <c r="Y121">
        <f>HYPERLINK("https://klasma.github.io/Logging_2180/kartor_geotiff/A 38571-2026 georefererad karta.tif", "A 38571-2026")</f>
        <v/>
      </c>
      <c r="AA121">
        <f>HYPERLINK("https://klasma.github.io/Logging_2180/klagomål/A 38571-2026 FSC-klagomål.docx", "A 38571-2026")</f>
        <v/>
      </c>
      <c r="AB121">
        <f>HYPERLINK("https://klasma.github.io/Logging_2180/klagomålsmail/A 38571-2026 FSC-klagomål mail.docx", "A 38571-2026")</f>
        <v/>
      </c>
      <c r="AC121">
        <f>HYPERLINK("https://klasma.github.io/Logging_2180/tillsyn/A 38571-2026 tillsynsbegäran.docx", "A 38571-2026")</f>
        <v/>
      </c>
      <c r="AD121">
        <f>HYPERLINK("https://klasma.github.io/Logging_2180/tillsynsmail/A 38571-2026 tillsynsbegäran mail.docx", "A 38571-2026")</f>
        <v/>
      </c>
    </row>
    <row r="122" ht="15" customHeight="1">
      <c r="A122" t="inlineStr">
        <is>
          <t>A 38300-2026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46282</v>
      </c>
      <c r="E122" s="1" t="n">
        <v>46310</v>
      </c>
      <c r="F122" t="inlineStr">
        <is>
          <t>GÄVLEBORGS LÄN</t>
        </is>
      </c>
      <c r="G122" t="inlineStr">
        <is>
          <t>GÄVLE</t>
        </is>
      </c>
      <c r="I122" t="n">
        <v>3.7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Sparvuggla</t>
        </is>
      </c>
      <c r="W122">
        <f>HYPERLINK("https://klasma.github.io/Logging_2180/artfynd/A 38300-2026 artfynd.xlsx", "A 38300-2026")</f>
        <v/>
      </c>
      <c r="X122">
        <f>HYPERLINK("https://klasma.github.io/Logging_2180/kartor/A 38300-2026 karta.png", "A 38300-2026")</f>
        <v/>
      </c>
      <c r="Y122">
        <f>HYPERLINK("https://klasma.github.io/Logging_2180/kartor_geotiff/A 38300-2026 georefererad karta.tif", "A 38300-2026")</f>
        <v/>
      </c>
      <c r="AA122">
        <f>HYPERLINK("https://klasma.github.io/Logging_2180/klagomål/A 38300-2026 FSC-klagomål.docx", "A 38300-2026")</f>
        <v/>
      </c>
      <c r="AB122">
        <f>HYPERLINK("https://klasma.github.io/Logging_2180/klagomålsmail/A 38300-2026 FSC-klagomål mail.docx", "A 38300-2026")</f>
        <v/>
      </c>
      <c r="AC122">
        <f>HYPERLINK("https://klasma.github.io/Logging_2180/tillsyn/A 38300-2026 tillsynsbegäran.docx", "A 38300-2026")</f>
        <v/>
      </c>
      <c r="AD122">
        <f>HYPERLINK("https://klasma.github.io/Logging_2180/tillsynsmail/A 38300-2026 tillsynsbegäran mail.docx", "A 38300-2026")</f>
        <v/>
      </c>
      <c r="AE122">
        <f>HYPERLINK("https://klasma.github.io/Logging_2180/fåglar/A 38300-2026 prioriterade fågelarter.docx", "A 38300-2026")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46310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39065-2026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46287</v>
      </c>
      <c r="E124" s="1" t="n">
        <v>46310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Vedskivlav</t>
        </is>
      </c>
      <c r="W124">
        <f>HYPERLINK("https://klasma.github.io/Logging_2180/artfynd/A 39065-2026 artfynd.xlsx", "A 39065-2026")</f>
        <v/>
      </c>
      <c r="X124">
        <f>HYPERLINK("https://klasma.github.io/Logging_2180/kartor/A 39065-2026 karta.png", "A 39065-2026")</f>
        <v/>
      </c>
      <c r="Y124">
        <f>HYPERLINK("https://klasma.github.io/Logging_2180/kartor_geotiff/A 39065-2026 georefererad karta.tif", "A 39065-2026")</f>
        <v/>
      </c>
      <c r="AA124">
        <f>HYPERLINK("https://klasma.github.io/Logging_2180/klagomål/A 39065-2026 FSC-klagomål.docx", "A 39065-2026")</f>
        <v/>
      </c>
      <c r="AB124">
        <f>HYPERLINK("https://klasma.github.io/Logging_2180/klagomålsmail/A 39065-2026 FSC-klagomål mail.docx", "A 39065-2026")</f>
        <v/>
      </c>
      <c r="AC124">
        <f>HYPERLINK("https://klasma.github.io/Logging_2180/tillsyn/A 39065-2026 tillsynsbegäran.docx", "A 39065-2026")</f>
        <v/>
      </c>
      <c r="AD124">
        <f>HYPERLINK("https://klasma.github.io/Logging_2180/tillsynsmail/A 39065-2026 tillsynsbegäran mail.docx", "A 39065-2026")</f>
        <v/>
      </c>
    </row>
    <row r="125" ht="15" customHeight="1">
      <c r="A125" t="inlineStr">
        <is>
          <t>A 39719-2026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46310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8.300000000000001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Plattlummer</t>
        </is>
      </c>
      <c r="W125">
        <f>HYPERLINK("https://klasma.github.io/Logging_2180/artfynd/A 39719-2026 artfynd.xlsx", "A 39719-2026")</f>
        <v/>
      </c>
      <c r="X125">
        <f>HYPERLINK("https://klasma.github.io/Logging_2180/kartor/A 39719-2026 karta.png", "A 39719-2026")</f>
        <v/>
      </c>
      <c r="Y125">
        <f>HYPERLINK("https://klasma.github.io/Logging_2180/kartor_geotiff/A 39719-2026 georefererad karta.tif", "A 39719-2026")</f>
        <v/>
      </c>
      <c r="AA125">
        <f>HYPERLINK("https://klasma.github.io/Logging_2180/klagomål/A 39719-2026 FSC-klagomål.docx", "A 39719-2026")</f>
        <v/>
      </c>
      <c r="AB125">
        <f>HYPERLINK("https://klasma.github.io/Logging_2180/klagomålsmail/A 39719-2026 FSC-klagomål mail.docx", "A 39719-2026")</f>
        <v/>
      </c>
      <c r="AC125">
        <f>HYPERLINK("https://klasma.github.io/Logging_2180/tillsyn/A 39719-2026 tillsynsbegäran.docx", "A 39719-2026")</f>
        <v/>
      </c>
      <c r="AD125">
        <f>HYPERLINK("https://klasma.github.io/Logging_2180/tillsynsmail/A 39719-2026 tillsynsbegäran mail.docx", "A 39719-2026")</f>
        <v/>
      </c>
    </row>
    <row r="126" ht="15" customHeight="1">
      <c r="A126" t="inlineStr">
        <is>
          <t>A 37927-2022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44811</v>
      </c>
      <c r="E126" s="1" t="n">
        <v>46310</v>
      </c>
      <c r="F126" t="inlineStr">
        <is>
          <t>GÄVLEBORGS LÄN</t>
        </is>
      </c>
      <c r="G126" t="inlineStr">
        <is>
          <t>GÄVLE</t>
        </is>
      </c>
      <c r="I126" t="n">
        <v>1.6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10</v>
      </c>
      <c r="U126" t="n">
        <v>10</v>
      </c>
      <c r="V126" s="2" t="inlineStr">
        <is>
          <t>Knärot</t>
        </is>
      </c>
      <c r="W126">
        <f>HYPERLINK("https://klasma.github.io/Logging_2180/artfynd/A 37927-2022 artfynd.xlsx", "A 37927-2022")</f>
        <v/>
      </c>
      <c r="X126">
        <f>HYPERLINK("https://klasma.github.io/Logging_2180/kartor/A 37927-2022 karta.png", "A 37927-2022")</f>
        <v/>
      </c>
      <c r="Y126">
        <f>HYPERLINK("https://klasma.github.io/Logging_2180/kartor_geotiff/A 37927-2022 georefererad karta.tif", "A 37927-2022")</f>
        <v/>
      </c>
      <c r="Z126">
        <f>HYPERLINK("https://klasma.github.io/Logging_2180/knärot/A 37927-2022 karta knärot.png", "A 37927-2022")</f>
        <v/>
      </c>
      <c r="AA126">
        <f>HYPERLINK("https://klasma.github.io/Logging_2180/klagomål/A 37927-2022 FSC-klagomål.docx", "A 37927-2022")</f>
        <v/>
      </c>
      <c r="AB126">
        <f>HYPERLINK("https://klasma.github.io/Logging_2180/klagomålsmail/A 37927-2022 FSC-klagomål mail.docx", "A 37927-2022")</f>
        <v/>
      </c>
      <c r="AC126">
        <f>HYPERLINK("https://klasma.github.io/Logging_2180/tillsyn/A 37927-2022 tillsynsbegäran.docx", "A 37927-2022")</f>
        <v/>
      </c>
      <c r="AD126">
        <f>HYPERLINK("https://klasma.github.io/Logging_2180/tillsynsmail/A 37927-2022 tillsynsbegäran mail.docx", "A 37927-2022")</f>
        <v/>
      </c>
    </row>
    <row r="127" ht="15" customHeight="1">
      <c r="A127" t="inlineStr">
        <is>
          <t>A 39763-2026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46310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HYPERLINK("https://klasma.github.io/Logging_2180/artfynd/A 39763-2026 artfynd.xlsx", "A 39763-2026")</f>
        <v/>
      </c>
      <c r="X127">
        <f>HYPERLINK("https://klasma.github.io/Logging_2180/kartor/A 39763-2026 karta.png", "A 39763-2026")</f>
        <v/>
      </c>
      <c r="Y127">
        <f>HYPERLINK("https://klasma.github.io/Logging_2180/kartor_geotiff/A 39763-2026 georefererad karta.tif", "A 39763-2026")</f>
        <v/>
      </c>
      <c r="AA127">
        <f>HYPERLINK("https://klasma.github.io/Logging_2180/klagomål/A 39763-2026 FSC-klagomål.docx", "A 39763-2026")</f>
        <v/>
      </c>
      <c r="AB127">
        <f>HYPERLINK("https://klasma.github.io/Logging_2180/klagomålsmail/A 39763-2026 FSC-klagomål mail.docx", "A 39763-2026")</f>
        <v/>
      </c>
      <c r="AC127">
        <f>HYPERLINK("https://klasma.github.io/Logging_2180/tillsyn/A 39763-2026 tillsynsbegäran.docx", "A 39763-2026")</f>
        <v/>
      </c>
      <c r="AD127">
        <f>HYPERLINK("https://klasma.github.io/Logging_2180/tillsynsmail/A 39763-2026 tillsynsbegäran mail.docx", "A 39763-2026")</f>
        <v/>
      </c>
    </row>
    <row r="128" ht="15" customHeight="1">
      <c r="A128" t="inlineStr">
        <is>
          <t>A 34086-2026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46310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Gullgröppa</t>
        </is>
      </c>
      <c r="W128">
        <f>HYPERLINK("https://klasma.github.io/Logging_2180/artfynd/A 34086-2026 artfynd.xlsx", "A 34086-2026")</f>
        <v/>
      </c>
      <c r="X128">
        <f>HYPERLINK("https://klasma.github.io/Logging_2180/kartor/A 34086-2026 karta.png", "A 34086-2026")</f>
        <v/>
      </c>
      <c r="Y128">
        <f>HYPERLINK("https://klasma.github.io/Logging_2180/kartor_geotiff/A 34086-2026 georefererad karta.tif", "A 34086-2026")</f>
        <v/>
      </c>
      <c r="AA128">
        <f>HYPERLINK("https://klasma.github.io/Logging_2180/klagomål/A 34086-2026 FSC-klagomål.docx", "A 34086-2026")</f>
        <v/>
      </c>
      <c r="AB128">
        <f>HYPERLINK("https://klasma.github.io/Logging_2180/klagomålsmail/A 34086-2026 FSC-klagomål mail.docx", "A 34086-2026")</f>
        <v/>
      </c>
      <c r="AC128">
        <f>HYPERLINK("https://klasma.github.io/Logging_2180/tillsyn/A 34086-2026 tillsynsbegäran.docx", "A 34086-2026")</f>
        <v/>
      </c>
      <c r="AD128">
        <f>HYPERLINK("https://klasma.github.io/Logging_2180/tillsynsmail/A 34086-2026 tillsynsbegäran mail.docx", "A 34086-2026")</f>
        <v/>
      </c>
    </row>
    <row r="129" ht="15" customHeight="1">
      <c r="A129" t="inlineStr">
        <is>
          <t>A 40279-2026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46294</v>
      </c>
      <c r="E129" s="1" t="n">
        <v>46310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Myggblomster</t>
        </is>
      </c>
      <c r="W129">
        <f>HYPERLINK("https://klasma.github.io/Logging_2180/artfynd/A 40279-2026 artfynd.xlsx", "A 40279-2026")</f>
        <v/>
      </c>
      <c r="X129">
        <f>HYPERLINK("https://klasma.github.io/Logging_2180/kartor/A 40279-2026 karta.png", "A 40279-2026")</f>
        <v/>
      </c>
      <c r="Y129">
        <f>HYPERLINK("https://klasma.github.io/Logging_2180/kartor_geotiff/A 40279-2026 georefererad karta.tif", "A 40279-2026")</f>
        <v/>
      </c>
      <c r="AA129">
        <f>HYPERLINK("https://klasma.github.io/Logging_2180/klagomål/A 40279-2026 FSC-klagomål.docx", "A 40279-2026")</f>
        <v/>
      </c>
      <c r="AB129">
        <f>HYPERLINK("https://klasma.github.io/Logging_2180/klagomålsmail/A 40279-2026 FSC-klagomål mail.docx", "A 40279-2026")</f>
        <v/>
      </c>
      <c r="AC129">
        <f>HYPERLINK("https://klasma.github.io/Logging_2180/tillsyn/A 40279-2026 tillsynsbegäran.docx", "A 40279-2026")</f>
        <v/>
      </c>
      <c r="AD129">
        <f>HYPERLINK("https://klasma.github.io/Logging_2180/tillsynsmail/A 40279-2026 tillsynsbegäran mail.docx", "A 40279-2026")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46310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17251-2026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46310</v>
      </c>
      <c r="F131" t="inlineStr">
        <is>
          <t>GÄVLEBORGS LÄN</t>
        </is>
      </c>
      <c r="G131" t="inlineStr">
        <is>
          <t>GÄVLE</t>
        </is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HYPERLINK("https://klasma.github.io/Logging_2180/artfynd/A 17251-2026 artfynd.xlsx", "A 17251-2026")</f>
        <v/>
      </c>
      <c r="X131">
        <f>HYPERLINK("https://klasma.github.io/Logging_2180/kartor/A 17251-2026 karta.png", "A 17251-2026")</f>
        <v/>
      </c>
      <c r="Y131">
        <f>HYPERLINK("https://klasma.github.io/Logging_2180/kartor_geotiff/A 17251-2026 georefererad karta.tif", "A 17251-2026")</f>
        <v/>
      </c>
      <c r="AA131">
        <f>HYPERLINK("https://klasma.github.io/Logging_2180/klagomål/A 17251-2026 FSC-klagomål.docx", "A 17251-2026")</f>
        <v/>
      </c>
      <c r="AB131">
        <f>HYPERLINK("https://klasma.github.io/Logging_2180/klagomålsmail/A 17251-2026 FSC-klagomål mail.docx", "A 17251-2026")</f>
        <v/>
      </c>
      <c r="AC131">
        <f>HYPERLINK("https://klasma.github.io/Logging_2180/tillsyn/A 17251-2026 tillsynsbegäran.docx", "A 17251-2026")</f>
        <v/>
      </c>
      <c r="AD131">
        <f>HYPERLINK("https://klasma.github.io/Logging_2180/tillsynsmail/A 17251-2026 tillsynsbegäran mail.docx", "A 17251-2026")</f>
        <v/>
      </c>
    </row>
    <row r="132" ht="15" customHeight="1">
      <c r="A132" t="inlineStr">
        <is>
          <t>A 18216-2024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46310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Dofttaggsvamp</t>
        </is>
      </c>
      <c r="W132">
        <f>HYPERLINK("https://klasma.github.io/Logging_2180/artfynd/A 18216-2024 artfynd.xlsx", "A 18216-2024")</f>
        <v/>
      </c>
      <c r="X132">
        <f>HYPERLINK("https://klasma.github.io/Logging_2180/kartor/A 18216-2024 karta.png", "A 18216-2024")</f>
        <v/>
      </c>
      <c r="Y132">
        <f>HYPERLINK("https://klasma.github.io/Logging_2180/kartor_geotiff/A 18216-2024 georefererad karta.tif", "A 18216-2024")</f>
        <v/>
      </c>
      <c r="AA132">
        <f>HYPERLINK("https://klasma.github.io/Logging_2180/klagomål/A 18216-2024 FSC-klagomål.docx", "A 18216-2024")</f>
        <v/>
      </c>
      <c r="AB132">
        <f>HYPERLINK("https://klasma.github.io/Logging_2180/klagomålsmail/A 18216-2024 FSC-klagomål mail.docx", "A 18216-2024")</f>
        <v/>
      </c>
      <c r="AC132">
        <f>HYPERLINK("https://klasma.github.io/Logging_2180/tillsyn/A 18216-2024 tillsynsbegäran.docx", "A 18216-2024")</f>
        <v/>
      </c>
      <c r="AD132">
        <f>HYPERLINK("https://klasma.github.io/Logging_2180/tillsynsmail/A 18216-2024 tillsynsbegäran mail.docx", "A 18216-2024")</f>
        <v/>
      </c>
    </row>
    <row r="133" ht="15" customHeight="1">
      <c r="A133" t="inlineStr">
        <is>
          <t>A 34589-2026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46255</v>
      </c>
      <c r="E133" s="1" t="n">
        <v>46310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15.3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Tibast</t>
        </is>
      </c>
      <c r="W133">
        <f>HYPERLINK("https://klasma.github.io/Logging_2180/artfynd/A 34589-2026 artfynd.xlsx", "A 34589-2026")</f>
        <v/>
      </c>
      <c r="X133">
        <f>HYPERLINK("https://klasma.github.io/Logging_2180/kartor/A 34589-2026 karta.png", "A 34589-2026")</f>
        <v/>
      </c>
      <c r="Y133">
        <f>HYPERLINK("https://klasma.github.io/Logging_2180/kartor_geotiff/A 34589-2026 georefererad karta.tif", "A 34589-2026")</f>
        <v/>
      </c>
      <c r="AA133">
        <f>HYPERLINK("https://klasma.github.io/Logging_2180/klagomål/A 34589-2026 FSC-klagomål.docx", "A 34589-2026")</f>
        <v/>
      </c>
      <c r="AB133">
        <f>HYPERLINK("https://klasma.github.io/Logging_2180/klagomålsmail/A 34589-2026 FSC-klagomål mail.docx", "A 34589-2026")</f>
        <v/>
      </c>
      <c r="AC133">
        <f>HYPERLINK("https://klasma.github.io/Logging_2180/tillsyn/A 34589-2026 tillsynsbegäran.docx", "A 34589-2026")</f>
        <v/>
      </c>
      <c r="AD133">
        <f>HYPERLINK("https://klasma.github.io/Logging_2180/tillsynsmail/A 34589-2026 tillsynsbegäran mail.docx", "A 34589-2026")</f>
        <v/>
      </c>
    </row>
    <row r="134" ht="15" customHeight="1">
      <c r="A134" t="inlineStr">
        <is>
          <t>A 13269-2026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46310</v>
      </c>
      <c r="F134" t="inlineStr">
        <is>
          <t>GÄVLEBORGS LÄN</t>
        </is>
      </c>
      <c r="G134" t="inlineStr">
        <is>
          <t>GÄVLE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Havsörn</t>
        </is>
      </c>
      <c r="W134">
        <f>HYPERLINK("https://klasma.github.io/Logging_2180/artfynd/A 13269-2026 artfynd.xlsx", "A 13269-2026")</f>
        <v/>
      </c>
      <c r="X134">
        <f>HYPERLINK("https://klasma.github.io/Logging_2180/kartor/A 13269-2026 karta.png", "A 13269-2026")</f>
        <v/>
      </c>
      <c r="Y134">
        <f>HYPERLINK("https://klasma.github.io/Logging_2180/kartor_geotiff/A 13269-2026 georefererad karta.tif", "A 13269-2026")</f>
        <v/>
      </c>
      <c r="AA134">
        <f>HYPERLINK("https://klasma.github.io/Logging_2180/klagomål/A 13269-2026 FSC-klagomål.docx", "A 13269-2026")</f>
        <v/>
      </c>
      <c r="AB134">
        <f>HYPERLINK("https://klasma.github.io/Logging_2180/klagomålsmail/A 13269-2026 FSC-klagomål mail.docx", "A 13269-2026")</f>
        <v/>
      </c>
      <c r="AC134">
        <f>HYPERLINK("https://klasma.github.io/Logging_2180/tillsyn/A 13269-2026 tillsynsbegäran.docx", "A 13269-2026")</f>
        <v/>
      </c>
      <c r="AD134">
        <f>HYPERLINK("https://klasma.github.io/Logging_2180/tillsynsmail/A 13269-2026 tillsynsbegäran mail.docx", "A 13269-2026")</f>
        <v/>
      </c>
      <c r="AE134">
        <f>HYPERLINK("https://klasma.github.io/Logging_2180/fåglar/A 13269-2026 prioriterade fågelarter.docx", "A 13269-2026")</f>
        <v/>
      </c>
    </row>
    <row r="135" ht="15" customHeight="1">
      <c r="A135" t="inlineStr">
        <is>
          <t>A 23003-2026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46310</v>
      </c>
      <c r="F135" t="inlineStr">
        <is>
          <t>GÄVLEBORGS LÄN</t>
        </is>
      </c>
      <c r="G135" t="inlineStr">
        <is>
          <t>GÄVLE</t>
        </is>
      </c>
      <c r="I135" t="n">
        <v>12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Tjäder</t>
        </is>
      </c>
      <c r="W135">
        <f>HYPERLINK("https://klasma.github.io/Logging_2180/artfynd/A 23003-2026 artfynd.xlsx", "A 23003-2026")</f>
        <v/>
      </c>
      <c r="X135">
        <f>HYPERLINK("https://klasma.github.io/Logging_2180/kartor/A 23003-2026 karta.png", "A 23003-2026")</f>
        <v/>
      </c>
      <c r="Y135">
        <f>HYPERLINK("https://klasma.github.io/Logging_2180/kartor_geotiff/A 23003-2026 georefererad karta.tif", "A 23003-2026")</f>
        <v/>
      </c>
      <c r="AA135">
        <f>HYPERLINK("https://klasma.github.io/Logging_2180/klagomål/A 23003-2026 FSC-klagomål.docx", "A 23003-2026")</f>
        <v/>
      </c>
      <c r="AB135">
        <f>HYPERLINK("https://klasma.github.io/Logging_2180/klagomålsmail/A 23003-2026 FSC-klagomål mail.docx", "A 23003-2026")</f>
        <v/>
      </c>
      <c r="AC135">
        <f>HYPERLINK("https://klasma.github.io/Logging_2180/tillsyn/A 23003-2026 tillsynsbegäran.docx", "A 23003-2026")</f>
        <v/>
      </c>
      <c r="AD135">
        <f>HYPERLINK("https://klasma.github.io/Logging_2180/tillsynsmail/A 23003-2026 tillsynsbegäran mail.docx", "A 23003-2026")</f>
        <v/>
      </c>
      <c r="AE135">
        <f>HYPERLINK("https://klasma.github.io/Logging_2180/fåglar/A 23003-2026 prioriterade fågelarter.docx", "A 23003-2026")</f>
        <v/>
      </c>
    </row>
    <row r="136" ht="15" customHeight="1">
      <c r="A136" t="inlineStr">
        <is>
          <t>A 12083-2025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46310</v>
      </c>
      <c r="F136" t="inlineStr">
        <is>
          <t>GÄVLEBORGS LÄN</t>
        </is>
      </c>
      <c r="G136" t="inlineStr">
        <is>
          <t>GÄVLE</t>
        </is>
      </c>
      <c r="I136" t="n">
        <v>6.3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Grönsiska</t>
        </is>
      </c>
      <c r="W136">
        <f>HYPERLINK("https://klasma.github.io/Logging_2180/artfynd/A 12083-2025 artfynd.xlsx", "A 12083-2025")</f>
        <v/>
      </c>
      <c r="X136">
        <f>HYPERLINK("https://klasma.github.io/Logging_2180/kartor/A 12083-2025 karta.png", "A 12083-2025")</f>
        <v/>
      </c>
      <c r="Y136">
        <f>HYPERLINK("https://klasma.github.io/Logging_2180/kartor_geotiff/A 12083-2025 georefererad karta.tif", "A 12083-2025")</f>
        <v/>
      </c>
      <c r="AA136">
        <f>HYPERLINK("https://klasma.github.io/Logging_2180/klagomål/A 12083-2025 FSC-klagomål.docx", "A 12083-2025")</f>
        <v/>
      </c>
      <c r="AB136">
        <f>HYPERLINK("https://klasma.github.io/Logging_2180/klagomålsmail/A 12083-2025 FSC-klagomål mail.docx", "A 12083-2025")</f>
        <v/>
      </c>
      <c r="AC136">
        <f>HYPERLINK("https://klasma.github.io/Logging_2180/tillsyn/A 12083-2025 tillsynsbegäran.docx", "A 12083-2025")</f>
        <v/>
      </c>
      <c r="AD136">
        <f>HYPERLINK("https://klasma.github.io/Logging_2180/tillsynsmail/A 12083-2025 tillsynsbegäran mail.docx", "A 12083-2025")</f>
        <v/>
      </c>
    </row>
    <row r="137" ht="15" customHeight="1">
      <c r="A137" t="inlineStr">
        <is>
          <t>A 19635-2026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46133</v>
      </c>
      <c r="E137" s="1" t="n">
        <v>46310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Skinnlav</t>
        </is>
      </c>
      <c r="W137">
        <f>HYPERLINK("https://klasma.github.io/Logging_2180/artfynd/A 19635-2026 artfynd.xlsx", "A 19635-2026")</f>
        <v/>
      </c>
      <c r="X137">
        <f>HYPERLINK("https://klasma.github.io/Logging_2180/kartor/A 19635-2026 karta.png", "A 19635-2026")</f>
        <v/>
      </c>
      <c r="Y137">
        <f>HYPERLINK("https://klasma.github.io/Logging_2180/kartor_geotiff/A 19635-2026 georefererad karta.tif", "A 19635-2026")</f>
        <v/>
      </c>
      <c r="AA137">
        <f>HYPERLINK("https://klasma.github.io/Logging_2180/klagomål/A 19635-2026 FSC-klagomål.docx", "A 19635-2026")</f>
        <v/>
      </c>
      <c r="AB137">
        <f>HYPERLINK("https://klasma.github.io/Logging_2180/klagomålsmail/A 19635-2026 FSC-klagomål mail.docx", "A 19635-2026")</f>
        <v/>
      </c>
      <c r="AC137">
        <f>HYPERLINK("https://klasma.github.io/Logging_2180/tillsyn/A 19635-2026 tillsynsbegäran.docx", "A 19635-2026")</f>
        <v/>
      </c>
      <c r="AD137">
        <f>HYPERLINK("https://klasma.github.io/Logging_2180/tillsynsmail/A 19635-2026 tillsynsbegäran mail.docx", "A 19635-2026")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46310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13227-2024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46310</v>
      </c>
      <c r="F139" t="inlineStr">
        <is>
          <t>GÄVLEBORGS LÄN</t>
        </is>
      </c>
      <c r="G139" t="inlineStr">
        <is>
          <t>GÄVLE</t>
        </is>
      </c>
      <c r="H139" t="inlineStr">
        <is>
          <t>Övriga statliga verk och myndigheter</t>
        </is>
      </c>
      <c r="I139" t="n">
        <v>5.9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Större vattensalamander</t>
        </is>
      </c>
      <c r="W139">
        <f>HYPERLINK("https://klasma.github.io/Logging_2180/artfynd/A 13227-2024 artfynd.xlsx", "A 13227-2024")</f>
        <v/>
      </c>
      <c r="X139">
        <f>HYPERLINK("https://klasma.github.io/Logging_2180/kartor/A 13227-2024 karta.png", "A 13227-2024")</f>
        <v/>
      </c>
      <c r="Y139">
        <f>HYPERLINK("https://klasma.github.io/Logging_2180/kartor_geotiff/A 13227-2024 georefererad karta.tif", "A 13227-2024")</f>
        <v/>
      </c>
      <c r="AA139">
        <f>HYPERLINK("https://klasma.github.io/Logging_2180/klagomål/A 13227-2024 FSC-klagomål.docx", "A 13227-2024")</f>
        <v/>
      </c>
      <c r="AB139">
        <f>HYPERLINK("https://klasma.github.io/Logging_2180/klagomålsmail/A 13227-2024 FSC-klagomål mail.docx", "A 13227-2024")</f>
        <v/>
      </c>
      <c r="AC139">
        <f>HYPERLINK("https://klasma.github.io/Logging_2180/tillsyn/A 13227-2024 tillsynsbegäran.docx", "A 13227-2024")</f>
        <v/>
      </c>
      <c r="AD139">
        <f>HYPERLINK("https://klasma.github.io/Logging_2180/tillsynsmail/A 13227-2024 tillsynsbegäran mail.docx", "A 13227-2024")</f>
        <v/>
      </c>
    </row>
    <row r="140" ht="15" customHeight="1">
      <c r="A140" t="inlineStr">
        <is>
          <t>A 26094-2025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45805</v>
      </c>
      <c r="E140" s="1" t="n">
        <v>46310</v>
      </c>
      <c r="F140" t="inlineStr">
        <is>
          <t>GÄVLEBORGS LÄN</t>
        </is>
      </c>
      <c r="G140" t="inlineStr">
        <is>
          <t>GÄVLE</t>
        </is>
      </c>
      <c r="I140" t="n">
        <v>12.4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Gråsiska</t>
        </is>
      </c>
      <c r="W140">
        <f>HYPERLINK("https://klasma.github.io/Logging_2180/artfynd/A 26094-2025 artfynd.xlsx", "A 26094-2025")</f>
        <v/>
      </c>
      <c r="X140">
        <f>HYPERLINK("https://klasma.github.io/Logging_2180/kartor/A 26094-2025 karta.png", "A 26094-2025")</f>
        <v/>
      </c>
      <c r="Y140">
        <f>HYPERLINK("https://klasma.github.io/Logging_2180/kartor_geotiff/A 26094-2025 georefererad karta.tif", "A 26094-2025")</f>
        <v/>
      </c>
      <c r="AA140">
        <f>HYPERLINK("https://klasma.github.io/Logging_2180/klagomål/A 26094-2025 FSC-klagomål.docx", "A 26094-2025")</f>
        <v/>
      </c>
      <c r="AB140">
        <f>HYPERLINK("https://klasma.github.io/Logging_2180/klagomålsmail/A 26094-2025 FSC-klagomål mail.docx", "A 26094-2025")</f>
        <v/>
      </c>
      <c r="AC140">
        <f>HYPERLINK("https://klasma.github.io/Logging_2180/tillsyn/A 26094-2025 tillsynsbegäran.docx", "A 26094-2025")</f>
        <v/>
      </c>
      <c r="AD140">
        <f>HYPERLINK("https://klasma.github.io/Logging_2180/tillsynsmail/A 26094-2025 tillsynsbegäran mail.docx", "A 26094-2025")</f>
        <v/>
      </c>
    </row>
    <row r="141" ht="15" customHeight="1">
      <c r="A141" t="inlineStr">
        <is>
          <t>A 56123-2025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46310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10.5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Talltita</t>
        </is>
      </c>
      <c r="W141">
        <f>HYPERLINK("https://klasma.github.io/Logging_2180/artfynd/A 56123-2025 artfynd.xlsx", "A 56123-2025")</f>
        <v/>
      </c>
      <c r="X141">
        <f>HYPERLINK("https://klasma.github.io/Logging_2180/kartor/A 56123-2025 karta.png", "A 56123-2025")</f>
        <v/>
      </c>
      <c r="Y141">
        <f>HYPERLINK("https://klasma.github.io/Logging_2180/kartor_geotiff/A 56123-2025 georefererad karta.tif", "A 56123-2025")</f>
        <v/>
      </c>
      <c r="AA141">
        <f>HYPERLINK("https://klasma.github.io/Logging_2180/klagomål/A 56123-2025 FSC-klagomål.docx", "A 56123-2025")</f>
        <v/>
      </c>
      <c r="AB141">
        <f>HYPERLINK("https://klasma.github.io/Logging_2180/klagomålsmail/A 56123-2025 FSC-klagomål mail.docx", "A 56123-2025")</f>
        <v/>
      </c>
      <c r="AC141">
        <f>HYPERLINK("https://klasma.github.io/Logging_2180/tillsyn/A 56123-2025 tillsynsbegäran.docx", "A 56123-2025")</f>
        <v/>
      </c>
      <c r="AD141">
        <f>HYPERLINK("https://klasma.github.io/Logging_2180/tillsynsmail/A 56123-2025 tillsynsbegäran mail.docx", "A 56123-2025")</f>
        <v/>
      </c>
      <c r="AE141">
        <f>HYPERLINK("https://klasma.github.io/Logging_2180/fåglar/A 56123-2025 prioriterade fågelarter.docx", "A 56123-2025")</f>
        <v/>
      </c>
    </row>
    <row r="142" ht="15" customHeight="1">
      <c r="A142" t="inlineStr">
        <is>
          <t>A 35830-2026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46310</v>
      </c>
      <c r="F142" t="inlineStr">
        <is>
          <t>GÄVLEBORGS LÄN</t>
        </is>
      </c>
      <c r="G142" t="inlineStr">
        <is>
          <t>GÄVLE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Bredgentiana</t>
        </is>
      </c>
      <c r="W142">
        <f>HYPERLINK("https://klasma.github.io/Logging_2180/artfynd/A 35830-2026 artfynd.xlsx", "A 35830-2026")</f>
        <v/>
      </c>
      <c r="X142">
        <f>HYPERLINK("https://klasma.github.io/Logging_2180/kartor/A 35830-2026 karta.png", "A 35830-2026")</f>
        <v/>
      </c>
      <c r="Y142">
        <f>HYPERLINK("https://klasma.github.io/Logging_2180/kartor_geotiff/A 35830-2026 georefererad karta.tif", "A 35830-2026")</f>
        <v/>
      </c>
      <c r="AA142">
        <f>HYPERLINK("https://klasma.github.io/Logging_2180/klagomål/A 35830-2026 FSC-klagomål.docx", "A 35830-2026")</f>
        <v/>
      </c>
      <c r="AB142">
        <f>HYPERLINK("https://klasma.github.io/Logging_2180/klagomålsmail/A 35830-2026 FSC-klagomål mail.docx", "A 35830-2026")</f>
        <v/>
      </c>
      <c r="AC142">
        <f>HYPERLINK("https://klasma.github.io/Logging_2180/tillsyn/A 35830-2026 tillsynsbegäran.docx", "A 35830-2026")</f>
        <v/>
      </c>
      <c r="AD142">
        <f>HYPERLINK("https://klasma.github.io/Logging_2180/tillsynsmail/A 35830-2026 tillsynsbegäran mail.docx", "A 35830-2026")</f>
        <v/>
      </c>
    </row>
    <row r="143" ht="15" customHeight="1">
      <c r="A143" t="inlineStr">
        <is>
          <t>A 36090-2026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46267</v>
      </c>
      <c r="E143" s="1" t="n">
        <v>46310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2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Tvåblad</t>
        </is>
      </c>
      <c r="W143">
        <f>HYPERLINK("https://klasma.github.io/Logging_2180/artfynd/A 36090-2026 artfynd.xlsx", "A 36090-2026")</f>
        <v/>
      </c>
      <c r="X143">
        <f>HYPERLINK("https://klasma.github.io/Logging_2180/kartor/A 36090-2026 karta.png", "A 36090-2026")</f>
        <v/>
      </c>
      <c r="Y143">
        <f>HYPERLINK("https://klasma.github.io/Logging_2180/kartor_geotiff/A 36090-2026 georefererad karta.tif", "A 36090-2026")</f>
        <v/>
      </c>
      <c r="AA143">
        <f>HYPERLINK("https://klasma.github.io/Logging_2180/klagomål/A 36090-2026 FSC-klagomål.docx", "A 36090-2026")</f>
        <v/>
      </c>
      <c r="AB143">
        <f>HYPERLINK("https://klasma.github.io/Logging_2180/klagomålsmail/A 36090-2026 FSC-klagomål mail.docx", "A 36090-2026")</f>
        <v/>
      </c>
      <c r="AC143">
        <f>HYPERLINK("https://klasma.github.io/Logging_2180/tillsyn/A 36090-2026 tillsynsbegäran.docx", "A 36090-2026")</f>
        <v/>
      </c>
      <c r="AD143">
        <f>HYPERLINK("https://klasma.github.io/Logging_2180/tillsynsmail/A 36090-2026 tillsynsbegäran mail.docx", "A 36090-2026")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46310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46310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46310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16</v>
      </c>
      <c r="U146" t="n">
        <v>3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46310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46310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46310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46310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46310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46310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46310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46310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46310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46310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46310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46310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46310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46310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46310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46310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46310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46310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46310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46310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46310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46310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46310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44694</v>
      </c>
      <c r="E173" s="1" t="n">
        <v>46310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45138</v>
      </c>
      <c r="E174" s="1" t="n">
        <v>46310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46310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44951</v>
      </c>
      <c r="E176" s="1" t="n">
        <v>46310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46310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46310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44599</v>
      </c>
      <c r="E179" s="1" t="n">
        <v>46310</v>
      </c>
      <c r="F179" t="inlineStr">
        <is>
          <t>GÄVLEBORGS LÄN</t>
        </is>
      </c>
      <c r="G179" t="inlineStr">
        <is>
          <t>GÄVLE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46310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46310</v>
      </c>
      <c r="F181" t="inlineStr">
        <is>
          <t>GÄVLEBORGS LÄN</t>
        </is>
      </c>
      <c r="G181" t="inlineStr">
        <is>
          <t>GÄVLE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45797</v>
      </c>
      <c r="E182" s="1" t="n">
        <v>46310</v>
      </c>
      <c r="F182" t="inlineStr">
        <is>
          <t>GÄVLEBORGS LÄN</t>
        </is>
      </c>
      <c r="G182" t="inlineStr">
        <is>
          <t>GÄVLE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46310</v>
      </c>
      <c r="F183" t="inlineStr">
        <is>
          <t>GÄVLEBORGS LÄN</t>
        </is>
      </c>
      <c r="G183" t="inlineStr">
        <is>
          <t>GÄVLE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46310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öst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45797</v>
      </c>
      <c r="E185" s="1" t="n">
        <v>46310</v>
      </c>
      <c r="F185" t="inlineStr">
        <is>
          <t>GÄVLEBORGS LÄN</t>
        </is>
      </c>
      <c r="G185" t="inlineStr">
        <is>
          <t>GÄVLE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44904</v>
      </c>
      <c r="E186" s="1" t="n">
        <v>46310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44962</v>
      </c>
      <c r="E187" s="1" t="n">
        <v>46310</v>
      </c>
      <c r="F187" t="inlineStr">
        <is>
          <t>GÄVLEBORGS LÄN</t>
        </is>
      </c>
      <c r="G187" t="inlineStr">
        <is>
          <t>GÄVLE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46310</v>
      </c>
      <c r="F188" t="inlineStr">
        <is>
          <t>GÄVLEBORGS LÄN</t>
        </is>
      </c>
      <c r="G188" t="inlineStr">
        <is>
          <t>GÄVLE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46310</v>
      </c>
      <c r="F189" t="inlineStr">
        <is>
          <t>GÄVLEBORGS LÄN</t>
        </is>
      </c>
      <c r="G189" t="inlineStr">
        <is>
          <t>GÄVLE</t>
        </is>
      </c>
      <c r="I189" t="n">
        <v>13.1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46310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24614-2025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46310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18181-2022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44684</v>
      </c>
      <c r="E192" s="1" t="n">
        <v>46310</v>
      </c>
      <c r="F192" t="inlineStr">
        <is>
          <t>GÄVLEBORGS LÄN</t>
        </is>
      </c>
      <c r="G192" t="inlineStr">
        <is>
          <t>GÄVLE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44795</v>
      </c>
      <c r="E193" s="1" t="n">
        <v>46310</v>
      </c>
      <c r="F193" t="inlineStr">
        <is>
          <t>GÄVLEBORGS LÄN</t>
        </is>
      </c>
      <c r="G193" t="inlineStr">
        <is>
          <t>GÄVLE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59515-2021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44491</v>
      </c>
      <c r="E194" s="1" t="n">
        <v>46310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46310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46310</v>
      </c>
      <c r="F196" t="inlineStr">
        <is>
          <t>GÄVLEBORGS LÄN</t>
        </is>
      </c>
      <c r="G196" t="inlineStr">
        <is>
          <t>GÄVLE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46310</v>
      </c>
      <c r="F197" t="inlineStr">
        <is>
          <t>GÄVLEBORGS LÄN</t>
        </is>
      </c>
      <c r="G197" t="inlineStr">
        <is>
          <t>GÄVLE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44840</v>
      </c>
      <c r="E198" s="1" t="n">
        <v>46310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26564-2022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44739</v>
      </c>
      <c r="E199" s="1" t="n">
        <v>46310</v>
      </c>
      <c r="F199" t="inlineStr">
        <is>
          <t>GÄVLEBORGS LÄN</t>
        </is>
      </c>
      <c r="G199" t="inlineStr">
        <is>
          <t>GÄVLE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44785</v>
      </c>
      <c r="E200" s="1" t="n">
        <v>46310</v>
      </c>
      <c r="F200" t="inlineStr">
        <is>
          <t>GÄVLEBORGS LÄN</t>
        </is>
      </c>
      <c r="G200" t="inlineStr">
        <is>
          <t>GÄVLE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46310</v>
      </c>
      <c r="F201" t="inlineStr">
        <is>
          <t>GÄVLEBORGS LÄN</t>
        </is>
      </c>
      <c r="G201" t="inlineStr">
        <is>
          <t>GÄVLE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46310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öst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46310</v>
      </c>
      <c r="F203" t="inlineStr">
        <is>
          <t>GÄVLEBORGS LÄN</t>
        </is>
      </c>
      <c r="G203" t="inlineStr">
        <is>
          <t>GÄVLE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45014</v>
      </c>
      <c r="E204" s="1" t="n">
        <v>46310</v>
      </c>
      <c r="F204" t="inlineStr">
        <is>
          <t>GÄVLEBORGS LÄN</t>
        </is>
      </c>
      <c r="G204" t="inlineStr">
        <is>
          <t>GÄVLE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44959</v>
      </c>
      <c r="E205" s="1" t="n">
        <v>46310</v>
      </c>
      <c r="F205" t="inlineStr">
        <is>
          <t>GÄVLEBORGS LÄN</t>
        </is>
      </c>
      <c r="G205" t="inlineStr">
        <is>
          <t>GÄVLE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46310</v>
      </c>
      <c r="F206" t="inlineStr">
        <is>
          <t>GÄVLEBORGS LÄN</t>
        </is>
      </c>
      <c r="G206" t="inlineStr">
        <is>
          <t>GÄVLE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46310</v>
      </c>
      <c r="F207" t="inlineStr">
        <is>
          <t>GÄVLEBORGS LÄN</t>
        </is>
      </c>
      <c r="G207" t="inlineStr">
        <is>
          <t>GÄVLE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46310</v>
      </c>
      <c r="F208" t="inlineStr">
        <is>
          <t>GÄVLEBORGS LÄN</t>
        </is>
      </c>
      <c r="G208" t="inlineStr">
        <is>
          <t>GÄVLE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46310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46310</v>
      </c>
      <c r="F210" t="inlineStr">
        <is>
          <t>GÄVLEBORGS LÄN</t>
        </is>
      </c>
      <c r="G210" t="inlineStr">
        <is>
          <t>GÄVLE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46310</v>
      </c>
      <c r="F211" t="inlineStr">
        <is>
          <t>GÄVLEBORGS LÄN</t>
        </is>
      </c>
      <c r="G211" t="inlineStr">
        <is>
          <t>GÄVLE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46310</v>
      </c>
      <c r="F212" t="inlineStr">
        <is>
          <t>GÄVLEBORGS LÄN</t>
        </is>
      </c>
      <c r="G212" t="inlineStr">
        <is>
          <t>GÄVLE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47746-2023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45203</v>
      </c>
      <c r="E213" s="1" t="n">
        <v>46310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46310</v>
      </c>
      <c r="F214" t="inlineStr">
        <is>
          <t>GÄVLEBORGS LÄN</t>
        </is>
      </c>
      <c r="G214" t="inlineStr">
        <is>
          <t>GÄVLE</t>
        </is>
      </c>
      <c r="I214" t="n">
        <v>13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46310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46310</v>
      </c>
      <c r="F216" t="inlineStr">
        <is>
          <t>GÄVLEBORGS LÄN</t>
        </is>
      </c>
      <c r="G216" t="inlineStr">
        <is>
          <t>GÄVLE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46310</v>
      </c>
      <c r="F217" t="inlineStr">
        <is>
          <t>GÄVLEBORGS LÄN</t>
        </is>
      </c>
      <c r="G217" t="inlineStr">
        <is>
          <t>GÄVLE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44637</v>
      </c>
      <c r="E218" s="1" t="n">
        <v>46310</v>
      </c>
      <c r="F218" t="inlineStr">
        <is>
          <t>GÄVLEBORGS LÄN</t>
        </is>
      </c>
      <c r="G218" t="inlineStr">
        <is>
          <t>GÄVLE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46310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46310</v>
      </c>
      <c r="F220" t="inlineStr">
        <is>
          <t>GÄVLEBORGS LÄN</t>
        </is>
      </c>
      <c r="G220" t="inlineStr">
        <is>
          <t>GÄVLE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46310</v>
      </c>
      <c r="F221" t="inlineStr">
        <is>
          <t>GÄVLEBORGS LÄN</t>
        </is>
      </c>
      <c r="G221" t="inlineStr">
        <is>
          <t>GÄVLE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46310</v>
      </c>
      <c r="F222" t="inlineStr">
        <is>
          <t>GÄVLEBORGS LÄN</t>
        </is>
      </c>
      <c r="G222" t="inlineStr">
        <is>
          <t>GÄVLE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45827</v>
      </c>
      <c r="E223" s="1" t="n">
        <v>46310</v>
      </c>
      <c r="F223" t="inlineStr">
        <is>
          <t>GÄVLEBORGS LÄN</t>
        </is>
      </c>
      <c r="G223" t="inlineStr">
        <is>
          <t>GÄVLE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46310</v>
      </c>
      <c r="F224" t="inlineStr">
        <is>
          <t>GÄVLEBORGS LÄN</t>
        </is>
      </c>
      <c r="G224" t="inlineStr">
        <is>
          <t>GÄVLE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30300-2025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46310</v>
      </c>
      <c r="F225" t="inlineStr">
        <is>
          <t>GÄVLEBORGS LÄN</t>
        </is>
      </c>
      <c r="G225" t="inlineStr">
        <is>
          <t>GÄVLE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46310</v>
      </c>
      <c r="F226" t="inlineStr">
        <is>
          <t>GÄVLEBORGS LÄN</t>
        </is>
      </c>
      <c r="G226" t="inlineStr">
        <is>
          <t>GÄVLE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14750-2022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44656</v>
      </c>
      <c r="E227" s="1" t="n">
        <v>46310</v>
      </c>
      <c r="F227" t="inlineStr">
        <is>
          <t>GÄVLEBORGS LÄN</t>
        </is>
      </c>
      <c r="G227" t="inlineStr">
        <is>
          <t>GÄVLE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20689-2024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45436</v>
      </c>
      <c r="E228" s="1" t="n">
        <v>46310</v>
      </c>
      <c r="F228" t="inlineStr">
        <is>
          <t>GÄVLEBORGS LÄN</t>
        </is>
      </c>
      <c r="G228" t="inlineStr">
        <is>
          <t>GÄVLE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46310</v>
      </c>
      <c r="F229" t="inlineStr">
        <is>
          <t>GÄVLEBORGS LÄN</t>
        </is>
      </c>
      <c r="G229" t="inlineStr">
        <is>
          <t>GÄVLE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46310</v>
      </c>
      <c r="F230" t="inlineStr">
        <is>
          <t>GÄVLEBORGS LÄN</t>
        </is>
      </c>
      <c r="G230" t="inlineStr">
        <is>
          <t>GÄVLE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46310</v>
      </c>
      <c r="F231" t="inlineStr">
        <is>
          <t>GÄVLEBORGS LÄN</t>
        </is>
      </c>
      <c r="G231" t="inlineStr">
        <is>
          <t>GÄVLE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46310</v>
      </c>
      <c r="F232" t="inlineStr">
        <is>
          <t>GÄVLEBORGS LÄN</t>
        </is>
      </c>
      <c r="G232" t="inlineStr">
        <is>
          <t>GÄVLE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46310</v>
      </c>
      <c r="F233" t="inlineStr">
        <is>
          <t>GÄVLEBORGS LÄN</t>
        </is>
      </c>
      <c r="G233" t="inlineStr">
        <is>
          <t>GÄVLE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45120</v>
      </c>
      <c r="E234" s="1" t="n">
        <v>46310</v>
      </c>
      <c r="F234" t="inlineStr">
        <is>
          <t>GÄVLEBORGS LÄN</t>
        </is>
      </c>
      <c r="G234" t="inlineStr">
        <is>
          <t>GÄVLE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32022-2025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46310</v>
      </c>
      <c r="F235" t="inlineStr">
        <is>
          <t>GÄVLEBORGS LÄN</t>
        </is>
      </c>
      <c r="G235" t="inlineStr">
        <is>
          <t>GÄVLE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45089</v>
      </c>
      <c r="E236" s="1" t="n">
        <v>46310</v>
      </c>
      <c r="F236" t="inlineStr">
        <is>
          <t>GÄVLEBORGS LÄN</t>
        </is>
      </c>
      <c r="G236" t="inlineStr">
        <is>
          <t>GÄVLE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45158</v>
      </c>
      <c r="E237" s="1" t="n">
        <v>46310</v>
      </c>
      <c r="F237" t="inlineStr">
        <is>
          <t>GÄVLEBORGS LÄN</t>
        </is>
      </c>
      <c r="G237" t="inlineStr">
        <is>
          <t>GÄVLE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37538-2023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45158</v>
      </c>
      <c r="E238" s="1" t="n">
        <v>46310</v>
      </c>
      <c r="F238" t="inlineStr">
        <is>
          <t>GÄVLEBORGS LÄN</t>
        </is>
      </c>
      <c r="G238" t="inlineStr">
        <is>
          <t>GÄVLE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46310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46310</v>
      </c>
      <c r="F240" t="inlineStr">
        <is>
          <t>GÄVLEBORGS LÄN</t>
        </is>
      </c>
      <c r="G240" t="inlineStr">
        <is>
          <t>GÄVLE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44708</v>
      </c>
      <c r="E241" s="1" t="n">
        <v>46310</v>
      </c>
      <c r="F241" t="inlineStr">
        <is>
          <t>GÄVLEBORGS LÄN</t>
        </is>
      </c>
      <c r="G241" t="inlineStr">
        <is>
          <t>GÄVLE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45891</v>
      </c>
      <c r="E242" s="1" t="n">
        <v>46310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45784</v>
      </c>
      <c r="E243" s="1" t="n">
        <v>46310</v>
      </c>
      <c r="F243" t="inlineStr">
        <is>
          <t>GÄVLEBORGS LÄN</t>
        </is>
      </c>
      <c r="G243" t="inlineStr">
        <is>
          <t>GÄVLE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46310</v>
      </c>
      <c r="F244" t="inlineStr">
        <is>
          <t>GÄVLEBORGS LÄN</t>
        </is>
      </c>
      <c r="G244" t="inlineStr">
        <is>
          <t>GÄVLE</t>
        </is>
      </c>
      <c r="H244" t="inlineStr">
        <is>
          <t>Kyrkan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40297-2025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45895</v>
      </c>
      <c r="E245" s="1" t="n">
        <v>46310</v>
      </c>
      <c r="F245" t="inlineStr">
        <is>
          <t>GÄVLEBORGS LÄN</t>
        </is>
      </c>
      <c r="G245" t="inlineStr">
        <is>
          <t>GÄVLE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46310</v>
      </c>
      <c r="F246" t="inlineStr">
        <is>
          <t>GÄVLEBORGS LÄN</t>
        </is>
      </c>
      <c r="G246" t="inlineStr">
        <is>
          <t>GÄVLE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34116-2025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45845</v>
      </c>
      <c r="E247" s="1" t="n">
        <v>46310</v>
      </c>
      <c r="F247" t="inlineStr">
        <is>
          <t>GÄVLEBORGS LÄN</t>
        </is>
      </c>
      <c r="G247" t="inlineStr">
        <is>
          <t>GÄVLE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46310</v>
      </c>
      <c r="F248" t="inlineStr">
        <is>
          <t>GÄVLEBORGS LÄN</t>
        </is>
      </c>
      <c r="G248" t="inlineStr">
        <is>
          <t>GÄVLE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46310</v>
      </c>
      <c r="F249" t="inlineStr">
        <is>
          <t>GÄVLEBORGS LÄN</t>
        </is>
      </c>
      <c r="G249" t="inlineStr">
        <is>
          <t>GÄVLE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46310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46310</v>
      </c>
      <c r="F251" t="inlineStr">
        <is>
          <t>GÄVLEBORGS LÄN</t>
        </is>
      </c>
      <c r="G251" t="inlineStr">
        <is>
          <t>GÄVLE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46310</v>
      </c>
      <c r="F252" t="inlineStr">
        <is>
          <t>GÄVLEBORGS LÄN</t>
        </is>
      </c>
      <c r="G252" t="inlineStr">
        <is>
          <t>GÄVLE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45848</v>
      </c>
      <c r="E253" s="1" t="n">
        <v>46310</v>
      </c>
      <c r="F253" t="inlineStr">
        <is>
          <t>GÄVLEBORGS LÄN</t>
        </is>
      </c>
      <c r="G253" t="inlineStr">
        <is>
          <t>GÄVLE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46310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46310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46310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46310</v>
      </c>
      <c r="F257" t="inlineStr">
        <is>
          <t>GÄVLEBORGS LÄN</t>
        </is>
      </c>
      <c r="G257" t="inlineStr">
        <is>
          <t>GÄVLE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46310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46310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46310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46310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46310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30104-2024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45485</v>
      </c>
      <c r="E263" s="1" t="n">
        <v>46310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46310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45854</v>
      </c>
      <c r="E265" s="1" t="n">
        <v>46310</v>
      </c>
      <c r="F265" t="inlineStr">
        <is>
          <t>GÄVLEBORGS LÄN</t>
        </is>
      </c>
      <c r="G265" t="inlineStr">
        <is>
          <t>GÄVLE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46310</v>
      </c>
      <c r="F266" t="inlineStr">
        <is>
          <t>GÄVLEBORGS LÄN</t>
        </is>
      </c>
      <c r="G266" t="inlineStr">
        <is>
          <t>GÄVLE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46310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44840</v>
      </c>
      <c r="E268" s="1" t="n">
        <v>46310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45859</v>
      </c>
      <c r="E269" s="1" t="n">
        <v>46310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46310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46310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46310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46310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45645</v>
      </c>
      <c r="E274" s="1" t="n">
        <v>46310</v>
      </c>
      <c r="F274" t="inlineStr">
        <is>
          <t>GÄVLEBORGS LÄN</t>
        </is>
      </c>
      <c r="G274" t="inlineStr">
        <is>
          <t>GÄVLE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45862</v>
      </c>
      <c r="E275" s="1" t="n">
        <v>46310</v>
      </c>
      <c r="F275" t="inlineStr">
        <is>
          <t>GÄVLEBORGS LÄN</t>
        </is>
      </c>
      <c r="G275" t="inlineStr">
        <is>
          <t>GÄVLE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46310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45862</v>
      </c>
      <c r="E277" s="1" t="n">
        <v>46310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35919-2025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45862</v>
      </c>
      <c r="E278" s="1" t="n">
        <v>46310</v>
      </c>
      <c r="F278" t="inlineStr">
        <is>
          <t>GÄVLEBORGS LÄN</t>
        </is>
      </c>
      <c r="G278" t="inlineStr">
        <is>
          <t>GÄVLE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46310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46310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45867</v>
      </c>
      <c r="E281" s="1" t="n">
        <v>46310</v>
      </c>
      <c r="F281" t="inlineStr">
        <is>
          <t>GÄVLEBORGS LÄN</t>
        </is>
      </c>
      <c r="G281" t="inlineStr">
        <is>
          <t>GÄVLE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46310</v>
      </c>
      <c r="F282" t="inlineStr">
        <is>
          <t>GÄVLEBORGS LÄN</t>
        </is>
      </c>
      <c r="G282" t="inlineStr">
        <is>
          <t>GÄVLE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46310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46310</v>
      </c>
      <c r="F284" t="inlineStr">
        <is>
          <t>GÄVLEBORGS LÄN</t>
        </is>
      </c>
      <c r="G284" t="inlineStr">
        <is>
          <t>GÄVLE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45869</v>
      </c>
      <c r="E285" s="1" t="n">
        <v>46310</v>
      </c>
      <c r="F285" t="inlineStr">
        <is>
          <t>GÄVLEBORGS LÄN</t>
        </is>
      </c>
      <c r="G285" t="inlineStr">
        <is>
          <t>GÄVLE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44942</v>
      </c>
      <c r="E286" s="1" t="n">
        <v>46310</v>
      </c>
      <c r="F286" t="inlineStr">
        <is>
          <t>GÄVLEBORGS LÄN</t>
        </is>
      </c>
      <c r="G286" t="inlineStr">
        <is>
          <t>GÄVLE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46310</v>
      </c>
      <c r="F287" t="inlineStr">
        <is>
          <t>GÄVLEBORGS LÄN</t>
        </is>
      </c>
      <c r="G287" t="inlineStr">
        <is>
          <t>GÄVLE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64868-2023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45282</v>
      </c>
      <c r="E288" s="1" t="n">
        <v>46310</v>
      </c>
      <c r="F288" t="inlineStr">
        <is>
          <t>GÄVLEBORGS LÄN</t>
        </is>
      </c>
      <c r="G288" t="inlineStr">
        <is>
          <t>GÄVLE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46310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46310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19095-2022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44691</v>
      </c>
      <c r="E291" s="1" t="n">
        <v>46310</v>
      </c>
      <c r="F291" t="inlineStr">
        <is>
          <t>GÄVLEBORGS LÄN</t>
        </is>
      </c>
      <c r="G291" t="inlineStr">
        <is>
          <t>GÄVLE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46310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45422</v>
      </c>
      <c r="E293" s="1" t="n">
        <v>46310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46310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46310</v>
      </c>
      <c r="F295" t="inlineStr">
        <is>
          <t>GÄVLEBORGS LÄN</t>
        </is>
      </c>
      <c r="G295" t="inlineStr">
        <is>
          <t>GÄVLE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45184</v>
      </c>
      <c r="E296" s="1" t="n">
        <v>46310</v>
      </c>
      <c r="F296" t="inlineStr">
        <is>
          <t>GÄVLEBORGS LÄN</t>
        </is>
      </c>
      <c r="G296" t="inlineStr">
        <is>
          <t>GÄVLE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46310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45923</v>
      </c>
      <c r="E298" s="1" t="n">
        <v>46310</v>
      </c>
      <c r="F298" t="inlineStr">
        <is>
          <t>GÄVLEBORGS LÄN</t>
        </is>
      </c>
      <c r="G298" t="inlineStr">
        <is>
          <t>GÄVLE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45896</v>
      </c>
      <c r="E299" s="1" t="n">
        <v>46310</v>
      </c>
      <c r="F299" t="inlineStr">
        <is>
          <t>GÄVLEBORGS LÄN</t>
        </is>
      </c>
      <c r="G299" t="inlineStr">
        <is>
          <t>GÄVLE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46310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45117</v>
      </c>
      <c r="E301" s="1" t="n">
        <v>46310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44756</v>
      </c>
      <c r="E302" s="1" t="n">
        <v>46310</v>
      </c>
      <c r="F302" t="inlineStr">
        <is>
          <t>GÄVLEBORGS LÄN</t>
        </is>
      </c>
      <c r="G302" t="inlineStr">
        <is>
          <t>GÄVLE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46310</v>
      </c>
      <c r="F303" t="inlineStr">
        <is>
          <t>GÄVLEBORGS LÄN</t>
        </is>
      </c>
      <c r="G303" t="inlineStr">
        <is>
          <t>GÄVLE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46310</v>
      </c>
      <c r="F304" t="inlineStr">
        <is>
          <t>GÄVLEBORGS LÄN</t>
        </is>
      </c>
      <c r="G304" t="inlineStr">
        <is>
          <t>GÄVLE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46310</v>
      </c>
      <c r="F305" t="inlineStr">
        <is>
          <t>GÄVLEBORGS LÄN</t>
        </is>
      </c>
      <c r="G305" t="inlineStr">
        <is>
          <t>GÄVLE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46310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46310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46310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46310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45058</v>
      </c>
      <c r="E311" s="1" t="n">
        <v>46310</v>
      </c>
      <c r="F311" t="inlineStr">
        <is>
          <t>GÄVLEBORGS LÄN</t>
        </is>
      </c>
      <c r="G311" t="inlineStr">
        <is>
          <t>GÄVLE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46310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45125</v>
      </c>
      <c r="E313" s="1" t="n">
        <v>46310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46310</v>
      </c>
      <c r="F314" t="inlineStr">
        <is>
          <t>GÄVLEBORGS LÄN</t>
        </is>
      </c>
      <c r="G314" t="inlineStr">
        <is>
          <t>GÄVLE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46310</v>
      </c>
      <c r="F315" t="inlineStr">
        <is>
          <t>GÄVLEBORGS LÄN</t>
        </is>
      </c>
      <c r="G315" t="inlineStr">
        <is>
          <t>GÄVLE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44586</v>
      </c>
      <c r="E316" s="1" t="n">
        <v>46310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46310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46310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71249-2021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44539</v>
      </c>
      <c r="E319" s="1" t="n">
        <v>46310</v>
      </c>
      <c r="F319" t="inlineStr">
        <is>
          <t>GÄVLEBORGS LÄN</t>
        </is>
      </c>
      <c r="G319" t="inlineStr">
        <is>
          <t>GÄVLE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46310</v>
      </c>
      <c r="F320" t="inlineStr">
        <is>
          <t>GÄVLEBORGS LÄN</t>
        </is>
      </c>
      <c r="G320" t="inlineStr">
        <is>
          <t>GÄVLE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46310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46310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46310</v>
      </c>
      <c r="F323" t="inlineStr">
        <is>
          <t>GÄVLEBORGS LÄN</t>
        </is>
      </c>
      <c r="G323" t="inlineStr">
        <is>
          <t>GÄVLE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46310</v>
      </c>
      <c r="F324" t="inlineStr">
        <is>
          <t>GÄVLEBORGS LÄN</t>
        </is>
      </c>
      <c r="G324" t="inlineStr">
        <is>
          <t>GÄVLE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46310</v>
      </c>
      <c r="F325" t="inlineStr">
        <is>
          <t>GÄVLEBORGS LÄN</t>
        </is>
      </c>
      <c r="G325" t="inlineStr">
        <is>
          <t>GÄVLE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46310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46310</v>
      </c>
      <c r="F327" t="inlineStr">
        <is>
          <t>GÄVLEBORGS LÄN</t>
        </is>
      </c>
      <c r="G327" t="inlineStr">
        <is>
          <t>GÄVLE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50871-2022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44867</v>
      </c>
      <c r="E328" s="1" t="n">
        <v>46310</v>
      </c>
      <c r="F328" t="inlineStr">
        <is>
          <t>GÄVLEBORGS LÄN</t>
        </is>
      </c>
      <c r="G328" t="inlineStr">
        <is>
          <t>GÄVLE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19424-2022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44693</v>
      </c>
      <c r="E329" s="1" t="n">
        <v>46310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46310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46310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46310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46310</v>
      </c>
      <c r="F333" t="inlineStr">
        <is>
          <t>GÄVLEBORGS LÄN</t>
        </is>
      </c>
      <c r="G333" t="inlineStr">
        <is>
          <t>GÄVLE</t>
        </is>
      </c>
      <c r="H333" t="inlineStr">
        <is>
          <t>Kyrkan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45916</v>
      </c>
      <c r="E334" s="1" t="n">
        <v>46310</v>
      </c>
      <c r="F334" t="inlineStr">
        <is>
          <t>GÄVLEBORGS LÄN</t>
        </is>
      </c>
      <c r="G334" t="inlineStr">
        <is>
          <t>GÄVLE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46310</v>
      </c>
      <c r="F335" t="inlineStr">
        <is>
          <t>GÄVLEBORGS LÄN</t>
        </is>
      </c>
      <c r="G335" t="inlineStr">
        <is>
          <t>GÄVLE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66351-2021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44518</v>
      </c>
      <c r="E336" s="1" t="n">
        <v>46310</v>
      </c>
      <c r="F336" t="inlineStr">
        <is>
          <t>GÄVLEBORGS LÄN</t>
        </is>
      </c>
      <c r="G336" t="inlineStr">
        <is>
          <t>GÄVLE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46310</v>
      </c>
      <c r="F337" t="inlineStr">
        <is>
          <t>GÄVLEBORGS LÄN</t>
        </is>
      </c>
      <c r="G337" t="inlineStr">
        <is>
          <t>GÄVLE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46310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46310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45940</v>
      </c>
      <c r="E340" s="1" t="n">
        <v>46310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38558-2023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45162</v>
      </c>
      <c r="E341" s="1" t="n">
        <v>46310</v>
      </c>
      <c r="F341" t="inlineStr">
        <is>
          <t>GÄVLEBORGS LÄN</t>
        </is>
      </c>
      <c r="G341" t="inlineStr">
        <is>
          <t>GÄVLE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46310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46310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46310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45084</v>
      </c>
      <c r="E345" s="1" t="n">
        <v>46310</v>
      </c>
      <c r="F345" t="inlineStr">
        <is>
          <t>GÄVLEBORGS LÄN</t>
        </is>
      </c>
      <c r="G345" t="inlineStr">
        <is>
          <t>GÄVLE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46310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46310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46310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46310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37258-2024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45540</v>
      </c>
      <c r="E350" s="1" t="n">
        <v>46310</v>
      </c>
      <c r="F350" t="inlineStr">
        <is>
          <t>GÄVLEBORGS LÄN</t>
        </is>
      </c>
      <c r="G350" t="inlineStr">
        <is>
          <t>GÄVLE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46310</v>
      </c>
      <c r="F351" t="inlineStr">
        <is>
          <t>GÄVLEBORGS LÄN</t>
        </is>
      </c>
      <c r="G351" t="inlineStr">
        <is>
          <t>GÄVLE</t>
        </is>
      </c>
      <c r="H351" t="inlineStr">
        <is>
          <t>Kommuner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25768-2022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44733</v>
      </c>
      <c r="E352" s="1" t="n">
        <v>46310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46310</v>
      </c>
      <c r="F353" t="inlineStr">
        <is>
          <t>GÄVLEBORGS LÄN</t>
        </is>
      </c>
      <c r="G353" t="inlineStr">
        <is>
          <t>GÄVLE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45652</v>
      </c>
      <c r="E354" s="1" t="n">
        <v>46310</v>
      </c>
      <c r="F354" t="inlineStr">
        <is>
          <t>GÄVLEBORGS LÄN</t>
        </is>
      </c>
      <c r="G354" t="inlineStr">
        <is>
          <t>GÄVLE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45475</v>
      </c>
      <c r="E355" s="1" t="n">
        <v>46310</v>
      </c>
      <c r="F355" t="inlineStr">
        <is>
          <t>GÄVLEBORGS LÄN</t>
        </is>
      </c>
      <c r="G355" t="inlineStr">
        <is>
          <t>GÄVLE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40498-2022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44823</v>
      </c>
      <c r="E356" s="1" t="n">
        <v>46310</v>
      </c>
      <c r="F356" t="inlineStr">
        <is>
          <t>GÄVLEBORGS LÄN</t>
        </is>
      </c>
      <c r="G356" t="inlineStr">
        <is>
          <t>GÄVLE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46310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46310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44988</v>
      </c>
      <c r="E359" s="1" t="n">
        <v>46310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46310</v>
      </c>
      <c r="F360" t="inlineStr">
        <is>
          <t>GÄVLEBORGS LÄN</t>
        </is>
      </c>
      <c r="G360" t="inlineStr">
        <is>
          <t>GÄVLE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46310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46310</v>
      </c>
      <c r="F362" t="inlineStr">
        <is>
          <t>GÄVLEBORGS LÄN</t>
        </is>
      </c>
      <c r="G362" t="inlineStr">
        <is>
          <t>GÄVLE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46310</v>
      </c>
      <c r="F363" t="inlineStr">
        <is>
          <t>GÄVLEBORGS LÄN</t>
        </is>
      </c>
      <c r="G363" t="inlineStr">
        <is>
          <t>GÄVLE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52970-2025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45957</v>
      </c>
      <c r="E364" s="1" t="n">
        <v>46310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46310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45547</v>
      </c>
      <c r="E366" s="1" t="n">
        <v>46310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46310</v>
      </c>
      <c r="F367" t="inlineStr">
        <is>
          <t>GÄVLEBORGS LÄN</t>
        </is>
      </c>
      <c r="G367" t="inlineStr">
        <is>
          <t>GÄVLE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46310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46310</v>
      </c>
      <c r="F369" t="inlineStr">
        <is>
          <t>GÄVLEBORGS LÄN</t>
        </is>
      </c>
      <c r="G369" t="inlineStr">
        <is>
          <t>GÄVLE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44936</v>
      </c>
      <c r="E370" s="1" t="n">
        <v>46310</v>
      </c>
      <c r="F370" t="inlineStr">
        <is>
          <t>GÄVLEBORGS LÄN</t>
        </is>
      </c>
      <c r="G370" t="inlineStr">
        <is>
          <t>GÄVLE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44589</v>
      </c>
      <c r="E371" s="1" t="n">
        <v>46310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46310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46310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46310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45960</v>
      </c>
      <c r="E375" s="1" t="n">
        <v>46310</v>
      </c>
      <c r="F375" t="inlineStr">
        <is>
          <t>GÄVLEBORGS LÄN</t>
        </is>
      </c>
      <c r="G375" t="inlineStr">
        <is>
          <t>GÄVLE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46310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45146</v>
      </c>
      <c r="E377" s="1" t="n">
        <v>46310</v>
      </c>
      <c r="F377" t="inlineStr">
        <is>
          <t>GÄVLEBORGS LÄN</t>
        </is>
      </c>
      <c r="G377" t="inlineStr">
        <is>
          <t>GÄVLE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13489-2026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46310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46310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46310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46310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46310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46310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45468</v>
      </c>
      <c r="E384" s="1" t="n">
        <v>46310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54135-2025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45964</v>
      </c>
      <c r="E385" s="1" t="n">
        <v>46310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46310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46310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46310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46310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44911</v>
      </c>
      <c r="E390" s="1" t="n">
        <v>46310</v>
      </c>
      <c r="F390" t="inlineStr">
        <is>
          <t>GÄVLEBORGS LÄN</t>
        </is>
      </c>
      <c r="G390" t="inlineStr">
        <is>
          <t>GÄVLE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50314-2024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45600</v>
      </c>
      <c r="E391" s="1" t="n">
        <v>46310</v>
      </c>
      <c r="F391" t="inlineStr">
        <is>
          <t>GÄVLEBORGS LÄN</t>
        </is>
      </c>
      <c r="G391" t="inlineStr">
        <is>
          <t>GÄVLE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46095</v>
      </c>
      <c r="E392" s="1" t="n">
        <v>46310</v>
      </c>
      <c r="F392" t="inlineStr">
        <is>
          <t>GÄVLEBORGS LÄN</t>
        </is>
      </c>
      <c r="G392" t="inlineStr">
        <is>
          <t>GÄVLE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46310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46310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46310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46310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46310</v>
      </c>
      <c r="F397" t="inlineStr">
        <is>
          <t>GÄVLEBORGS LÄN</t>
        </is>
      </c>
      <c r="G397" t="inlineStr">
        <is>
          <t>GÄVLE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61786-2024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45649</v>
      </c>
      <c r="E398" s="1" t="n">
        <v>46310</v>
      </c>
      <c r="F398" t="inlineStr">
        <is>
          <t>GÄVLEBORGS LÄN</t>
        </is>
      </c>
      <c r="G398" t="inlineStr">
        <is>
          <t>GÄVLE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45971</v>
      </c>
      <c r="E399" s="1" t="n">
        <v>46310</v>
      </c>
      <c r="F399" t="inlineStr">
        <is>
          <t>GÄVLEBORGS LÄN</t>
        </is>
      </c>
      <c r="G399" t="inlineStr">
        <is>
          <t>GÄVLE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45324</v>
      </c>
      <c r="E400" s="1" t="n">
        <v>46310</v>
      </c>
      <c r="F400" t="inlineStr">
        <is>
          <t>GÄVLEBORGS LÄN</t>
        </is>
      </c>
      <c r="G400" t="inlineStr">
        <is>
          <t>GÄVLE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46310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46310</v>
      </c>
      <c r="F402" t="inlineStr">
        <is>
          <t>GÄVLEBORGS LÄN</t>
        </is>
      </c>
      <c r="G402" t="inlineStr">
        <is>
          <t>GÄVLE</t>
        </is>
      </c>
      <c r="H402" t="inlineStr">
        <is>
          <t>Kyrkan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46310</v>
      </c>
      <c r="F403" t="inlineStr">
        <is>
          <t>GÄVLEBORGS LÄN</t>
        </is>
      </c>
      <c r="G403" t="inlineStr">
        <is>
          <t>GÄVLE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46310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46310</v>
      </c>
      <c r="F405" t="inlineStr">
        <is>
          <t>GÄVLEBORGS LÄN</t>
        </is>
      </c>
      <c r="G405" t="inlineStr">
        <is>
          <t>GÄVLE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46310</v>
      </c>
      <c r="F406" t="inlineStr">
        <is>
          <t>GÄVLEBORGS LÄN</t>
        </is>
      </c>
      <c r="G406" t="inlineStr">
        <is>
          <t>GÄVLE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46310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46310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46310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46310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46310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46310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46310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46310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46310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46310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46310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46310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46310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46310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46310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46310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46310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46310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46310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45320</v>
      </c>
      <c r="E426" s="1" t="n">
        <v>46310</v>
      </c>
      <c r="F426" t="inlineStr">
        <is>
          <t>GÄVLEBORGS LÄN</t>
        </is>
      </c>
      <c r="G426" t="inlineStr">
        <is>
          <t>GÄVLE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45034</v>
      </c>
      <c r="E427" s="1" t="n">
        <v>46310</v>
      </c>
      <c r="F427" t="inlineStr">
        <is>
          <t>GÄVLEBORGS LÄN</t>
        </is>
      </c>
      <c r="G427" t="inlineStr">
        <is>
          <t>GÄVLE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46310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45463</v>
      </c>
      <c r="E429" s="1" t="n">
        <v>46310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46310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17471-2026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46310</v>
      </c>
      <c r="F431" t="inlineStr">
        <is>
          <t>GÄVLEBORGS LÄN</t>
        </is>
      </c>
      <c r="G431" t="inlineStr">
        <is>
          <t>GÄVLE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46310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46310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46310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46310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45548-2025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46310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46310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46310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46310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58542-2025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46310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45912</v>
      </c>
      <c r="E441" s="1" t="n">
        <v>46310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46310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45546-2025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46310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46310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46310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46310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46310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46077</v>
      </c>
      <c r="E448" s="1" t="n">
        <v>46310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46310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46310</v>
      </c>
      <c r="F450" t="inlineStr">
        <is>
          <t>GÄVLEBORGS LÄN</t>
        </is>
      </c>
      <c r="G450" t="inlineStr">
        <is>
          <t>GÄVLE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46310</v>
      </c>
      <c r="F451" t="inlineStr">
        <is>
          <t>GÄVLEBORGS LÄN</t>
        </is>
      </c>
      <c r="G451" t="inlineStr">
        <is>
          <t>GÄVLE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46125</v>
      </c>
      <c r="E452" s="1" t="n">
        <v>46310</v>
      </c>
      <c r="F452" t="inlineStr">
        <is>
          <t>GÄVLEBORGS LÄN</t>
        </is>
      </c>
      <c r="G452" t="inlineStr">
        <is>
          <t>GÄVLE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17976-2026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46124</v>
      </c>
      <c r="E453" s="1" t="n">
        <v>46310</v>
      </c>
      <c r="F453" t="inlineStr">
        <is>
          <t>GÄVLEBORGS LÄN</t>
        </is>
      </c>
      <c r="G453" t="inlineStr">
        <is>
          <t>GÄVLE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46124</v>
      </c>
      <c r="E454" s="1" t="n">
        <v>46310</v>
      </c>
      <c r="F454" t="inlineStr">
        <is>
          <t>GÄVLEBORGS LÄN</t>
        </is>
      </c>
      <c r="G454" t="inlineStr">
        <is>
          <t>GÄVLE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46124</v>
      </c>
      <c r="E455" s="1" t="n">
        <v>46310</v>
      </c>
      <c r="F455" t="inlineStr">
        <is>
          <t>GÄVLEBORGS LÄN</t>
        </is>
      </c>
      <c r="G455" t="inlineStr">
        <is>
          <t>GÄVLE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46310</v>
      </c>
      <c r="F456" t="inlineStr">
        <is>
          <t>GÄVLEBORGS LÄN</t>
        </is>
      </c>
      <c r="G456" t="inlineStr">
        <is>
          <t>GÄVLE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18657-2026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46310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46310</v>
      </c>
      <c r="F458" t="inlineStr">
        <is>
          <t>GÄVLEBORGS LÄN</t>
        </is>
      </c>
      <c r="G458" t="inlineStr">
        <is>
          <t>GÄVLE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46310</v>
      </c>
      <c r="F459" t="inlineStr">
        <is>
          <t>GÄVLEBORGS LÄN</t>
        </is>
      </c>
      <c r="G459" t="inlineStr">
        <is>
          <t>GÄVLE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46310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45994</v>
      </c>
      <c r="E461" s="1" t="n">
        <v>46310</v>
      </c>
      <c r="F461" t="inlineStr">
        <is>
          <t>GÄVLEBORGS LÄN</t>
        </is>
      </c>
      <c r="G461" t="inlineStr">
        <is>
          <t>GÄVLE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46310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46310</v>
      </c>
      <c r="F463" t="inlineStr">
        <is>
          <t>GÄVLEBORGS LÄN</t>
        </is>
      </c>
      <c r="G463" t="inlineStr">
        <is>
          <t>GÄVLE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46310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10352-2025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45720</v>
      </c>
      <c r="E465" s="1" t="n">
        <v>46310</v>
      </c>
      <c r="F465" t="inlineStr">
        <is>
          <t>GÄVLEBORGS LÄN</t>
        </is>
      </c>
      <c r="G465" t="inlineStr">
        <is>
          <t>GÄVLE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55217-2025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46310</v>
      </c>
      <c r="F466" t="inlineStr">
        <is>
          <t>GÄVLEBORGS LÄN</t>
        </is>
      </c>
      <c r="G466" t="inlineStr">
        <is>
          <t>GÄVLE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18817-2026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46310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46310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46310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46310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46310</v>
      </c>
      <c r="F471" t="inlineStr">
        <is>
          <t>GÄVLEBORGS LÄN</t>
        </is>
      </c>
      <c r="G471" t="inlineStr">
        <is>
          <t>GÄVLE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46310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36.3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44960</v>
      </c>
      <c r="E473" s="1" t="n">
        <v>46310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46310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24720-2023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45084</v>
      </c>
      <c r="E475" s="1" t="n">
        <v>46310</v>
      </c>
      <c r="F475" t="inlineStr">
        <is>
          <t>GÄVLEBORGS LÄN</t>
        </is>
      </c>
      <c r="G475" t="inlineStr">
        <is>
          <t>GÄVLE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46310</v>
      </c>
      <c r="F476" t="inlineStr">
        <is>
          <t>GÄVLEBORGS LÄN</t>
        </is>
      </c>
      <c r="G476" t="inlineStr">
        <is>
          <t>GÄVLE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61093-2025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46310</v>
      </c>
      <c r="F477" t="inlineStr">
        <is>
          <t>GÄVLEBORGS LÄN</t>
        </is>
      </c>
      <c r="G477" t="inlineStr">
        <is>
          <t>GÄVLE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46310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46310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46310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19370-2026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46310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46310</v>
      </c>
      <c r="F482" t="inlineStr">
        <is>
          <t>GÄVLEBORGS LÄN</t>
        </is>
      </c>
      <c r="G482" t="inlineStr">
        <is>
          <t>GÄVLE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8693-2024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46310</v>
      </c>
      <c r="F483" t="inlineStr">
        <is>
          <t>GÄVLEBORGS LÄN</t>
        </is>
      </c>
      <c r="G483" t="inlineStr">
        <is>
          <t>GÄVLE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46310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46310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46310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46134</v>
      </c>
      <c r="E487" s="1" t="n">
        <v>46310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46310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46310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65879-2021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44517</v>
      </c>
      <c r="E490" s="1" t="n">
        <v>46310</v>
      </c>
      <c r="F490" t="inlineStr">
        <is>
          <t>GÄVLEBORGS LÄN</t>
        </is>
      </c>
      <c r="G490" t="inlineStr">
        <is>
          <t>GÄVLE</t>
        </is>
      </c>
      <c r="H490" t="inlineStr">
        <is>
          <t>Kyrkan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46310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46310</v>
      </c>
      <c r="F492" t="inlineStr">
        <is>
          <t>GÄVLEBORGS LÄN</t>
        </is>
      </c>
      <c r="G492" t="inlineStr">
        <is>
          <t>GÄVLE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46310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46310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46310</v>
      </c>
      <c r="F495" t="inlineStr">
        <is>
          <t>GÄVLEBORGS LÄN</t>
        </is>
      </c>
      <c r="G495" t="inlineStr">
        <is>
          <t>GÄVLE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61651-2025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46310</v>
      </c>
      <c r="F496" t="inlineStr">
        <is>
          <t>GÄVLEBORGS LÄN</t>
        </is>
      </c>
      <c r="G496" t="inlineStr">
        <is>
          <t>GÄVLE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46134</v>
      </c>
      <c r="E497" s="1" t="n">
        <v>46310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70043-2021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44533</v>
      </c>
      <c r="E498" s="1" t="n">
        <v>46310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45681</v>
      </c>
      <c r="E499" s="1" t="n">
        <v>46310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45915</v>
      </c>
      <c r="E500" s="1" t="n">
        <v>46310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46310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46310</v>
      </c>
      <c r="F502" t="inlineStr">
        <is>
          <t>GÄVLEBORGS LÄN</t>
        </is>
      </c>
      <c r="G502" t="inlineStr">
        <is>
          <t>GÄVLE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62226-2025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46310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45526</v>
      </c>
      <c r="E504" s="1" t="n">
        <v>46310</v>
      </c>
      <c r="F504" t="inlineStr">
        <is>
          <t>GÄVLEBORGS LÄN</t>
        </is>
      </c>
      <c r="G504" t="inlineStr">
        <is>
          <t>GÄVLE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46310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48834-2024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45593</v>
      </c>
      <c r="E506" s="1" t="n">
        <v>46310</v>
      </c>
      <c r="F506" t="inlineStr">
        <is>
          <t>GÄVLEBORGS LÄN</t>
        </is>
      </c>
      <c r="G506" t="inlineStr">
        <is>
          <t>GÄVLE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46310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45945</v>
      </c>
      <c r="E508" s="1" t="n">
        <v>46310</v>
      </c>
      <c r="F508" t="inlineStr">
        <is>
          <t>GÄVLEBORGS LÄN</t>
        </is>
      </c>
      <c r="G508" t="inlineStr">
        <is>
          <t>GÄVLE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26131-2024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45468</v>
      </c>
      <c r="E509" s="1" t="n">
        <v>46310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46310</v>
      </c>
      <c r="F510" t="inlineStr">
        <is>
          <t>GÄVLEBORGS LÄN</t>
        </is>
      </c>
      <c r="G510" t="inlineStr">
        <is>
          <t>GÄVLE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46310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57341-2023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46310</v>
      </c>
      <c r="F512" t="inlineStr">
        <is>
          <t>GÄVLEBORGS LÄN</t>
        </is>
      </c>
      <c r="G512" t="inlineStr">
        <is>
          <t>GÄVLE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46310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18162-2022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44684</v>
      </c>
      <c r="E514" s="1" t="n">
        <v>46310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45862</v>
      </c>
      <c r="E515" s="1" t="n">
        <v>46310</v>
      </c>
      <c r="F515" t="inlineStr">
        <is>
          <t>GÄVLEBORGS LÄN</t>
        </is>
      </c>
      <c r="G515" t="inlineStr">
        <is>
          <t>GÄVLE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46031</v>
      </c>
      <c r="E516" s="1" t="n">
        <v>46310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35450-2025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45855</v>
      </c>
      <c r="E517" s="1" t="n">
        <v>46310</v>
      </c>
      <c r="F517" t="inlineStr">
        <is>
          <t>GÄVLEBORGS LÄN</t>
        </is>
      </c>
      <c r="G517" t="inlineStr">
        <is>
          <t>GÄVLE</t>
        </is>
      </c>
      <c r="I517" t="n">
        <v>8.199999999999999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15101-2025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46310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63801-2025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46019</v>
      </c>
      <c r="E519" s="1" t="n">
        <v>46310</v>
      </c>
      <c r="F519" t="inlineStr">
        <is>
          <t>GÄVLEBORGS LÄN</t>
        </is>
      </c>
      <c r="G519" t="inlineStr">
        <is>
          <t>GÄVLE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54953-2025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45967</v>
      </c>
      <c r="E520" s="1" t="n">
        <v>46310</v>
      </c>
      <c r="F520" t="inlineStr">
        <is>
          <t>GÄVLEBORGS LÄN</t>
        </is>
      </c>
      <c r="G520" t="inlineStr">
        <is>
          <t>GÄVLE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47942-2025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46310</v>
      </c>
      <c r="F521" t="inlineStr">
        <is>
          <t>GÄVLEBORGS LÄN</t>
        </is>
      </c>
      <c r="G521" t="inlineStr">
        <is>
          <t>GÄVLE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45932</v>
      </c>
      <c r="E522" s="1" t="n">
        <v>46310</v>
      </c>
      <c r="F522" t="inlineStr">
        <is>
          <t>GÄVLEBORGS LÄN</t>
        </is>
      </c>
      <c r="G522" t="inlineStr">
        <is>
          <t>GÄVLE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42592-2025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45905</v>
      </c>
      <c r="E523" s="1" t="n">
        <v>46310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63800-2025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46019</v>
      </c>
      <c r="E524" s="1" t="n">
        <v>46310</v>
      </c>
      <c r="F524" t="inlineStr">
        <is>
          <t>GÄVLEBORGS LÄN</t>
        </is>
      </c>
      <c r="G524" t="inlineStr">
        <is>
          <t>GÄVLE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42788-2025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45908</v>
      </c>
      <c r="E525" s="1" t="n">
        <v>46310</v>
      </c>
      <c r="F525" t="inlineStr">
        <is>
          <t>GÄVLEBORGS LÄN</t>
        </is>
      </c>
      <c r="G525" t="inlineStr">
        <is>
          <t>GÄVLE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48928-2025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45937</v>
      </c>
      <c r="E526" s="1" t="n">
        <v>46310</v>
      </c>
      <c r="F526" t="inlineStr">
        <is>
          <t>GÄVLEBORGS LÄN</t>
        </is>
      </c>
      <c r="G526" t="inlineStr">
        <is>
          <t>GÄVLE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48864-2025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45937</v>
      </c>
      <c r="E527" s="1" t="n">
        <v>46310</v>
      </c>
      <c r="F527" t="inlineStr">
        <is>
          <t>GÄVLEBORGS LÄN</t>
        </is>
      </c>
      <c r="G527" t="inlineStr">
        <is>
          <t>GÄVLE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45908</v>
      </c>
      <c r="E528" s="1" t="n">
        <v>46310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47694-2025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45931</v>
      </c>
      <c r="E529" s="1" t="n">
        <v>46310</v>
      </c>
      <c r="F529" t="inlineStr">
        <is>
          <t>GÄVLEBORGS LÄN</t>
        </is>
      </c>
      <c r="G529" t="inlineStr">
        <is>
          <t>GÄVLE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47916-2025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45932</v>
      </c>
      <c r="E530" s="1" t="n">
        <v>46310</v>
      </c>
      <c r="F530" t="inlineStr">
        <is>
          <t>GÄVLEBORGS LÄN</t>
        </is>
      </c>
      <c r="G530" t="inlineStr">
        <is>
          <t>GÄVLE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64142-2025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46022</v>
      </c>
      <c r="E531" s="1" t="n">
        <v>46310</v>
      </c>
      <c r="F531" t="inlineStr">
        <is>
          <t>GÄVLEBORGS LÄN</t>
        </is>
      </c>
      <c r="G531" t="inlineStr">
        <is>
          <t>GÄVLE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46310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38255-2023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46310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46310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15799-2026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46310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46310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31062-2023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45113</v>
      </c>
      <c r="E537" s="1" t="n">
        <v>46310</v>
      </c>
      <c r="F537" t="inlineStr">
        <is>
          <t>GÄVLEBORGS LÄN</t>
        </is>
      </c>
      <c r="G537" t="inlineStr">
        <is>
          <t>GÄVLE</t>
        </is>
      </c>
      <c r="H537" t="inlineStr">
        <is>
          <t>Kommuner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15105-2025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46310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46310</v>
      </c>
      <c r="F539" t="inlineStr">
        <is>
          <t>GÄVLEBORGS LÄN</t>
        </is>
      </c>
      <c r="G539" t="inlineStr">
        <is>
          <t>GÄVLE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26249-2022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44735</v>
      </c>
      <c r="E540" s="1" t="n">
        <v>46310</v>
      </c>
      <c r="F540" t="inlineStr">
        <is>
          <t>GÄVLEBORGS LÄN</t>
        </is>
      </c>
      <c r="G540" t="inlineStr">
        <is>
          <t>GÄVLE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51876-2023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45223</v>
      </c>
      <c r="E541" s="1" t="n">
        <v>46310</v>
      </c>
      <c r="F541" t="inlineStr">
        <is>
          <t>GÄVLEBORGS LÄN</t>
        </is>
      </c>
      <c r="G541" t="inlineStr">
        <is>
          <t>GÄVLE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46310</v>
      </c>
      <c r="F542" t="inlineStr">
        <is>
          <t>GÄVLEBORGS LÄN</t>
        </is>
      </c>
      <c r="G542" t="inlineStr">
        <is>
          <t>GÄVLE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46310</v>
      </c>
      <c r="F543" t="inlineStr">
        <is>
          <t>GÄVLEBORGS LÄN</t>
        </is>
      </c>
      <c r="G543" t="inlineStr">
        <is>
          <t>GÄVLE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46310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46310</v>
      </c>
      <c r="F545" t="inlineStr">
        <is>
          <t>GÄVLEBORGS LÄN</t>
        </is>
      </c>
      <c r="G545" t="inlineStr">
        <is>
          <t>GÄVLE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46310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19555-2022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44693</v>
      </c>
      <c r="E547" s="1" t="n">
        <v>46310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46310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45401</v>
      </c>
      <c r="E549" s="1" t="n">
        <v>46310</v>
      </c>
      <c r="F549" t="inlineStr">
        <is>
          <t>GÄVLEBORGS LÄN</t>
        </is>
      </c>
      <c r="G549" t="inlineStr">
        <is>
          <t>GÄVLE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46310</v>
      </c>
      <c r="F550" t="inlineStr">
        <is>
          <t>GÄVLEBORGS LÄN</t>
        </is>
      </c>
      <c r="G550" t="inlineStr">
        <is>
          <t>GÄVLE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46310</v>
      </c>
      <c r="F551" t="inlineStr">
        <is>
          <t>GÄVLEBORGS LÄN</t>
        </is>
      </c>
      <c r="G551" t="inlineStr">
        <is>
          <t>GÄVLE</t>
        </is>
      </c>
      <c r="I551" t="n">
        <v>12.7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45454</v>
      </c>
      <c r="E552" s="1" t="n">
        <v>46310</v>
      </c>
      <c r="F552" t="inlineStr">
        <is>
          <t>GÄVLEBORGS LÄN</t>
        </is>
      </c>
      <c r="G552" t="inlineStr">
        <is>
          <t>GÄVLE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45595</v>
      </c>
      <c r="E553" s="1" t="n">
        <v>46310</v>
      </c>
      <c r="F553" t="inlineStr">
        <is>
          <t>GÄVLEBORGS LÄN</t>
        </is>
      </c>
      <c r="G553" t="inlineStr">
        <is>
          <t>GÄVLE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14606-2025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45742</v>
      </c>
      <c r="E554" s="1" t="n">
        <v>46310</v>
      </c>
      <c r="F554" t="inlineStr">
        <is>
          <t>GÄVLEBORGS LÄN</t>
        </is>
      </c>
      <c r="G554" t="inlineStr">
        <is>
          <t>GÄVLE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44585</v>
      </c>
      <c r="E555" s="1" t="n">
        <v>46310</v>
      </c>
      <c r="F555" t="inlineStr">
        <is>
          <t>GÄVLEBORGS LÄN</t>
        </is>
      </c>
      <c r="G555" t="inlineStr">
        <is>
          <t>GÄVLE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46041</v>
      </c>
      <c r="E556" s="1" t="n">
        <v>46310</v>
      </c>
      <c r="F556" t="inlineStr">
        <is>
          <t>GÄVLEBORGS LÄN</t>
        </is>
      </c>
      <c r="G556" t="inlineStr">
        <is>
          <t>GÄVLE</t>
        </is>
      </c>
      <c r="I556" t="n">
        <v>9.699999999999999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36512-2025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45869</v>
      </c>
      <c r="E557" s="1" t="n">
        <v>46310</v>
      </c>
      <c r="F557" t="inlineStr">
        <is>
          <t>GÄVLEBORGS LÄN</t>
        </is>
      </c>
      <c r="G557" t="inlineStr">
        <is>
          <t>GÄVLE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45120</v>
      </c>
      <c r="E558" s="1" t="n">
        <v>46310</v>
      </c>
      <c r="F558" t="inlineStr">
        <is>
          <t>GÄVLEBORGS LÄN</t>
        </is>
      </c>
      <c r="G558" t="inlineStr">
        <is>
          <t>GÄVLE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46100</v>
      </c>
      <c r="E559" s="1" t="n">
        <v>46310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46310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26334-2022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44735</v>
      </c>
      <c r="E561" s="1" t="n">
        <v>46310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46045</v>
      </c>
      <c r="E562" s="1" t="n">
        <v>46310</v>
      </c>
      <c r="F562" t="inlineStr">
        <is>
          <t>GÄVLEBORGS LÄN</t>
        </is>
      </c>
      <c r="G562" t="inlineStr">
        <is>
          <t>GÄVLE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20999-2022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44701</v>
      </c>
      <c r="E563" s="1" t="n">
        <v>46310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26.3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45511</v>
      </c>
      <c r="E564" s="1" t="n">
        <v>46310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57570-2024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46310</v>
      </c>
      <c r="F565" t="inlineStr">
        <is>
          <t>GÄVLEBORGS LÄN</t>
        </is>
      </c>
      <c r="G565" t="inlineStr">
        <is>
          <t>GÄVLE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46310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15647-2026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46310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46310</v>
      </c>
      <c r="F568" t="inlineStr">
        <is>
          <t>GÄVLEBORGS LÄN</t>
        </is>
      </c>
      <c r="G568" t="inlineStr">
        <is>
          <t>GÄVLE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46310</v>
      </c>
      <c r="F569" t="inlineStr">
        <is>
          <t>GÄVLEBORGS LÄN</t>
        </is>
      </c>
      <c r="G569" t="inlineStr">
        <is>
          <t>GÄVLE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46310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46310</v>
      </c>
      <c r="F571" t="inlineStr">
        <is>
          <t>GÄVLEBORGS LÄN</t>
        </is>
      </c>
      <c r="G571" t="inlineStr">
        <is>
          <t>GÄVLE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16190-2026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46310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46310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46052</v>
      </c>
      <c r="E574" s="1" t="n">
        <v>46310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46111</v>
      </c>
      <c r="E575" s="1" t="n">
        <v>46310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16076-2026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46310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18168-2022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44684</v>
      </c>
      <c r="E577" s="1" t="n">
        <v>46310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46310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6681-2026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46310</v>
      </c>
      <c r="F579" t="inlineStr">
        <is>
          <t>GÄVLEBORGS LÄN</t>
        </is>
      </c>
      <c r="G579" t="inlineStr">
        <is>
          <t>GÄVLE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46310</v>
      </c>
      <c r="F580" t="inlineStr">
        <is>
          <t>GÄVLEBORGS LÄN</t>
        </is>
      </c>
      <c r="G580" t="inlineStr">
        <is>
          <t>GÄVLE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46310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46033</v>
      </c>
      <c r="E582" s="1" t="n">
        <v>46310</v>
      </c>
      <c r="F582" t="inlineStr">
        <is>
          <t>GÄVLEBORGS LÄN</t>
        </is>
      </c>
      <c r="G582" t="inlineStr">
        <is>
          <t>GÄVLE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7239-2026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46310</v>
      </c>
      <c r="F583" t="inlineStr">
        <is>
          <t>GÄVLEBORGS LÄN</t>
        </is>
      </c>
      <c r="G583" t="inlineStr">
        <is>
          <t>GÄVLE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46310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7252-2026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46310</v>
      </c>
      <c r="F585" t="inlineStr">
        <is>
          <t>GÄVLEBORGS LÄN</t>
        </is>
      </c>
      <c r="G585" t="inlineStr">
        <is>
          <t>GÄVLE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7441-2025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45705</v>
      </c>
      <c r="E586" s="1" t="n">
        <v>46310</v>
      </c>
      <c r="F586" t="inlineStr">
        <is>
          <t>GÄVLEBORGS LÄN</t>
        </is>
      </c>
      <c r="G586" t="inlineStr">
        <is>
          <t>GÄVLE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21966-2025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45784</v>
      </c>
      <c r="E587" s="1" t="n">
        <v>46310</v>
      </c>
      <c r="F587" t="inlineStr">
        <is>
          <t>GÄVLEBORGS LÄN</t>
        </is>
      </c>
      <c r="G587" t="inlineStr">
        <is>
          <t>GÄVLE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44800-2024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46310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46310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46062</v>
      </c>
      <c r="E590" s="1" t="n">
        <v>46310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46310</v>
      </c>
      <c r="F591" t="inlineStr">
        <is>
          <t>GÄVLEBORGS LÄN</t>
        </is>
      </c>
      <c r="G591" t="inlineStr">
        <is>
          <t>GÄVLE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46310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46310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46310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8558-2026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46310</v>
      </c>
      <c r="F595" t="inlineStr">
        <is>
          <t>GÄVLEBORGS LÄN</t>
        </is>
      </c>
      <c r="G595" t="inlineStr">
        <is>
          <t>GÄVLE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46045</v>
      </c>
      <c r="E596" s="1" t="n">
        <v>46310</v>
      </c>
      <c r="F596" t="inlineStr">
        <is>
          <t>GÄVLEBORGS LÄN</t>
        </is>
      </c>
      <c r="G596" t="inlineStr">
        <is>
          <t>GÄVLE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45312</v>
      </c>
      <c r="E597" s="1" t="n">
        <v>46310</v>
      </c>
      <c r="F597" t="inlineStr">
        <is>
          <t>GÄVLEBORGS LÄN</t>
        </is>
      </c>
      <c r="G597" t="inlineStr">
        <is>
          <t>GÄVLE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46147</v>
      </c>
      <c r="E598" s="1" t="n">
        <v>46310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46310</v>
      </c>
      <c r="F599" t="inlineStr">
        <is>
          <t>GÄVLEBORGS LÄN</t>
        </is>
      </c>
      <c r="G599" t="inlineStr">
        <is>
          <t>GÄVLE</t>
        </is>
      </c>
      <c r="H599" t="inlineStr">
        <is>
          <t>Kyrkan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46101</v>
      </c>
      <c r="E600" s="1" t="n">
        <v>46310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46108</v>
      </c>
      <c r="E601" s="1" t="n">
        <v>46310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45257</v>
      </c>
      <c r="E602" s="1" t="n">
        <v>46310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46153</v>
      </c>
      <c r="E603" s="1" t="n">
        <v>46310</v>
      </c>
      <c r="F603" t="inlineStr">
        <is>
          <t>GÄVLEBORGS LÄN</t>
        </is>
      </c>
      <c r="G603" t="inlineStr">
        <is>
          <t>GÄVLE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14173-2022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44651</v>
      </c>
      <c r="E604" s="1" t="n">
        <v>46310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42876-2023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45182</v>
      </c>
      <c r="E605" s="1" t="n">
        <v>46310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22075-2026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46310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46310</v>
      </c>
      <c r="F607" t="inlineStr">
        <is>
          <t>GÄVLEBORGS LÄN</t>
        </is>
      </c>
      <c r="G607" t="inlineStr">
        <is>
          <t>GÄVLE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46119</v>
      </c>
      <c r="E608" s="1" t="n">
        <v>46310</v>
      </c>
      <c r="F608" t="inlineStr">
        <is>
          <t>GÄVLEBORGS LÄN</t>
        </is>
      </c>
      <c r="G608" t="inlineStr">
        <is>
          <t>GÄVLE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45757</v>
      </c>
      <c r="E609" s="1" t="n">
        <v>46310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46310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46310</v>
      </c>
      <c r="F611" t="inlineStr">
        <is>
          <t>GÄVLEBORGS LÄN</t>
        </is>
      </c>
      <c r="G611" t="inlineStr">
        <is>
          <t>GÄVLE</t>
        </is>
      </c>
      <c r="H611" t="inlineStr">
        <is>
          <t>Kyrkan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46310</v>
      </c>
      <c r="F612" t="inlineStr">
        <is>
          <t>GÄVLEBORGS LÄN</t>
        </is>
      </c>
      <c r="G612" t="inlineStr">
        <is>
          <t>GÄVLE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45539</v>
      </c>
      <c r="E613" s="1" t="n">
        <v>46310</v>
      </c>
      <c r="F613" t="inlineStr">
        <is>
          <t>GÄVLEBORGS LÄN</t>
        </is>
      </c>
      <c r="G613" t="inlineStr">
        <is>
          <t>GÄVLE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45660</v>
      </c>
      <c r="E614" s="1" t="n">
        <v>46310</v>
      </c>
      <c r="F614" t="inlineStr">
        <is>
          <t>GÄVLEBORGS LÄN</t>
        </is>
      </c>
      <c r="G614" t="inlineStr">
        <is>
          <t>GÄVLE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46310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46310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46310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15790-2026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46310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46310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45312</v>
      </c>
      <c r="E620" s="1" t="n">
        <v>46310</v>
      </c>
      <c r="F620" t="inlineStr">
        <is>
          <t>GÄVLEBORGS LÄN</t>
        </is>
      </c>
      <c r="G620" t="inlineStr">
        <is>
          <t>GÄVLE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15469-2026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46106</v>
      </c>
      <c r="E621" s="1" t="n">
        <v>46310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45673</v>
      </c>
      <c r="E622" s="1" t="n">
        <v>46310</v>
      </c>
      <c r="F622" t="inlineStr">
        <is>
          <t>GÄVLEBORGS LÄN</t>
        </is>
      </c>
      <c r="G622" t="inlineStr">
        <is>
          <t>GÄVLE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46310</v>
      </c>
      <c r="F623" t="inlineStr">
        <is>
          <t>GÄVLEBORGS LÄN</t>
        </is>
      </c>
      <c r="G623" t="inlineStr">
        <is>
          <t>GÄVLE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15167-2026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46105</v>
      </c>
      <c r="E624" s="1" t="n">
        <v>46310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46310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46310</v>
      </c>
      <c r="F626" t="inlineStr">
        <is>
          <t>GÄVLEBORGS LÄN</t>
        </is>
      </c>
      <c r="G626" t="inlineStr">
        <is>
          <t>GÄVLE</t>
        </is>
      </c>
      <c r="H626" t="inlineStr">
        <is>
          <t>Kyrkan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45646</v>
      </c>
      <c r="E627" s="1" t="n">
        <v>46310</v>
      </c>
      <c r="F627" t="inlineStr">
        <is>
          <t>GÄVLEBORGS LÄN</t>
        </is>
      </c>
      <c r="G627" t="inlineStr">
        <is>
          <t>GÄVLE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23591-2026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46163</v>
      </c>
      <c r="E628" s="1" t="n">
        <v>46310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47458-2022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44853</v>
      </c>
      <c r="E629" s="1" t="n">
        <v>46310</v>
      </c>
      <c r="F629" t="inlineStr">
        <is>
          <t>GÄVLEBORGS LÄN</t>
        </is>
      </c>
      <c r="G629" t="inlineStr">
        <is>
          <t>GÄVLE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44938-2022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44841</v>
      </c>
      <c r="E630" s="1" t="n">
        <v>46310</v>
      </c>
      <c r="F630" t="inlineStr">
        <is>
          <t>GÄVLEBORGS LÄN</t>
        </is>
      </c>
      <c r="G630" t="inlineStr">
        <is>
          <t>GÄVLE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46167</v>
      </c>
      <c r="E631" s="1" t="n">
        <v>46310</v>
      </c>
      <c r="F631" t="inlineStr">
        <is>
          <t>GÄVLEBORGS LÄN</t>
        </is>
      </c>
      <c r="G631" t="inlineStr">
        <is>
          <t>GÄVLE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45330</v>
      </c>
      <c r="E632" s="1" t="n">
        <v>46310</v>
      </c>
      <c r="F632" t="inlineStr">
        <is>
          <t>GÄVLEBORGS LÄN</t>
        </is>
      </c>
      <c r="G632" t="inlineStr">
        <is>
          <t>GÄVLE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46310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46310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46310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46310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46310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46310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46310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24099-2026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46310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50582-2023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45217</v>
      </c>
      <c r="E641" s="1" t="n">
        <v>46310</v>
      </c>
      <c r="F641" t="inlineStr">
        <is>
          <t>GÄVLEBORGS LÄN</t>
        </is>
      </c>
      <c r="G641" t="inlineStr">
        <is>
          <t>GÄVLE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9235-2022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44616</v>
      </c>
      <c r="E642" s="1" t="n">
        <v>46310</v>
      </c>
      <c r="F642" t="inlineStr">
        <is>
          <t>GÄVLEBORGS LÄN</t>
        </is>
      </c>
      <c r="G642" t="inlineStr">
        <is>
          <t>GÄVLE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46310</v>
      </c>
      <c r="F643" t="inlineStr">
        <is>
          <t>GÄVLEBORGS LÄN</t>
        </is>
      </c>
      <c r="G643" t="inlineStr">
        <is>
          <t>GÄVLE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53082-2022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44876</v>
      </c>
      <c r="E644" s="1" t="n">
        <v>46310</v>
      </c>
      <c r="F644" t="inlineStr">
        <is>
          <t>GÄVLEBORGS LÄN</t>
        </is>
      </c>
      <c r="G644" t="inlineStr">
        <is>
          <t>GÄVLE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46173</v>
      </c>
      <c r="E645" s="1" t="n">
        <v>46310</v>
      </c>
      <c r="F645" t="inlineStr">
        <is>
          <t>GÄVLEBORGS LÄN</t>
        </is>
      </c>
      <c r="G645" t="inlineStr">
        <is>
          <t>GÄVLE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72734-2021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44546</v>
      </c>
      <c r="E646" s="1" t="n">
        <v>46310</v>
      </c>
      <c r="F646" t="inlineStr">
        <is>
          <t>GÄVLEBORGS LÄN</t>
        </is>
      </c>
      <c r="G646" t="inlineStr">
        <is>
          <t>GÄVLE</t>
        </is>
      </c>
      <c r="H646" t="inlineStr">
        <is>
          <t>Kommuner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25384-2026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46176</v>
      </c>
      <c r="E647" s="1" t="n">
        <v>46310</v>
      </c>
      <c r="F647" t="inlineStr">
        <is>
          <t>GÄVLEBORGS LÄN</t>
        </is>
      </c>
      <c r="G647" t="inlineStr">
        <is>
          <t>GÄVLE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58445-2021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44488</v>
      </c>
      <c r="E648" s="1" t="n">
        <v>46310</v>
      </c>
      <c r="F648" t="inlineStr">
        <is>
          <t>GÄVLEBORGS LÄN</t>
        </is>
      </c>
      <c r="G648" t="inlineStr">
        <is>
          <t>GÄVLE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46176</v>
      </c>
      <c r="E649" s="1" t="n">
        <v>46310</v>
      </c>
      <c r="F649" t="inlineStr">
        <is>
          <t>GÄVLEBORGS LÄN</t>
        </is>
      </c>
      <c r="G649" t="inlineStr">
        <is>
          <t>GÄVLE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66493-2021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44519</v>
      </c>
      <c r="E650" s="1" t="n">
        <v>46310</v>
      </c>
      <c r="F650" t="inlineStr">
        <is>
          <t>GÄVLEBORGS LÄN</t>
        </is>
      </c>
      <c r="G650" t="inlineStr">
        <is>
          <t>GÄVLE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20676-2026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46310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45090</v>
      </c>
      <c r="E652" s="1" t="n">
        <v>46310</v>
      </c>
      <c r="F652" t="inlineStr">
        <is>
          <t>GÄVLEBORGS LÄN</t>
        </is>
      </c>
      <c r="G652" t="inlineStr">
        <is>
          <t>GÄVLE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46177</v>
      </c>
      <c r="E653" s="1" t="n">
        <v>46310</v>
      </c>
      <c r="F653" t="inlineStr">
        <is>
          <t>GÄVLEBORGS LÄN</t>
        </is>
      </c>
      <c r="G653" t="inlineStr">
        <is>
          <t>GÄVLE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25829-2026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46178</v>
      </c>
      <c r="E654" s="1" t="n">
        <v>46310</v>
      </c>
      <c r="F654" t="inlineStr">
        <is>
          <t>GÄVLEBORGS LÄN</t>
        </is>
      </c>
      <c r="G654" t="inlineStr">
        <is>
          <t>GÄVLE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46310</v>
      </c>
      <c r="F655" t="inlineStr">
        <is>
          <t>GÄVLEBORGS LÄN</t>
        </is>
      </c>
      <c r="G655" t="inlineStr">
        <is>
          <t>GÄVLE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44936</v>
      </c>
      <c r="E656" s="1" t="n">
        <v>46310</v>
      </c>
      <c r="F656" t="inlineStr">
        <is>
          <t>GÄVLEBORGS LÄN</t>
        </is>
      </c>
      <c r="G656" t="inlineStr">
        <is>
          <t>GÄVLE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45312</v>
      </c>
      <c r="E657" s="1" t="n">
        <v>46310</v>
      </c>
      <c r="F657" t="inlineStr">
        <is>
          <t>GÄVLEBORGS LÄN</t>
        </is>
      </c>
      <c r="G657" t="inlineStr">
        <is>
          <t>GÄVLE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46183</v>
      </c>
      <c r="E658" s="1" t="n">
        <v>46310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51071-2023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45218</v>
      </c>
      <c r="E659" s="1" t="n">
        <v>46310</v>
      </c>
      <c r="F659" t="inlineStr">
        <is>
          <t>GÄVLEBORGS LÄN</t>
        </is>
      </c>
      <c r="G659" t="inlineStr">
        <is>
          <t>GÄVLE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46310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26658-2026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46310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26991-2026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46310</v>
      </c>
      <c r="F662" t="inlineStr">
        <is>
          <t>GÄVLEBORGS LÄN</t>
        </is>
      </c>
      <c r="G662" t="inlineStr">
        <is>
          <t>GÄVLE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17113-2024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46310</v>
      </c>
      <c r="F663" t="inlineStr">
        <is>
          <t>GÄVLEBORGS LÄN</t>
        </is>
      </c>
      <c r="G663" t="inlineStr">
        <is>
          <t>GÄVLE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46310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46310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46310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46310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46310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46310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46310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46310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49401-2024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45595</v>
      </c>
      <c r="E672" s="1" t="n">
        <v>46310</v>
      </c>
      <c r="F672" t="inlineStr">
        <is>
          <t>GÄVLEBORGS LÄN</t>
        </is>
      </c>
      <c r="G672" t="inlineStr">
        <is>
          <t>GÄVLE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46310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46310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46310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46310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46310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64871-2023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45282</v>
      </c>
      <c r="E678" s="1" t="n">
        <v>46310</v>
      </c>
      <c r="F678" t="inlineStr">
        <is>
          <t>GÄVLEBORGS LÄN</t>
        </is>
      </c>
      <c r="G678" t="inlineStr">
        <is>
          <t>GÄVLE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64875-2023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45282</v>
      </c>
      <c r="E679" s="1" t="n">
        <v>46310</v>
      </c>
      <c r="F679" t="inlineStr">
        <is>
          <t>GÄVLEBORGS LÄN</t>
        </is>
      </c>
      <c r="G679" t="inlineStr">
        <is>
          <t>GÄVLE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64878-2023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45282</v>
      </c>
      <c r="E680" s="1" t="n">
        <v>46310</v>
      </c>
      <c r="F680" t="inlineStr">
        <is>
          <t>GÄVLEBORGS LÄN</t>
        </is>
      </c>
      <c r="G680" t="inlineStr">
        <is>
          <t>GÄVLE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27359-2026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46310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46310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46310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26942-2026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46310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46310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46310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46310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19164-2026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46310</v>
      </c>
      <c r="F688" t="inlineStr">
        <is>
          <t>GÄVLEBORGS LÄN</t>
        </is>
      </c>
      <c r="G688" t="inlineStr">
        <is>
          <t>GÄVLE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45182</v>
      </c>
      <c r="E689" s="1" t="n">
        <v>46310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36638-2022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44804</v>
      </c>
      <c r="E690" s="1" t="n">
        <v>46310</v>
      </c>
      <c r="F690" t="inlineStr">
        <is>
          <t>GÄVLEBORGS LÄN</t>
        </is>
      </c>
      <c r="G690" t="inlineStr">
        <is>
          <t>GÄVLE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45628-2022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44845</v>
      </c>
      <c r="E691" s="1" t="n">
        <v>46310</v>
      </c>
      <c r="F691" t="inlineStr">
        <is>
          <t>GÄVLEBORGS LÄN</t>
        </is>
      </c>
      <c r="G691" t="inlineStr">
        <is>
          <t>GÄVLE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46310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46310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28379-2026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46310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46310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28140-2026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46195</v>
      </c>
      <c r="E696" s="1" t="n">
        <v>46310</v>
      </c>
      <c r="F696" t="inlineStr">
        <is>
          <t>GÄVLEBORGS LÄN</t>
        </is>
      </c>
      <c r="G696" t="inlineStr">
        <is>
          <t>GÄVLE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60792-2024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45644</v>
      </c>
      <c r="E697" s="1" t="n">
        <v>46310</v>
      </c>
      <c r="F697" t="inlineStr">
        <is>
          <t>GÄVLEBORGS LÄN</t>
        </is>
      </c>
      <c r="G697" t="inlineStr">
        <is>
          <t>GÄVLE</t>
        </is>
      </c>
      <c r="H697" t="inlineStr">
        <is>
          <t>Kyrkan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60801-2024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46310</v>
      </c>
      <c r="F698" t="inlineStr">
        <is>
          <t>GÄVLEBORGS LÄN</t>
        </is>
      </c>
      <c r="G698" t="inlineStr">
        <is>
          <t>GÄVLE</t>
        </is>
      </c>
      <c r="H698" t="inlineStr">
        <is>
          <t>Kyrkan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22968-2026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46160</v>
      </c>
      <c r="E699" s="1" t="n">
        <v>46310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46310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29506-2026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46310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52.7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46310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28485-2026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46197</v>
      </c>
      <c r="E703" s="1" t="n">
        <v>46310</v>
      </c>
      <c r="F703" t="inlineStr">
        <is>
          <t>GÄVLEBORGS LÄN</t>
        </is>
      </c>
      <c r="G703" t="inlineStr">
        <is>
          <t>GÄVLE</t>
        </is>
      </c>
      <c r="H703" t="inlineStr">
        <is>
          <t>BillerudKorsnäs AB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28656-2026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46310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28659-2026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46310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22577-2022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44713</v>
      </c>
      <c r="E706" s="1" t="n">
        <v>46310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28655-2026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46310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46310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46310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57168-2023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45245</v>
      </c>
      <c r="E710" s="1" t="n">
        <v>46310</v>
      </c>
      <c r="F710" t="inlineStr">
        <is>
          <t>GÄVLEBORGS LÄN</t>
        </is>
      </c>
      <c r="G710" t="inlineStr">
        <is>
          <t>GÄVLE</t>
        </is>
      </c>
      <c r="H710" t="inlineStr">
        <is>
          <t>Kyrkan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46310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15207-2024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45400</v>
      </c>
      <c r="E712" s="1" t="n">
        <v>46310</v>
      </c>
      <c r="F712" t="inlineStr">
        <is>
          <t>GÄVLEBORGS LÄN</t>
        </is>
      </c>
      <c r="G712" t="inlineStr">
        <is>
          <t>GÄVLE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46310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46203</v>
      </c>
      <c r="E714" s="1" t="n">
        <v>46310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60396-2022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46310</v>
      </c>
      <c r="F715" t="inlineStr">
        <is>
          <t>GÄVLEBORGS LÄN</t>
        </is>
      </c>
      <c r="G715" t="inlineStr">
        <is>
          <t>GÄVLE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25276-2024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45462</v>
      </c>
      <c r="E716" s="1" t="n">
        <v>46310</v>
      </c>
      <c r="F716" t="inlineStr">
        <is>
          <t>GÄVLEBORGS LÄN</t>
        </is>
      </c>
      <c r="G716" t="inlineStr">
        <is>
          <t>GÄVLE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45660</v>
      </c>
      <c r="E717" s="1" t="n">
        <v>46310</v>
      </c>
      <c r="F717" t="inlineStr">
        <is>
          <t>GÄVLEBORGS LÄN</t>
        </is>
      </c>
      <c r="G717" t="inlineStr">
        <is>
          <t>GÄVLE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45660</v>
      </c>
      <c r="E718" s="1" t="n">
        <v>46310</v>
      </c>
      <c r="F718" t="inlineStr">
        <is>
          <t>GÄVLEBORGS LÄN</t>
        </is>
      </c>
      <c r="G718" t="inlineStr">
        <is>
          <t>GÄVLE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27182-2022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44741</v>
      </c>
      <c r="E719" s="1" t="n">
        <v>46310</v>
      </c>
      <c r="F719" t="inlineStr">
        <is>
          <t>GÄVLEBORGS LÄN</t>
        </is>
      </c>
      <c r="G719" t="inlineStr">
        <is>
          <t>GÄVLE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15456-2026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46310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51758-2025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45950</v>
      </c>
      <c r="E721" s="1" t="n">
        <v>46310</v>
      </c>
      <c r="F721" t="inlineStr">
        <is>
          <t>GÄVLEBORGS LÄN</t>
        </is>
      </c>
      <c r="G721" t="inlineStr">
        <is>
          <t>GÄVLE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46310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46207</v>
      </c>
      <c r="E723" s="1" t="n">
        <v>46310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22363-2026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46310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45350</v>
      </c>
      <c r="E725" s="1" t="n">
        <v>46310</v>
      </c>
      <c r="F725" t="inlineStr">
        <is>
          <t>GÄVLEBORGS LÄN</t>
        </is>
      </c>
      <c r="G725" t="inlineStr">
        <is>
          <t>GÄVLE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61351-2021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44498</v>
      </c>
      <c r="E726" s="1" t="n">
        <v>46310</v>
      </c>
      <c r="F726" t="inlineStr">
        <is>
          <t>GÄVLEBORGS LÄN</t>
        </is>
      </c>
      <c r="G726" t="inlineStr">
        <is>
          <t>GÄVLE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30601-2026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46210</v>
      </c>
      <c r="E727" s="1" t="n">
        <v>46310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53281-2024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46310</v>
      </c>
      <c r="F728" t="inlineStr">
        <is>
          <t>GÄVLEBORGS LÄN</t>
        </is>
      </c>
      <c r="G728" t="inlineStr">
        <is>
          <t>GÄVLE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60879-2023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45261</v>
      </c>
      <c r="E729" s="1" t="n">
        <v>46310</v>
      </c>
      <c r="F729" t="inlineStr">
        <is>
          <t>GÄVLEBORGS LÄN</t>
        </is>
      </c>
      <c r="G729" t="inlineStr">
        <is>
          <t>GÄVLE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30967-2026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46213</v>
      </c>
      <c r="E730" s="1" t="n">
        <v>46310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15312-2023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45019</v>
      </c>
      <c r="E731" s="1" t="n">
        <v>46310</v>
      </c>
      <c r="F731" t="inlineStr">
        <is>
          <t>GÄVLEBORGS LÄN</t>
        </is>
      </c>
      <c r="G731" t="inlineStr">
        <is>
          <t>GÄVLE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31445-2026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46310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46213</v>
      </c>
      <c r="E733" s="1" t="n">
        <v>46310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46310</v>
      </c>
      <c r="F734" t="inlineStr">
        <is>
          <t>GÄVLEBORGS LÄN</t>
        </is>
      </c>
      <c r="G734" t="inlineStr">
        <is>
          <t>GÄVLE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52387-2022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44874</v>
      </c>
      <c r="E735" s="1" t="n">
        <v>46310</v>
      </c>
      <c r="F735" t="inlineStr">
        <is>
          <t>GÄVLEBORGS LÄN</t>
        </is>
      </c>
      <c r="G735" t="inlineStr">
        <is>
          <t>GÄVLE</t>
        </is>
      </c>
      <c r="H735" t="inlineStr">
        <is>
          <t>Kommuner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31011-2023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45113</v>
      </c>
      <c r="E736" s="1" t="n">
        <v>46310</v>
      </c>
      <c r="F736" t="inlineStr">
        <is>
          <t>GÄVLEBORGS LÄN</t>
        </is>
      </c>
      <c r="G736" t="inlineStr">
        <is>
          <t>GÄVLE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31528-2026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46220</v>
      </c>
      <c r="E737" s="1" t="n">
        <v>46310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11.4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22466-2023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45070</v>
      </c>
      <c r="E738" s="1" t="n">
        <v>46310</v>
      </c>
      <c r="F738" t="inlineStr">
        <is>
          <t>GÄVLEBORGS LÄN</t>
        </is>
      </c>
      <c r="G738" t="inlineStr">
        <is>
          <t>GÄVLE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31566-2026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46223</v>
      </c>
      <c r="E739" s="1" t="n">
        <v>46310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10.2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16023-2023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45026</v>
      </c>
      <c r="E740" s="1" t="n">
        <v>46310</v>
      </c>
      <c r="F740" t="inlineStr">
        <is>
          <t>GÄVLEBORGS LÄN</t>
        </is>
      </c>
      <c r="G740" t="inlineStr">
        <is>
          <t>GÄVLE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36512-2026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46269</v>
      </c>
      <c r="E741" s="1" t="n">
        <v>46310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36522-2026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46310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25829-2024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45467</v>
      </c>
      <c r="E743" s="1" t="n">
        <v>46310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7235-2025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45702</v>
      </c>
      <c r="E744" s="1" t="n">
        <v>46310</v>
      </c>
      <c r="F744" t="inlineStr">
        <is>
          <t>GÄVLEBORGS LÄN</t>
        </is>
      </c>
      <c r="G744" t="inlineStr">
        <is>
          <t>GÄVLE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36558-2026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46269</v>
      </c>
      <c r="E745" s="1" t="n">
        <v>46310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36530-2026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46269</v>
      </c>
      <c r="E746" s="1" t="n">
        <v>46310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71215-2021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44539</v>
      </c>
      <c r="E747" s="1" t="n">
        <v>46310</v>
      </c>
      <c r="F747" t="inlineStr">
        <is>
          <t>GÄVLEBORGS LÄN</t>
        </is>
      </c>
      <c r="G747" t="inlineStr">
        <is>
          <t>GÄVLE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36909-2026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46273</v>
      </c>
      <c r="E748" s="1" t="n">
        <v>46310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36945-2026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46273</v>
      </c>
      <c r="E749" s="1" t="n">
        <v>46310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36957-2026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46273</v>
      </c>
      <c r="E750" s="1" t="n">
        <v>46310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61879-2024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45652</v>
      </c>
      <c r="E751" s="1" t="n">
        <v>46310</v>
      </c>
      <c r="F751" t="inlineStr">
        <is>
          <t>GÄVLEBORGS LÄN</t>
        </is>
      </c>
      <c r="G751" t="inlineStr">
        <is>
          <t>GÄVLE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46273</v>
      </c>
      <c r="E752" s="1" t="n">
        <v>46310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36920-2026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46273</v>
      </c>
      <c r="E753" s="1" t="n">
        <v>46310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36739-2026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46272</v>
      </c>
      <c r="E754" s="1" t="n">
        <v>46310</v>
      </c>
      <c r="F754" t="inlineStr">
        <is>
          <t>GÄVLEBORGS LÄN</t>
        </is>
      </c>
      <c r="G754" t="inlineStr">
        <is>
          <t>GÄVLE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19712-2022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44694</v>
      </c>
      <c r="E755" s="1" t="n">
        <v>46310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39509-2022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44818</v>
      </c>
      <c r="E756" s="1" t="n">
        <v>46310</v>
      </c>
      <c r="F756" t="inlineStr">
        <is>
          <t>GÄVLEBORGS LÄN</t>
        </is>
      </c>
      <c r="G756" t="inlineStr">
        <is>
          <t>GÄVLE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46310</v>
      </c>
      <c r="F757" t="inlineStr">
        <is>
          <t>GÄVLEBORGS LÄN</t>
        </is>
      </c>
      <c r="G757" t="inlineStr">
        <is>
          <t>GÄVLE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36935-2026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46273</v>
      </c>
      <c r="E758" s="1" t="n">
        <v>46310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30662-2022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44763</v>
      </c>
      <c r="E759" s="1" t="n">
        <v>46310</v>
      </c>
      <c r="F759" t="inlineStr">
        <is>
          <t>GÄVLEBORGS LÄN</t>
        </is>
      </c>
      <c r="G759" t="inlineStr">
        <is>
          <t>GÄVLE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46310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37223-2026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46274</v>
      </c>
      <c r="E761" s="1" t="n">
        <v>46310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37391-2026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46275</v>
      </c>
      <c r="E762" s="1" t="n">
        <v>46310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45540</v>
      </c>
      <c r="E763" s="1" t="n">
        <v>46310</v>
      </c>
      <c r="F763" t="inlineStr">
        <is>
          <t>GÄVLEBORGS LÄN</t>
        </is>
      </c>
      <c r="G763" t="inlineStr">
        <is>
          <t>GÄVLE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46275</v>
      </c>
      <c r="E764" s="1" t="n">
        <v>46310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19.1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17605-2025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45757</v>
      </c>
      <c r="E765" s="1" t="n">
        <v>46310</v>
      </c>
      <c r="F765" t="inlineStr">
        <is>
          <t>GÄVLEBORGS LÄN</t>
        </is>
      </c>
      <c r="G765" t="inlineStr">
        <is>
          <t>GÄVLE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17607-2025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45757</v>
      </c>
      <c r="E766" s="1" t="n">
        <v>46310</v>
      </c>
      <c r="F766" t="inlineStr">
        <is>
          <t>GÄVLEBORGS LÄN</t>
        </is>
      </c>
      <c r="G766" t="inlineStr">
        <is>
          <t>GÄVLE</t>
        </is>
      </c>
      <c r="I766" t="n">
        <v>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46274</v>
      </c>
      <c r="E767" s="1" t="n">
        <v>46310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37150-2026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46274</v>
      </c>
      <c r="E768" s="1" t="n">
        <v>46310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37611-2026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46276</v>
      </c>
      <c r="E769" s="1" t="n">
        <v>46310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37640-2026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46276</v>
      </c>
      <c r="E770" s="1" t="n">
        <v>46310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56487-2023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45243</v>
      </c>
      <c r="E771" s="1" t="n">
        <v>46310</v>
      </c>
      <c r="F771" t="inlineStr">
        <is>
          <t>GÄVLEBORGS LÄN</t>
        </is>
      </c>
      <c r="G771" t="inlineStr">
        <is>
          <t>GÄVLE</t>
        </is>
      </c>
      <c r="I771" t="n">
        <v>8.699999999999999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9307-2022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44616</v>
      </c>
      <c r="E772" s="1" t="n">
        <v>46310</v>
      </c>
      <c r="F772" t="inlineStr">
        <is>
          <t>GÄVLEBORGS LÄN</t>
        </is>
      </c>
      <c r="G772" t="inlineStr">
        <is>
          <t>GÄVLE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46276</v>
      </c>
      <c r="E773" s="1" t="n">
        <v>46310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37759-2026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46310</v>
      </c>
      <c r="F774" t="inlineStr">
        <is>
          <t>GÄVLEBORGS LÄN</t>
        </is>
      </c>
      <c r="G774" t="inlineStr">
        <is>
          <t>GÄVLE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13193-2025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45735</v>
      </c>
      <c r="E775" s="1" t="n">
        <v>46310</v>
      </c>
      <c r="F775" t="inlineStr">
        <is>
          <t>GÄVLEBORGS LÄN</t>
        </is>
      </c>
      <c r="G775" t="inlineStr">
        <is>
          <t>GÄVLE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31866-2023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46310</v>
      </c>
      <c r="F776" t="inlineStr">
        <is>
          <t>GÄVLEBORGS LÄN</t>
        </is>
      </c>
      <c r="G776" t="inlineStr">
        <is>
          <t>GÄVLE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37553-2026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46276</v>
      </c>
      <c r="E777" s="1" t="n">
        <v>46310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46310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38012-2026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46310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38045-2026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46280</v>
      </c>
      <c r="E780" s="1" t="n">
        <v>46310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14807-2023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45014</v>
      </c>
      <c r="E781" s="1" t="n">
        <v>46310</v>
      </c>
      <c r="F781" t="inlineStr">
        <is>
          <t>GÄVLEBORGS LÄN</t>
        </is>
      </c>
      <c r="G781" t="inlineStr">
        <is>
          <t>GÄVLE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46280</v>
      </c>
      <c r="E782" s="1" t="n">
        <v>46310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46280</v>
      </c>
      <c r="E783" s="1" t="n">
        <v>46310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46280</v>
      </c>
      <c r="E784" s="1" t="n">
        <v>46310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38130-2026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46281</v>
      </c>
      <c r="E785" s="1" t="n">
        <v>46310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5.8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38049-2026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46310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37934-2026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46310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38144-2026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46281</v>
      </c>
      <c r="E788" s="1" t="n">
        <v>46310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33880-2022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44790</v>
      </c>
      <c r="E789" s="1" t="n">
        <v>46310</v>
      </c>
      <c r="F789" t="inlineStr">
        <is>
          <t>GÄVLEBORGS LÄN</t>
        </is>
      </c>
      <c r="G789" t="inlineStr">
        <is>
          <t>GÄVLE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38014-2026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46280</v>
      </c>
      <c r="E790" s="1" t="n">
        <v>46310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45699</v>
      </c>
      <c r="E791" s="1" t="n">
        <v>46310</v>
      </c>
      <c r="F791" t="inlineStr">
        <is>
          <t>GÄVLEBORGS LÄN</t>
        </is>
      </c>
      <c r="G791" t="inlineStr">
        <is>
          <t>GÄVLE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38331-2026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46310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32437-2026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46239</v>
      </c>
      <c r="E793" s="1" t="n">
        <v>46310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46310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38336-2026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46310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32436-2026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46239</v>
      </c>
      <c r="E796" s="1" t="n">
        <v>46310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46283</v>
      </c>
      <c r="E797" s="1" t="n">
        <v>46310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11691-2024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45373</v>
      </c>
      <c r="E798" s="1" t="n">
        <v>46310</v>
      </c>
      <c r="F798" t="inlineStr">
        <is>
          <t>GÄVLEBORGS LÄN</t>
        </is>
      </c>
      <c r="G798" t="inlineStr">
        <is>
          <t>GÄVLE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62766-2022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44885</v>
      </c>
      <c r="E799" s="1" t="n">
        <v>46310</v>
      </c>
      <c r="F799" t="inlineStr">
        <is>
          <t>GÄVLEBORGS LÄN</t>
        </is>
      </c>
      <c r="G799" t="inlineStr">
        <is>
          <t>GÄVLE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38612-2026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46283</v>
      </c>
      <c r="E800" s="1" t="n">
        <v>46310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38568-2026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46283</v>
      </c>
      <c r="E801" s="1" t="n">
        <v>46310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38562-2026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46283</v>
      </c>
      <c r="E802" s="1" t="n">
        <v>46310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38582-2026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46283</v>
      </c>
      <c r="E803" s="1" t="n">
        <v>46310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64873-2023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45282</v>
      </c>
      <c r="E804" s="1" t="n">
        <v>46310</v>
      </c>
      <c r="F804" t="inlineStr">
        <is>
          <t>GÄVLEBORGS LÄN</t>
        </is>
      </c>
      <c r="G804" t="inlineStr">
        <is>
          <t>GÄVLE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38551-2026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46283</v>
      </c>
      <c r="E805" s="1" t="n">
        <v>46310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46282</v>
      </c>
      <c r="E806" s="1" t="n">
        <v>46310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38386-2026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46282</v>
      </c>
      <c r="E807" s="1" t="n">
        <v>46310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38333-2026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46310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46282</v>
      </c>
      <c r="E809" s="1" t="n">
        <v>46310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38609-2026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46283</v>
      </c>
      <c r="E810" s="1" t="n">
        <v>46310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38393-2026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46282</v>
      </c>
      <c r="E811" s="1" t="n">
        <v>46310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19.8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38586-2026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46283</v>
      </c>
      <c r="E812" s="1" t="n">
        <v>46310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38587-2026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46283</v>
      </c>
      <c r="E813" s="1" t="n">
        <v>46310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38623-2026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46283</v>
      </c>
      <c r="E814" s="1" t="n">
        <v>46310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8.5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38624-2026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46283</v>
      </c>
      <c r="E815" s="1" t="n">
        <v>46310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38653-2026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46283</v>
      </c>
      <c r="E816" s="1" t="n">
        <v>46310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38588-2026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46283</v>
      </c>
      <c r="E817" s="1" t="n">
        <v>46310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38584-2026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46283</v>
      </c>
      <c r="E818" s="1" t="n">
        <v>46310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38979-2026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46286</v>
      </c>
      <c r="E819" s="1" t="n">
        <v>46310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29862-2023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45107</v>
      </c>
      <c r="E820" s="1" t="n">
        <v>46310</v>
      </c>
      <c r="F820" t="inlineStr">
        <is>
          <t>GÄVLEBORGS LÄN</t>
        </is>
      </c>
      <c r="G820" t="inlineStr">
        <is>
          <t>GÄVLE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32890-2026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46310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39031-2026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46287</v>
      </c>
      <c r="E822" s="1" t="n">
        <v>46310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39227-2026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46287</v>
      </c>
      <c r="E823" s="1" t="n">
        <v>46310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39120-2026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46287</v>
      </c>
      <c r="E824" s="1" t="n">
        <v>46310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38997-2026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46287</v>
      </c>
      <c r="E825" s="1" t="n">
        <v>46310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39083-2026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46287</v>
      </c>
      <c r="E826" s="1" t="n">
        <v>46310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väst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24478-2023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45082</v>
      </c>
      <c r="E827" s="1" t="n">
        <v>46310</v>
      </c>
      <c r="F827" t="inlineStr">
        <is>
          <t>GÄVLEBORGS LÄN</t>
        </is>
      </c>
      <c r="G827" t="inlineStr">
        <is>
          <t>GÄVLE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17088-2023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45034</v>
      </c>
      <c r="E828" s="1" t="n">
        <v>46310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7792-2023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44973</v>
      </c>
      <c r="E829" s="1" t="n">
        <v>46310</v>
      </c>
      <c r="F829" t="inlineStr">
        <is>
          <t>GÄVLEBORGS LÄN</t>
        </is>
      </c>
      <c r="G829" t="inlineStr">
        <is>
          <t>GÄVLE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32888-2026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46310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14735-2024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46310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35761-2022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44800</v>
      </c>
      <c r="E832" s="1" t="n">
        <v>46310</v>
      </c>
      <c r="F832" t="inlineStr">
        <is>
          <t>GÄVLEBORGS LÄN</t>
        </is>
      </c>
      <c r="G832" t="inlineStr">
        <is>
          <t>GÄVLE</t>
        </is>
      </c>
      <c r="I832" t="n">
        <v>8.199999999999999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32887-2026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46244</v>
      </c>
      <c r="E833" s="1" t="n">
        <v>46310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61918-2023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45266</v>
      </c>
      <c r="E834" s="1" t="n">
        <v>46310</v>
      </c>
      <c r="F834" t="inlineStr">
        <is>
          <t>GÄVLEBORGS LÄN</t>
        </is>
      </c>
      <c r="G834" t="inlineStr">
        <is>
          <t>GÄVLE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17245-2024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45414</v>
      </c>
      <c r="E835" s="1" t="n">
        <v>46310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39021-2026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46287</v>
      </c>
      <c r="E836" s="1" t="n">
        <v>46310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62255-2022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44922</v>
      </c>
      <c r="E837" s="1" t="n">
        <v>46310</v>
      </c>
      <c r="F837" t="inlineStr">
        <is>
          <t>GÄVLEBORGS LÄN</t>
        </is>
      </c>
      <c r="G837" t="inlineStr">
        <is>
          <t>GÄVLE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33231-2026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46246</v>
      </c>
      <c r="E838" s="1" t="n">
        <v>46310</v>
      </c>
      <c r="F838" t="inlineStr">
        <is>
          <t>GÄVLEBORGS LÄN</t>
        </is>
      </c>
      <c r="G838" t="inlineStr">
        <is>
          <t>GÄVLE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57928-2024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45631</v>
      </c>
      <c r="E839" s="1" t="n">
        <v>46310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46246</v>
      </c>
      <c r="E840" s="1" t="n">
        <v>46310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33349-2026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46246</v>
      </c>
      <c r="E841" s="1" t="n">
        <v>46310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39684-2026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46289</v>
      </c>
      <c r="E842" s="1" t="n">
        <v>46310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9422-2025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45715</v>
      </c>
      <c r="E843" s="1" t="n">
        <v>46310</v>
      </c>
      <c r="F843" t="inlineStr">
        <is>
          <t>GÄVLEBORGS LÄN</t>
        </is>
      </c>
      <c r="G843" t="inlineStr">
        <is>
          <t>GÄVLE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46246</v>
      </c>
      <c r="E844" s="1" t="n">
        <v>46310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33350-2026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46246</v>
      </c>
      <c r="E845" s="1" t="n">
        <v>46310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61843-2023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45266</v>
      </c>
      <c r="E846" s="1" t="n">
        <v>46310</v>
      </c>
      <c r="F846" t="inlineStr">
        <is>
          <t>GÄVLEBORGS LÄN</t>
        </is>
      </c>
      <c r="G846" t="inlineStr">
        <is>
          <t>GÄVLE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45660</v>
      </c>
      <c r="E847" s="1" t="n">
        <v>46310</v>
      </c>
      <c r="F847" t="inlineStr">
        <is>
          <t>GÄVLEBORGS LÄN</t>
        </is>
      </c>
      <c r="G847" t="inlineStr">
        <is>
          <t>GÄVLE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39685-2026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46289</v>
      </c>
      <c r="E848" s="1" t="n">
        <v>46310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33449-2024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45519</v>
      </c>
      <c r="E849" s="1" t="n">
        <v>46310</v>
      </c>
      <c r="F849" t="inlineStr">
        <is>
          <t>GÄVLEBORGS LÄN</t>
        </is>
      </c>
      <c r="G849" t="inlineStr">
        <is>
          <t>GÄVLE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39534-2026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46289</v>
      </c>
      <c r="E850" s="1" t="n">
        <v>46310</v>
      </c>
      <c r="F850" t="inlineStr">
        <is>
          <t>GÄVLEBORGS LÄN</t>
        </is>
      </c>
      <c r="G850" t="inlineStr">
        <is>
          <t>GÄVLE</t>
        </is>
      </c>
      <c r="I850" t="n">
        <v>7.1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35440-2023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45146</v>
      </c>
      <c r="E851" s="1" t="n">
        <v>46310</v>
      </c>
      <c r="F851" t="inlineStr">
        <is>
          <t>GÄVLEBORGS LÄN</t>
        </is>
      </c>
      <c r="G851" t="inlineStr">
        <is>
          <t>GÄVLE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46246</v>
      </c>
      <c r="E852" s="1" t="n">
        <v>46310</v>
      </c>
      <c r="F852" t="inlineStr">
        <is>
          <t>GÄVLEBORGS LÄN</t>
        </is>
      </c>
      <c r="G852" t="inlineStr">
        <is>
          <t>GÄVLE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3662-2022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44586</v>
      </c>
      <c r="E853" s="1" t="n">
        <v>46310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7410-2025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46310</v>
      </c>
      <c r="F854" t="inlineStr">
        <is>
          <t>GÄVLEBORGS LÄN</t>
        </is>
      </c>
      <c r="G854" t="inlineStr">
        <is>
          <t>GÄVLE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46246</v>
      </c>
      <c r="E855" s="1" t="n">
        <v>46310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35331-2024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45530</v>
      </c>
      <c r="E856" s="1" t="n">
        <v>46310</v>
      </c>
      <c r="F856" t="inlineStr">
        <is>
          <t>GÄVLEBORGS LÄN</t>
        </is>
      </c>
      <c r="G856" t="inlineStr">
        <is>
          <t>GÄVLE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44927</v>
      </c>
      <c r="E857" s="1" t="n">
        <v>46310</v>
      </c>
      <c r="F857" t="inlineStr">
        <is>
          <t>GÄVLEBORGS LÄN</t>
        </is>
      </c>
      <c r="G857" t="inlineStr">
        <is>
          <t>GÄVLE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39437-2026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46288</v>
      </c>
      <c r="E858" s="1" t="n">
        <v>46310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46248</v>
      </c>
      <c r="E859" s="1" t="n">
        <v>46310</v>
      </c>
      <c r="F859" t="inlineStr">
        <is>
          <t>GÄVLEBORGS LÄN</t>
        </is>
      </c>
      <c r="G859" t="inlineStr">
        <is>
          <t>GÄVLE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46248</v>
      </c>
      <c r="E860" s="1" t="n">
        <v>46310</v>
      </c>
      <c r="F860" t="inlineStr">
        <is>
          <t>GÄVLEBORGS LÄN</t>
        </is>
      </c>
      <c r="G860" t="inlineStr">
        <is>
          <t>GÄVLE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44806-2024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46310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28624-2025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45819</v>
      </c>
      <c r="E862" s="1" t="n">
        <v>46310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33586-2026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46248</v>
      </c>
      <c r="E863" s="1" t="n">
        <v>46310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52250-2024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45608</v>
      </c>
      <c r="E864" s="1" t="n">
        <v>46310</v>
      </c>
      <c r="F864" t="inlineStr">
        <is>
          <t>GÄVLEBORGS LÄN</t>
        </is>
      </c>
      <c r="G864" t="inlineStr">
        <is>
          <t>GÄVLE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40173-2026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46293</v>
      </c>
      <c r="E865" s="1" t="n">
        <v>46310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27048-2026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46310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30875-2022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44767</v>
      </c>
      <c r="E867" s="1" t="n">
        <v>46310</v>
      </c>
      <c r="F867" t="inlineStr">
        <is>
          <t>GÄVLEBORGS LÄN</t>
        </is>
      </c>
      <c r="G867" t="inlineStr">
        <is>
          <t>GÄVLE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40180-2026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46293</v>
      </c>
      <c r="E868" s="1" t="n">
        <v>46310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60349-2022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44910</v>
      </c>
      <c r="E869" s="1" t="n">
        <v>46310</v>
      </c>
      <c r="F869" t="inlineStr">
        <is>
          <t>GÄVLEBORGS LÄN</t>
        </is>
      </c>
      <c r="G869" t="inlineStr">
        <is>
          <t>GÄVLE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33585-2026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46248</v>
      </c>
      <c r="E870" s="1" t="n">
        <v>46310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41100-2024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45559</v>
      </c>
      <c r="E871" s="1" t="n">
        <v>46310</v>
      </c>
      <c r="F871" t="inlineStr">
        <is>
          <t>GÄVLEBORGS LÄN</t>
        </is>
      </c>
      <c r="G871" t="inlineStr">
        <is>
          <t>GÄVLE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39729-2026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46290</v>
      </c>
      <c r="E872" s="1" t="n">
        <v>46310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20.9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39766-2026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46290</v>
      </c>
      <c r="E873" s="1" t="n">
        <v>46310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39805-2026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46290</v>
      </c>
      <c r="E874" s="1" t="n">
        <v>46310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7.4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39891-2026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46290</v>
      </c>
      <c r="E875" s="1" t="n">
        <v>46310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40118-2026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46293</v>
      </c>
      <c r="E876" s="1" t="n">
        <v>46310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46290</v>
      </c>
      <c r="E877" s="1" t="n">
        <v>46310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40052-2026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46293</v>
      </c>
      <c r="E878" s="1" t="n">
        <v>46310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35205-2024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45530</v>
      </c>
      <c r="E879" s="1" t="n">
        <v>46310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24367-2026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46169</v>
      </c>
      <c r="E880" s="1" t="n">
        <v>46310</v>
      </c>
      <c r="F880" t="inlineStr">
        <is>
          <t>GÄVLEBORGS LÄN</t>
        </is>
      </c>
      <c r="G880" t="inlineStr">
        <is>
          <t>GÄVLE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40505-2026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46295</v>
      </c>
      <c r="E881" s="1" t="n">
        <v>46310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46295</v>
      </c>
      <c r="E882" s="1" t="n">
        <v>46310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33719-2026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46251</v>
      </c>
      <c r="E883" s="1" t="n">
        <v>46310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16401-2025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45751</v>
      </c>
      <c r="E884" s="1" t="n">
        <v>46310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väst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40504-2026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46295</v>
      </c>
      <c r="E885" s="1" t="n">
        <v>46310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5633-2024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45334</v>
      </c>
      <c r="E886" s="1" t="n">
        <v>46310</v>
      </c>
      <c r="F886" t="inlineStr">
        <is>
          <t>GÄVLEBORGS LÄN</t>
        </is>
      </c>
      <c r="G886" t="inlineStr">
        <is>
          <t>GÄVLE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34033-2026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46252</v>
      </c>
      <c r="E887" s="1" t="n">
        <v>46310</v>
      </c>
      <c r="F887" t="inlineStr">
        <is>
          <t>GÄVLEBORGS LÄN</t>
        </is>
      </c>
      <c r="G887" t="inlineStr">
        <is>
          <t>GÄVLE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13961-2024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45392</v>
      </c>
      <c r="E888" s="1" t="n">
        <v>46310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14974-2026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46104</v>
      </c>
      <c r="E889" s="1" t="n">
        <v>46310</v>
      </c>
      <c r="F889" t="inlineStr">
        <is>
          <t>GÄVLEBORGS LÄN</t>
        </is>
      </c>
      <c r="G889" t="inlineStr">
        <is>
          <t>GÄVLE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23117-2026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46161</v>
      </c>
      <c r="E890" s="1" t="n">
        <v>46310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25466-2023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45089</v>
      </c>
      <c r="E891" s="1" t="n">
        <v>46310</v>
      </c>
      <c r="F891" t="inlineStr">
        <is>
          <t>GÄVLEBORGS LÄN</t>
        </is>
      </c>
      <c r="G891" t="inlineStr">
        <is>
          <t>GÄVLE</t>
        </is>
      </c>
      <c r="I891" t="n">
        <v>5.5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40375-2026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46294</v>
      </c>
      <c r="E892" s="1" t="n">
        <v>46310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40943-2026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46297</v>
      </c>
      <c r="E893" s="1" t="n">
        <v>46310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40947-2026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46297</v>
      </c>
      <c r="E894" s="1" t="n">
        <v>46310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40896-2026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46297</v>
      </c>
      <c r="E895" s="1" t="n">
        <v>46310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46254</v>
      </c>
      <c r="E896" s="1" t="n">
        <v>46310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7060-2022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44603</v>
      </c>
      <c r="E897" s="1" t="n">
        <v>46310</v>
      </c>
      <c r="F897" t="inlineStr">
        <is>
          <t>GÄVLEBORGS LÄN</t>
        </is>
      </c>
      <c r="G897" t="inlineStr">
        <is>
          <t>GÄVLE</t>
        </is>
      </c>
      <c r="I897" t="n">
        <v>10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27051-2026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46310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41708-2023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45176</v>
      </c>
      <c r="E899" s="1" t="n">
        <v>46310</v>
      </c>
      <c r="F899" t="inlineStr">
        <is>
          <t>GÄVLEBORGS LÄN</t>
        </is>
      </c>
      <c r="G899" t="inlineStr">
        <is>
          <t>GÄVLE</t>
        </is>
      </c>
      <c r="I899" t="n">
        <v>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41712-2023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45176</v>
      </c>
      <c r="E900" s="1" t="n">
        <v>46310</v>
      </c>
      <c r="F900" t="inlineStr">
        <is>
          <t>GÄVLEBORGS LÄN</t>
        </is>
      </c>
      <c r="G900" t="inlineStr">
        <is>
          <t>GÄVLE</t>
        </is>
      </c>
      <c r="I900" t="n">
        <v>7.8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5413-2023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44959</v>
      </c>
      <c r="E901" s="1" t="n">
        <v>46310</v>
      </c>
      <c r="F901" t="inlineStr">
        <is>
          <t>GÄVLEBORGS LÄN</t>
        </is>
      </c>
      <c r="G901" t="inlineStr">
        <is>
          <t>GÄVLE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40791-2026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46296</v>
      </c>
      <c r="E902" s="1" t="n">
        <v>46310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4235-2025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45685</v>
      </c>
      <c r="E903" s="1" t="n">
        <v>46310</v>
      </c>
      <c r="F903" t="inlineStr">
        <is>
          <t>GÄVLEBORGS LÄN</t>
        </is>
      </c>
      <c r="G903" t="inlineStr">
        <is>
          <t>GÄVLE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8298-2026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46063</v>
      </c>
      <c r="E904" s="1" t="n">
        <v>46310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54959-2025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45967</v>
      </c>
      <c r="E905" s="1" t="n">
        <v>46310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34432-2026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46254</v>
      </c>
      <c r="E906" s="1" t="n">
        <v>46310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45660</v>
      </c>
      <c r="E907" s="1" t="n">
        <v>46310</v>
      </c>
      <c r="F907" t="inlineStr">
        <is>
          <t>GÄVLEBORGS LÄN</t>
        </is>
      </c>
      <c r="G907" t="inlineStr">
        <is>
          <t>GÄVLE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56138-2023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45240</v>
      </c>
      <c r="E908" s="1" t="n">
        <v>46310</v>
      </c>
      <c r="F908" t="inlineStr">
        <is>
          <t>GÄVLEBORGS LÄN</t>
        </is>
      </c>
      <c r="G908" t="inlineStr">
        <is>
          <t>GÄVLE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40938-2026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46297</v>
      </c>
      <c r="E909" s="1" t="n">
        <v>46310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40941-2026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46297</v>
      </c>
      <c r="E910" s="1" t="n">
        <v>46310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40948-2026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46297</v>
      </c>
      <c r="E911" s="1" t="n">
        <v>46310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40949-2026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46297</v>
      </c>
      <c r="E912" s="1" t="n">
        <v>46310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50345-2025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45944</v>
      </c>
      <c r="E913" s="1" t="n">
        <v>46310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54960-2025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45967</v>
      </c>
      <c r="E914" s="1" t="n">
        <v>46310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33635-2024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45520</v>
      </c>
      <c r="E915" s="1" t="n">
        <v>46310</v>
      </c>
      <c r="F915" t="inlineStr">
        <is>
          <t>GÄVLEBORGS LÄN</t>
        </is>
      </c>
      <c r="G915" t="inlineStr">
        <is>
          <t>GÄVLE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33637-2024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45520</v>
      </c>
      <c r="E916" s="1" t="n">
        <v>46310</v>
      </c>
      <c r="F916" t="inlineStr">
        <is>
          <t>GÄVLEBORGS LÄN</t>
        </is>
      </c>
      <c r="G916" t="inlineStr">
        <is>
          <t>GÄVLE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34822-2026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46258</v>
      </c>
      <c r="E917" s="1" t="n">
        <v>46310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25645-2023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45089</v>
      </c>
      <c r="E918" s="1" t="n">
        <v>46310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7998-2023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44973</v>
      </c>
      <c r="E919" s="1" t="n">
        <v>46310</v>
      </c>
      <c r="F919" t="inlineStr">
        <is>
          <t>GÄVLEBORGS LÄN</t>
        </is>
      </c>
      <c r="G919" t="inlineStr">
        <is>
          <t>GÄVLE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34686-2026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46258</v>
      </c>
      <c r="E920" s="1" t="n">
        <v>46310</v>
      </c>
      <c r="F920" t="inlineStr">
        <is>
          <t>GÄVLEBORGS LÄN</t>
        </is>
      </c>
      <c r="G920" t="inlineStr">
        <is>
          <t>GÄVLE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25808-2026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46178</v>
      </c>
      <c r="E921" s="1" t="n">
        <v>46310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58925-2025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45987</v>
      </c>
      <c r="E922" s="1" t="n">
        <v>46310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27040-2026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46185</v>
      </c>
      <c r="E923" s="1" t="n">
        <v>46310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5.5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54207-2023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45232</v>
      </c>
      <c r="E924" s="1" t="n">
        <v>46310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15935-2025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45749</v>
      </c>
      <c r="E925" s="1" t="n">
        <v>46310</v>
      </c>
      <c r="F925" t="inlineStr">
        <is>
          <t>GÄVLEBORGS LÄN</t>
        </is>
      </c>
      <c r="G925" t="inlineStr">
        <is>
          <t>GÄVLE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41542-2026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46301</v>
      </c>
      <c r="E926" s="1" t="n">
        <v>46310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5.7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34591-2026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46255</v>
      </c>
      <c r="E927" s="1" t="n">
        <v>46310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41543-2026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46301</v>
      </c>
      <c r="E928" s="1" t="n">
        <v>46310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41106-2026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46300</v>
      </c>
      <c r="E929" s="1" t="n">
        <v>46310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25814-2023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45090</v>
      </c>
      <c r="E930" s="1" t="n">
        <v>46310</v>
      </c>
      <c r="F930" t="inlineStr">
        <is>
          <t>GÄVLEBORGS LÄN</t>
        </is>
      </c>
      <c r="G930" t="inlineStr">
        <is>
          <t>GÄVLE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21367-2026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46147</v>
      </c>
      <c r="E931" s="1" t="n">
        <v>46310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12.8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30600-2026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46210</v>
      </c>
      <c r="E932" s="1" t="n">
        <v>46310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14792-2023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45014</v>
      </c>
      <c r="E933" s="1" t="n">
        <v>46310</v>
      </c>
      <c r="F933" t="inlineStr">
        <is>
          <t>GÄVLEBORGS LÄN</t>
        </is>
      </c>
      <c r="G933" t="inlineStr">
        <is>
          <t>GÄVLE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13500-2026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46094</v>
      </c>
      <c r="E934" s="1" t="n">
        <v>46310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38191-2026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46281</v>
      </c>
      <c r="E935" s="1" t="n">
        <v>46310</v>
      </c>
      <c r="F935" t="inlineStr">
        <is>
          <t>GÄVLEBORGS LÄN</t>
        </is>
      </c>
      <c r="G935" t="inlineStr">
        <is>
          <t>GÄVLE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21365-2026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46147</v>
      </c>
      <c r="E936" s="1" t="n">
        <v>46310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26016-2026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46181</v>
      </c>
      <c r="E937" s="1" t="n">
        <v>46310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12079-2025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45728</v>
      </c>
      <c r="E938" s="1" t="n">
        <v>46310</v>
      </c>
      <c r="F938" t="inlineStr">
        <is>
          <t>GÄVLEBORGS LÄN</t>
        </is>
      </c>
      <c r="G938" t="inlineStr">
        <is>
          <t>GÄVLE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1594-2024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45306</v>
      </c>
      <c r="E939" s="1" t="n">
        <v>46310</v>
      </c>
      <c r="F939" t="inlineStr">
        <is>
          <t>GÄVLEBORGS LÄN</t>
        </is>
      </c>
      <c r="G939" t="inlineStr">
        <is>
          <t>GÄVLE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38051-2026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46280</v>
      </c>
      <c r="E940" s="1" t="n">
        <v>46310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41544-2026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46301</v>
      </c>
      <c r="E941" s="1" t="n">
        <v>46310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34590-2026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46255</v>
      </c>
      <c r="E942" s="1" t="n">
        <v>46310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34593-2026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46255</v>
      </c>
      <c r="E943" s="1" t="n">
        <v>46310</v>
      </c>
      <c r="F943" t="inlineStr">
        <is>
          <t>GÄVLEBORGS LÄN</t>
        </is>
      </c>
      <c r="G943" t="inlineStr">
        <is>
          <t>GÄVLE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62983-2023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45272</v>
      </c>
      <c r="E944" s="1" t="n">
        <v>46310</v>
      </c>
      <c r="F944" t="inlineStr">
        <is>
          <t>GÄVLEBORGS LÄN</t>
        </is>
      </c>
      <c r="G944" t="inlineStr">
        <is>
          <t>GÄVLE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33901-2024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45523</v>
      </c>
      <c r="E945" s="1" t="n">
        <v>46310</v>
      </c>
      <c r="F945" t="inlineStr">
        <is>
          <t>GÄVLEBORGS LÄN</t>
        </is>
      </c>
      <c r="G945" t="inlineStr">
        <is>
          <t>GÄVLE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11572-2026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46084</v>
      </c>
      <c r="E946" s="1" t="n">
        <v>46310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46094</v>
      </c>
      <c r="E947" s="1" t="n">
        <v>46310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18217-2024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45420</v>
      </c>
      <c r="E948" s="1" t="n">
        <v>46310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14553-2026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46100</v>
      </c>
      <c r="E949" s="1" t="n">
        <v>46310</v>
      </c>
      <c r="F949" t="inlineStr">
        <is>
          <t>GÄVLEBORGS LÄN</t>
        </is>
      </c>
      <c r="G949" t="inlineStr">
        <is>
          <t>GÄVLE</t>
        </is>
      </c>
      <c r="H949" t="inlineStr">
        <is>
          <t>Övriga statliga verk och myndigheter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13046-2026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46093</v>
      </c>
      <c r="E950" s="1" t="n">
        <v>46310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40790-2026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46296</v>
      </c>
      <c r="E951" s="1" t="n">
        <v>46310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35120-2026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46260</v>
      </c>
      <c r="E952" s="1" t="n">
        <v>46310</v>
      </c>
      <c r="F952" t="inlineStr">
        <is>
          <t>GÄVLEBORGS LÄN</t>
        </is>
      </c>
      <c r="G952" t="inlineStr">
        <is>
          <t>GÄVLE</t>
        </is>
      </c>
      <c r="I952" t="n">
        <v>5.6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42029-2026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46304</v>
      </c>
      <c r="E953" s="1" t="n">
        <v>46310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20621-2025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45776</v>
      </c>
      <c r="E954" s="1" t="n">
        <v>46310</v>
      </c>
      <c r="F954" t="inlineStr">
        <is>
          <t>GÄVLEBORGS LÄN</t>
        </is>
      </c>
      <c r="G954" t="inlineStr">
        <is>
          <t>GÄVLE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35302-2026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46261</v>
      </c>
      <c r="E955" s="1" t="n">
        <v>46310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42112-2026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46304</v>
      </c>
      <c r="E956" s="1" t="n">
        <v>46310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7.3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35495-2026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46262</v>
      </c>
      <c r="E957" s="1" t="n">
        <v>46310</v>
      </c>
      <c r="F957" t="inlineStr">
        <is>
          <t>GÄVLEBORGS LÄN</t>
        </is>
      </c>
      <c r="G957" t="inlineStr">
        <is>
          <t>GÄVLE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35561-2026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46262</v>
      </c>
      <c r="E958" s="1" t="n">
        <v>46310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45938-2024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45580</v>
      </c>
      <c r="E959" s="1" t="n">
        <v>46310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42080-2026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46304</v>
      </c>
      <c r="E960" s="1" t="n">
        <v>46310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väst AB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35577-2026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46262</v>
      </c>
      <c r="E961" s="1" t="n">
        <v>46310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35326-2026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46261</v>
      </c>
      <c r="E962" s="1" t="n">
        <v>46310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42040-2026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46304</v>
      </c>
      <c r="E963" s="1" t="n">
        <v>46310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21431-2025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45782</v>
      </c>
      <c r="E964" s="1" t="n">
        <v>46310</v>
      </c>
      <c r="F964" t="inlineStr">
        <is>
          <t>GÄVLEBORGS LÄN</t>
        </is>
      </c>
      <c r="G964" t="inlineStr">
        <is>
          <t>GÄVLE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35387-2026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46261</v>
      </c>
      <c r="E965" s="1" t="n">
        <v>46310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35388-2026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46261</v>
      </c>
      <c r="E966" s="1" t="n">
        <v>46310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42046-2026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46310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46303</v>
      </c>
      <c r="E968" s="1" t="n">
        <v>46310</v>
      </c>
      <c r="F968" t="inlineStr">
        <is>
          <t>GÄVLEBORGS LÄN</t>
        </is>
      </c>
      <c r="G968" t="inlineStr">
        <is>
          <t>GÄVLE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48246-2025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45933</v>
      </c>
      <c r="E969" s="1" t="n">
        <v>46310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35541-2026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46262</v>
      </c>
      <c r="E970" s="1" t="n">
        <v>46310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väst AB</t>
        </is>
      </c>
      <c r="I970" t="n">
        <v>5.3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42136-2026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46304</v>
      </c>
      <c r="E971" s="1" t="n">
        <v>46310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42061-2026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46304</v>
      </c>
      <c r="E972" s="1" t="n">
        <v>46310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46304</v>
      </c>
      <c r="E973" s="1" t="n">
        <v>46310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7202-2025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45702</v>
      </c>
      <c r="E974" s="1" t="n">
        <v>46310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59044-2023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45252</v>
      </c>
      <c r="E975" s="1" t="n">
        <v>46310</v>
      </c>
      <c r="F975" t="inlineStr">
        <is>
          <t>GÄVLEBORGS LÄN</t>
        </is>
      </c>
      <c r="G975" t="inlineStr">
        <is>
          <t>GÄVLE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42137-2026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46304</v>
      </c>
      <c r="E976" s="1" t="n">
        <v>46310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väst AB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42483-2026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46308</v>
      </c>
      <c r="E977" s="1" t="n">
        <v>46310</v>
      </c>
      <c r="F977" t="inlineStr">
        <is>
          <t>GÄVLEBORGS LÄN</t>
        </is>
      </c>
      <c r="G977" t="inlineStr">
        <is>
          <t>GÄVLE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42511-2026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46308</v>
      </c>
      <c r="E978" s="1" t="n">
        <v>46310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9.9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42560-2026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46308</v>
      </c>
      <c r="E979" s="1" t="n">
        <v>46310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väst AB</t>
        </is>
      </c>
      <c r="I979" t="n">
        <v>13.2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36091-2026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46267</v>
      </c>
      <c r="E980" s="1" t="n">
        <v>46310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36132-2026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46267</v>
      </c>
      <c r="E981" s="1" t="n">
        <v>46310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42661-2026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46309</v>
      </c>
      <c r="E982" s="1" t="n">
        <v>46310</v>
      </c>
      <c r="F982" t="inlineStr">
        <is>
          <t>GÄVLEBORGS LÄN</t>
        </is>
      </c>
      <c r="G982" t="inlineStr">
        <is>
          <t>GÄVLE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7451-2025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45705</v>
      </c>
      <c r="E983" s="1" t="n">
        <v>46310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35780-2026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46265</v>
      </c>
      <c r="E984" s="1" t="n">
        <v>46310</v>
      </c>
      <c r="F984" t="inlineStr">
        <is>
          <t>GÄVLEBORGS LÄN</t>
        </is>
      </c>
      <c r="G984" t="inlineStr">
        <is>
          <t>GÄVLE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35818-2026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46265</v>
      </c>
      <c r="E985" s="1" t="n">
        <v>46310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36089-2026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46267</v>
      </c>
      <c r="E986" s="1" t="n">
        <v>46310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36093-2026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46267</v>
      </c>
      <c r="E987" s="1" t="n">
        <v>46310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23291-2025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46310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23232-2025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45791</v>
      </c>
      <c r="E989" s="1" t="n">
        <v>46310</v>
      </c>
      <c r="F989" t="inlineStr">
        <is>
          <t>GÄVLEBORGS LÄN</t>
        </is>
      </c>
      <c r="G989" t="inlineStr">
        <is>
          <t>GÄVLE</t>
        </is>
      </c>
      <c r="I989" t="n">
        <v>10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22879-2025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45790</v>
      </c>
      <c r="E990" s="1" t="n">
        <v>46310</v>
      </c>
      <c r="F990" t="inlineStr">
        <is>
          <t>GÄVLEBORGS LÄN</t>
        </is>
      </c>
      <c r="G990" t="inlineStr">
        <is>
          <t>GÄVLE</t>
        </is>
      </c>
      <c r="I990" t="n">
        <v>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23324-2025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46310</v>
      </c>
      <c r="F991" t="inlineStr">
        <is>
          <t>GÄVLEBORGS LÄN</t>
        </is>
      </c>
      <c r="G991" t="inlineStr">
        <is>
          <t>GÄVLE</t>
        </is>
      </c>
      <c r="I991" t="n">
        <v>6.2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36086-2026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46267</v>
      </c>
      <c r="E992" s="1" t="n">
        <v>46310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22923-2025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45790</v>
      </c>
      <c r="E993" s="1" t="n">
        <v>46310</v>
      </c>
      <c r="F993" t="inlineStr">
        <is>
          <t>GÄVLEBORGS LÄN</t>
        </is>
      </c>
      <c r="G993" t="inlineStr">
        <is>
          <t>GÄVLE</t>
        </is>
      </c>
      <c r="I993" t="n">
        <v>20.8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45660</v>
      </c>
      <c r="E994" s="1" t="n">
        <v>46310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S 3425-2023</t>
        </is>
      </c>
      <c r="B995" t="inlineStr">
        <is>
          <t>samrådsanmälan</t>
        </is>
      </c>
      <c r="C995" t="inlineStr">
        <is>
          <t>Annan skogsbruksåtgärd</t>
        </is>
      </c>
      <c r="D995" s="1" t="n">
        <v>45205</v>
      </c>
      <c r="E995" s="1" t="n">
        <v>46310</v>
      </c>
      <c r="F995" t="inlineStr">
        <is>
          <t>GÄVLEBORGS LÄN</t>
        </is>
      </c>
      <c r="G995" t="inlineStr">
        <is>
          <t>GÄVLE</t>
        </is>
      </c>
      <c r="I995" t="n">
        <v>0.2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  <c r="Z995">
        <f>HYPERLINK("https://klasma.github.io/Logging_2180/knärot/S 3425-2023 karta knärot.png", "S 3425-2023")</f>
        <v/>
      </c>
      <c r="AA995">
        <f>HYPERLINK("https://klasma.github.io/Logging_2180/klagomål/S 3425-2023 FSC-klagomål.docx", "S 3425-2023")</f>
        <v/>
      </c>
      <c r="AB995">
        <f>HYPERLINK("https://klasma.github.io/Logging_2180/klagomålsmail/S 3425-2023 FSC-klagomål mail.docx", "S 3425-2023")</f>
        <v/>
      </c>
      <c r="AC995">
        <f>HYPERLINK("https://klasma.github.io/Logging_2180/tillsyn/S 3425-2023 tillsynsbegäran.docx", "S 3425-2023")</f>
        <v/>
      </c>
      <c r="AD995">
        <f>HYPERLINK("https://klasma.github.io/Logging_2180/tillsynsmail/S 3425-2023 tillsynsbegäran mail.docx", "S 3425-2023")</f>
        <v/>
      </c>
    </row>
    <row r="996" ht="15" customHeight="1">
      <c r="A996" t="inlineStr">
        <is>
          <t>S 889-2023</t>
        </is>
      </c>
      <c r="B996" t="inlineStr">
        <is>
          <t>samrådsanmälan</t>
        </is>
      </c>
      <c r="C996" t="inlineStr">
        <is>
          <t>Skogsgödsling</t>
        </is>
      </c>
      <c r="D996" s="1" t="n">
        <v>44995</v>
      </c>
      <c r="E996" s="1" t="n">
        <v>46310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väst AB</t>
        </is>
      </c>
      <c r="I996" t="n">
        <v>13.3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S 886-2024</t>
        </is>
      </c>
      <c r="B997" t="inlineStr">
        <is>
          <t>samrådsanmälan</t>
        </is>
      </c>
      <c r="C997" t="inlineStr">
        <is>
          <t>Annan skogsbruksåtgärd</t>
        </is>
      </c>
      <c r="D997" s="1" t="n">
        <v>45376</v>
      </c>
      <c r="E997" s="1" t="n">
        <v>46310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11.9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2464-2024</t>
        </is>
      </c>
      <c r="B998" t="inlineStr">
        <is>
          <t>samrådsanmälan</t>
        </is>
      </c>
      <c r="C998" t="inlineStr">
        <is>
          <t>Skogsbilväg</t>
        </is>
      </c>
      <c r="D998" s="1" t="n">
        <v>45470</v>
      </c>
      <c r="E998" s="1" t="n">
        <v>46310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väst AB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>
      <c r="A999" t="inlineStr">
        <is>
          <t>S 644-2026</t>
        </is>
      </c>
      <c r="B999" t="inlineStr">
        <is>
          <t>samrådsanmälan</t>
        </is>
      </c>
      <c r="C999" t="inlineStr">
        <is>
          <t>Skogsgödsling</t>
        </is>
      </c>
      <c r="D999" s="1" t="n">
        <v>46089</v>
      </c>
      <c r="E999" s="1" t="n">
        <v>46310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öst AB</t>
        </is>
      </c>
      <c r="I999" t="n">
        <v>29.2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2026-10-15T02:05:45Z</dcterms:created>
  <dcterms:modified xmlns:dcterms="http://purl.org/dc/terms/" xmlns:xsi="http://www.w3.org/2001/XMLSchema-instance" xsi:type="dcterms:W3CDTF">2026-10-15T02:05:46Z</dcterms:modified>
</cp:coreProperties>
</file>