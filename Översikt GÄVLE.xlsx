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46253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46253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46253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46253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46253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46253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46253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46253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46253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46253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46253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46253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6080-2026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46052</v>
      </c>
      <c r="E28" s="1" t="n">
        <v>46253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2</v>
      </c>
      <c r="J28" t="n">
        <v>0</v>
      </c>
      <c r="K28" t="n">
        <v>0</v>
      </c>
      <c r="L28" t="n">
        <v>1</v>
      </c>
      <c r="M28" t="n">
        <v>3</v>
      </c>
      <c r="N28" t="n">
        <v>0</v>
      </c>
      <c r="O28" t="n">
        <v>0</v>
      </c>
      <c r="P28" t="n">
        <v>0</v>
      </c>
      <c r="Q28" t="n">
        <v>4</v>
      </c>
      <c r="R28" t="n">
        <v>3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Ängsblåvinge
Storfläckig kungsnattslända</t>
        </is>
      </c>
      <c r="W28">
        <f>HYPERLINK("https://klasma.github.io/Logging_2180/artfynd/A 6080-2026 artfynd.xlsx", "A 6080-2026")</f>
        <v/>
      </c>
      <c r="X28">
        <f>HYPERLINK("https://klasma.github.io/Logging_2180/kartor/A 6080-2026 karta.png", "A 6080-2026")</f>
        <v/>
      </c>
      <c r="Y28">
        <f>HYPERLINK("https://klasma.github.io/Logging_2180/kartor_geotiff/A 6080-2026 georefererad karta.tif", "A 6080-2026")</f>
        <v/>
      </c>
      <c r="AA28">
        <f>HYPERLINK("https://klasma.github.io/Logging_2180/klagomål/A 6080-2026 FSC-klagomål.docx", "A 6080-2026")</f>
        <v/>
      </c>
      <c r="AB28">
        <f>HYPERLINK("https://klasma.github.io/Logging_2180/klagomålsmail/A 6080-2026 FSC-klagomål mail.docx", "A 6080-2026")</f>
        <v/>
      </c>
      <c r="AC28">
        <f>HYPERLINK("https://klasma.github.io/Logging_2180/tillsyn/A 6080-2026 tillsynsbegäran.docx", "A 6080-2026")</f>
        <v/>
      </c>
      <c r="AD28">
        <f>HYPERLINK("https://klasma.github.io/Logging_2180/tillsynsmail/A 6080-2026 tillsynsbegäran mail.docx", "A 6080-2026")</f>
        <v/>
      </c>
    </row>
    <row r="29" ht="15" customHeight="1">
      <c r="A29" t="inlineStr">
        <is>
          <t>A 41028-2025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46253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Kolflarnlav
Reliktbock
Vedflamlav
Vedskivlav</t>
        </is>
      </c>
      <c r="W29">
        <f>HYPERLINK("https://klasma.github.io/Logging_2180/artfynd/A 41028-2025 artfynd.xlsx", "A 41028-2025")</f>
        <v/>
      </c>
      <c r="X29">
        <f>HYPERLINK("https://klasma.github.io/Logging_2180/kartor/A 41028-2025 karta.png", "A 41028-2025")</f>
        <v/>
      </c>
      <c r="Y29">
        <f>HYPERLINK("https://klasma.github.io/Logging_2180/kartor_geotiff/A 41028-2025 georefererad karta.tif", "A 41028-2025")</f>
        <v/>
      </c>
      <c r="AA29">
        <f>HYPERLINK("https://klasma.github.io/Logging_2180/klagomål/A 41028-2025 FSC-klagomål.docx", "A 41028-2025")</f>
        <v/>
      </c>
      <c r="AB29">
        <f>HYPERLINK("https://klasma.github.io/Logging_2180/klagomålsmail/A 41028-2025 FSC-klagomål mail.docx", "A 41028-2025")</f>
        <v/>
      </c>
      <c r="AC29">
        <f>HYPERLINK("https://klasma.github.io/Logging_2180/tillsyn/A 41028-2025 tillsynsbegäran.docx", "A 41028-2025")</f>
        <v/>
      </c>
      <c r="AD29">
        <f>HYPERLINK("https://klasma.github.io/Logging_2180/tillsynsmail/A 41028-2025 tillsynsbegäran mail.docx", "A 41028-2025")</f>
        <v/>
      </c>
    </row>
    <row r="30" ht="15" customHeight="1">
      <c r="A30" t="inlineStr">
        <is>
          <t>A 53571-2024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46253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4.9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Skogsbräsma
Svavelriska
Blåsippa
Vanlig padda</t>
        </is>
      </c>
      <c r="W30">
        <f>HYPERLINK("https://klasma.github.io/Logging_2180/artfynd/A 53571-2024 artfynd.xlsx", "A 53571-2024")</f>
        <v/>
      </c>
      <c r="X30">
        <f>HYPERLINK("https://klasma.github.io/Logging_2180/kartor/A 53571-2024 karta.png", "A 53571-2024")</f>
        <v/>
      </c>
      <c r="Y30">
        <f>HYPERLINK("https://klasma.github.io/Logging_2180/kartor_geotiff/A 53571-2024 georefererad karta.tif", "A 53571-2024")</f>
        <v/>
      </c>
      <c r="AA30">
        <f>HYPERLINK("https://klasma.github.io/Logging_2180/klagomål/A 53571-2024 FSC-klagomål.docx", "A 53571-2024")</f>
        <v/>
      </c>
      <c r="AB30">
        <f>HYPERLINK("https://klasma.github.io/Logging_2180/klagomålsmail/A 53571-2024 FSC-klagomål mail.docx", "A 53571-2024")</f>
        <v/>
      </c>
      <c r="AC30">
        <f>HYPERLINK("https://klasma.github.io/Logging_2180/tillsyn/A 53571-2024 tillsynsbegäran.docx", "A 53571-2024")</f>
        <v/>
      </c>
      <c r="AD30">
        <f>HYPERLINK("https://klasma.github.io/Logging_2180/tillsynsmail/A 53571-2024 tillsynsbegäran mail.docx", "A 53571-2024")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46253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46253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46253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46253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46253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46253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46253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46253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46253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46253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46253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46253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46253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46253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6473-2024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46253</v>
      </c>
      <c r="F47" t="inlineStr">
        <is>
          <t>GÄVLEBORGS LÄN</t>
        </is>
      </c>
      <c r="G47" t="inlineStr">
        <is>
          <t>GÄVLE</t>
        </is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Tibast
Nattviol</t>
        </is>
      </c>
      <c r="W47">
        <f>HYPERLINK("https://klasma.github.io/Logging_2180/artfynd/A 6473-2024 artfynd.xlsx", "A 6473-2024")</f>
        <v/>
      </c>
      <c r="X47">
        <f>HYPERLINK("https://klasma.github.io/Logging_2180/kartor/A 6473-2024 karta.png", "A 6473-2024")</f>
        <v/>
      </c>
      <c r="Y47">
        <f>HYPERLINK("https://klasma.github.io/Logging_2180/kartor_geotiff/A 6473-2024 georefererad karta.tif", "A 6473-2024")</f>
        <v/>
      </c>
      <c r="AA47">
        <f>HYPERLINK("https://klasma.github.io/Logging_2180/klagomål/A 6473-2024 FSC-klagomål.docx", "A 6473-2024")</f>
        <v/>
      </c>
      <c r="AB47">
        <f>HYPERLINK("https://klasma.github.io/Logging_2180/klagomålsmail/A 6473-2024 FSC-klagomål mail.docx", "A 6473-2024")</f>
        <v/>
      </c>
      <c r="AC47">
        <f>HYPERLINK("https://klasma.github.io/Logging_2180/tillsyn/A 6473-2024 tillsynsbegäran.docx", "A 6473-2024")</f>
        <v/>
      </c>
      <c r="AD47">
        <f>HYPERLINK("https://klasma.github.io/Logging_2180/tillsynsmail/A 6473-2024 tillsynsbegäran mail.docx", "A 6473-2024")</f>
        <v/>
      </c>
    </row>
    <row r="48" ht="15" customHeight="1">
      <c r="A48" t="inlineStr">
        <is>
          <t>A 32328-2024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46253</v>
      </c>
      <c r="F48" t="inlineStr">
        <is>
          <t>GÄVLEBORGS LÄN</t>
        </is>
      </c>
      <c r="G48" t="inlineStr">
        <is>
          <t>GÄVLE</t>
        </is>
      </c>
      <c r="I48" t="n">
        <v>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Spillkråka
Orre</t>
        </is>
      </c>
      <c r="W48">
        <f>HYPERLINK("https://klasma.github.io/Logging_2180/artfynd/A 32328-2024 artfynd.xlsx", "A 32328-2024")</f>
        <v/>
      </c>
      <c r="X48">
        <f>HYPERLINK("https://klasma.github.io/Logging_2180/kartor/A 32328-2024 karta.png", "A 32328-2024")</f>
        <v/>
      </c>
      <c r="Y48">
        <f>HYPERLINK("https://klasma.github.io/Logging_2180/kartor_geotiff/A 32328-2024 georefererad karta.tif", "A 32328-2024")</f>
        <v/>
      </c>
      <c r="AA48">
        <f>HYPERLINK("https://klasma.github.io/Logging_2180/klagomål/A 32328-2024 FSC-klagomål.docx", "A 32328-2024")</f>
        <v/>
      </c>
      <c r="AB48">
        <f>HYPERLINK("https://klasma.github.io/Logging_2180/klagomålsmail/A 32328-2024 FSC-klagomål mail.docx", "A 32328-2024")</f>
        <v/>
      </c>
      <c r="AC48">
        <f>HYPERLINK("https://klasma.github.io/Logging_2180/tillsyn/A 32328-2024 tillsynsbegäran.docx", "A 32328-2024")</f>
        <v/>
      </c>
      <c r="AD48">
        <f>HYPERLINK("https://klasma.github.io/Logging_2180/tillsynsmail/A 32328-2024 tillsynsbegäran mail.docx", "A 32328-2024")</f>
        <v/>
      </c>
      <c r="AE48">
        <f>HYPERLINK("https://klasma.github.io/Logging_2180/fåglar/A 32328-2024 prioriterade fågelarter.docx", "A 32328-2024")</f>
        <v/>
      </c>
    </row>
    <row r="49" ht="15" customHeight="1">
      <c r="A49" t="inlineStr">
        <is>
          <t>A 14554-2026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46253</v>
      </c>
      <c r="F49" t="inlineStr">
        <is>
          <t>GÄVLEBORGS LÄN</t>
        </is>
      </c>
      <c r="G49" t="inlineStr">
        <is>
          <t>GÄVLE</t>
        </is>
      </c>
      <c r="H49" t="inlineStr">
        <is>
          <t>Övriga statliga verk och myndigheter</t>
        </is>
      </c>
      <c r="I49" t="n">
        <v>6.6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121</v>
      </c>
      <c r="U49" t="n">
        <v>0</v>
      </c>
      <c r="V49" s="2" t="inlineStr">
        <is>
          <t>Väddnätfjäril
Sotnätfjäril</t>
        </is>
      </c>
      <c r="W49">
        <f>HYPERLINK("https://klasma.github.io/Logging_2180/artfynd/A 14554-2026 artfynd.xlsx", "A 14554-2026")</f>
        <v/>
      </c>
      <c r="X49">
        <f>HYPERLINK("https://klasma.github.io/Logging_2180/kartor/A 14554-2026 karta.png", "A 14554-2026")</f>
        <v/>
      </c>
      <c r="Y49">
        <f>HYPERLINK("https://klasma.github.io/Logging_2180/kartor_geotiff/A 14554-2026 georefererad karta.tif", "A 14554-2026")</f>
        <v/>
      </c>
      <c r="AA49">
        <f>HYPERLINK("https://klasma.github.io/Logging_2180/klagomål/A 14554-2026 FSC-klagomål.docx", "A 14554-2026")</f>
        <v/>
      </c>
      <c r="AB49">
        <f>HYPERLINK("https://klasma.github.io/Logging_2180/klagomålsmail/A 14554-2026 FSC-klagomål mail.docx", "A 14554-2026")</f>
        <v/>
      </c>
      <c r="AC49">
        <f>HYPERLINK("https://klasma.github.io/Logging_2180/tillsyn/A 14554-2026 tillsynsbegäran.docx", "A 14554-2026")</f>
        <v/>
      </c>
      <c r="AD49">
        <f>HYPERLINK("https://klasma.github.io/Logging_2180/tillsynsmail/A 14554-2026 tillsynsbegäran mail.docx", "A 14554-2026")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46253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46253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46253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13487-2026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46253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0.6</v>
      </c>
      <c r="J53" t="n">
        <v>2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Pärluggla
Sparvuggla</t>
        </is>
      </c>
      <c r="W53">
        <f>HYPERLINK("https://klasma.github.io/Logging_2180/artfynd/A 13487-2026 artfynd.xlsx", "A 13487-2026")</f>
        <v/>
      </c>
      <c r="X53">
        <f>HYPERLINK("https://klasma.github.io/Logging_2180/kartor/A 13487-2026 karta.png", "A 13487-2026")</f>
        <v/>
      </c>
      <c r="Y53">
        <f>HYPERLINK("https://klasma.github.io/Logging_2180/kartor_geotiff/A 13487-2026 georefererad karta.tif", "A 13487-2026")</f>
        <v/>
      </c>
      <c r="AA53">
        <f>HYPERLINK("https://klasma.github.io/Logging_2180/klagomål/A 13487-2026 FSC-klagomål.docx", "A 13487-2026")</f>
        <v/>
      </c>
      <c r="AB53">
        <f>HYPERLINK("https://klasma.github.io/Logging_2180/klagomålsmail/A 13487-2026 FSC-klagomål mail.docx", "A 13487-2026")</f>
        <v/>
      </c>
      <c r="AC53">
        <f>HYPERLINK("https://klasma.github.io/Logging_2180/tillsyn/A 13487-2026 tillsynsbegäran.docx", "A 13487-2026")</f>
        <v/>
      </c>
      <c r="AD53">
        <f>HYPERLINK("https://klasma.github.io/Logging_2180/tillsynsmail/A 13487-2026 tillsynsbegäran mail.docx", "A 13487-2026")</f>
        <v/>
      </c>
      <c r="AE53">
        <f>HYPERLINK("https://klasma.github.io/Logging_2180/fåglar/A 13487-2026 prioriterade fågelarter.docx", "A 13487-2026")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46253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46253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19718-2026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46253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10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Rödvingetrast
Nattskärra</t>
        </is>
      </c>
      <c r="W56">
        <f>HYPERLINK("https://klasma.github.io/Logging_2180/artfynd/A 19718-2026 artfynd.xlsx", "A 19718-2026")</f>
        <v/>
      </c>
      <c r="X56">
        <f>HYPERLINK("https://klasma.github.io/Logging_2180/kartor/A 19718-2026 karta.png", "A 19718-2026")</f>
        <v/>
      </c>
      <c r="Y56">
        <f>HYPERLINK("https://klasma.github.io/Logging_2180/kartor_geotiff/A 19718-2026 georefererad karta.tif", "A 19718-2026")</f>
        <v/>
      </c>
      <c r="AA56">
        <f>HYPERLINK("https://klasma.github.io/Logging_2180/klagomål/A 19718-2026 FSC-klagomål.docx", "A 19718-2026")</f>
        <v/>
      </c>
      <c r="AB56">
        <f>HYPERLINK("https://klasma.github.io/Logging_2180/klagomålsmail/A 19718-2026 FSC-klagomål mail.docx", "A 19718-2026")</f>
        <v/>
      </c>
      <c r="AC56">
        <f>HYPERLINK("https://klasma.github.io/Logging_2180/tillsyn/A 19718-2026 tillsynsbegäran.docx", "A 19718-2026")</f>
        <v/>
      </c>
      <c r="AD56">
        <f>HYPERLINK("https://klasma.github.io/Logging_2180/tillsynsmail/A 19718-2026 tillsynsbegäran mail.docx", "A 19718-2026")</f>
        <v/>
      </c>
      <c r="AE56">
        <f>HYPERLINK("https://klasma.github.io/Logging_2180/fåglar/A 19718-2026 prioriterade fågelarter.docx", "A 19718-2026")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46253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20323-2026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46253</v>
      </c>
      <c r="F58" t="inlineStr">
        <is>
          <t>GÄVLEBORGS LÄN</t>
        </is>
      </c>
      <c r="G58" t="inlineStr">
        <is>
          <t>GÄVLE</t>
        </is>
      </c>
      <c r="I58" t="n">
        <v>1.4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Grön sköldmossa
Tjäder</t>
        </is>
      </c>
      <c r="W58">
        <f>HYPERLINK("https://klasma.github.io/Logging_2180/artfynd/A 20323-2026 artfynd.xlsx", "A 20323-2026")</f>
        <v/>
      </c>
      <c r="X58">
        <f>HYPERLINK("https://klasma.github.io/Logging_2180/kartor/A 20323-2026 karta.png", "A 20323-2026")</f>
        <v/>
      </c>
      <c r="Y58">
        <f>HYPERLINK("https://klasma.github.io/Logging_2180/kartor_geotiff/A 20323-2026 georefererad karta.tif", "A 20323-2026")</f>
        <v/>
      </c>
      <c r="AA58">
        <f>HYPERLINK("https://klasma.github.io/Logging_2180/klagomål/A 20323-2026 FSC-klagomål.docx", "A 20323-2026")</f>
        <v/>
      </c>
      <c r="AB58">
        <f>HYPERLINK("https://klasma.github.io/Logging_2180/klagomålsmail/A 20323-2026 FSC-klagomål mail.docx", "A 20323-2026")</f>
        <v/>
      </c>
      <c r="AC58">
        <f>HYPERLINK("https://klasma.github.io/Logging_2180/tillsyn/A 20323-2026 tillsynsbegäran.docx", "A 20323-2026")</f>
        <v/>
      </c>
      <c r="AD58">
        <f>HYPERLINK("https://klasma.github.io/Logging_2180/tillsynsmail/A 20323-2026 tillsynsbegäran mail.docx", "A 20323-2026")</f>
        <v/>
      </c>
      <c r="AE58">
        <f>HYPERLINK("https://klasma.github.io/Logging_2180/fåglar/A 20323-2026 prioriterade fågelarter.docx", "A 20323-2026")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46253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14701-2026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46101</v>
      </c>
      <c r="E60" s="1" t="n">
        <v>46253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Fläcknycklar</t>
        </is>
      </c>
      <c r="W60">
        <f>HYPERLINK("https://klasma.github.io/Logging_2180/artfynd/A 14701-2026 artfynd.xlsx", "A 14701-2026")</f>
        <v/>
      </c>
      <c r="X60">
        <f>HYPERLINK("https://klasma.github.io/Logging_2180/kartor/A 14701-2026 karta.png", "A 14701-2026")</f>
        <v/>
      </c>
      <c r="Y60">
        <f>HYPERLINK("https://klasma.github.io/Logging_2180/kartor_geotiff/A 14701-2026 georefererad karta.tif", "A 14701-2026")</f>
        <v/>
      </c>
      <c r="AA60">
        <f>HYPERLINK("https://klasma.github.io/Logging_2180/klagomål/A 14701-2026 FSC-klagomål.docx", "A 14701-2026")</f>
        <v/>
      </c>
      <c r="AB60">
        <f>HYPERLINK("https://klasma.github.io/Logging_2180/klagomålsmail/A 14701-2026 FSC-klagomål mail.docx", "A 14701-2026")</f>
        <v/>
      </c>
      <c r="AC60">
        <f>HYPERLINK("https://klasma.github.io/Logging_2180/tillsyn/A 14701-2026 tillsynsbegäran.docx", "A 14701-2026")</f>
        <v/>
      </c>
      <c r="AD60">
        <f>HYPERLINK("https://klasma.github.io/Logging_2180/tillsynsmail/A 14701-2026 tillsynsbegäran mail.docx", "A 14701-2026")</f>
        <v/>
      </c>
      <c r="AE60">
        <f>HYPERLINK("https://klasma.github.io/Logging_2180/fåglar/A 14701-2026 prioriterade fågelarter.docx", "A 14701-2026")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46253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46253</v>
      </c>
      <c r="F62" t="inlineStr">
        <is>
          <t>GÄVLEBORGS LÄN</t>
        </is>
      </c>
      <c r="G62" t="inlineStr">
        <is>
          <t>GÄVLE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Blåsippa</t>
        </is>
      </c>
      <c r="W62">
        <f>HYPERLINK("https://klasma.github.io/Logging_2180/artfynd/A 17297-2026 artfynd.xlsx", "A 17297-2026")</f>
        <v/>
      </c>
      <c r="X62">
        <f>HYPERLINK("https://klasma.github.io/Logging_2180/kartor/A 17297-2026 karta.png", "A 17297-2026")</f>
        <v/>
      </c>
      <c r="Y62">
        <f>HYPERLINK("https://klasma.github.io/Logging_2180/kartor_geotiff/A 17297-2026 georefererad karta.tif", "A 17297-2026")</f>
        <v/>
      </c>
      <c r="AA62">
        <f>HYPERLINK("https://klasma.github.io/Logging_2180/klagomål/A 17297-2026 FSC-klagomål.docx", "A 17297-2026")</f>
        <v/>
      </c>
      <c r="AB62">
        <f>HYPERLINK("https://klasma.github.io/Logging_2180/klagomålsmail/A 17297-2026 FSC-klagomål mail.docx", "A 17297-2026")</f>
        <v/>
      </c>
      <c r="AC62">
        <f>HYPERLINK("https://klasma.github.io/Logging_2180/tillsyn/A 17297-2026 tillsynsbegäran.docx", "A 17297-2026")</f>
        <v/>
      </c>
      <c r="AD62">
        <f>HYPERLINK("https://klasma.github.io/Logging_2180/tillsynsmail/A 17297-2026 tillsynsbegäran mail.docx", "A 17297-2026")</f>
        <v/>
      </c>
    </row>
    <row r="63" ht="15" customHeight="1">
      <c r="A63" t="inlineStr">
        <is>
          <t>A 23257-2026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46253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42.1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Havsörn</t>
        </is>
      </c>
      <c r="W63">
        <f>HYPERLINK("https://klasma.github.io/Logging_2180/artfynd/A 23257-2026 artfynd.xlsx", "A 23257-2026")</f>
        <v/>
      </c>
      <c r="X63">
        <f>HYPERLINK("https://klasma.github.io/Logging_2180/kartor/A 23257-2026 karta.png", "A 23257-2026")</f>
        <v/>
      </c>
      <c r="Y63">
        <f>HYPERLINK("https://klasma.github.io/Logging_2180/kartor_geotiff/A 23257-2026 georefererad karta.tif", "A 23257-2026")</f>
        <v/>
      </c>
      <c r="AA63">
        <f>HYPERLINK("https://klasma.github.io/Logging_2180/klagomål/A 23257-2026 FSC-klagomål.docx", "A 23257-2026")</f>
        <v/>
      </c>
      <c r="AB63">
        <f>HYPERLINK("https://klasma.github.io/Logging_2180/klagomålsmail/A 23257-2026 FSC-klagomål mail.docx", "A 23257-2026")</f>
        <v/>
      </c>
      <c r="AC63">
        <f>HYPERLINK("https://klasma.github.io/Logging_2180/tillsyn/A 23257-2026 tillsynsbegäran.docx", "A 23257-2026")</f>
        <v/>
      </c>
      <c r="AD63">
        <f>HYPERLINK("https://klasma.github.io/Logging_2180/tillsynsmail/A 23257-2026 tillsynsbegäran mail.docx", "A 23257-2026")</f>
        <v/>
      </c>
      <c r="AE63">
        <f>HYPERLINK("https://klasma.github.io/Logging_2180/fåglar/A 23257-2026 prioriterade fågelarter.docx", "A 23257-2026")</f>
        <v/>
      </c>
    </row>
    <row r="64" ht="15" customHeight="1">
      <c r="A64" t="inlineStr">
        <is>
          <t>A 24310-2026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46169</v>
      </c>
      <c r="E64" s="1" t="n">
        <v>46253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Kattfotslav</t>
        </is>
      </c>
      <c r="W64">
        <f>HYPERLINK("https://klasma.github.io/Logging_2180/artfynd/A 24310-2026 artfynd.xlsx", "A 24310-2026")</f>
        <v/>
      </c>
      <c r="X64">
        <f>HYPERLINK("https://klasma.github.io/Logging_2180/kartor/A 24310-2026 karta.png", "A 24310-2026")</f>
        <v/>
      </c>
      <c r="Y64">
        <f>HYPERLINK("https://klasma.github.io/Logging_2180/kartor_geotiff/A 24310-2026 georefererad karta.tif", "A 24310-2026")</f>
        <v/>
      </c>
      <c r="AA64">
        <f>HYPERLINK("https://klasma.github.io/Logging_2180/klagomål/A 24310-2026 FSC-klagomål.docx", "A 24310-2026")</f>
        <v/>
      </c>
      <c r="AB64">
        <f>HYPERLINK("https://klasma.github.io/Logging_2180/klagomålsmail/A 24310-2026 FSC-klagomål mail.docx", "A 24310-2026")</f>
        <v/>
      </c>
      <c r="AC64">
        <f>HYPERLINK("https://klasma.github.io/Logging_2180/tillsyn/A 24310-2026 tillsynsbegäran.docx", "A 24310-2026")</f>
        <v/>
      </c>
      <c r="AD64">
        <f>HYPERLINK("https://klasma.github.io/Logging_2180/tillsynsmail/A 24310-2026 tillsynsbegäran mail.docx", "A 24310-2026")</f>
        <v/>
      </c>
    </row>
    <row r="65" ht="15" customHeight="1">
      <c r="A65" t="inlineStr">
        <is>
          <t>A 24915-2026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46253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3.1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Höstlåsbräken
Månlåsbräken</t>
        </is>
      </c>
      <c r="W65">
        <f>HYPERLINK("https://klasma.github.io/Logging_2180/artfynd/A 24915-2026 artfynd.xlsx", "A 24915-2026")</f>
        <v/>
      </c>
      <c r="X65">
        <f>HYPERLINK("https://klasma.github.io/Logging_2180/kartor/A 24915-2026 karta.png", "A 24915-2026")</f>
        <v/>
      </c>
      <c r="Y65">
        <f>HYPERLINK("https://klasma.github.io/Logging_2180/kartor_geotiff/A 24915-2026 georefererad karta.tif", "A 24915-2026")</f>
        <v/>
      </c>
      <c r="AA65">
        <f>HYPERLINK("https://klasma.github.io/Logging_2180/klagomål/A 24915-2026 FSC-klagomål.docx", "A 24915-2026")</f>
        <v/>
      </c>
      <c r="AB65">
        <f>HYPERLINK("https://klasma.github.io/Logging_2180/klagomålsmail/A 24915-2026 FSC-klagomål mail.docx", "A 24915-2026")</f>
        <v/>
      </c>
      <c r="AC65">
        <f>HYPERLINK("https://klasma.github.io/Logging_2180/tillsyn/A 24915-2026 tillsynsbegäran.docx", "A 24915-2026")</f>
        <v/>
      </c>
      <c r="AD65">
        <f>HYPERLINK("https://klasma.github.io/Logging_2180/tillsynsmail/A 24915-2026 tillsynsbegäran mail.docx", "A 24915-2026")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46253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27045-2026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46253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27045-2026 artfynd.xlsx", "A 27045-2026")</f>
        <v/>
      </c>
      <c r="X67">
        <f>HYPERLINK("https://klasma.github.io/Logging_2180/kartor/A 27045-2026 karta.png", "A 27045-2026")</f>
        <v/>
      </c>
      <c r="Y67">
        <f>HYPERLINK("https://klasma.github.io/Logging_2180/kartor_geotiff/A 27045-2026 georefererad karta.tif", "A 27045-2026")</f>
        <v/>
      </c>
      <c r="AA67">
        <f>HYPERLINK("https://klasma.github.io/Logging_2180/klagomål/A 27045-2026 FSC-klagomål.docx", "A 27045-2026")</f>
        <v/>
      </c>
      <c r="AB67">
        <f>HYPERLINK("https://klasma.github.io/Logging_2180/klagomålsmail/A 27045-2026 FSC-klagomål mail.docx", "A 27045-2026")</f>
        <v/>
      </c>
      <c r="AC67">
        <f>HYPERLINK("https://klasma.github.io/Logging_2180/tillsyn/A 27045-2026 tillsynsbegäran.docx", "A 27045-2026")</f>
        <v/>
      </c>
      <c r="AD67">
        <f>HYPERLINK("https://klasma.github.io/Logging_2180/tillsynsmail/A 27045-2026 tillsynsbegäran mail.docx", "A 27045-2026")</f>
        <v/>
      </c>
    </row>
    <row r="68" ht="15" customHeight="1">
      <c r="A68" t="inlineStr">
        <is>
          <t>A 13727-2025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46253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7.6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2</v>
      </c>
      <c r="V68" s="2" t="inlineStr">
        <is>
          <t>Ullticka
Järpe</t>
        </is>
      </c>
      <c r="W68">
        <f>HYPERLINK("https://klasma.github.io/Logging_2180/artfynd/A 13727-2025 artfynd.xlsx", "A 13727-2025")</f>
        <v/>
      </c>
      <c r="X68">
        <f>HYPERLINK("https://klasma.github.io/Logging_2180/kartor/A 13727-2025 karta.png", "A 13727-2025")</f>
        <v/>
      </c>
      <c r="Y68">
        <f>HYPERLINK("https://klasma.github.io/Logging_2180/kartor_geotiff/A 13727-2025 georefererad karta.tif", "A 13727-2025")</f>
        <v/>
      </c>
      <c r="AA68">
        <f>HYPERLINK("https://klasma.github.io/Logging_2180/klagomål/A 13727-2025 FSC-klagomål.docx", "A 13727-2025")</f>
        <v/>
      </c>
      <c r="AB68">
        <f>HYPERLINK("https://klasma.github.io/Logging_2180/klagomålsmail/A 13727-2025 FSC-klagomål mail.docx", "A 13727-2025")</f>
        <v/>
      </c>
      <c r="AC68">
        <f>HYPERLINK("https://klasma.github.io/Logging_2180/tillsyn/A 13727-2025 tillsynsbegäran.docx", "A 13727-2025")</f>
        <v/>
      </c>
      <c r="AD68">
        <f>HYPERLINK("https://klasma.github.io/Logging_2180/tillsynsmail/A 13727-2025 tillsynsbegäran mail.docx", "A 13727-2025")</f>
        <v/>
      </c>
      <c r="AE68">
        <f>HYPERLINK("https://klasma.github.io/Logging_2180/fåglar/A 13727-2025 prioriterade fågelarter.docx", "A 13727-2025")</f>
        <v/>
      </c>
    </row>
    <row r="69" ht="15" customHeight="1">
      <c r="A69" t="inlineStr">
        <is>
          <t>A 35989-2024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46253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Jättesvampmal</t>
        </is>
      </c>
      <c r="W69">
        <f>HYPERLINK("https://klasma.github.io/Logging_2180/artfynd/A 35989-2024 artfynd.xlsx", "A 35989-2024")</f>
        <v/>
      </c>
      <c r="X69">
        <f>HYPERLINK("https://klasma.github.io/Logging_2180/kartor/A 35989-2024 karta.png", "A 35989-2024")</f>
        <v/>
      </c>
      <c r="Y69">
        <f>HYPERLINK("https://klasma.github.io/Logging_2180/kartor_geotiff/A 35989-2024 georefererad karta.tif", "A 35989-2024")</f>
        <v/>
      </c>
      <c r="Z69">
        <f>HYPERLINK("https://klasma.github.io/Logging_2180/knärot/A 35989-2024 karta knärot.png", "A 35989-2024")</f>
        <v/>
      </c>
      <c r="AA69">
        <f>HYPERLINK("https://klasma.github.io/Logging_2180/klagomål/A 35989-2024 FSC-klagomål.docx", "A 35989-2024")</f>
        <v/>
      </c>
      <c r="AB69">
        <f>HYPERLINK("https://klasma.github.io/Logging_2180/klagomålsmail/A 35989-2024 FSC-klagomål mail.docx", "A 35989-2024")</f>
        <v/>
      </c>
      <c r="AC69">
        <f>HYPERLINK("https://klasma.github.io/Logging_2180/tillsyn/A 35989-2024 tillsynsbegäran.docx", "A 35989-2024")</f>
        <v/>
      </c>
      <c r="AD69">
        <f>HYPERLINK("https://klasma.github.io/Logging_2180/tillsynsmail/A 35989-2024 tillsynsbegäran mail.docx", "A 35989-2024")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46253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29821-2023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46253</v>
      </c>
      <c r="F71" t="inlineStr">
        <is>
          <t>GÄVLEBORGS LÄN</t>
        </is>
      </c>
      <c r="G71" t="inlineStr">
        <is>
          <t>GÄVLE</t>
        </is>
      </c>
      <c r="I71" t="n">
        <v>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Järnsparv
Svartvit flugsnappare</t>
        </is>
      </c>
      <c r="W71">
        <f>HYPERLINK("https://klasma.github.io/Logging_2180/artfynd/A 29821-2023 artfynd.xlsx", "A 29821-2023")</f>
        <v/>
      </c>
      <c r="X71">
        <f>HYPERLINK("https://klasma.github.io/Logging_2180/kartor/A 29821-2023 karta.png", "A 29821-2023")</f>
        <v/>
      </c>
      <c r="Y71">
        <f>HYPERLINK("https://klasma.github.io/Logging_2180/kartor_geotiff/A 29821-2023 georefererad karta.tif", "A 29821-2023")</f>
        <v/>
      </c>
      <c r="AA71">
        <f>HYPERLINK("https://klasma.github.io/Logging_2180/klagomål/A 29821-2023 FSC-klagomål.docx", "A 29821-2023")</f>
        <v/>
      </c>
      <c r="AB71">
        <f>HYPERLINK("https://klasma.github.io/Logging_2180/klagomålsmail/A 29821-2023 FSC-klagomål mail.docx", "A 29821-2023")</f>
        <v/>
      </c>
      <c r="AC71">
        <f>HYPERLINK("https://klasma.github.io/Logging_2180/tillsyn/A 29821-2023 tillsynsbegäran.docx", "A 29821-2023")</f>
        <v/>
      </c>
      <c r="AD71">
        <f>HYPERLINK("https://klasma.github.io/Logging_2180/tillsynsmail/A 29821-2023 tillsynsbegäran mail.docx", "A 29821-2023")</f>
        <v/>
      </c>
      <c r="AE71">
        <f>HYPERLINK("https://klasma.github.io/Logging_2180/fåglar/A 29821-2023 prioriterade fågelarter.docx", "A 29821-2023")</f>
        <v/>
      </c>
    </row>
    <row r="72" ht="15" customHeight="1">
      <c r="A72" t="inlineStr">
        <is>
          <t>A 64533-2023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46253</v>
      </c>
      <c r="F72" t="inlineStr">
        <is>
          <t>GÄVLEBORGS LÄN</t>
        </is>
      </c>
      <c r="G72" t="inlineStr">
        <is>
          <t>GÄVLE</t>
        </is>
      </c>
      <c r="I72" t="n">
        <v>1.1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Aspvedgnagare
Jättesvampmal</t>
        </is>
      </c>
      <c r="W72">
        <f>HYPERLINK("https://klasma.github.io/Logging_2180/artfynd/A 64533-2023 artfynd.xlsx", "A 64533-2023")</f>
        <v/>
      </c>
      <c r="X72">
        <f>HYPERLINK("https://klasma.github.io/Logging_2180/kartor/A 64533-2023 karta.png", "A 64533-2023")</f>
        <v/>
      </c>
      <c r="Y72">
        <f>HYPERLINK("https://klasma.github.io/Logging_2180/kartor_geotiff/A 64533-2023 georefererad karta.tif", "A 64533-2023")</f>
        <v/>
      </c>
      <c r="AA72">
        <f>HYPERLINK("https://klasma.github.io/Logging_2180/klagomål/A 64533-2023 FSC-klagomål.docx", "A 64533-2023")</f>
        <v/>
      </c>
      <c r="AB72">
        <f>HYPERLINK("https://klasma.github.io/Logging_2180/klagomålsmail/A 64533-2023 FSC-klagomål mail.docx", "A 64533-2023")</f>
        <v/>
      </c>
      <c r="AC72">
        <f>HYPERLINK("https://klasma.github.io/Logging_2180/tillsyn/A 64533-2023 tillsynsbegäran.docx", "A 64533-2023")</f>
        <v/>
      </c>
      <c r="AD72">
        <f>HYPERLINK("https://klasma.github.io/Logging_2180/tillsynsmail/A 64533-2023 tillsynsbegäran mail.docx", "A 64533-2023")</f>
        <v/>
      </c>
    </row>
    <row r="73" ht="15" customHeight="1">
      <c r="A73" t="inlineStr">
        <is>
          <t>A 23447-2025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46253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Kopparödla
Fläcknycklar</t>
        </is>
      </c>
      <c r="W73">
        <f>HYPERLINK("https://klasma.github.io/Logging_2180/artfynd/A 23447-2025 artfynd.xlsx", "A 23447-2025")</f>
        <v/>
      </c>
      <c r="X73">
        <f>HYPERLINK("https://klasma.github.io/Logging_2180/kartor/A 23447-2025 karta.png", "A 23447-2025")</f>
        <v/>
      </c>
      <c r="Y73">
        <f>HYPERLINK("https://klasma.github.io/Logging_2180/kartor_geotiff/A 23447-2025 georefererad karta.tif", "A 23447-2025")</f>
        <v/>
      </c>
      <c r="AA73">
        <f>HYPERLINK("https://klasma.github.io/Logging_2180/klagomål/A 23447-2025 FSC-klagomål.docx", "A 23447-2025")</f>
        <v/>
      </c>
      <c r="AB73">
        <f>HYPERLINK("https://klasma.github.io/Logging_2180/klagomålsmail/A 23447-2025 FSC-klagomål mail.docx", "A 23447-2025")</f>
        <v/>
      </c>
      <c r="AC73">
        <f>HYPERLINK("https://klasma.github.io/Logging_2180/tillsyn/A 23447-2025 tillsynsbegäran.docx", "A 23447-2025")</f>
        <v/>
      </c>
      <c r="AD73">
        <f>HYPERLINK("https://klasma.github.io/Logging_2180/tillsynsmail/A 23447-2025 tillsynsbegäran mail.docx", "A 23447-2025")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46253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46253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13227-2024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46253</v>
      </c>
      <c r="F76" t="inlineStr">
        <is>
          <t>GÄVLEBORGS LÄN</t>
        </is>
      </c>
      <c r="G76" t="inlineStr">
        <is>
          <t>GÄVLE</t>
        </is>
      </c>
      <c r="H76" t="inlineStr">
        <is>
          <t>Övriga statliga verk och myndigheter</t>
        </is>
      </c>
      <c r="I76" t="n">
        <v>5.9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Större vattensalamander</t>
        </is>
      </c>
      <c r="W76">
        <f>HYPERLINK("https://klasma.github.io/Logging_2180/artfynd/A 13227-2024 artfynd.xlsx", "A 13227-2024")</f>
        <v/>
      </c>
      <c r="X76">
        <f>HYPERLINK("https://klasma.github.io/Logging_2180/kartor/A 13227-2024 karta.png", "A 13227-2024")</f>
        <v/>
      </c>
      <c r="Y76">
        <f>HYPERLINK("https://klasma.github.io/Logging_2180/kartor_geotiff/A 13227-2024 georefererad karta.tif", "A 13227-2024")</f>
        <v/>
      </c>
      <c r="AA76">
        <f>HYPERLINK("https://klasma.github.io/Logging_2180/klagomål/A 13227-2024 FSC-klagomål.docx", "A 13227-2024")</f>
        <v/>
      </c>
      <c r="AB76">
        <f>HYPERLINK("https://klasma.github.io/Logging_2180/klagomålsmail/A 13227-2024 FSC-klagomål mail.docx", "A 13227-2024")</f>
        <v/>
      </c>
      <c r="AC76">
        <f>HYPERLINK("https://klasma.github.io/Logging_2180/tillsyn/A 13227-2024 tillsynsbegäran.docx", "A 13227-2024")</f>
        <v/>
      </c>
      <c r="AD76">
        <f>HYPERLINK("https://klasma.github.io/Logging_2180/tillsynsmail/A 13227-2024 tillsynsbegäran mail.docx", "A 13227-2024")</f>
        <v/>
      </c>
    </row>
    <row r="77" ht="15" customHeight="1">
      <c r="A77" t="inlineStr">
        <is>
          <t>A 32254-2023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45120</v>
      </c>
      <c r="E77" s="1" t="n">
        <v>46253</v>
      </c>
      <c r="F77" t="inlineStr">
        <is>
          <t>GÄVLEBORGS LÄN</t>
        </is>
      </c>
      <c r="G77" t="inlineStr">
        <is>
          <t>GÄVLE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Slåtterfibbla</t>
        </is>
      </c>
      <c r="W77">
        <f>HYPERLINK("https://klasma.github.io/Logging_2180/artfynd/A 32254-2023 artfynd.xlsx", "A 32254-2023")</f>
        <v/>
      </c>
      <c r="X77">
        <f>HYPERLINK("https://klasma.github.io/Logging_2180/kartor/A 32254-2023 karta.png", "A 32254-2023")</f>
        <v/>
      </c>
      <c r="Y77">
        <f>HYPERLINK("https://klasma.github.io/Logging_2180/kartor_geotiff/A 32254-2023 georefererad karta.tif", "A 32254-2023")</f>
        <v/>
      </c>
      <c r="AA77">
        <f>HYPERLINK("https://klasma.github.io/Logging_2180/klagomål/A 32254-2023 FSC-klagomål.docx", "A 32254-2023")</f>
        <v/>
      </c>
      <c r="AB77">
        <f>HYPERLINK("https://klasma.github.io/Logging_2180/klagomålsmail/A 32254-2023 FSC-klagomål mail.docx", "A 32254-2023")</f>
        <v/>
      </c>
      <c r="AC77">
        <f>HYPERLINK("https://klasma.github.io/Logging_2180/tillsyn/A 32254-2023 tillsynsbegäran.docx", "A 32254-2023")</f>
        <v/>
      </c>
      <c r="AD77">
        <f>HYPERLINK("https://klasma.github.io/Logging_2180/tillsynsmail/A 32254-2023 tillsynsbegäran mail.docx", "A 32254-2023")</f>
        <v/>
      </c>
    </row>
    <row r="78" ht="15" customHeight="1">
      <c r="A78" t="inlineStr">
        <is>
          <t>A 12338-2025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46253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6.8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1</v>
      </c>
      <c r="V78" s="2" t="inlineStr">
        <is>
          <t>Skogsklocka</t>
        </is>
      </c>
      <c r="W78">
        <f>HYPERLINK("https://klasma.github.io/Logging_2180/artfynd/A 12338-2025 artfynd.xlsx", "A 12338-2025")</f>
        <v/>
      </c>
      <c r="X78">
        <f>HYPERLINK("https://klasma.github.io/Logging_2180/kartor/A 12338-2025 karta.png", "A 12338-2025")</f>
        <v/>
      </c>
      <c r="Y78">
        <f>HYPERLINK("https://klasma.github.io/Logging_2180/kartor_geotiff/A 12338-2025 georefererad karta.tif", "A 12338-2025")</f>
        <v/>
      </c>
      <c r="AA78">
        <f>HYPERLINK("https://klasma.github.io/Logging_2180/klagomål/A 12338-2025 FSC-klagomål.docx", "A 12338-2025")</f>
        <v/>
      </c>
      <c r="AB78">
        <f>HYPERLINK("https://klasma.github.io/Logging_2180/klagomålsmail/A 12338-2025 FSC-klagomål mail.docx", "A 12338-2025")</f>
        <v/>
      </c>
      <c r="AC78">
        <f>HYPERLINK("https://klasma.github.io/Logging_2180/tillsyn/A 12338-2025 tillsynsbegäran.docx", "A 12338-2025")</f>
        <v/>
      </c>
      <c r="AD78">
        <f>HYPERLINK("https://klasma.github.io/Logging_2180/tillsynsmail/A 12338-2025 tillsynsbegäran mail.docx", "A 12338-2025")</f>
        <v/>
      </c>
    </row>
    <row r="79" ht="15" customHeight="1">
      <c r="A79" t="inlineStr">
        <is>
          <t>A 38550-2025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46253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HYPERLINK("https://klasma.github.io/Logging_2180/artfynd/A 38550-2025 artfynd.xlsx", "A 38550-2025")</f>
        <v/>
      </c>
      <c r="X79">
        <f>HYPERLINK("https://klasma.github.io/Logging_2180/kartor/A 38550-2025 karta.png", "A 38550-2025")</f>
        <v/>
      </c>
      <c r="Y79">
        <f>HYPERLINK("https://klasma.github.io/Logging_2180/kartor_geotiff/A 38550-2025 georefererad karta.tif", "A 38550-2025")</f>
        <v/>
      </c>
      <c r="AA79">
        <f>HYPERLINK("https://klasma.github.io/Logging_2180/klagomål/A 38550-2025 FSC-klagomål.docx", "A 38550-2025")</f>
        <v/>
      </c>
      <c r="AB79">
        <f>HYPERLINK("https://klasma.github.io/Logging_2180/klagomålsmail/A 38550-2025 FSC-klagomål mail.docx", "A 38550-2025")</f>
        <v/>
      </c>
      <c r="AC79">
        <f>HYPERLINK("https://klasma.github.io/Logging_2180/tillsyn/A 38550-2025 tillsynsbegäran.docx", "A 38550-2025")</f>
        <v/>
      </c>
      <c r="AD79">
        <f>HYPERLINK("https://klasma.github.io/Logging_2180/tillsynsmail/A 38550-2025 tillsynsbegäran mail.docx", "A 38550-2025")</f>
        <v/>
      </c>
    </row>
    <row r="80" ht="15" customHeight="1">
      <c r="A80" t="inlineStr">
        <is>
          <t>A 26157-2022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44735</v>
      </c>
      <c r="E80" s="1" t="n">
        <v>46253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HYPERLINK("https://klasma.github.io/Logging_2180/artfynd/A 26157-2022 artfynd.xlsx", "A 26157-2022")</f>
        <v/>
      </c>
      <c r="X80">
        <f>HYPERLINK("https://klasma.github.io/Logging_2180/kartor/A 26157-2022 karta.png", "A 26157-2022")</f>
        <v/>
      </c>
      <c r="Y80">
        <f>HYPERLINK("https://klasma.github.io/Logging_2180/kartor_geotiff/A 26157-2022 georefererad karta.tif", "A 26157-2022")</f>
        <v/>
      </c>
      <c r="AA80">
        <f>HYPERLINK("https://klasma.github.io/Logging_2180/klagomål/A 26157-2022 FSC-klagomål.docx", "A 26157-2022")</f>
        <v/>
      </c>
      <c r="AB80">
        <f>HYPERLINK("https://klasma.github.io/Logging_2180/klagomålsmail/A 26157-2022 FSC-klagomål mail.docx", "A 26157-2022")</f>
        <v/>
      </c>
      <c r="AC80">
        <f>HYPERLINK("https://klasma.github.io/Logging_2180/tillsyn/A 26157-2022 tillsynsbegäran.docx", "A 26157-2022")</f>
        <v/>
      </c>
      <c r="AD80">
        <f>HYPERLINK("https://klasma.github.io/Logging_2180/tillsynsmail/A 26157-2022 tillsynsbegäran mail.docx", "A 26157-2022")</f>
        <v/>
      </c>
    </row>
    <row r="81" ht="15" customHeight="1">
      <c r="A81" t="inlineStr">
        <is>
          <t>A 63288-2025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46253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5.3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Scharlakansskål</t>
        </is>
      </c>
      <c r="W81">
        <f>HYPERLINK("https://klasma.github.io/Logging_2180/artfynd/A 63288-2025 artfynd.xlsx", "A 63288-2025")</f>
        <v/>
      </c>
      <c r="X81">
        <f>HYPERLINK("https://klasma.github.io/Logging_2180/kartor/A 63288-2025 karta.png", "A 63288-2025")</f>
        <v/>
      </c>
      <c r="Y81">
        <f>HYPERLINK("https://klasma.github.io/Logging_2180/kartor_geotiff/A 63288-2025 georefererad karta.tif", "A 63288-2025")</f>
        <v/>
      </c>
      <c r="AA81">
        <f>HYPERLINK("https://klasma.github.io/Logging_2180/klagomål/A 63288-2025 FSC-klagomål.docx", "A 63288-2025")</f>
        <v/>
      </c>
      <c r="AB81">
        <f>HYPERLINK("https://klasma.github.io/Logging_2180/klagomålsmail/A 63288-2025 FSC-klagomål mail.docx", "A 63288-2025")</f>
        <v/>
      </c>
      <c r="AC81">
        <f>HYPERLINK("https://klasma.github.io/Logging_2180/tillsyn/A 63288-2025 tillsynsbegäran.docx", "A 63288-2025")</f>
        <v/>
      </c>
      <c r="AD81">
        <f>HYPERLINK("https://klasma.github.io/Logging_2180/tillsynsmail/A 63288-2025 tillsynsbegäran mail.docx", "A 63288-2025")</f>
        <v/>
      </c>
    </row>
    <row r="82" ht="15" customHeight="1">
      <c r="A82" t="inlineStr">
        <is>
          <t>A 51508-2024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46253</v>
      </c>
      <c r="F82" t="inlineStr">
        <is>
          <t>GÄVLEBORGS LÄN</t>
        </is>
      </c>
      <c r="G82" t="inlineStr">
        <is>
          <t>GÄVLE</t>
        </is>
      </c>
      <c r="I82" t="n">
        <v>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HYPERLINK("https://klasma.github.io/Logging_2180/artfynd/A 51508-2024 artfynd.xlsx", "A 51508-2024")</f>
        <v/>
      </c>
      <c r="X82">
        <f>HYPERLINK("https://klasma.github.io/Logging_2180/kartor/A 51508-2024 karta.png", "A 51508-2024")</f>
        <v/>
      </c>
      <c r="Y82">
        <f>HYPERLINK("https://klasma.github.io/Logging_2180/kartor_geotiff/A 51508-2024 georefererad karta.tif", "A 51508-2024")</f>
        <v/>
      </c>
      <c r="AA82">
        <f>HYPERLINK("https://klasma.github.io/Logging_2180/klagomål/A 51508-2024 FSC-klagomål.docx", "A 51508-2024")</f>
        <v/>
      </c>
      <c r="AB82">
        <f>HYPERLINK("https://klasma.github.io/Logging_2180/klagomålsmail/A 51508-2024 FSC-klagomål mail.docx", "A 51508-2024")</f>
        <v/>
      </c>
      <c r="AC82">
        <f>HYPERLINK("https://klasma.github.io/Logging_2180/tillsyn/A 51508-2024 tillsynsbegäran.docx", "A 51508-2024")</f>
        <v/>
      </c>
      <c r="AD82">
        <f>HYPERLINK("https://klasma.github.io/Logging_2180/tillsynsmail/A 51508-2024 tillsynsbegäran mail.docx", "A 51508-2024")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46253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46253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50052-2025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46253</v>
      </c>
      <c r="F85" t="inlineStr">
        <is>
          <t>GÄVLEBORGS LÄN</t>
        </is>
      </c>
      <c r="G85" t="inlineStr">
        <is>
          <t>GÄVLE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Mosippa</t>
        </is>
      </c>
      <c r="W85">
        <f>HYPERLINK("https://klasma.github.io/Logging_2180/artfynd/A 50052-2025 artfynd.xlsx", "A 50052-2025")</f>
        <v/>
      </c>
      <c r="X85">
        <f>HYPERLINK("https://klasma.github.io/Logging_2180/kartor/A 50052-2025 karta.png", "A 50052-2025")</f>
        <v/>
      </c>
      <c r="Y85">
        <f>HYPERLINK("https://klasma.github.io/Logging_2180/kartor_geotiff/A 50052-2025 georefererad karta.tif", "A 50052-2025")</f>
        <v/>
      </c>
      <c r="AA85">
        <f>HYPERLINK("https://klasma.github.io/Logging_2180/klagomål/A 50052-2025 FSC-klagomål.docx", "A 50052-2025")</f>
        <v/>
      </c>
      <c r="AB85">
        <f>HYPERLINK("https://klasma.github.io/Logging_2180/klagomålsmail/A 50052-2025 FSC-klagomål mail.docx", "A 50052-2025")</f>
        <v/>
      </c>
      <c r="AC85">
        <f>HYPERLINK("https://klasma.github.io/Logging_2180/tillsyn/A 50052-2025 tillsynsbegäran.docx", "A 50052-2025")</f>
        <v/>
      </c>
      <c r="AD85">
        <f>HYPERLINK("https://klasma.github.io/Logging_2180/tillsynsmail/A 50052-2025 tillsynsbegäran mail.docx", "A 50052-2025")</f>
        <v/>
      </c>
    </row>
    <row r="86" ht="15" customHeight="1">
      <c r="A86" t="inlineStr">
        <is>
          <t>A 13684-2026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46253</v>
      </c>
      <c r="F86" t="inlineStr">
        <is>
          <t>GÄVLEBORGS LÄN</t>
        </is>
      </c>
      <c r="G86" t="inlineStr">
        <is>
          <t>GÄVLE</t>
        </is>
      </c>
      <c r="I86" t="n">
        <v>21.3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HYPERLINK("https://klasma.github.io/Logging_2180/artfynd/A 13684-2026 artfynd.xlsx", "A 13684-2026")</f>
        <v/>
      </c>
      <c r="X86">
        <f>HYPERLINK("https://klasma.github.io/Logging_2180/kartor/A 13684-2026 karta.png", "A 13684-2026")</f>
        <v/>
      </c>
      <c r="Y86">
        <f>HYPERLINK("https://klasma.github.io/Logging_2180/kartor_geotiff/A 13684-2026 georefererad karta.tif", "A 13684-2026")</f>
        <v/>
      </c>
      <c r="AA86">
        <f>HYPERLINK("https://klasma.github.io/Logging_2180/klagomål/A 13684-2026 FSC-klagomål.docx", "A 13684-2026")</f>
        <v/>
      </c>
      <c r="AB86">
        <f>HYPERLINK("https://klasma.github.io/Logging_2180/klagomålsmail/A 13684-2026 FSC-klagomål mail.docx", "A 13684-2026")</f>
        <v/>
      </c>
      <c r="AC86">
        <f>HYPERLINK("https://klasma.github.io/Logging_2180/tillsyn/A 13684-2026 tillsynsbegäran.docx", "A 13684-2026")</f>
        <v/>
      </c>
      <c r="AD86">
        <f>HYPERLINK("https://klasma.github.io/Logging_2180/tillsynsmail/A 13684-2026 tillsynsbegäran mail.docx", "A 13684-2026")</f>
        <v/>
      </c>
    </row>
    <row r="87" ht="15" customHeight="1">
      <c r="A87" t="inlineStr">
        <is>
          <t>A 61056-2024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46253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5.3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Myggblomster</t>
        </is>
      </c>
      <c r="W87">
        <f>HYPERLINK("https://klasma.github.io/Logging_2180/artfynd/A 61056-2024 artfynd.xlsx", "A 61056-2024")</f>
        <v/>
      </c>
      <c r="X87">
        <f>HYPERLINK("https://klasma.github.io/Logging_2180/kartor/A 61056-2024 karta.png", "A 61056-2024")</f>
        <v/>
      </c>
      <c r="Y87">
        <f>HYPERLINK("https://klasma.github.io/Logging_2180/kartor_geotiff/A 61056-2024 georefererad karta.tif", "A 61056-2024")</f>
        <v/>
      </c>
      <c r="AA87">
        <f>HYPERLINK("https://klasma.github.io/Logging_2180/klagomål/A 61056-2024 FSC-klagomål.docx", "A 61056-2024")</f>
        <v/>
      </c>
      <c r="AB87">
        <f>HYPERLINK("https://klasma.github.io/Logging_2180/klagomålsmail/A 61056-2024 FSC-klagomål mail.docx", "A 61056-2024")</f>
        <v/>
      </c>
      <c r="AC87">
        <f>HYPERLINK("https://klasma.github.io/Logging_2180/tillsyn/A 61056-2024 tillsynsbegäran.docx", "A 61056-2024")</f>
        <v/>
      </c>
      <c r="AD87">
        <f>HYPERLINK("https://klasma.github.io/Logging_2180/tillsynsmail/A 61056-2024 tillsynsbegäran mail.docx", "A 61056-2024")</f>
        <v/>
      </c>
    </row>
    <row r="88" ht="15" customHeight="1">
      <c r="A88" t="inlineStr">
        <is>
          <t>A 12083-2025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46253</v>
      </c>
      <c r="F88" t="inlineStr">
        <is>
          <t>GÄVLEBORGS LÄN</t>
        </is>
      </c>
      <c r="G88" t="inlineStr">
        <is>
          <t>GÄVLE</t>
        </is>
      </c>
      <c r="I88" t="n">
        <v>6.3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Grönsiska</t>
        </is>
      </c>
      <c r="W88">
        <f>HYPERLINK("https://klasma.github.io/Logging_2180/artfynd/A 12083-2025 artfynd.xlsx", "A 12083-2025")</f>
        <v/>
      </c>
      <c r="X88">
        <f>HYPERLINK("https://klasma.github.io/Logging_2180/kartor/A 12083-2025 karta.png", "A 12083-2025")</f>
        <v/>
      </c>
      <c r="Y88">
        <f>HYPERLINK("https://klasma.github.io/Logging_2180/kartor_geotiff/A 12083-2025 georefererad karta.tif", "A 12083-2025")</f>
        <v/>
      </c>
      <c r="AA88">
        <f>HYPERLINK("https://klasma.github.io/Logging_2180/klagomål/A 12083-2025 FSC-klagomål.docx", "A 12083-2025")</f>
        <v/>
      </c>
      <c r="AB88">
        <f>HYPERLINK("https://klasma.github.io/Logging_2180/klagomålsmail/A 12083-2025 FSC-klagomål mail.docx", "A 12083-2025")</f>
        <v/>
      </c>
      <c r="AC88">
        <f>HYPERLINK("https://klasma.github.io/Logging_2180/tillsyn/A 12083-2025 tillsynsbegäran.docx", "A 12083-2025")</f>
        <v/>
      </c>
      <c r="AD88">
        <f>HYPERLINK("https://klasma.github.io/Logging_2180/tillsynsmail/A 12083-2025 tillsynsbegäran mail.docx", "A 12083-2025")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46253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11407-2025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46253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Myskmadra</t>
        </is>
      </c>
      <c r="W90">
        <f>HYPERLINK("https://klasma.github.io/Logging_2180/artfynd/A 11407-2025 artfynd.xlsx", "A 11407-2025")</f>
        <v/>
      </c>
      <c r="X90">
        <f>HYPERLINK("https://klasma.github.io/Logging_2180/kartor/A 11407-2025 karta.png", "A 11407-2025")</f>
        <v/>
      </c>
      <c r="Y90">
        <f>HYPERLINK("https://klasma.github.io/Logging_2180/kartor_geotiff/A 11407-2025 georefererad karta.tif", "A 11407-2025")</f>
        <v/>
      </c>
      <c r="AA90">
        <f>HYPERLINK("https://klasma.github.io/Logging_2180/klagomål/A 11407-2025 FSC-klagomål.docx", "A 11407-2025")</f>
        <v/>
      </c>
      <c r="AB90">
        <f>HYPERLINK("https://klasma.github.io/Logging_2180/klagomålsmail/A 11407-2025 FSC-klagomål mail.docx", "A 11407-2025")</f>
        <v/>
      </c>
      <c r="AC90">
        <f>HYPERLINK("https://klasma.github.io/Logging_2180/tillsyn/A 11407-2025 tillsynsbegäran.docx", "A 11407-2025")</f>
        <v/>
      </c>
      <c r="AD90">
        <f>HYPERLINK("https://klasma.github.io/Logging_2180/tillsynsmail/A 11407-2025 tillsynsbegäran mail.docx", "A 11407-2025")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46253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45241-2022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46253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22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HYPERLINK("https://klasma.github.io/Logging_2180/artfynd/A 45241-2022 artfynd.xlsx", "A 45241-2022")</f>
        <v/>
      </c>
      <c r="X92">
        <f>HYPERLINK("https://klasma.github.io/Logging_2180/kartor/A 45241-2022 karta.png", "A 45241-2022")</f>
        <v/>
      </c>
      <c r="Y92">
        <f>HYPERLINK("https://klasma.github.io/Logging_2180/kartor_geotiff/A 45241-2022 georefererad karta.tif", "A 45241-2022")</f>
        <v/>
      </c>
      <c r="AA92">
        <f>HYPERLINK("https://klasma.github.io/Logging_2180/klagomål/A 45241-2022 FSC-klagomål.docx", "A 45241-2022")</f>
        <v/>
      </c>
      <c r="AB92">
        <f>HYPERLINK("https://klasma.github.io/Logging_2180/klagomålsmail/A 45241-2022 FSC-klagomål mail.docx", "A 45241-2022")</f>
        <v/>
      </c>
      <c r="AC92">
        <f>HYPERLINK("https://klasma.github.io/Logging_2180/tillsyn/A 45241-2022 tillsynsbegäran.docx", "A 45241-2022")</f>
        <v/>
      </c>
      <c r="AD92">
        <f>HYPERLINK("https://klasma.github.io/Logging_2180/tillsynsmail/A 45241-2022 tillsynsbegäran mail.docx", "A 45241-2022")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46253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10333-2025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46253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Tjäder</t>
        </is>
      </c>
      <c r="W94">
        <f>HYPERLINK("https://klasma.github.io/Logging_2180/artfynd/A 10333-2025 artfynd.xlsx", "A 10333-2025")</f>
        <v/>
      </c>
      <c r="X94">
        <f>HYPERLINK("https://klasma.github.io/Logging_2180/kartor/A 10333-2025 karta.png", "A 10333-2025")</f>
        <v/>
      </c>
      <c r="Y94">
        <f>HYPERLINK("https://klasma.github.io/Logging_2180/kartor_geotiff/A 10333-2025 georefererad karta.tif", "A 10333-2025")</f>
        <v/>
      </c>
      <c r="AA94">
        <f>HYPERLINK("https://klasma.github.io/Logging_2180/klagomål/A 10333-2025 FSC-klagomål.docx", "A 10333-2025")</f>
        <v/>
      </c>
      <c r="AB94">
        <f>HYPERLINK("https://klasma.github.io/Logging_2180/klagomålsmail/A 10333-2025 FSC-klagomål mail.docx", "A 10333-2025")</f>
        <v/>
      </c>
      <c r="AC94">
        <f>HYPERLINK("https://klasma.github.io/Logging_2180/tillsyn/A 10333-2025 tillsynsbegäran.docx", "A 10333-2025")</f>
        <v/>
      </c>
      <c r="AD94">
        <f>HYPERLINK("https://klasma.github.io/Logging_2180/tillsynsmail/A 10333-2025 tillsynsbegäran mail.docx", "A 10333-2025")</f>
        <v/>
      </c>
      <c r="AE94">
        <f>HYPERLINK("https://klasma.github.io/Logging_2180/fåglar/A 10333-2025 prioriterade fågelarter.docx", "A 10333-2025")</f>
        <v/>
      </c>
    </row>
    <row r="95" ht="15" customHeight="1">
      <c r="A95" t="inlineStr">
        <is>
          <t>A 17251-2026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46253</v>
      </c>
      <c r="F95" t="inlineStr">
        <is>
          <t>GÄVLEBORGS LÄN</t>
        </is>
      </c>
      <c r="G95" t="inlineStr">
        <is>
          <t>GÄVLE</t>
        </is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HYPERLINK("https://klasma.github.io/Logging_2180/artfynd/A 17251-2026 artfynd.xlsx", "A 17251-2026")</f>
        <v/>
      </c>
      <c r="X95">
        <f>HYPERLINK("https://klasma.github.io/Logging_2180/kartor/A 17251-2026 karta.png", "A 17251-2026")</f>
        <v/>
      </c>
      <c r="Y95">
        <f>HYPERLINK("https://klasma.github.io/Logging_2180/kartor_geotiff/A 17251-2026 georefererad karta.tif", "A 17251-2026")</f>
        <v/>
      </c>
      <c r="AA95">
        <f>HYPERLINK("https://klasma.github.io/Logging_2180/klagomål/A 17251-2026 FSC-klagomål.docx", "A 17251-2026")</f>
        <v/>
      </c>
      <c r="AB95">
        <f>HYPERLINK("https://klasma.github.io/Logging_2180/klagomålsmail/A 17251-2026 FSC-klagomål mail.docx", "A 17251-2026")</f>
        <v/>
      </c>
      <c r="AC95">
        <f>HYPERLINK("https://klasma.github.io/Logging_2180/tillsyn/A 17251-2026 tillsynsbegäran.docx", "A 17251-2026")</f>
        <v/>
      </c>
      <c r="AD95">
        <f>HYPERLINK("https://klasma.github.io/Logging_2180/tillsynsmail/A 17251-2026 tillsynsbegäran mail.docx", "A 17251-2026")</f>
        <v/>
      </c>
    </row>
    <row r="96" ht="15" customHeight="1">
      <c r="A96" t="inlineStr">
        <is>
          <t>A 19635-2026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46253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HYPERLINK("https://klasma.github.io/Logging_2180/artfynd/A 19635-2026 artfynd.xlsx", "A 19635-2026")</f>
        <v/>
      </c>
      <c r="X96">
        <f>HYPERLINK("https://klasma.github.io/Logging_2180/kartor/A 19635-2026 karta.png", "A 19635-2026")</f>
        <v/>
      </c>
      <c r="Y96">
        <f>HYPERLINK("https://klasma.github.io/Logging_2180/kartor_geotiff/A 19635-2026 georefererad karta.tif", "A 19635-2026")</f>
        <v/>
      </c>
      <c r="AA96">
        <f>HYPERLINK("https://klasma.github.io/Logging_2180/klagomål/A 19635-2026 FSC-klagomål.docx", "A 19635-2026")</f>
        <v/>
      </c>
      <c r="AB96">
        <f>HYPERLINK("https://klasma.github.io/Logging_2180/klagomålsmail/A 19635-2026 FSC-klagomål mail.docx", "A 19635-2026")</f>
        <v/>
      </c>
      <c r="AC96">
        <f>HYPERLINK("https://klasma.github.io/Logging_2180/tillsyn/A 19635-2026 tillsynsbegäran.docx", "A 19635-2026")</f>
        <v/>
      </c>
      <c r="AD96">
        <f>HYPERLINK("https://klasma.github.io/Logging_2180/tillsynsmail/A 19635-2026 tillsynsbegäran mail.docx", "A 19635-2026")</f>
        <v/>
      </c>
    </row>
    <row r="97" ht="15" customHeight="1">
      <c r="A97" t="inlineStr">
        <is>
          <t>A 54252-2025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46253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Ask</t>
        </is>
      </c>
      <c r="W97">
        <f>HYPERLINK("https://klasma.github.io/Logging_2180/artfynd/A 54252-2025 artfynd.xlsx", "A 54252-2025")</f>
        <v/>
      </c>
      <c r="X97">
        <f>HYPERLINK("https://klasma.github.io/Logging_2180/kartor/A 54252-2025 karta.png", "A 54252-2025")</f>
        <v/>
      </c>
      <c r="Y97">
        <f>HYPERLINK("https://klasma.github.io/Logging_2180/kartor_geotiff/A 54252-2025 georefererad karta.tif", "A 54252-2025")</f>
        <v/>
      </c>
      <c r="AA97">
        <f>HYPERLINK("https://klasma.github.io/Logging_2180/klagomål/A 54252-2025 FSC-klagomål.docx", "A 54252-2025")</f>
        <v/>
      </c>
      <c r="AB97">
        <f>HYPERLINK("https://klasma.github.io/Logging_2180/klagomålsmail/A 54252-2025 FSC-klagomål mail.docx", "A 54252-2025")</f>
        <v/>
      </c>
      <c r="AC97">
        <f>HYPERLINK("https://klasma.github.io/Logging_2180/tillsyn/A 54252-2025 tillsynsbegäran.docx", "A 54252-2025")</f>
        <v/>
      </c>
      <c r="AD97">
        <f>HYPERLINK("https://klasma.github.io/Logging_2180/tillsynsmail/A 54252-2025 tillsynsbegäran mail.docx", "A 54252-2025")</f>
        <v/>
      </c>
    </row>
    <row r="98" ht="15" customHeight="1">
      <c r="A98" t="inlineStr">
        <is>
          <t>A 13396-2026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46253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Fläcknycklar</t>
        </is>
      </c>
      <c r="W98">
        <f>HYPERLINK("https://klasma.github.io/Logging_2180/artfynd/A 13396-2026 artfynd.xlsx", "A 13396-2026")</f>
        <v/>
      </c>
      <c r="X98">
        <f>HYPERLINK("https://klasma.github.io/Logging_2180/kartor/A 13396-2026 karta.png", "A 13396-2026")</f>
        <v/>
      </c>
      <c r="Y98">
        <f>HYPERLINK("https://klasma.github.io/Logging_2180/kartor_geotiff/A 13396-2026 georefererad karta.tif", "A 13396-2026")</f>
        <v/>
      </c>
      <c r="AA98">
        <f>HYPERLINK("https://klasma.github.io/Logging_2180/klagomål/A 13396-2026 FSC-klagomål.docx", "A 13396-2026")</f>
        <v/>
      </c>
      <c r="AB98">
        <f>HYPERLINK("https://klasma.github.io/Logging_2180/klagomålsmail/A 13396-2026 FSC-klagomål mail.docx", "A 13396-2026")</f>
        <v/>
      </c>
      <c r="AC98">
        <f>HYPERLINK("https://klasma.github.io/Logging_2180/tillsyn/A 13396-2026 tillsynsbegäran.docx", "A 13396-2026")</f>
        <v/>
      </c>
      <c r="AD98">
        <f>HYPERLINK("https://klasma.github.io/Logging_2180/tillsynsmail/A 13396-2026 tillsynsbegäran mail.docx", "A 13396-2026")</f>
        <v/>
      </c>
    </row>
    <row r="99" ht="15" customHeight="1">
      <c r="A99" t="inlineStr">
        <is>
          <t>A 54963-2025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46253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7.9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54963-2025 artfynd.xlsx", "A 54963-2025")</f>
        <v/>
      </c>
      <c r="X99">
        <f>HYPERLINK("https://klasma.github.io/Logging_2180/kartor/A 54963-2025 karta.png", "A 54963-2025")</f>
        <v/>
      </c>
      <c r="Y99">
        <f>HYPERLINK("https://klasma.github.io/Logging_2180/kartor_geotiff/A 54963-2025 georefererad karta.tif", "A 54963-2025")</f>
        <v/>
      </c>
      <c r="AA99">
        <f>HYPERLINK("https://klasma.github.io/Logging_2180/klagomål/A 54963-2025 FSC-klagomål.docx", "A 54963-2025")</f>
        <v/>
      </c>
      <c r="AB99">
        <f>HYPERLINK("https://klasma.github.io/Logging_2180/klagomålsmail/A 54963-2025 FSC-klagomål mail.docx", "A 54963-2025")</f>
        <v/>
      </c>
      <c r="AC99">
        <f>HYPERLINK("https://klasma.github.io/Logging_2180/tillsyn/A 54963-2025 tillsynsbegäran.docx", "A 54963-2025")</f>
        <v/>
      </c>
      <c r="AD99">
        <f>HYPERLINK("https://klasma.github.io/Logging_2180/tillsynsmail/A 54963-2025 tillsynsbegäran mail.docx", "A 54963-2025")</f>
        <v/>
      </c>
    </row>
    <row r="100" ht="15" customHeight="1">
      <c r="A100" t="inlineStr">
        <is>
          <t>A 11411-2025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46253</v>
      </c>
      <c r="F100" t="inlineStr">
        <is>
          <t>GÄVLEBORGS LÄN</t>
        </is>
      </c>
      <c r="G100" t="inlineStr">
        <is>
          <t>GÄVLE</t>
        </is>
      </c>
      <c r="I100" t="n">
        <v>2.4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HYPERLINK("https://klasma.github.io/Logging_2180/artfynd/A 11411-2025 artfynd.xlsx", "A 11411-2025")</f>
        <v/>
      </c>
      <c r="X100">
        <f>HYPERLINK("https://klasma.github.io/Logging_2180/kartor/A 11411-2025 karta.png", "A 11411-2025")</f>
        <v/>
      </c>
      <c r="Y100">
        <f>HYPERLINK("https://klasma.github.io/Logging_2180/kartor_geotiff/A 11411-2025 georefererad karta.tif", "A 11411-2025")</f>
        <v/>
      </c>
      <c r="AA100">
        <f>HYPERLINK("https://klasma.github.io/Logging_2180/klagomål/A 11411-2025 FSC-klagomål.docx", "A 11411-2025")</f>
        <v/>
      </c>
      <c r="AB100">
        <f>HYPERLINK("https://klasma.github.io/Logging_2180/klagomålsmail/A 11411-2025 FSC-klagomål mail.docx", "A 11411-2025")</f>
        <v/>
      </c>
      <c r="AC100">
        <f>HYPERLINK("https://klasma.github.io/Logging_2180/tillsyn/A 11411-2025 tillsynsbegäran.docx", "A 11411-2025")</f>
        <v/>
      </c>
      <c r="AD100">
        <f>HYPERLINK("https://klasma.github.io/Logging_2180/tillsynsmail/A 11411-2025 tillsynsbegäran mail.docx", "A 11411-2025")</f>
        <v/>
      </c>
    </row>
    <row r="101" ht="15" customHeight="1">
      <c r="A101" t="inlineStr">
        <is>
          <t>A 58204-2025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45984</v>
      </c>
      <c r="E101" s="1" t="n">
        <v>46253</v>
      </c>
      <c r="F101" t="inlineStr">
        <is>
          <t>GÄVLEBORGS LÄN</t>
        </is>
      </c>
      <c r="G101" t="inlineStr">
        <is>
          <t>GÄVLE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HYPERLINK("https://klasma.github.io/Logging_2180/artfynd/A 58204-2025 artfynd.xlsx", "A 58204-2025")</f>
        <v/>
      </c>
      <c r="X101">
        <f>HYPERLINK("https://klasma.github.io/Logging_2180/kartor/A 58204-2025 karta.png", "A 58204-2025")</f>
        <v/>
      </c>
      <c r="Y101">
        <f>HYPERLINK("https://klasma.github.io/Logging_2180/kartor_geotiff/A 58204-2025 georefererad karta.tif", "A 58204-2025")</f>
        <v/>
      </c>
      <c r="AA101">
        <f>HYPERLINK("https://klasma.github.io/Logging_2180/klagomål/A 58204-2025 FSC-klagomål.docx", "A 58204-2025")</f>
        <v/>
      </c>
      <c r="AB101">
        <f>HYPERLINK("https://klasma.github.io/Logging_2180/klagomålsmail/A 58204-2025 FSC-klagomål mail.docx", "A 58204-2025")</f>
        <v/>
      </c>
      <c r="AC101">
        <f>HYPERLINK("https://klasma.github.io/Logging_2180/tillsyn/A 58204-2025 tillsynsbegäran.docx", "A 58204-2025")</f>
        <v/>
      </c>
      <c r="AD101">
        <f>HYPERLINK("https://klasma.github.io/Logging_2180/tillsynsmail/A 58204-2025 tillsynsbegäran mail.docx", "A 58204-2025")</f>
        <v/>
      </c>
      <c r="AE101">
        <f>HYPERLINK("https://klasma.github.io/Logging_2180/fåglar/A 58204-2025 prioriterade fågelarter.docx", "A 58204-2025")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46253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46253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Blanksvart spiklav</t>
        </is>
      </c>
      <c r="W103">
        <f>HYPERLINK("https://klasma.github.io/Logging_2180/artfynd/A 14711-2026 artfynd.xlsx", "A 14711-2026")</f>
        <v/>
      </c>
      <c r="X103">
        <f>HYPERLINK("https://klasma.github.io/Logging_2180/kartor/A 14711-2026 karta.png", "A 14711-2026")</f>
        <v/>
      </c>
      <c r="Y103">
        <f>HYPERLINK("https://klasma.github.io/Logging_2180/kartor_geotiff/A 14711-2026 georefererad karta.tif", "A 14711-2026")</f>
        <v/>
      </c>
      <c r="AA103">
        <f>HYPERLINK("https://klasma.github.io/Logging_2180/klagomål/A 14711-2026 FSC-klagomål.docx", "A 14711-2026")</f>
        <v/>
      </c>
      <c r="AB103">
        <f>HYPERLINK("https://klasma.github.io/Logging_2180/klagomålsmail/A 14711-2026 FSC-klagomål mail.docx", "A 14711-2026")</f>
        <v/>
      </c>
      <c r="AC103">
        <f>HYPERLINK("https://klasma.github.io/Logging_2180/tillsyn/A 14711-2026 tillsynsbegäran.docx", "A 14711-2026")</f>
        <v/>
      </c>
      <c r="AD103">
        <f>HYPERLINK("https://klasma.github.io/Logging_2180/tillsynsmail/A 14711-2026 tillsynsbegäran mail.docx", "A 14711-2026")</f>
        <v/>
      </c>
    </row>
    <row r="104" ht="15" customHeight="1">
      <c r="A104" t="inlineStr">
        <is>
          <t>A 14714-2026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46253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Tjäder</t>
        </is>
      </c>
      <c r="W104">
        <f>HYPERLINK("https://klasma.github.io/Logging_2180/artfynd/A 14714-2026 artfynd.xlsx", "A 14714-2026")</f>
        <v/>
      </c>
      <c r="X104">
        <f>HYPERLINK("https://klasma.github.io/Logging_2180/kartor/A 14714-2026 karta.png", "A 14714-2026")</f>
        <v/>
      </c>
      <c r="Y104">
        <f>HYPERLINK("https://klasma.github.io/Logging_2180/kartor_geotiff/A 14714-2026 georefererad karta.tif", "A 14714-2026")</f>
        <v/>
      </c>
      <c r="AA104">
        <f>HYPERLINK("https://klasma.github.io/Logging_2180/klagomål/A 14714-2026 FSC-klagomål.docx", "A 14714-2026")</f>
        <v/>
      </c>
      <c r="AB104">
        <f>HYPERLINK("https://klasma.github.io/Logging_2180/klagomålsmail/A 14714-2026 FSC-klagomål mail.docx", "A 14714-2026")</f>
        <v/>
      </c>
      <c r="AC104">
        <f>HYPERLINK("https://klasma.github.io/Logging_2180/tillsyn/A 14714-2026 tillsynsbegäran.docx", "A 14714-2026")</f>
        <v/>
      </c>
      <c r="AD104">
        <f>HYPERLINK("https://klasma.github.io/Logging_2180/tillsynsmail/A 14714-2026 tillsynsbegäran mail.docx", "A 14714-2026")</f>
        <v/>
      </c>
      <c r="AE104">
        <f>HYPERLINK("https://klasma.github.io/Logging_2180/fåglar/A 14714-2026 prioriterade fågelarter.docx", "A 14714-2026")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46253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5409-2023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44959</v>
      </c>
      <c r="E106" s="1" t="n">
        <v>46253</v>
      </c>
      <c r="F106" t="inlineStr">
        <is>
          <t>GÄVLEBORGS LÄN</t>
        </is>
      </c>
      <c r="G106" t="inlineStr">
        <is>
          <t>GÄVLE</t>
        </is>
      </c>
      <c r="I106" t="n">
        <v>0.3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HYPERLINK("https://klasma.github.io/Logging_2180/artfynd/A 5409-2023 artfynd.xlsx", "A 5409-2023")</f>
        <v/>
      </c>
      <c r="X106">
        <f>HYPERLINK("https://klasma.github.io/Logging_2180/kartor/A 5409-2023 karta.png", "A 5409-2023")</f>
        <v/>
      </c>
      <c r="Y106">
        <f>HYPERLINK("https://klasma.github.io/Logging_2180/kartor_geotiff/A 5409-2023 georefererad karta.tif", "A 5409-2023")</f>
        <v/>
      </c>
      <c r="AA106">
        <f>HYPERLINK("https://klasma.github.io/Logging_2180/klagomål/A 5409-2023 FSC-klagomål.docx", "A 5409-2023")</f>
        <v/>
      </c>
      <c r="AB106">
        <f>HYPERLINK("https://klasma.github.io/Logging_2180/klagomålsmail/A 5409-2023 FSC-klagomål mail.docx", "A 5409-2023")</f>
        <v/>
      </c>
      <c r="AC106">
        <f>HYPERLINK("https://klasma.github.io/Logging_2180/tillsyn/A 5409-2023 tillsynsbegäran.docx", "A 5409-2023")</f>
        <v/>
      </c>
      <c r="AD106">
        <f>HYPERLINK("https://klasma.github.io/Logging_2180/tillsynsmail/A 5409-2023 tillsynsbegäran mail.docx", "A 5409-2023")</f>
        <v/>
      </c>
    </row>
    <row r="107" ht="15" customHeight="1">
      <c r="A107" t="inlineStr">
        <is>
          <t>A 5415-2023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46253</v>
      </c>
      <c r="F107" t="inlineStr">
        <is>
          <t>GÄVLEBORGS LÄN</t>
        </is>
      </c>
      <c r="G107" t="inlineStr">
        <is>
          <t>GÄVLE</t>
        </is>
      </c>
      <c r="I107" t="n">
        <v>0.1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HYPERLINK("https://klasma.github.io/Logging_2180/artfynd/A 5415-2023 artfynd.xlsx", "A 5415-2023")</f>
        <v/>
      </c>
      <c r="X107">
        <f>HYPERLINK("https://klasma.github.io/Logging_2180/kartor/A 5415-2023 karta.png", "A 5415-2023")</f>
        <v/>
      </c>
      <c r="Y107">
        <f>HYPERLINK("https://klasma.github.io/Logging_2180/kartor_geotiff/A 5415-2023 georefererad karta.tif", "A 5415-2023")</f>
        <v/>
      </c>
      <c r="AA107">
        <f>HYPERLINK("https://klasma.github.io/Logging_2180/klagomål/A 5415-2023 FSC-klagomål.docx", "A 5415-2023")</f>
        <v/>
      </c>
      <c r="AB107">
        <f>HYPERLINK("https://klasma.github.io/Logging_2180/klagomålsmail/A 5415-2023 FSC-klagomål mail.docx", "A 5415-2023")</f>
        <v/>
      </c>
      <c r="AC107">
        <f>HYPERLINK("https://klasma.github.io/Logging_2180/tillsyn/A 5415-2023 tillsynsbegäran.docx", "A 5415-2023")</f>
        <v/>
      </c>
      <c r="AD107">
        <f>HYPERLINK("https://klasma.github.io/Logging_2180/tillsynsmail/A 5415-2023 tillsynsbegäran mail.docx", "A 5415-2023")</f>
        <v/>
      </c>
    </row>
    <row r="108" ht="15" customHeight="1">
      <c r="A108" t="inlineStr">
        <is>
          <t>A 20734-2026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46253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20734-2026 artfynd.xlsx", "A 20734-2026")</f>
        <v/>
      </c>
      <c r="X108">
        <f>HYPERLINK("https://klasma.github.io/Logging_2180/kartor/A 20734-2026 karta.png", "A 20734-2026")</f>
        <v/>
      </c>
      <c r="Y108">
        <f>HYPERLINK("https://klasma.github.io/Logging_2180/kartor_geotiff/A 20734-2026 georefererad karta.tif", "A 20734-2026")</f>
        <v/>
      </c>
      <c r="AA108">
        <f>HYPERLINK("https://klasma.github.io/Logging_2180/klagomål/A 20734-2026 FSC-klagomål.docx", "A 20734-2026")</f>
        <v/>
      </c>
      <c r="AB108">
        <f>HYPERLINK("https://klasma.github.io/Logging_2180/klagomålsmail/A 20734-2026 FSC-klagomål mail.docx", "A 20734-2026")</f>
        <v/>
      </c>
      <c r="AC108">
        <f>HYPERLINK("https://klasma.github.io/Logging_2180/tillsyn/A 20734-2026 tillsynsbegäran.docx", "A 20734-2026")</f>
        <v/>
      </c>
      <c r="AD108">
        <f>HYPERLINK("https://klasma.github.io/Logging_2180/tillsynsmail/A 20734-2026 tillsynsbegäran mail.docx", "A 20734-2026")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46253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46253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46253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21282-2024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46253</v>
      </c>
      <c r="F112" t="inlineStr">
        <is>
          <t>GÄVLEBORGS LÄN</t>
        </is>
      </c>
      <c r="G112" t="inlineStr">
        <is>
          <t>GÄVLE</t>
        </is>
      </c>
      <c r="I112" t="n">
        <v>7.4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1</v>
      </c>
      <c r="V112" s="2" t="inlineStr">
        <is>
          <t>Skogsklocka</t>
        </is>
      </c>
      <c r="W112">
        <f>HYPERLINK("https://klasma.github.io/Logging_2180/artfynd/A 21282-2024 artfynd.xlsx", "A 21282-2024")</f>
        <v/>
      </c>
      <c r="X112">
        <f>HYPERLINK("https://klasma.github.io/Logging_2180/kartor/A 21282-2024 karta.png", "A 21282-2024")</f>
        <v/>
      </c>
      <c r="Y112">
        <f>HYPERLINK("https://klasma.github.io/Logging_2180/kartor_geotiff/A 21282-2024 georefererad karta.tif", "A 21282-2024")</f>
        <v/>
      </c>
      <c r="AA112">
        <f>HYPERLINK("https://klasma.github.io/Logging_2180/klagomål/A 21282-2024 FSC-klagomål.docx", "A 21282-2024")</f>
        <v/>
      </c>
      <c r="AB112">
        <f>HYPERLINK("https://klasma.github.io/Logging_2180/klagomålsmail/A 21282-2024 FSC-klagomål mail.docx", "A 21282-2024")</f>
        <v/>
      </c>
      <c r="AC112">
        <f>HYPERLINK("https://klasma.github.io/Logging_2180/tillsyn/A 21282-2024 tillsynsbegäran.docx", "A 21282-2024")</f>
        <v/>
      </c>
      <c r="AD112">
        <f>HYPERLINK("https://klasma.github.io/Logging_2180/tillsynsmail/A 21282-2024 tillsynsbegäran mail.docx", "A 21282-2024")</f>
        <v/>
      </c>
    </row>
    <row r="113" ht="15" customHeight="1">
      <c r="A113" t="inlineStr">
        <is>
          <t>A 23003-2026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46253</v>
      </c>
      <c r="F113" t="inlineStr">
        <is>
          <t>GÄVLEBORGS LÄN</t>
        </is>
      </c>
      <c r="G113" t="inlineStr">
        <is>
          <t>GÄVLE</t>
        </is>
      </c>
      <c r="I113" t="n">
        <v>12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Tjäder</t>
        </is>
      </c>
      <c r="W113">
        <f>HYPERLINK("https://klasma.github.io/Logging_2180/artfynd/A 23003-2026 artfynd.xlsx", "A 23003-2026")</f>
        <v/>
      </c>
      <c r="X113">
        <f>HYPERLINK("https://klasma.github.io/Logging_2180/kartor/A 23003-2026 karta.png", "A 23003-2026")</f>
        <v/>
      </c>
      <c r="Y113">
        <f>HYPERLINK("https://klasma.github.io/Logging_2180/kartor_geotiff/A 23003-2026 georefererad karta.tif", "A 23003-2026")</f>
        <v/>
      </c>
      <c r="AA113">
        <f>HYPERLINK("https://klasma.github.io/Logging_2180/klagomål/A 23003-2026 FSC-klagomål.docx", "A 23003-2026")</f>
        <v/>
      </c>
      <c r="AB113">
        <f>HYPERLINK("https://klasma.github.io/Logging_2180/klagomålsmail/A 23003-2026 FSC-klagomål mail.docx", "A 23003-2026")</f>
        <v/>
      </c>
      <c r="AC113">
        <f>HYPERLINK("https://klasma.github.io/Logging_2180/tillsyn/A 23003-2026 tillsynsbegäran.docx", "A 23003-2026")</f>
        <v/>
      </c>
      <c r="AD113">
        <f>HYPERLINK("https://klasma.github.io/Logging_2180/tillsynsmail/A 23003-2026 tillsynsbegäran mail.docx", "A 23003-2026")</f>
        <v/>
      </c>
      <c r="AE113">
        <f>HYPERLINK("https://klasma.github.io/Logging_2180/fåglar/A 23003-2026 prioriterade fågelarter.docx", "A 23003-2026")</f>
        <v/>
      </c>
    </row>
    <row r="114" ht="15" customHeight="1">
      <c r="A114" t="inlineStr">
        <is>
          <t>A 22892-2026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46253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22892-2026 artfynd.xlsx", "A 22892-2026")</f>
        <v/>
      </c>
      <c r="X114">
        <f>HYPERLINK("https://klasma.github.io/Logging_2180/kartor/A 22892-2026 karta.png", "A 22892-2026")</f>
        <v/>
      </c>
      <c r="Y114">
        <f>HYPERLINK("https://klasma.github.io/Logging_2180/kartor_geotiff/A 22892-2026 georefererad karta.tif", "A 22892-2026")</f>
        <v/>
      </c>
      <c r="AA114">
        <f>HYPERLINK("https://klasma.github.io/Logging_2180/klagomål/A 22892-2026 FSC-klagomål.docx", "A 22892-2026")</f>
        <v/>
      </c>
      <c r="AB114">
        <f>HYPERLINK("https://klasma.github.io/Logging_2180/klagomålsmail/A 22892-2026 FSC-klagomål mail.docx", "A 22892-2026")</f>
        <v/>
      </c>
      <c r="AC114">
        <f>HYPERLINK("https://klasma.github.io/Logging_2180/tillsyn/A 22892-2026 tillsynsbegäran.docx", "A 22892-2026")</f>
        <v/>
      </c>
      <c r="AD114">
        <f>HYPERLINK("https://klasma.github.io/Logging_2180/tillsynsmail/A 22892-2026 tillsynsbegäran mail.docx", "A 22892-2026")</f>
        <v/>
      </c>
      <c r="AE114">
        <f>HYPERLINK("https://klasma.github.io/Logging_2180/fåglar/A 22892-2026 prioriterade fågelarter.docx", "A 22892-2026")</f>
        <v/>
      </c>
    </row>
    <row r="115" ht="15" customHeight="1">
      <c r="A115" t="inlineStr">
        <is>
          <t>A 57932-2024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46253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48.7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Tjäder</t>
        </is>
      </c>
      <c r="W115">
        <f>HYPERLINK("https://klasma.github.io/Logging_2180/artfynd/A 57932-2024 artfynd.xlsx", "A 57932-2024")</f>
        <v/>
      </c>
      <c r="X115">
        <f>HYPERLINK("https://klasma.github.io/Logging_2180/kartor/A 57932-2024 karta.png", "A 57932-2024")</f>
        <v/>
      </c>
      <c r="Y115">
        <f>HYPERLINK("https://klasma.github.io/Logging_2180/kartor_geotiff/A 57932-2024 georefererad karta.tif", "A 57932-2024")</f>
        <v/>
      </c>
      <c r="AA115">
        <f>HYPERLINK("https://klasma.github.io/Logging_2180/klagomål/A 57932-2024 FSC-klagomål.docx", "A 57932-2024")</f>
        <v/>
      </c>
      <c r="AB115">
        <f>HYPERLINK("https://klasma.github.io/Logging_2180/klagomålsmail/A 57932-2024 FSC-klagomål mail.docx", "A 57932-2024")</f>
        <v/>
      </c>
      <c r="AC115">
        <f>HYPERLINK("https://klasma.github.io/Logging_2180/tillsyn/A 57932-2024 tillsynsbegäran.docx", "A 57932-2024")</f>
        <v/>
      </c>
      <c r="AD115">
        <f>HYPERLINK("https://klasma.github.io/Logging_2180/tillsynsmail/A 57932-2024 tillsynsbegäran mail.docx", "A 57932-2024")</f>
        <v/>
      </c>
      <c r="AE115">
        <f>HYPERLINK("https://klasma.github.io/Logging_2180/fåglar/A 57932-2024 prioriterade fågelarter.docx", "A 57932-2024")</f>
        <v/>
      </c>
    </row>
    <row r="116" ht="15" customHeight="1">
      <c r="A116" t="inlineStr">
        <is>
          <t>A 31448-2026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46253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6.8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tåtelsmygare</t>
        </is>
      </c>
      <c r="W116">
        <f>HYPERLINK("https://klasma.github.io/Logging_2180/artfynd/A 31448-2026 artfynd.xlsx", "A 31448-2026")</f>
        <v/>
      </c>
      <c r="X116">
        <f>HYPERLINK("https://klasma.github.io/Logging_2180/kartor/A 31448-2026 karta.png", "A 31448-2026")</f>
        <v/>
      </c>
      <c r="Y116">
        <f>HYPERLINK("https://klasma.github.io/Logging_2180/kartor_geotiff/A 31448-2026 georefererad karta.tif", "A 31448-2026")</f>
        <v/>
      </c>
      <c r="AA116">
        <f>HYPERLINK("https://klasma.github.io/Logging_2180/klagomål/A 31448-2026 FSC-klagomål.docx", "A 31448-2026")</f>
        <v/>
      </c>
      <c r="AB116">
        <f>HYPERLINK("https://klasma.github.io/Logging_2180/klagomålsmail/A 31448-2026 FSC-klagomål mail.docx", "A 31448-2026")</f>
        <v/>
      </c>
      <c r="AC116">
        <f>HYPERLINK("https://klasma.github.io/Logging_2180/tillsyn/A 31448-2026 tillsynsbegäran.docx", "A 31448-2026")</f>
        <v/>
      </c>
      <c r="AD116">
        <f>HYPERLINK("https://klasma.github.io/Logging_2180/tillsynsmail/A 31448-2026 tillsynsbegäran mail.docx", "A 31448-2026")</f>
        <v/>
      </c>
    </row>
    <row r="117" ht="15" customHeight="1">
      <c r="A117" t="inlineStr">
        <is>
          <t>A 27043-2026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46253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27043-2026 artfynd.xlsx", "A 27043-2026")</f>
        <v/>
      </c>
      <c r="X117">
        <f>HYPERLINK("https://klasma.github.io/Logging_2180/kartor/A 27043-2026 karta.png", "A 27043-2026")</f>
        <v/>
      </c>
      <c r="Y117">
        <f>HYPERLINK("https://klasma.github.io/Logging_2180/kartor_geotiff/A 27043-2026 georefererad karta.tif", "A 27043-2026")</f>
        <v/>
      </c>
      <c r="AA117">
        <f>HYPERLINK("https://klasma.github.io/Logging_2180/klagomål/A 27043-2026 FSC-klagomål.docx", "A 27043-2026")</f>
        <v/>
      </c>
      <c r="AB117">
        <f>HYPERLINK("https://klasma.github.io/Logging_2180/klagomålsmail/A 27043-2026 FSC-klagomål mail.docx", "A 27043-2026")</f>
        <v/>
      </c>
      <c r="AC117">
        <f>HYPERLINK("https://klasma.github.io/Logging_2180/tillsyn/A 27043-2026 tillsynsbegäran.docx", "A 27043-2026")</f>
        <v/>
      </c>
      <c r="AD117">
        <f>HYPERLINK("https://klasma.github.io/Logging_2180/tillsynsmail/A 27043-2026 tillsynsbegäran mail.docx", "A 27043-2026")</f>
        <v/>
      </c>
    </row>
    <row r="118" ht="15" customHeight="1">
      <c r="A118" t="inlineStr">
        <is>
          <t>A 26871-2026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46253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HYPERLINK("https://klasma.github.io/Logging_2180/artfynd/A 26871-2026 artfynd.xlsx", "A 26871-2026")</f>
        <v/>
      </c>
      <c r="X118">
        <f>HYPERLINK("https://klasma.github.io/Logging_2180/kartor/A 26871-2026 karta.png", "A 26871-2026")</f>
        <v/>
      </c>
      <c r="Y118">
        <f>HYPERLINK("https://klasma.github.io/Logging_2180/kartor_geotiff/A 26871-2026 georefererad karta.tif", "A 26871-2026")</f>
        <v/>
      </c>
      <c r="AA118">
        <f>HYPERLINK("https://klasma.github.io/Logging_2180/klagomål/A 26871-2026 FSC-klagomål.docx", "A 26871-2026")</f>
        <v/>
      </c>
      <c r="AB118">
        <f>HYPERLINK("https://klasma.github.io/Logging_2180/klagomålsmail/A 26871-2026 FSC-klagomål mail.docx", "A 26871-2026")</f>
        <v/>
      </c>
      <c r="AC118">
        <f>HYPERLINK("https://klasma.github.io/Logging_2180/tillsyn/A 26871-2026 tillsynsbegäran.docx", "A 26871-2026")</f>
        <v/>
      </c>
      <c r="AD118">
        <f>HYPERLINK("https://klasma.github.io/Logging_2180/tillsynsmail/A 26871-2026 tillsynsbegäran mail.docx", "A 26871-2026")</f>
        <v/>
      </c>
    </row>
    <row r="119" ht="15" customHeight="1">
      <c r="A119" t="inlineStr">
        <is>
          <t>A 18216-2024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46253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2.3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Dofttaggsvamp</t>
        </is>
      </c>
      <c r="W119">
        <f>HYPERLINK("https://klasma.github.io/Logging_2180/artfynd/A 18216-2024 artfynd.xlsx", "A 18216-2024")</f>
        <v/>
      </c>
      <c r="X119">
        <f>HYPERLINK("https://klasma.github.io/Logging_2180/kartor/A 18216-2024 karta.png", "A 18216-2024")</f>
        <v/>
      </c>
      <c r="Y119">
        <f>HYPERLINK("https://klasma.github.io/Logging_2180/kartor_geotiff/A 18216-2024 georefererad karta.tif", "A 18216-2024")</f>
        <v/>
      </c>
      <c r="AA119">
        <f>HYPERLINK("https://klasma.github.io/Logging_2180/klagomål/A 18216-2024 FSC-klagomål.docx", "A 18216-2024")</f>
        <v/>
      </c>
      <c r="AB119">
        <f>HYPERLINK("https://klasma.github.io/Logging_2180/klagomålsmail/A 18216-2024 FSC-klagomål mail.docx", "A 18216-2024")</f>
        <v/>
      </c>
      <c r="AC119">
        <f>HYPERLINK("https://klasma.github.io/Logging_2180/tillsyn/A 18216-2024 tillsynsbegäran.docx", "A 18216-2024")</f>
        <v/>
      </c>
      <c r="AD119">
        <f>HYPERLINK("https://klasma.github.io/Logging_2180/tillsynsmail/A 18216-2024 tillsynsbegäran mail.docx", "A 18216-2024")</f>
        <v/>
      </c>
    </row>
    <row r="120" ht="15" customHeight="1">
      <c r="A120" t="inlineStr">
        <is>
          <t>A 27058-2026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46253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Gullpudra</t>
        </is>
      </c>
      <c r="W120">
        <f>HYPERLINK("https://klasma.github.io/Logging_2180/artfynd/A 27058-2026 artfynd.xlsx", "A 27058-2026")</f>
        <v/>
      </c>
      <c r="X120">
        <f>HYPERLINK("https://klasma.github.io/Logging_2180/kartor/A 27058-2026 karta.png", "A 27058-2026")</f>
        <v/>
      </c>
      <c r="Y120">
        <f>HYPERLINK("https://klasma.github.io/Logging_2180/kartor_geotiff/A 27058-2026 georefererad karta.tif", "A 27058-2026")</f>
        <v/>
      </c>
      <c r="AA120">
        <f>HYPERLINK("https://klasma.github.io/Logging_2180/klagomål/A 27058-2026 FSC-klagomål.docx", "A 27058-2026")</f>
        <v/>
      </c>
      <c r="AB120">
        <f>HYPERLINK("https://klasma.github.io/Logging_2180/klagomålsmail/A 27058-2026 FSC-klagomål mail.docx", "A 27058-2026")</f>
        <v/>
      </c>
      <c r="AC120">
        <f>HYPERLINK("https://klasma.github.io/Logging_2180/tillsyn/A 27058-2026 tillsynsbegäran.docx", "A 27058-2026")</f>
        <v/>
      </c>
      <c r="AD120">
        <f>HYPERLINK("https://klasma.github.io/Logging_2180/tillsynsmail/A 27058-2026 tillsynsbegäran mail.docx", "A 27058-2026")</f>
        <v/>
      </c>
    </row>
    <row r="121" ht="15" customHeight="1">
      <c r="A121" t="inlineStr">
        <is>
          <t>A 27063-2026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46253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27063-2026 artfynd.xlsx", "A 27063-2026")</f>
        <v/>
      </c>
      <c r="X121">
        <f>HYPERLINK("https://klasma.github.io/Logging_2180/kartor/A 27063-2026 karta.png", "A 27063-2026")</f>
        <v/>
      </c>
      <c r="Y121">
        <f>HYPERLINK("https://klasma.github.io/Logging_2180/kartor_geotiff/A 27063-2026 georefererad karta.tif", "A 27063-2026")</f>
        <v/>
      </c>
      <c r="AA121">
        <f>HYPERLINK("https://klasma.github.io/Logging_2180/klagomål/A 27063-2026 FSC-klagomål.docx", "A 27063-2026")</f>
        <v/>
      </c>
      <c r="AB121">
        <f>HYPERLINK("https://klasma.github.io/Logging_2180/klagomålsmail/A 27063-2026 FSC-klagomål mail.docx", "A 27063-2026")</f>
        <v/>
      </c>
      <c r="AC121">
        <f>HYPERLINK("https://klasma.github.io/Logging_2180/tillsyn/A 27063-2026 tillsynsbegäran.docx", "A 27063-2026")</f>
        <v/>
      </c>
      <c r="AD121">
        <f>HYPERLINK("https://klasma.github.io/Logging_2180/tillsynsmail/A 27063-2026 tillsynsbegäran mail.docx", "A 27063-2026")</f>
        <v/>
      </c>
    </row>
    <row r="122" ht="15" customHeight="1">
      <c r="A122" t="inlineStr">
        <is>
          <t>A 33812-2022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44790</v>
      </c>
      <c r="E122" s="1" t="n">
        <v>46253</v>
      </c>
      <c r="F122" t="inlineStr">
        <is>
          <t>GÄVLEBORGS LÄN</t>
        </is>
      </c>
      <c r="G122" t="inlineStr">
        <is>
          <t>GÄVLE</t>
        </is>
      </c>
      <c r="I122" t="n">
        <v>2.1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HYPERLINK("https://klasma.github.io/Logging_2180/artfynd/A 33812-2022 artfynd.xlsx", "A 33812-2022")</f>
        <v/>
      </c>
      <c r="X122">
        <f>HYPERLINK("https://klasma.github.io/Logging_2180/kartor/A 33812-2022 karta.png", "A 33812-2022")</f>
        <v/>
      </c>
      <c r="Y122">
        <f>HYPERLINK("https://klasma.github.io/Logging_2180/kartor_geotiff/A 33812-2022 georefererad karta.tif", "A 33812-2022")</f>
        <v/>
      </c>
      <c r="AA122">
        <f>HYPERLINK("https://klasma.github.io/Logging_2180/klagomål/A 33812-2022 FSC-klagomål.docx", "A 33812-2022")</f>
        <v/>
      </c>
      <c r="AB122">
        <f>HYPERLINK("https://klasma.github.io/Logging_2180/klagomålsmail/A 33812-2022 FSC-klagomål mail.docx", "A 33812-2022")</f>
        <v/>
      </c>
      <c r="AC122">
        <f>HYPERLINK("https://klasma.github.io/Logging_2180/tillsyn/A 33812-2022 tillsynsbegäran.docx", "A 33812-2022")</f>
        <v/>
      </c>
      <c r="AD122">
        <f>HYPERLINK("https://klasma.github.io/Logging_2180/tillsynsmail/A 33812-2022 tillsynsbegäran mail.docx", "A 33812-2022")</f>
        <v/>
      </c>
    </row>
    <row r="123" ht="15" customHeight="1">
      <c r="A123" t="inlineStr">
        <is>
          <t>A 28546-2026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46197</v>
      </c>
      <c r="E123" s="1" t="n">
        <v>46253</v>
      </c>
      <c r="F123" t="inlineStr">
        <is>
          <t>GÄVLEBORGS LÄN</t>
        </is>
      </c>
      <c r="G123" t="inlineStr">
        <is>
          <t>GÄVLE</t>
        </is>
      </c>
      <c r="H123" t="inlineStr">
        <is>
          <t>BillerudKorsnäs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Fiskgjuse</t>
        </is>
      </c>
      <c r="W123">
        <f>HYPERLINK("https://klasma.github.io/Logging_2180/artfynd/A 28546-2026 artfynd.xlsx", "A 28546-2026")</f>
        <v/>
      </c>
      <c r="X123">
        <f>HYPERLINK("https://klasma.github.io/Logging_2180/kartor/A 28546-2026 karta.png", "A 28546-2026")</f>
        <v/>
      </c>
      <c r="Y123">
        <f>HYPERLINK("https://klasma.github.io/Logging_2180/kartor_geotiff/A 28546-2026 georefererad karta.tif", "A 28546-2026")</f>
        <v/>
      </c>
      <c r="AA123">
        <f>HYPERLINK("https://klasma.github.io/Logging_2180/klagomål/A 28546-2026 FSC-klagomål.docx", "A 28546-2026")</f>
        <v/>
      </c>
      <c r="AB123">
        <f>HYPERLINK("https://klasma.github.io/Logging_2180/klagomålsmail/A 28546-2026 FSC-klagomål mail.docx", "A 28546-2026")</f>
        <v/>
      </c>
      <c r="AC123">
        <f>HYPERLINK("https://klasma.github.io/Logging_2180/tillsyn/A 28546-2026 tillsynsbegäran.docx", "A 28546-2026")</f>
        <v/>
      </c>
      <c r="AD123">
        <f>HYPERLINK("https://klasma.github.io/Logging_2180/tillsynsmail/A 28546-2026 tillsynsbegäran mail.docx", "A 28546-2026")</f>
        <v/>
      </c>
      <c r="AE123">
        <f>HYPERLINK("https://klasma.github.io/Logging_2180/fåglar/A 28546-2026 prioriterade fågelarter.docx", "A 28546-2026")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46253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33832-2026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46251</v>
      </c>
      <c r="E125" s="1" t="n">
        <v>46253</v>
      </c>
      <c r="F125" t="inlineStr">
        <is>
          <t>GÄVLEBORGS LÄN</t>
        </is>
      </c>
      <c r="G125" t="inlineStr">
        <is>
          <t>GÄVLE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HYPERLINK("https://klasma.github.io/Logging_2180/artfynd/A 33832-2026 artfynd.xlsx", "A 33832-2026")</f>
        <v/>
      </c>
      <c r="X125">
        <f>HYPERLINK("https://klasma.github.io/Logging_2180/kartor/A 33832-2026 karta.png", "A 33832-2026")</f>
        <v/>
      </c>
      <c r="Y125">
        <f>HYPERLINK("https://klasma.github.io/Logging_2180/kartor_geotiff/A 33832-2026 georefererad karta.tif", "A 33832-2026")</f>
        <v/>
      </c>
      <c r="AA125">
        <f>HYPERLINK("https://klasma.github.io/Logging_2180/klagomål/A 33832-2026 FSC-klagomål.docx", "A 33832-2026")</f>
        <v/>
      </c>
      <c r="AB125">
        <f>HYPERLINK("https://klasma.github.io/Logging_2180/klagomålsmail/A 33832-2026 FSC-klagomål mail.docx", "A 33832-2026")</f>
        <v/>
      </c>
      <c r="AC125">
        <f>HYPERLINK("https://klasma.github.io/Logging_2180/tillsyn/A 33832-2026 tillsynsbegäran.docx", "A 33832-2026")</f>
        <v/>
      </c>
      <c r="AD125">
        <f>HYPERLINK("https://klasma.github.io/Logging_2180/tillsynsmail/A 33832-2026 tillsynsbegäran mail.docx", "A 33832-2026")</f>
        <v/>
      </c>
    </row>
    <row r="126" ht="15" customHeight="1">
      <c r="A126" t="inlineStr">
        <is>
          <t>A 34086-2026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46252</v>
      </c>
      <c r="E126" s="1" t="n">
        <v>46253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6.1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Gullgröppa</t>
        </is>
      </c>
      <c r="W126">
        <f>HYPERLINK("https://klasma.github.io/Logging_2180/artfynd/A 34086-2026 artfynd.xlsx", "A 34086-2026")</f>
        <v/>
      </c>
      <c r="X126">
        <f>HYPERLINK("https://klasma.github.io/Logging_2180/kartor/A 34086-2026 karta.png", "A 34086-2026")</f>
        <v/>
      </c>
      <c r="Y126">
        <f>HYPERLINK("https://klasma.github.io/Logging_2180/kartor_geotiff/A 34086-2026 georefererad karta.tif", "A 34086-2026")</f>
        <v/>
      </c>
      <c r="AA126">
        <f>HYPERLINK("https://klasma.github.io/Logging_2180/klagomål/A 34086-2026 FSC-klagomål.docx", "A 34086-2026")</f>
        <v/>
      </c>
      <c r="AB126">
        <f>HYPERLINK("https://klasma.github.io/Logging_2180/klagomålsmail/A 34086-2026 FSC-klagomål mail.docx", "A 34086-2026")</f>
        <v/>
      </c>
      <c r="AC126">
        <f>HYPERLINK("https://klasma.github.io/Logging_2180/tillsyn/A 34086-2026 tillsynsbegäran.docx", "A 34086-2026")</f>
        <v/>
      </c>
      <c r="AD126">
        <f>HYPERLINK("https://klasma.github.io/Logging_2180/tillsynsmail/A 34086-2026 tillsynsbegäran mail.docx", "A 34086-2026")</f>
        <v/>
      </c>
    </row>
    <row r="127" ht="15" customHeight="1">
      <c r="A127" t="inlineStr">
        <is>
          <t>A 12437-2024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46253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Mindre bastardsvärmare</t>
        </is>
      </c>
      <c r="W127">
        <f>HYPERLINK("https://klasma.github.io/Logging_2180/artfynd/A 12437-2024 artfynd.xlsx", "A 12437-2024")</f>
        <v/>
      </c>
      <c r="X127">
        <f>HYPERLINK("https://klasma.github.io/Logging_2180/kartor/A 12437-2024 karta.png", "A 12437-2024")</f>
        <v/>
      </c>
      <c r="Y127">
        <f>HYPERLINK("https://klasma.github.io/Logging_2180/kartor_geotiff/A 12437-2024 georefererad karta.tif", "A 12437-2024")</f>
        <v/>
      </c>
      <c r="AA127">
        <f>HYPERLINK("https://klasma.github.io/Logging_2180/klagomål/A 12437-2024 FSC-klagomål.docx", "A 12437-2024")</f>
        <v/>
      </c>
      <c r="AB127">
        <f>HYPERLINK("https://klasma.github.io/Logging_2180/klagomålsmail/A 12437-2024 FSC-klagomål mail.docx", "A 12437-2024")</f>
        <v/>
      </c>
      <c r="AC127">
        <f>HYPERLINK("https://klasma.github.io/Logging_2180/tillsyn/A 12437-2024 tillsynsbegäran.docx", "A 12437-2024")</f>
        <v/>
      </c>
      <c r="AD127">
        <f>HYPERLINK("https://klasma.github.io/Logging_2180/tillsynsmail/A 12437-2024 tillsynsbegäran mail.docx", "A 12437-2024")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46253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35225-2024 artfynd.xlsx", "A 35225-2024")</f>
        <v/>
      </c>
      <c r="X128">
        <f>HYPERLINK("https://klasma.github.io/Logging_2180/kartor/A 35225-2024 karta.png", "A 35225-2024")</f>
        <v/>
      </c>
      <c r="Y128">
        <f>HYPERLINK("https://klasma.github.io/Logging_2180/kartor_geotiff/A 35225-2024 georefererad karta.tif", "A 35225-2024")</f>
        <v/>
      </c>
      <c r="AA128">
        <f>HYPERLINK("https://klasma.github.io/Logging_2180/klagomål/A 35225-2024 FSC-klagomål.docx", "A 35225-2024")</f>
        <v/>
      </c>
      <c r="AB128">
        <f>HYPERLINK("https://klasma.github.io/Logging_2180/klagomålsmail/A 35225-2024 FSC-klagomål mail.docx", "A 35225-2024")</f>
        <v/>
      </c>
      <c r="AC128">
        <f>HYPERLINK("https://klasma.github.io/Logging_2180/tillsyn/A 35225-2024 tillsynsbegäran.docx", "A 35225-2024")</f>
        <v/>
      </c>
      <c r="AD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46253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Brunlångöra</t>
        </is>
      </c>
      <c r="W129">
        <f>HYPERLINK("https://klasma.github.io/Logging_2180/artfynd/A 12381-2023 artfynd.xlsx", "A 12381-2023")</f>
        <v/>
      </c>
      <c r="X129">
        <f>HYPERLINK("https://klasma.github.io/Logging_2180/kartor/A 12381-2023 karta.png", "A 12381-2023")</f>
        <v/>
      </c>
      <c r="Y129">
        <f>HYPERLINK("https://klasma.github.io/Logging_2180/kartor_geotiff/A 12381-2023 georefererad karta.tif", "A 12381-2023")</f>
        <v/>
      </c>
      <c r="AA129">
        <f>HYPERLINK("https://klasma.github.io/Logging_2180/klagomål/A 12381-2023 FSC-klagomål.docx", "A 12381-2023")</f>
        <v/>
      </c>
      <c r="AB129">
        <f>HYPERLINK("https://klasma.github.io/Logging_2180/klagomålsmail/A 12381-2023 FSC-klagomål mail.docx", "A 12381-2023")</f>
        <v/>
      </c>
      <c r="AC129">
        <f>HYPERLINK("https://klasma.github.io/Logging_2180/tillsyn/A 12381-2023 tillsynsbegäran.docx", "A 12381-2023")</f>
        <v/>
      </c>
      <c r="AD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47642-2024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46253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Orre</t>
        </is>
      </c>
      <c r="W130">
        <f>HYPERLINK("https://klasma.github.io/Logging_2180/artfynd/A 47642-2024 artfynd.xlsx", "A 47642-2024")</f>
        <v/>
      </c>
      <c r="X130">
        <f>HYPERLINK("https://klasma.github.io/Logging_2180/kartor/A 47642-2024 karta.png", "A 47642-2024")</f>
        <v/>
      </c>
      <c r="Y130">
        <f>HYPERLINK("https://klasma.github.io/Logging_2180/kartor_geotiff/A 47642-2024 georefererad karta.tif", "A 47642-2024")</f>
        <v/>
      </c>
      <c r="AA130">
        <f>HYPERLINK("https://klasma.github.io/Logging_2180/klagomål/A 47642-2024 FSC-klagomål.docx", "A 47642-2024")</f>
        <v/>
      </c>
      <c r="AB130">
        <f>HYPERLINK("https://klasma.github.io/Logging_2180/klagomålsmail/A 47642-2024 FSC-klagomål mail.docx", "A 47642-2024")</f>
        <v/>
      </c>
      <c r="AC130">
        <f>HYPERLINK("https://klasma.github.io/Logging_2180/tillsyn/A 47642-2024 tillsynsbegäran.docx", "A 47642-2024")</f>
        <v/>
      </c>
      <c r="AD130">
        <f>HYPERLINK("https://klasma.github.io/Logging_2180/tillsynsmail/A 47642-2024 tillsynsbegäran mail.docx", "A 47642-2024")</f>
        <v/>
      </c>
      <c r="AE130">
        <f>HYPERLINK("https://klasma.github.io/Logging_2180/fåglar/A 47642-2024 prioriterade fågelarter.docx", "A 47642-2024")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46253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46253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46253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46253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46253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46253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46253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46253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46253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46253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46253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46253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46253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46253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46253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46253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46253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46253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46253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46253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46253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46253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46253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46253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46253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46253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46253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46253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46253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44589</v>
      </c>
      <c r="E160" s="1" t="n">
        <v>46253</v>
      </c>
      <c r="F160" t="inlineStr">
        <is>
          <t>GÄVLEBORGS LÄN</t>
        </is>
      </c>
      <c r="G160" t="inlineStr">
        <is>
          <t>GÄVLE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46253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46253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44785</v>
      </c>
      <c r="E163" s="1" t="n">
        <v>46253</v>
      </c>
      <c r="F163" t="inlineStr">
        <is>
          <t>GÄVLEBORGS LÄN</t>
        </is>
      </c>
      <c r="G163" t="inlineStr">
        <is>
          <t>GÄVLE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46253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46253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46253</v>
      </c>
      <c r="F166" t="inlineStr">
        <is>
          <t>GÄVLEBORGS LÄN</t>
        </is>
      </c>
      <c r="G166" t="inlineStr">
        <is>
          <t>GÄVLE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44448</v>
      </c>
      <c r="E167" s="1" t="n">
        <v>46253</v>
      </c>
      <c r="F167" t="inlineStr">
        <is>
          <t>GÄVLEBORGS LÄN</t>
        </is>
      </c>
      <c r="G167" t="inlineStr">
        <is>
          <t>GÄVLE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46253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46253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46253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46253</v>
      </c>
      <c r="F171" t="inlineStr">
        <is>
          <t>GÄVLEBORGS LÄN</t>
        </is>
      </c>
      <c r="G171" t="inlineStr">
        <is>
          <t>GÄVLE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46253</v>
      </c>
      <c r="F172" t="inlineStr">
        <is>
          <t>GÄVLEBORGS LÄN</t>
        </is>
      </c>
      <c r="G172" t="inlineStr">
        <is>
          <t>GÄVLE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44795</v>
      </c>
      <c r="E173" s="1" t="n">
        <v>46253</v>
      </c>
      <c r="F173" t="inlineStr">
        <is>
          <t>GÄVLEBORGS LÄN</t>
        </is>
      </c>
      <c r="G173" t="inlineStr">
        <is>
          <t>GÄVLE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59515-2021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46253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46253</v>
      </c>
      <c r="F175" t="inlineStr">
        <is>
          <t>GÄVLEBORGS LÄN</t>
        </is>
      </c>
      <c r="G175" t="inlineStr">
        <is>
          <t>GÄVLE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46253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46253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46253</v>
      </c>
      <c r="F178" t="inlineStr">
        <is>
          <t>GÄVLEBORGS LÄN</t>
        </is>
      </c>
      <c r="G178" t="inlineStr">
        <is>
          <t>GÄVLE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46253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öst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46539-2021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44445</v>
      </c>
      <c r="E180" s="1" t="n">
        <v>46253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46253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46253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46253</v>
      </c>
      <c r="F183" t="inlineStr">
        <is>
          <t>GÄVLEBORGS LÄN</t>
        </is>
      </c>
      <c r="G183" t="inlineStr">
        <is>
          <t>GÄVLE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46253</v>
      </c>
      <c r="F184" t="inlineStr">
        <is>
          <t>GÄVLEBORGS LÄN</t>
        </is>
      </c>
      <c r="G184" t="inlineStr">
        <is>
          <t>GÄVLE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20689-2024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45436</v>
      </c>
      <c r="E185" s="1" t="n">
        <v>46253</v>
      </c>
      <c r="F185" t="inlineStr">
        <is>
          <t>GÄVLEBORGS LÄN</t>
        </is>
      </c>
      <c r="G185" t="inlineStr">
        <is>
          <t>GÄVLE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46253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46253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46253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46253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öst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46253</v>
      </c>
      <c r="F190" t="inlineStr">
        <is>
          <t>GÄVLEBORGS LÄN</t>
        </is>
      </c>
      <c r="G190" t="inlineStr">
        <is>
          <t>GÄVLE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45257</v>
      </c>
      <c r="E191" s="1" t="n">
        <v>46253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46253</v>
      </c>
      <c r="F192" t="inlineStr">
        <is>
          <t>GÄVLEBORGS LÄN</t>
        </is>
      </c>
      <c r="G192" t="inlineStr">
        <is>
          <t>GÄVLE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45454</v>
      </c>
      <c r="E193" s="1" t="n">
        <v>46253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46253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46253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70043-2021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44533</v>
      </c>
      <c r="E196" s="1" t="n">
        <v>46253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44942</v>
      </c>
      <c r="E197" s="1" t="n">
        <v>46253</v>
      </c>
      <c r="F197" t="inlineStr">
        <is>
          <t>GÄVLEBORGS LÄN</t>
        </is>
      </c>
      <c r="G197" t="inlineStr">
        <is>
          <t>GÄVLE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46253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44936</v>
      </c>
      <c r="E199" s="1" t="n">
        <v>46253</v>
      </c>
      <c r="F199" t="inlineStr">
        <is>
          <t>GÄVLEBORGS LÄN</t>
        </is>
      </c>
      <c r="G199" t="inlineStr">
        <is>
          <t>GÄVLE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46253</v>
      </c>
      <c r="F200" t="inlineStr">
        <is>
          <t>GÄVLEBORGS LÄN</t>
        </is>
      </c>
      <c r="G200" t="inlineStr">
        <is>
          <t>GÄVLE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46253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46253</v>
      </c>
      <c r="F202" t="inlineStr">
        <is>
          <t>GÄVLEBORGS LÄN</t>
        </is>
      </c>
      <c r="G202" t="inlineStr">
        <is>
          <t>GÄVLE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46253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45475</v>
      </c>
      <c r="E204" s="1" t="n">
        <v>46253</v>
      </c>
      <c r="F204" t="inlineStr">
        <is>
          <t>GÄVLEBORGS LÄN</t>
        </is>
      </c>
      <c r="G204" t="inlineStr">
        <is>
          <t>GÄVLE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45658</v>
      </c>
      <c r="E205" s="1" t="n">
        <v>46253</v>
      </c>
      <c r="F205" t="inlineStr">
        <is>
          <t>GÄVLEBORGS LÄN</t>
        </is>
      </c>
      <c r="G205" t="inlineStr">
        <is>
          <t>GÄVLE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46253</v>
      </c>
      <c r="F206" t="inlineStr">
        <is>
          <t>GÄVLEBORGS LÄN</t>
        </is>
      </c>
      <c r="G206" t="inlineStr">
        <is>
          <t>GÄVLE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45644</v>
      </c>
      <c r="E207" s="1" t="n">
        <v>46253</v>
      </c>
      <c r="F207" t="inlineStr">
        <is>
          <t>GÄVLEBORGS LÄN</t>
        </is>
      </c>
      <c r="G207" t="inlineStr">
        <is>
          <t>GÄVLE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55976-2022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46253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65879-2021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46253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46253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46253</v>
      </c>
      <c r="F211" t="inlineStr">
        <is>
          <t>GÄVLEBORGS LÄN</t>
        </is>
      </c>
      <c r="G211" t="inlineStr">
        <is>
          <t>GÄVLE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46253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45742</v>
      </c>
      <c r="E213" s="1" t="n">
        <v>46253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45547</v>
      </c>
      <c r="E214" s="1" t="n">
        <v>46253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46253</v>
      </c>
      <c r="F215" t="inlineStr">
        <is>
          <t>GÄVLEBORGS LÄN</t>
        </is>
      </c>
      <c r="G215" t="inlineStr">
        <is>
          <t>GÄVLE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46253</v>
      </c>
      <c r="F216" t="inlineStr">
        <is>
          <t>GÄVLEBORGS LÄN</t>
        </is>
      </c>
      <c r="G216" t="inlineStr">
        <is>
          <t>GÄVLE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44959</v>
      </c>
      <c r="E217" s="1" t="n">
        <v>46253</v>
      </c>
      <c r="F217" t="inlineStr">
        <is>
          <t>GÄVLEBORGS LÄN</t>
        </is>
      </c>
      <c r="G217" t="inlineStr">
        <is>
          <t>GÄVLE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44693</v>
      </c>
      <c r="E218" s="1" t="n">
        <v>46253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46253</v>
      </c>
      <c r="F219" t="inlineStr">
        <is>
          <t>GÄVLEBORGS LÄN</t>
        </is>
      </c>
      <c r="G219" t="inlineStr">
        <is>
          <t>GÄVLE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46253</v>
      </c>
      <c r="F220" t="inlineStr">
        <is>
          <t>GÄVLEBORGS LÄN</t>
        </is>
      </c>
      <c r="G220" t="inlineStr">
        <is>
          <t>GÄVLE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46253</v>
      </c>
      <c r="F221" t="inlineStr">
        <is>
          <t>GÄVLEBORGS LÄN</t>
        </is>
      </c>
      <c r="G221" t="inlineStr">
        <is>
          <t>GÄVLE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46253</v>
      </c>
      <c r="F222" t="inlineStr">
        <is>
          <t>GÄVLEBORGS LÄN</t>
        </is>
      </c>
      <c r="G222" t="inlineStr">
        <is>
          <t>GÄVLE</t>
        </is>
      </c>
      <c r="I222" t="n">
        <v>13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46253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46253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45019</v>
      </c>
      <c r="E225" s="1" t="n">
        <v>46253</v>
      </c>
      <c r="F225" t="inlineStr">
        <is>
          <t>GÄVLEBORGS LÄN</t>
        </is>
      </c>
      <c r="G225" t="inlineStr">
        <is>
          <t>GÄVLE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46253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45652</v>
      </c>
      <c r="E227" s="1" t="n">
        <v>46253</v>
      </c>
      <c r="F227" t="inlineStr">
        <is>
          <t>GÄVLEBORGS LÄN</t>
        </is>
      </c>
      <c r="G227" t="inlineStr">
        <is>
          <t>GÄVLE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46253</v>
      </c>
      <c r="F228" t="inlineStr">
        <is>
          <t>GÄVLEBORGS LÄN</t>
        </is>
      </c>
      <c r="G228" t="inlineStr">
        <is>
          <t>GÄVLE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19095-2022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44691</v>
      </c>
      <c r="E229" s="1" t="n">
        <v>46253</v>
      </c>
      <c r="F229" t="inlineStr">
        <is>
          <t>GÄVLEBORGS LÄN</t>
        </is>
      </c>
      <c r="G229" t="inlineStr">
        <is>
          <t>GÄVLE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46253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46253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46253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46253</v>
      </c>
      <c r="F233" t="inlineStr">
        <is>
          <t>GÄVLEBORGS LÄN</t>
        </is>
      </c>
      <c r="G233" t="inlineStr">
        <is>
          <t>GÄVLE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45595</v>
      </c>
      <c r="E234" s="1" t="n">
        <v>46253</v>
      </c>
      <c r="F234" t="inlineStr">
        <is>
          <t>GÄVLEBORGS LÄN</t>
        </is>
      </c>
      <c r="G234" t="inlineStr">
        <is>
          <t>GÄVLE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46253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46253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öst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44951</v>
      </c>
      <c r="E237" s="1" t="n">
        <v>46253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46253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44951</v>
      </c>
      <c r="E239" s="1" t="n">
        <v>46253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46253</v>
      </c>
      <c r="F240" t="inlineStr">
        <is>
          <t>GÄVLEBORGS LÄN</t>
        </is>
      </c>
      <c r="G240" t="inlineStr">
        <is>
          <t>GÄVLE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46253</v>
      </c>
      <c r="F241" t="inlineStr">
        <is>
          <t>GÄVLEBORGS LÄN</t>
        </is>
      </c>
      <c r="G241" t="inlineStr">
        <is>
          <t>GÄVLE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46253</v>
      </c>
      <c r="F242" t="inlineStr">
        <is>
          <t>GÄVLEBORGS LÄN</t>
        </is>
      </c>
      <c r="G242" t="inlineStr">
        <is>
          <t>GÄVLE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64871-2023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45282</v>
      </c>
      <c r="E243" s="1" t="n">
        <v>46253</v>
      </c>
      <c r="F243" t="inlineStr">
        <is>
          <t>GÄVLEBORGS LÄN</t>
        </is>
      </c>
      <c r="G243" t="inlineStr">
        <is>
          <t>GÄVLE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64875-2023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45282</v>
      </c>
      <c r="E244" s="1" t="n">
        <v>46253</v>
      </c>
      <c r="F244" t="inlineStr">
        <is>
          <t>GÄVLEBORGS LÄN</t>
        </is>
      </c>
      <c r="G244" t="inlineStr">
        <is>
          <t>GÄVLE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46052</v>
      </c>
      <c r="E245" s="1" t="n">
        <v>46253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46253</v>
      </c>
      <c r="F246" t="inlineStr">
        <is>
          <t>GÄVLEBORGS LÄN</t>
        </is>
      </c>
      <c r="G246" t="inlineStr">
        <is>
          <t>GÄVLE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30202-2025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45827</v>
      </c>
      <c r="E247" s="1" t="n">
        <v>46253</v>
      </c>
      <c r="F247" t="inlineStr">
        <is>
          <t>GÄVLEBORGS LÄN</t>
        </is>
      </c>
      <c r="G247" t="inlineStr">
        <is>
          <t>GÄVLE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46253</v>
      </c>
      <c r="F248" t="inlineStr">
        <is>
          <t>GÄVLEBORGS LÄN</t>
        </is>
      </c>
      <c r="G248" t="inlineStr">
        <is>
          <t>GÄVLE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46056</v>
      </c>
      <c r="E249" s="1" t="n">
        <v>46253</v>
      </c>
      <c r="F249" t="inlineStr">
        <is>
          <t>GÄVLEBORGS LÄN</t>
        </is>
      </c>
      <c r="G249" t="inlineStr">
        <is>
          <t>GÄVLE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46253</v>
      </c>
      <c r="F250" t="inlineStr">
        <is>
          <t>GÄVLEBORGS LÄN</t>
        </is>
      </c>
      <c r="G250" t="inlineStr">
        <is>
          <t>GÄVLE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44713</v>
      </c>
      <c r="E251" s="1" t="n">
        <v>46253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46253</v>
      </c>
      <c r="F252" t="inlineStr">
        <is>
          <t>GÄVLEBORGS LÄN</t>
        </is>
      </c>
      <c r="G252" t="inlineStr">
        <is>
          <t>GÄVLE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7252-2026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46253</v>
      </c>
      <c r="F253" t="inlineStr">
        <is>
          <t>GÄVLEBORGS LÄN</t>
        </is>
      </c>
      <c r="G253" t="inlineStr">
        <is>
          <t>GÄVLE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46253</v>
      </c>
      <c r="F254" t="inlineStr">
        <is>
          <t>GÄVLEBORGS LÄN</t>
        </is>
      </c>
      <c r="G254" t="inlineStr">
        <is>
          <t>GÄVLE</t>
        </is>
      </c>
      <c r="H254" t="inlineStr">
        <is>
          <t>Övriga statliga verk och myndigheter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46253</v>
      </c>
      <c r="F255" t="inlineStr">
        <is>
          <t>GÄVLEBORGS LÄN</t>
        </is>
      </c>
      <c r="G255" t="inlineStr">
        <is>
          <t>GÄVLE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46253</v>
      </c>
      <c r="F256" t="inlineStr">
        <is>
          <t>GÄVLEBORGS LÄN</t>
        </is>
      </c>
      <c r="G256" t="inlineStr">
        <is>
          <t>GÄVLE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46253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46253</v>
      </c>
      <c r="F258" t="inlineStr">
        <is>
          <t>GÄVLEBORGS LÄN</t>
        </is>
      </c>
      <c r="G258" t="inlineStr">
        <is>
          <t>GÄVLE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46253</v>
      </c>
      <c r="F259" t="inlineStr">
        <is>
          <t>GÄVLEBORGS LÄN</t>
        </is>
      </c>
      <c r="G259" t="inlineStr">
        <is>
          <t>GÄVLE</t>
        </is>
      </c>
      <c r="H259" t="inlineStr">
        <is>
          <t>Kyrkan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46253</v>
      </c>
      <c r="F260" t="inlineStr">
        <is>
          <t>GÄVLEBORGS LÄN</t>
        </is>
      </c>
      <c r="G260" t="inlineStr">
        <is>
          <t>GÄVLE</t>
        </is>
      </c>
      <c r="H260" t="inlineStr">
        <is>
          <t>Kyrkan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46253</v>
      </c>
      <c r="F261" t="inlineStr">
        <is>
          <t>GÄVLEBORGS LÄN</t>
        </is>
      </c>
      <c r="G261" t="inlineStr">
        <is>
          <t>GÄVLE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40297-2025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45895</v>
      </c>
      <c r="E262" s="1" t="n">
        <v>46253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46253</v>
      </c>
      <c r="F263" t="inlineStr">
        <is>
          <t>GÄVLEBORGS LÄN</t>
        </is>
      </c>
      <c r="G263" t="inlineStr">
        <is>
          <t>GÄVLE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44708</v>
      </c>
      <c r="E264" s="1" t="n">
        <v>46253</v>
      </c>
      <c r="F264" t="inlineStr">
        <is>
          <t>GÄVLEBORGS LÄN</t>
        </is>
      </c>
      <c r="G264" t="inlineStr">
        <is>
          <t>GÄVLE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46253</v>
      </c>
      <c r="F265" t="inlineStr">
        <is>
          <t>GÄVLEBORGS LÄN</t>
        </is>
      </c>
      <c r="G265" t="inlineStr">
        <is>
          <t>GÄVLE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46253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46253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46253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46253</v>
      </c>
      <c r="F269" t="inlineStr">
        <is>
          <t>GÄVLEBORGS LÄN</t>
        </is>
      </c>
      <c r="G269" t="inlineStr">
        <is>
          <t>GÄVLE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46253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46253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46253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46253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46253</v>
      </c>
      <c r="F274" t="inlineStr">
        <is>
          <t>GÄVLEBORGS LÄN</t>
        </is>
      </c>
      <c r="G274" t="inlineStr">
        <is>
          <t>GÄVLE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46253</v>
      </c>
      <c r="F275" t="inlineStr">
        <is>
          <t>GÄVLEBORGS LÄN</t>
        </is>
      </c>
      <c r="G275" t="inlineStr">
        <is>
          <t>GÄVLE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46253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46253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46253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46253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45902</v>
      </c>
      <c r="E280" s="1" t="n">
        <v>46253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46253</v>
      </c>
      <c r="F281" t="inlineStr">
        <is>
          <t>GÄVLEBORGS LÄN</t>
        </is>
      </c>
      <c r="G281" t="inlineStr">
        <is>
          <t>GÄVLE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45462</v>
      </c>
      <c r="E282" s="1" t="n">
        <v>46253</v>
      </c>
      <c r="F282" t="inlineStr">
        <is>
          <t>GÄVLEBORGS LÄN</t>
        </is>
      </c>
      <c r="G282" t="inlineStr">
        <is>
          <t>GÄVLE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46253</v>
      </c>
      <c r="F283" t="inlineStr">
        <is>
          <t>GÄVLEBORGS LÄN</t>
        </is>
      </c>
      <c r="G283" t="inlineStr">
        <is>
          <t>GÄVLE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45485</v>
      </c>
      <c r="E284" s="1" t="n">
        <v>46253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45749</v>
      </c>
      <c r="E285" s="1" t="n">
        <v>46253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45463</v>
      </c>
      <c r="E286" s="1" t="n">
        <v>46253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46253</v>
      </c>
      <c r="F287" t="inlineStr">
        <is>
          <t>GÄVLEBORGS LÄN</t>
        </is>
      </c>
      <c r="G287" t="inlineStr">
        <is>
          <t>GÄVLE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46253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46253</v>
      </c>
      <c r="F289" t="inlineStr">
        <is>
          <t>GÄVLEBORGS LÄN</t>
        </is>
      </c>
      <c r="G289" t="inlineStr">
        <is>
          <t>GÄVLE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45586</v>
      </c>
      <c r="E290" s="1" t="n">
        <v>46253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46253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46253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53281-2024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45614</v>
      </c>
      <c r="E293" s="1" t="n">
        <v>46253</v>
      </c>
      <c r="F293" t="inlineStr">
        <is>
          <t>GÄVLEBORGS LÄN</t>
        </is>
      </c>
      <c r="G293" t="inlineStr">
        <is>
          <t>GÄVLE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46253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46253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46253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46253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46073</v>
      </c>
      <c r="E298" s="1" t="n">
        <v>46253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45909</v>
      </c>
      <c r="E299" s="1" t="n">
        <v>46253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46253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46077</v>
      </c>
      <c r="E301" s="1" t="n">
        <v>46253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46253</v>
      </c>
      <c r="F302" t="inlineStr">
        <is>
          <t>GÄVLEBORGS LÄN</t>
        </is>
      </c>
      <c r="G302" t="inlineStr">
        <is>
          <t>GÄVLE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46253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46079</v>
      </c>
      <c r="E304" s="1" t="n">
        <v>46253</v>
      </c>
      <c r="F304" t="inlineStr">
        <is>
          <t>GÄVLEBORGS LÄN</t>
        </is>
      </c>
      <c r="G304" t="inlineStr">
        <is>
          <t>GÄVLE</t>
        </is>
      </c>
      <c r="H304" t="inlineStr">
        <is>
          <t>Kommuner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45909</v>
      </c>
      <c r="E305" s="1" t="n">
        <v>46253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46253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46253</v>
      </c>
      <c r="F307" t="inlineStr">
        <is>
          <t>GÄVLEBORGS LÄN</t>
        </is>
      </c>
      <c r="G307" t="inlineStr">
        <is>
          <t>GÄVLE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46253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46253</v>
      </c>
      <c r="F309" t="inlineStr">
        <is>
          <t>GÄVLEBORGS LÄN</t>
        </is>
      </c>
      <c r="G309" t="inlineStr">
        <is>
          <t>GÄVLE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46253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46253</v>
      </c>
      <c r="F311" t="inlineStr">
        <is>
          <t>GÄVLEBORGS LÄN</t>
        </is>
      </c>
      <c r="G311" t="inlineStr">
        <is>
          <t>GÄVLE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25466-2023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45089</v>
      </c>
      <c r="E312" s="1" t="n">
        <v>46253</v>
      </c>
      <c r="F312" t="inlineStr">
        <is>
          <t>GÄVLEBORGS LÄN</t>
        </is>
      </c>
      <c r="G312" t="inlineStr">
        <is>
          <t>GÄVLE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45672</v>
      </c>
      <c r="E313" s="1" t="n">
        <v>46253</v>
      </c>
      <c r="F313" t="inlineStr">
        <is>
          <t>GÄVLEBORGS LÄN</t>
        </is>
      </c>
      <c r="G313" t="inlineStr">
        <is>
          <t>GÄVLE</t>
        </is>
      </c>
      <c r="H313" t="inlineStr">
        <is>
          <t>Kyrkan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12738-2026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46253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46253</v>
      </c>
      <c r="F315" t="inlineStr">
        <is>
          <t>GÄVLEBORGS LÄN</t>
        </is>
      </c>
      <c r="G315" t="inlineStr">
        <is>
          <t>GÄVLE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66351-2021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44518</v>
      </c>
      <c r="E316" s="1" t="n">
        <v>46253</v>
      </c>
      <c r="F316" t="inlineStr">
        <is>
          <t>GÄVLEBORGS LÄN</t>
        </is>
      </c>
      <c r="G316" t="inlineStr">
        <is>
          <t>GÄVLE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46253</v>
      </c>
      <c r="F317" t="inlineStr">
        <is>
          <t>GÄVLEBORGS LÄN</t>
        </is>
      </c>
      <c r="G317" t="inlineStr">
        <is>
          <t>GÄVLE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46253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46253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46253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10.9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46253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39022-2025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46253</v>
      </c>
      <c r="F322" t="inlineStr">
        <is>
          <t>GÄVLEBORGS LÄN</t>
        </is>
      </c>
      <c r="G322" t="inlineStr">
        <is>
          <t>GÄVLE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62255-2022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44922</v>
      </c>
      <c r="E323" s="1" t="n">
        <v>46253</v>
      </c>
      <c r="F323" t="inlineStr">
        <is>
          <t>GÄVLEBORGS LÄN</t>
        </is>
      </c>
      <c r="G323" t="inlineStr">
        <is>
          <t>GÄVLE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46253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46253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45850-2025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45923</v>
      </c>
      <c r="E326" s="1" t="n">
        <v>46253</v>
      </c>
      <c r="F326" t="inlineStr">
        <is>
          <t>GÄVLEBORGS LÄN</t>
        </is>
      </c>
      <c r="G326" t="inlineStr">
        <is>
          <t>GÄVLE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46253</v>
      </c>
      <c r="F327" t="inlineStr">
        <is>
          <t>GÄVLEBORGS LÄN</t>
        </is>
      </c>
      <c r="G327" t="inlineStr">
        <is>
          <t>GÄVLE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46253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46253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46253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46253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45896</v>
      </c>
      <c r="E332" s="1" t="n">
        <v>46253</v>
      </c>
      <c r="F332" t="inlineStr">
        <is>
          <t>GÄVLEBORGS LÄN</t>
        </is>
      </c>
      <c r="G332" t="inlineStr">
        <is>
          <t>GÄVLE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46253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46253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46095</v>
      </c>
      <c r="E335" s="1" t="n">
        <v>46253</v>
      </c>
      <c r="F335" t="inlineStr">
        <is>
          <t>GÄVLEBORGS LÄN</t>
        </is>
      </c>
      <c r="G335" t="inlineStr">
        <is>
          <t>GÄVLE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46253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46253</v>
      </c>
      <c r="F337" t="inlineStr">
        <is>
          <t>GÄVLEBORGS LÄN</t>
        </is>
      </c>
      <c r="G337" t="inlineStr">
        <is>
          <t>GÄVLE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46253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46253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46253</v>
      </c>
      <c r="F340" t="inlineStr">
        <is>
          <t>GÄVLEBORGS LÄN</t>
        </is>
      </c>
      <c r="G340" t="inlineStr">
        <is>
          <t>GÄVLE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46253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10.2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45014</v>
      </c>
      <c r="E342" s="1" t="n">
        <v>46253</v>
      </c>
      <c r="F342" t="inlineStr">
        <is>
          <t>GÄVLEBORGS LÄN</t>
        </is>
      </c>
      <c r="G342" t="inlineStr">
        <is>
          <t>GÄVLE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46253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46253</v>
      </c>
      <c r="F344" t="inlineStr">
        <is>
          <t>GÄVLEBORGS LÄN</t>
        </is>
      </c>
      <c r="G344" t="inlineStr">
        <is>
          <t>GÄVLE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13500-2026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46253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46253</v>
      </c>
      <c r="F346" t="inlineStr">
        <is>
          <t>GÄVLEBORGS LÄN</t>
        </is>
      </c>
      <c r="G346" t="inlineStr">
        <is>
          <t>GÄVLE</t>
        </is>
      </c>
      <c r="H346" t="inlineStr">
        <is>
          <t>Kyrkan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31062-2023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45113</v>
      </c>
      <c r="E347" s="1" t="n">
        <v>46253</v>
      </c>
      <c r="F347" t="inlineStr">
        <is>
          <t>GÄVLEBORGS LÄN</t>
        </is>
      </c>
      <c r="G347" t="inlineStr">
        <is>
          <t>GÄVLE</t>
        </is>
      </c>
      <c r="H347" t="inlineStr">
        <is>
          <t>Kommuner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46253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46253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46253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46253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47171-2025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46253</v>
      </c>
      <c r="F352" t="inlineStr">
        <is>
          <t>GÄVLEBORGS LÄN</t>
        </is>
      </c>
      <c r="G352" t="inlineStr">
        <is>
          <t>GÄVLE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47172-2025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46253</v>
      </c>
      <c r="F353" t="inlineStr">
        <is>
          <t>GÄVLEBORGS LÄN</t>
        </is>
      </c>
      <c r="G353" t="inlineStr">
        <is>
          <t>GÄVLE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45630</v>
      </c>
      <c r="E354" s="1" t="n">
        <v>46253</v>
      </c>
      <c r="F354" t="inlineStr">
        <is>
          <t>GÄVLEBORGS LÄN</t>
        </is>
      </c>
      <c r="G354" t="inlineStr">
        <is>
          <t>GÄVLE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45184</v>
      </c>
      <c r="E355" s="1" t="n">
        <v>46253</v>
      </c>
      <c r="F355" t="inlineStr">
        <is>
          <t>GÄVLEBORGS LÄN</t>
        </is>
      </c>
      <c r="G355" t="inlineStr">
        <is>
          <t>GÄVLE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46101</v>
      </c>
      <c r="E356" s="1" t="n">
        <v>46253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46100</v>
      </c>
      <c r="E357" s="1" t="n">
        <v>46253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19730-2022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44694</v>
      </c>
      <c r="E358" s="1" t="n">
        <v>46253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45848</v>
      </c>
      <c r="E359" s="1" t="n">
        <v>46253</v>
      </c>
      <c r="F359" t="inlineStr">
        <is>
          <t>GÄVLEBORGS LÄN</t>
        </is>
      </c>
      <c r="G359" t="inlineStr">
        <is>
          <t>GÄVLE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46253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45932</v>
      </c>
      <c r="E361" s="1" t="n">
        <v>46253</v>
      </c>
      <c r="F361" t="inlineStr">
        <is>
          <t>GÄVLEBORGS LÄN</t>
        </is>
      </c>
      <c r="G361" t="inlineStr">
        <is>
          <t>GÄVLE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46253</v>
      </c>
      <c r="F362" t="inlineStr">
        <is>
          <t>GÄVLEBORGS LÄN</t>
        </is>
      </c>
      <c r="G362" t="inlineStr">
        <is>
          <t>GÄVLE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46253</v>
      </c>
      <c r="F363" t="inlineStr">
        <is>
          <t>GÄVLEBORGS LÄN</t>
        </is>
      </c>
      <c r="G363" t="inlineStr">
        <is>
          <t>GÄVLE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46253</v>
      </c>
      <c r="F364" t="inlineStr">
        <is>
          <t>GÄVLEBORGS LÄN</t>
        </is>
      </c>
      <c r="G364" t="inlineStr">
        <is>
          <t>GÄVLE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47602-2025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45931</v>
      </c>
      <c r="E365" s="1" t="n">
        <v>46253</v>
      </c>
      <c r="F365" t="inlineStr">
        <is>
          <t>GÄVLEBORGS LÄN</t>
        </is>
      </c>
      <c r="G365" t="inlineStr">
        <is>
          <t>GÄVLE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46253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45932</v>
      </c>
      <c r="E367" s="1" t="n">
        <v>46253</v>
      </c>
      <c r="F367" t="inlineStr">
        <is>
          <t>GÄVLEBORGS LÄN</t>
        </is>
      </c>
      <c r="G367" t="inlineStr">
        <is>
          <t>GÄVLE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45848</v>
      </c>
      <c r="E368" s="1" t="n">
        <v>46253</v>
      </c>
      <c r="F368" t="inlineStr">
        <is>
          <t>GÄVLEBORGS LÄN</t>
        </is>
      </c>
      <c r="G368" t="inlineStr">
        <is>
          <t>GÄVLE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46253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45660</v>
      </c>
      <c r="E370" s="1" t="n">
        <v>46253</v>
      </c>
      <c r="F370" t="inlineStr">
        <is>
          <t>GÄVLEBORGS LÄN</t>
        </is>
      </c>
      <c r="G370" t="inlineStr">
        <is>
          <t>GÄVLE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48246-2025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46253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46253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46253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37253-2024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46253</v>
      </c>
      <c r="F374" t="inlineStr">
        <is>
          <t>GÄVLEBORGS LÄN</t>
        </is>
      </c>
      <c r="G374" t="inlineStr">
        <is>
          <t>GÄVLE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29923-2022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44756</v>
      </c>
      <c r="E375" s="1" t="n">
        <v>46253</v>
      </c>
      <c r="F375" t="inlineStr">
        <is>
          <t>GÄVLEBORGS LÄN</t>
        </is>
      </c>
      <c r="G375" t="inlineStr">
        <is>
          <t>GÄVLE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29927-2022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44756</v>
      </c>
      <c r="E376" s="1" t="n">
        <v>46253</v>
      </c>
      <c r="F376" t="inlineStr">
        <is>
          <t>GÄVLEBORGS LÄN</t>
        </is>
      </c>
      <c r="G376" t="inlineStr">
        <is>
          <t>GÄVLE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48249-2025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46253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46253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46253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46253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46253</v>
      </c>
      <c r="F381" t="inlineStr">
        <is>
          <t>GÄVLEBORGS LÄN</t>
        </is>
      </c>
      <c r="G381" t="inlineStr">
        <is>
          <t>GÄVLE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46253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46253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46253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61879-2024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45652</v>
      </c>
      <c r="E385" s="1" t="n">
        <v>46253</v>
      </c>
      <c r="F385" t="inlineStr">
        <is>
          <t>GÄVLEBORGS LÄN</t>
        </is>
      </c>
      <c r="G385" t="inlineStr">
        <is>
          <t>GÄVLE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46253</v>
      </c>
      <c r="F386" t="inlineStr">
        <is>
          <t>GÄVLEBORGS LÄN</t>
        </is>
      </c>
      <c r="G386" t="inlineStr">
        <is>
          <t>GÄVLE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46253</v>
      </c>
      <c r="F387" t="inlineStr">
        <is>
          <t>GÄVLEBORGS LÄN</t>
        </is>
      </c>
      <c r="G387" t="inlineStr">
        <is>
          <t>GÄVLE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45530</v>
      </c>
      <c r="E388" s="1" t="n">
        <v>46253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45854</v>
      </c>
      <c r="E389" s="1" t="n">
        <v>46253</v>
      </c>
      <c r="F389" t="inlineStr">
        <is>
          <t>GÄVLEBORGS LÄN</t>
        </is>
      </c>
      <c r="G389" t="inlineStr">
        <is>
          <t>GÄVLE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45940</v>
      </c>
      <c r="E390" s="1" t="n">
        <v>46253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46253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49842-2025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45940</v>
      </c>
      <c r="E392" s="1" t="n">
        <v>46253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46253</v>
      </c>
      <c r="F393" t="inlineStr">
        <is>
          <t>GÄVLEBORGS LÄN</t>
        </is>
      </c>
      <c r="G393" t="inlineStr">
        <is>
          <t>GÄVLE</t>
        </is>
      </c>
      <c r="H393" t="inlineStr">
        <is>
          <t>Kyrkan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45943</v>
      </c>
      <c r="E394" s="1" t="n">
        <v>46253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46253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46253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45089</v>
      </c>
      <c r="E397" s="1" t="n">
        <v>46253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45817</v>
      </c>
      <c r="E398" s="1" t="n">
        <v>46253</v>
      </c>
      <c r="F398" t="inlineStr">
        <is>
          <t>GÄVLEBORGS LÄN</t>
        </is>
      </c>
      <c r="G398" t="inlineStr">
        <is>
          <t>GÄVLE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46253</v>
      </c>
      <c r="F399" t="inlineStr">
        <is>
          <t>GÄVLEBORGS LÄN</t>
        </is>
      </c>
      <c r="G399" t="inlineStr">
        <is>
          <t>GÄVLE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35650-2025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45859</v>
      </c>
      <c r="E400" s="1" t="n">
        <v>46253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45660</v>
      </c>
      <c r="E401" s="1" t="n">
        <v>46253</v>
      </c>
      <c r="F401" t="inlineStr">
        <is>
          <t>GÄVLEBORGS LÄN</t>
        </is>
      </c>
      <c r="G401" t="inlineStr">
        <is>
          <t>GÄVLE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45660</v>
      </c>
      <c r="E402" s="1" t="n">
        <v>46253</v>
      </c>
      <c r="F402" t="inlineStr">
        <is>
          <t>GÄVLEBORGS LÄN</t>
        </is>
      </c>
      <c r="G402" t="inlineStr">
        <is>
          <t>GÄVLE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46253</v>
      </c>
      <c r="F403" t="inlineStr">
        <is>
          <t>GÄVLEBORGS LÄN</t>
        </is>
      </c>
      <c r="G403" t="inlineStr">
        <is>
          <t>GÄVLE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45176</v>
      </c>
      <c r="E404" s="1" t="n">
        <v>46253</v>
      </c>
      <c r="F404" t="inlineStr">
        <is>
          <t>GÄVLEBORGS LÄN</t>
        </is>
      </c>
      <c r="G404" t="inlineStr">
        <is>
          <t>GÄVLE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45681</v>
      </c>
      <c r="E405" s="1" t="n">
        <v>46253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46077</v>
      </c>
      <c r="E406" s="1" t="n">
        <v>46253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46253</v>
      </c>
      <c r="F407" t="inlineStr">
        <is>
          <t>GÄVLEBORGS LÄN</t>
        </is>
      </c>
      <c r="G407" t="inlineStr">
        <is>
          <t>GÄVLE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44973</v>
      </c>
      <c r="E408" s="1" t="n">
        <v>46253</v>
      </c>
      <c r="F408" t="inlineStr">
        <is>
          <t>GÄVLEBORGS LÄN</t>
        </is>
      </c>
      <c r="G408" t="inlineStr">
        <is>
          <t>GÄVLE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46253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44589</v>
      </c>
      <c r="E410" s="1" t="n">
        <v>46253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46120</v>
      </c>
      <c r="E411" s="1" t="n">
        <v>46253</v>
      </c>
      <c r="F411" t="inlineStr">
        <is>
          <t>GÄVLEBORGS LÄN</t>
        </is>
      </c>
      <c r="G411" t="inlineStr">
        <is>
          <t>GÄVLE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46124</v>
      </c>
      <c r="E412" s="1" t="n">
        <v>46253</v>
      </c>
      <c r="F412" t="inlineStr">
        <is>
          <t>GÄVLEBORGS LÄN</t>
        </is>
      </c>
      <c r="G412" t="inlineStr">
        <is>
          <t>GÄVLE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17976-2026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46124</v>
      </c>
      <c r="E413" s="1" t="n">
        <v>46253</v>
      </c>
      <c r="F413" t="inlineStr">
        <is>
          <t>GÄVLEBORGS LÄN</t>
        </is>
      </c>
      <c r="G413" t="inlineStr">
        <is>
          <t>GÄVLE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45862</v>
      </c>
      <c r="E414" s="1" t="n">
        <v>46253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46253</v>
      </c>
      <c r="F415" t="inlineStr">
        <is>
          <t>GÄVLEBORGS LÄN</t>
        </is>
      </c>
      <c r="G415" t="inlineStr">
        <is>
          <t>GÄVLE</t>
        </is>
      </c>
      <c r="I415" t="n">
        <v>8.699999999999999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45862</v>
      </c>
      <c r="E416" s="1" t="n">
        <v>46253</v>
      </c>
      <c r="F416" t="inlineStr">
        <is>
          <t>GÄVLEBORGS LÄN</t>
        </is>
      </c>
      <c r="G416" t="inlineStr">
        <is>
          <t>GÄVLE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17954-2026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46253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46253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51893-2025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45952</v>
      </c>
      <c r="E419" s="1" t="n">
        <v>46253</v>
      </c>
      <c r="F419" t="inlineStr">
        <is>
          <t>GÄVLEBORGS LÄN</t>
        </is>
      </c>
      <c r="G419" t="inlineStr">
        <is>
          <t>GÄVLE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46124</v>
      </c>
      <c r="E420" s="1" t="n">
        <v>46253</v>
      </c>
      <c r="F420" t="inlineStr">
        <is>
          <t>GÄVLEBORGS LÄN</t>
        </is>
      </c>
      <c r="G420" t="inlineStr">
        <is>
          <t>GÄVLE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46125</v>
      </c>
      <c r="E421" s="1" t="n">
        <v>46253</v>
      </c>
      <c r="F421" t="inlineStr">
        <is>
          <t>GÄVLEBORGS LÄN</t>
        </is>
      </c>
      <c r="G421" t="inlineStr">
        <is>
          <t>GÄVLE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35919-2025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45862</v>
      </c>
      <c r="E422" s="1" t="n">
        <v>46253</v>
      </c>
      <c r="F422" t="inlineStr">
        <is>
          <t>GÄVLEBORGS LÄN</t>
        </is>
      </c>
      <c r="G422" t="inlineStr">
        <is>
          <t>GÄVLE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46253</v>
      </c>
      <c r="F423" t="inlineStr">
        <is>
          <t>GÄVLEBORGS LÄN</t>
        </is>
      </c>
      <c r="G423" t="inlineStr">
        <is>
          <t>GÄVLE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46253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46253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46253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71249-2021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44539</v>
      </c>
      <c r="E427" s="1" t="n">
        <v>46253</v>
      </c>
      <c r="F427" t="inlineStr">
        <is>
          <t>GÄVLEBORGS LÄN</t>
        </is>
      </c>
      <c r="G427" t="inlineStr">
        <is>
          <t>GÄVLE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46253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46084</v>
      </c>
      <c r="E429" s="1" t="n">
        <v>46253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48247-2025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45933</v>
      </c>
      <c r="E430" s="1" t="n">
        <v>46253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46253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36.3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46094</v>
      </c>
      <c r="E432" s="1" t="n">
        <v>46253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46253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46253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45026</v>
      </c>
      <c r="E435" s="1" t="n">
        <v>46253</v>
      </c>
      <c r="F435" t="inlineStr">
        <is>
          <t>GÄVLEBORGS LÄN</t>
        </is>
      </c>
      <c r="G435" t="inlineStr">
        <is>
          <t>GÄVLE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46253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46253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46253</v>
      </c>
      <c r="F438" t="inlineStr">
        <is>
          <t>GÄVLEBORGS LÄN</t>
        </is>
      </c>
      <c r="G438" t="inlineStr">
        <is>
          <t>GÄVLE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52801-2025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46253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46253</v>
      </c>
      <c r="F440" t="inlineStr">
        <is>
          <t>GÄVLEBORGS LÄN</t>
        </is>
      </c>
      <c r="G440" t="inlineStr">
        <is>
          <t>GÄVLE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46253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46253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45245</v>
      </c>
      <c r="E443" s="1" t="n">
        <v>46253</v>
      </c>
      <c r="F443" t="inlineStr">
        <is>
          <t>GÄVLEBORGS LÄN</t>
        </is>
      </c>
      <c r="G443" t="inlineStr">
        <is>
          <t>GÄVLE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52970-2025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45957</v>
      </c>
      <c r="E444" s="1" t="n">
        <v>46253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väst AB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45320</v>
      </c>
      <c r="E445" s="1" t="n">
        <v>46253</v>
      </c>
      <c r="F445" t="inlineStr">
        <is>
          <t>GÄVLEBORGS LÄN</t>
        </is>
      </c>
      <c r="G445" t="inlineStr">
        <is>
          <t>GÄVLE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19087-2026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46253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45866</v>
      </c>
      <c r="E447" s="1" t="n">
        <v>46253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14792-2023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45014</v>
      </c>
      <c r="E448" s="1" t="n">
        <v>46253</v>
      </c>
      <c r="F448" t="inlineStr">
        <is>
          <t>GÄVLEBORGS LÄN</t>
        </is>
      </c>
      <c r="G448" t="inlineStr">
        <is>
          <t>GÄVLE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45867</v>
      </c>
      <c r="E449" s="1" t="n">
        <v>46253</v>
      </c>
      <c r="F449" t="inlineStr">
        <is>
          <t>GÄVLEBORGS LÄN</t>
        </is>
      </c>
      <c r="G449" t="inlineStr">
        <is>
          <t>GÄVLE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53541-2025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45960</v>
      </c>
      <c r="E450" s="1" t="n">
        <v>46253</v>
      </c>
      <c r="F450" t="inlineStr">
        <is>
          <t>GÄVLEBORGS LÄN</t>
        </is>
      </c>
      <c r="G450" t="inlineStr">
        <is>
          <t>GÄVLE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10095-2025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45719</v>
      </c>
      <c r="E451" s="1" t="n">
        <v>46253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54135-2025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45964</v>
      </c>
      <c r="E452" s="1" t="n">
        <v>46253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46253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46253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19370-2026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46133</v>
      </c>
      <c r="E455" s="1" t="n">
        <v>46253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46253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45719</v>
      </c>
      <c r="E457" s="1" t="n">
        <v>46253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45869</v>
      </c>
      <c r="E458" s="1" t="n">
        <v>46253</v>
      </c>
      <c r="F458" t="inlineStr">
        <is>
          <t>GÄVLEBORGS LÄN</t>
        </is>
      </c>
      <c r="G458" t="inlineStr">
        <is>
          <t>GÄVLE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14365-2026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46100</v>
      </c>
      <c r="E459" s="1" t="n">
        <v>46253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46134</v>
      </c>
      <c r="E460" s="1" t="n">
        <v>46253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46253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45706</v>
      </c>
      <c r="E462" s="1" t="n">
        <v>46253</v>
      </c>
      <c r="F462" t="inlineStr">
        <is>
          <t>GÄVLEBORGS LÄN</t>
        </is>
      </c>
      <c r="G462" t="inlineStr">
        <is>
          <t>GÄVLE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46253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46253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47746-2023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45203</v>
      </c>
      <c r="E465" s="1" t="n">
        <v>46253</v>
      </c>
      <c r="F465" t="inlineStr">
        <is>
          <t>GÄVLEBORGS LÄN</t>
        </is>
      </c>
      <c r="G465" t="inlineStr">
        <is>
          <t>GÄVLE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46253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54480-2025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45965</v>
      </c>
      <c r="E467" s="1" t="n">
        <v>46253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45869</v>
      </c>
      <c r="E468" s="1" t="n">
        <v>46253</v>
      </c>
      <c r="F468" t="inlineStr">
        <is>
          <t>GÄVLEBORGS LÄN</t>
        </is>
      </c>
      <c r="G468" t="inlineStr">
        <is>
          <t>GÄVLE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46253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54768-2025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45966</v>
      </c>
      <c r="E470" s="1" t="n">
        <v>46253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44000-2025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45915</v>
      </c>
      <c r="E471" s="1" t="n">
        <v>46253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45965</v>
      </c>
      <c r="E472" s="1" t="n">
        <v>46253</v>
      </c>
      <c r="F472" t="inlineStr">
        <is>
          <t>GÄVLEBORGS LÄN</t>
        </is>
      </c>
      <c r="G472" t="inlineStr">
        <is>
          <t>GÄVLE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22466-2023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45070</v>
      </c>
      <c r="E473" s="1" t="n">
        <v>46253</v>
      </c>
      <c r="F473" t="inlineStr">
        <is>
          <t>GÄVLEBORGS LÄN</t>
        </is>
      </c>
      <c r="G473" t="inlineStr">
        <is>
          <t>GÄVLE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17605-2025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45757</v>
      </c>
      <c r="E474" s="1" t="n">
        <v>46253</v>
      </c>
      <c r="F474" t="inlineStr">
        <is>
          <t>GÄVLEBORGS LÄN</t>
        </is>
      </c>
      <c r="G474" t="inlineStr">
        <is>
          <t>GÄVLE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45757</v>
      </c>
      <c r="E475" s="1" t="n">
        <v>46253</v>
      </c>
      <c r="F475" t="inlineStr">
        <is>
          <t>GÄVLEBORGS LÄN</t>
        </is>
      </c>
      <c r="G475" t="inlineStr">
        <is>
          <t>GÄVLE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45090</v>
      </c>
      <c r="E476" s="1" t="n">
        <v>46253</v>
      </c>
      <c r="F476" t="inlineStr">
        <is>
          <t>GÄVLEBORGS LÄN</t>
        </is>
      </c>
      <c r="G476" t="inlineStr">
        <is>
          <t>GÄVLE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46253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46253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46090</v>
      </c>
      <c r="E479" s="1" t="n">
        <v>46253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54958-2025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45967</v>
      </c>
      <c r="E480" s="1" t="n">
        <v>46253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54960-2025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45967</v>
      </c>
      <c r="E481" s="1" t="n">
        <v>46253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54966-2025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45967</v>
      </c>
      <c r="E482" s="1" t="n">
        <v>46253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55221-2025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45968</v>
      </c>
      <c r="E483" s="1" t="n">
        <v>46253</v>
      </c>
      <c r="F483" t="inlineStr">
        <is>
          <t>GÄVLEBORGS LÄN</t>
        </is>
      </c>
      <c r="G483" t="inlineStr">
        <is>
          <t>GÄVLE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54959-2025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45967</v>
      </c>
      <c r="E484" s="1" t="n">
        <v>46253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45757</v>
      </c>
      <c r="E485" s="1" t="n">
        <v>46253</v>
      </c>
      <c r="F485" t="inlineStr">
        <is>
          <t>GÄVLEBORGS LÄN</t>
        </is>
      </c>
      <c r="G485" t="inlineStr">
        <is>
          <t>GÄVLE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45272</v>
      </c>
      <c r="E486" s="1" t="n">
        <v>46253</v>
      </c>
      <c r="F486" t="inlineStr">
        <is>
          <t>GÄVLEBORGS LÄN</t>
        </is>
      </c>
      <c r="G486" t="inlineStr">
        <is>
          <t>GÄVLE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52387-2022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44874</v>
      </c>
      <c r="E487" s="1" t="n">
        <v>46253</v>
      </c>
      <c r="F487" t="inlineStr">
        <is>
          <t>GÄVLEBORGS LÄN</t>
        </is>
      </c>
      <c r="G487" t="inlineStr">
        <is>
          <t>GÄVLE</t>
        </is>
      </c>
      <c r="H487" t="inlineStr">
        <is>
          <t>Kommuner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46253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50871-2022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44867</v>
      </c>
      <c r="E489" s="1" t="n">
        <v>46253</v>
      </c>
      <c r="F489" t="inlineStr">
        <is>
          <t>GÄVLEBORGS LÄN</t>
        </is>
      </c>
      <c r="G489" t="inlineStr">
        <is>
          <t>GÄVLE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55432-2025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46253</v>
      </c>
      <c r="F490" t="inlineStr">
        <is>
          <t>GÄVLEBORGS LÄN</t>
        </is>
      </c>
      <c r="G490" t="inlineStr">
        <is>
          <t>GÄVLE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45869</v>
      </c>
      <c r="E491" s="1" t="n">
        <v>46253</v>
      </c>
      <c r="F491" t="inlineStr">
        <is>
          <t>GÄVLEBORGS LÄN</t>
        </is>
      </c>
      <c r="G491" t="inlineStr">
        <is>
          <t>GÄVLE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35916-2025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45862</v>
      </c>
      <c r="E492" s="1" t="n">
        <v>46253</v>
      </c>
      <c r="F492" t="inlineStr">
        <is>
          <t>GÄVLEBORGS LÄN</t>
        </is>
      </c>
      <c r="G492" t="inlineStr">
        <is>
          <t>GÄVLE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45715</v>
      </c>
      <c r="E493" s="1" t="n">
        <v>46253</v>
      </c>
      <c r="F493" t="inlineStr">
        <is>
          <t>GÄVLEBORGS LÄN</t>
        </is>
      </c>
      <c r="G493" t="inlineStr">
        <is>
          <t>GÄVLE</t>
        </is>
      </c>
      <c r="H493" t="inlineStr">
        <is>
          <t>Kyrkan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56271-2025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45974</v>
      </c>
      <c r="E494" s="1" t="n">
        <v>46253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56277-2025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45974</v>
      </c>
      <c r="E495" s="1" t="n">
        <v>46253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44600</v>
      </c>
      <c r="E496" s="1" t="n">
        <v>46253</v>
      </c>
      <c r="F496" t="inlineStr">
        <is>
          <t>GÄVLEBORGS LÄN</t>
        </is>
      </c>
      <c r="G496" t="inlineStr">
        <is>
          <t>GÄVLE</t>
        </is>
      </c>
      <c r="H496" t="inlineStr">
        <is>
          <t>Kyrkan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56268-2025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45974</v>
      </c>
      <c r="E497" s="1" t="n">
        <v>46253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45974</v>
      </c>
      <c r="E498" s="1" t="n">
        <v>46253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56275-2025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46253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56123-2025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46253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10.5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10487-2026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46077</v>
      </c>
      <c r="E501" s="1" t="n">
        <v>46253</v>
      </c>
      <c r="F501" t="inlineStr">
        <is>
          <t>GÄVLEBORGS LÄN</t>
        </is>
      </c>
      <c r="G501" t="inlineStr">
        <is>
          <t>GÄVLE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56270-2025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45974</v>
      </c>
      <c r="E502" s="1" t="n">
        <v>46253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56121-2025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46253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45974</v>
      </c>
      <c r="E504" s="1" t="n">
        <v>46253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45974</v>
      </c>
      <c r="E505" s="1" t="n">
        <v>46253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56273-2025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45974</v>
      </c>
      <c r="E506" s="1" t="n">
        <v>46253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45973</v>
      </c>
      <c r="E507" s="1" t="n">
        <v>46253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45973</v>
      </c>
      <c r="E508" s="1" t="n">
        <v>46253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46253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22.4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46253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16076-2026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46108</v>
      </c>
      <c r="E511" s="1" t="n">
        <v>46253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46253</v>
      </c>
      <c r="F512" t="inlineStr">
        <is>
          <t>GÄVLEBORGS LÄN</t>
        </is>
      </c>
      <c r="G512" t="inlineStr">
        <is>
          <t>GÄVLE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46253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45744</v>
      </c>
      <c r="E514" s="1" t="n">
        <v>46253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46253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45978</v>
      </c>
      <c r="E516" s="1" t="n">
        <v>46253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46253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29862-2023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46253</v>
      </c>
      <c r="F518" t="inlineStr">
        <is>
          <t>GÄVLEBORGS LÄN</t>
        </is>
      </c>
      <c r="G518" t="inlineStr">
        <is>
          <t>GÄVLE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46253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20589-2026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46253</v>
      </c>
      <c r="F520" t="inlineStr">
        <is>
          <t>GÄVLEBORGS LÄN</t>
        </is>
      </c>
      <c r="G520" t="inlineStr">
        <is>
          <t>GÄVLE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26094-2025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45805</v>
      </c>
      <c r="E521" s="1" t="n">
        <v>46253</v>
      </c>
      <c r="F521" t="inlineStr">
        <is>
          <t>GÄVLEBORGS LÄN</t>
        </is>
      </c>
      <c r="G521" t="inlineStr">
        <is>
          <t>GÄVLE</t>
        </is>
      </c>
      <c r="I521" t="n">
        <v>12.4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46253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46253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46107</v>
      </c>
      <c r="E524" s="1" t="n">
        <v>46253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15835-2026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46107</v>
      </c>
      <c r="E525" s="1" t="n">
        <v>46253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46253</v>
      </c>
      <c r="F526" t="inlineStr">
        <is>
          <t>GÄVLEBORGS LÄN</t>
        </is>
      </c>
      <c r="G526" t="inlineStr">
        <is>
          <t>GÄVLE</t>
        </is>
      </c>
      <c r="I526" t="n">
        <v>12.7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46253</v>
      </c>
      <c r="F527" t="inlineStr">
        <is>
          <t>GÄVLEBORGS LÄN</t>
        </is>
      </c>
      <c r="G527" t="inlineStr">
        <is>
          <t>GÄVLE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45686</v>
      </c>
      <c r="E528" s="1" t="n">
        <v>46253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45705</v>
      </c>
      <c r="E529" s="1" t="n">
        <v>46253</v>
      </c>
      <c r="F529" t="inlineStr">
        <is>
          <t>GÄVLEBORGS LÄN</t>
        </is>
      </c>
      <c r="G529" t="inlineStr">
        <is>
          <t>GÄVLE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21966-2025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45784</v>
      </c>
      <c r="E530" s="1" t="n">
        <v>46253</v>
      </c>
      <c r="F530" t="inlineStr">
        <is>
          <t>GÄVLEBORGS LÄN</t>
        </is>
      </c>
      <c r="G530" t="inlineStr">
        <is>
          <t>GÄVLE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45545</v>
      </c>
      <c r="E531" s="1" t="n">
        <v>46253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46253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46253</v>
      </c>
      <c r="F533" t="inlineStr">
        <is>
          <t>GÄVLEBORGS LÄN</t>
        </is>
      </c>
      <c r="G533" t="inlineStr">
        <is>
          <t>GÄVLE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46253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46800-2021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44446</v>
      </c>
      <c r="E535" s="1" t="n">
        <v>46253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45740</v>
      </c>
      <c r="E536" s="1" t="n">
        <v>46253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46253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45448-2025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45922</v>
      </c>
      <c r="E538" s="1" t="n">
        <v>46253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43742-2025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45912</v>
      </c>
      <c r="E539" s="1" t="n">
        <v>46253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43774-2025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45912</v>
      </c>
      <c r="E540" s="1" t="n">
        <v>46253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45922</v>
      </c>
      <c r="E541" s="1" t="n">
        <v>46253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45548-2025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45922</v>
      </c>
      <c r="E542" s="1" t="n">
        <v>46253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46253</v>
      </c>
      <c r="F543" t="inlineStr">
        <is>
          <t>GÄVLEBORGS LÄN</t>
        </is>
      </c>
      <c r="G543" t="inlineStr">
        <is>
          <t>GÄVLE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45672</v>
      </c>
      <c r="E544" s="1" t="n">
        <v>46253</v>
      </c>
      <c r="F544" t="inlineStr">
        <is>
          <t>GÄVLEBORGS LÄN</t>
        </is>
      </c>
      <c r="G544" t="inlineStr">
        <is>
          <t>GÄVLE</t>
        </is>
      </c>
      <c r="H544" t="inlineStr">
        <is>
          <t>Kyrkan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45660</v>
      </c>
      <c r="E545" s="1" t="n">
        <v>46253</v>
      </c>
      <c r="F545" t="inlineStr">
        <is>
          <t>GÄVLEBORGS LÄN</t>
        </is>
      </c>
      <c r="G545" t="inlineStr">
        <is>
          <t>GÄVLE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45660</v>
      </c>
      <c r="E546" s="1" t="n">
        <v>46253</v>
      </c>
      <c r="F546" t="inlineStr">
        <is>
          <t>GÄVLEBORGS LÄN</t>
        </is>
      </c>
      <c r="G546" t="inlineStr">
        <is>
          <t>GÄVLE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45945</v>
      </c>
      <c r="E547" s="1" t="n">
        <v>46253</v>
      </c>
      <c r="F547" t="inlineStr">
        <is>
          <t>GÄVLEBORGS LÄN</t>
        </is>
      </c>
      <c r="G547" t="inlineStr">
        <is>
          <t>GÄVLE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45426-2025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45922</v>
      </c>
      <c r="E548" s="1" t="n">
        <v>46253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8.199999999999999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45546-2025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45922</v>
      </c>
      <c r="E549" s="1" t="n">
        <v>46253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43771-2025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45912</v>
      </c>
      <c r="E550" s="1" t="n">
        <v>46253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43780-2025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45912</v>
      </c>
      <c r="E551" s="1" t="n">
        <v>46253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45117</v>
      </c>
      <c r="E552" s="1" t="n">
        <v>46253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45922</v>
      </c>
      <c r="E553" s="1" t="n">
        <v>46253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45438-2025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45922</v>
      </c>
      <c r="E554" s="1" t="n">
        <v>46253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44935</v>
      </c>
      <c r="E555" s="1" t="n">
        <v>46253</v>
      </c>
      <c r="F555" t="inlineStr">
        <is>
          <t>GÄVLEBORGS LÄN</t>
        </is>
      </c>
      <c r="G555" t="inlineStr">
        <is>
          <t>GÄVLE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58925-2025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45987</v>
      </c>
      <c r="E556" s="1" t="n">
        <v>46253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46253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45456-2025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45922</v>
      </c>
      <c r="E558" s="1" t="n">
        <v>46253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43764-2025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45912</v>
      </c>
      <c r="E559" s="1" t="n">
        <v>46253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45410-2025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45922</v>
      </c>
      <c r="E560" s="1" t="n">
        <v>46253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45442-2025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46253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38516-2025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45884</v>
      </c>
      <c r="E562" s="1" t="n">
        <v>46253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46253</v>
      </c>
      <c r="F563" t="inlineStr">
        <is>
          <t>GÄVLEBORGS LÄN</t>
        </is>
      </c>
      <c r="G563" t="inlineStr">
        <is>
          <t>GÄVLE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45992</v>
      </c>
      <c r="E564" s="1" t="n">
        <v>46253</v>
      </c>
      <c r="F564" t="inlineStr">
        <is>
          <t>GÄVLEBORGS LÄN</t>
        </is>
      </c>
      <c r="G564" t="inlineStr">
        <is>
          <t>GÄVLE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42592-2025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45905</v>
      </c>
      <c r="E565" s="1" t="n">
        <v>46253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45992</v>
      </c>
      <c r="E566" s="1" t="n">
        <v>46253</v>
      </c>
      <c r="F566" t="inlineStr">
        <is>
          <t>GÄVLEBORGS LÄN</t>
        </is>
      </c>
      <c r="G566" t="inlineStr">
        <is>
          <t>GÄVLE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45993</v>
      </c>
      <c r="E567" s="1" t="n">
        <v>46253</v>
      </c>
      <c r="F567" t="inlineStr">
        <is>
          <t>GÄVLEBORGS LÄN</t>
        </is>
      </c>
      <c r="G567" t="inlineStr">
        <is>
          <t>GÄVLE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60105-2025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45994</v>
      </c>
      <c r="E568" s="1" t="n">
        <v>46253</v>
      </c>
      <c r="F568" t="inlineStr">
        <is>
          <t>GÄVLEBORGS LÄN</t>
        </is>
      </c>
      <c r="G568" t="inlineStr">
        <is>
          <t>GÄVLE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46253</v>
      </c>
      <c r="F569" t="inlineStr">
        <is>
          <t>GÄVLEBORGS LÄN</t>
        </is>
      </c>
      <c r="G569" t="inlineStr">
        <is>
          <t>GÄVLE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46253</v>
      </c>
      <c r="F570" t="inlineStr">
        <is>
          <t>GÄVLEBORGS LÄN</t>
        </is>
      </c>
      <c r="G570" t="inlineStr">
        <is>
          <t>GÄVLE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45744</v>
      </c>
      <c r="E571" s="1" t="n">
        <v>46253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46031</v>
      </c>
      <c r="E572" s="1" t="n">
        <v>46253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45600</v>
      </c>
      <c r="E573" s="1" t="n">
        <v>46253</v>
      </c>
      <c r="F573" t="inlineStr">
        <is>
          <t>GÄVLEBORGS LÄN</t>
        </is>
      </c>
      <c r="G573" t="inlineStr">
        <is>
          <t>GÄVLE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60532-2025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45995</v>
      </c>
      <c r="E574" s="1" t="n">
        <v>46253</v>
      </c>
      <c r="F574" t="inlineStr">
        <is>
          <t>GÄVLEBORGS LÄN</t>
        </is>
      </c>
      <c r="G574" t="inlineStr">
        <is>
          <t>GÄVLE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55217-2025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45968</v>
      </c>
      <c r="E575" s="1" t="n">
        <v>46253</v>
      </c>
      <c r="F575" t="inlineStr">
        <is>
          <t>GÄVLEBORGS LÄN</t>
        </is>
      </c>
      <c r="G575" t="inlineStr">
        <is>
          <t>GÄVLE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46253</v>
      </c>
      <c r="F576" t="inlineStr">
        <is>
          <t>GÄVLEBORGS LÄN</t>
        </is>
      </c>
      <c r="G576" t="inlineStr">
        <is>
          <t>GÄVLE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46253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46033</v>
      </c>
      <c r="E578" s="1" t="n">
        <v>46253</v>
      </c>
      <c r="F578" t="inlineStr">
        <is>
          <t>GÄVLEBORGS LÄN</t>
        </is>
      </c>
      <c r="G578" t="inlineStr">
        <is>
          <t>GÄVLE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45519</v>
      </c>
      <c r="E579" s="1" t="n">
        <v>46253</v>
      </c>
      <c r="F579" t="inlineStr">
        <is>
          <t>GÄVLEBORGS LÄN</t>
        </is>
      </c>
      <c r="G579" t="inlineStr">
        <is>
          <t>GÄVLE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45539</v>
      </c>
      <c r="E580" s="1" t="n">
        <v>46253</v>
      </c>
      <c r="F580" t="inlineStr">
        <is>
          <t>GÄVLEBORGS LÄN</t>
        </is>
      </c>
      <c r="G580" t="inlineStr">
        <is>
          <t>GÄVLE</t>
        </is>
      </c>
      <c r="I580" t="n">
        <v>9.4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45999</v>
      </c>
      <c r="E581" s="1" t="n">
        <v>46253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8568-2026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46253</v>
      </c>
      <c r="F582" t="inlineStr">
        <is>
          <t>GÄVLEBORGS LÄN</t>
        </is>
      </c>
      <c r="G582" t="inlineStr">
        <is>
          <t>GÄVLE</t>
        </is>
      </c>
      <c r="I582" t="n">
        <v>9.5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46253</v>
      </c>
      <c r="F583" t="inlineStr">
        <is>
          <t>GÄVLEBORGS LÄN</t>
        </is>
      </c>
      <c r="G583" t="inlineStr">
        <is>
          <t>GÄVLE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60349-2022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44910</v>
      </c>
      <c r="E584" s="1" t="n">
        <v>46253</v>
      </c>
      <c r="F584" t="inlineStr">
        <is>
          <t>GÄVLEBORGS LÄN</t>
        </is>
      </c>
      <c r="G584" t="inlineStr">
        <is>
          <t>GÄVLE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60396-2022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44910</v>
      </c>
      <c r="E585" s="1" t="n">
        <v>46253</v>
      </c>
      <c r="F585" t="inlineStr">
        <is>
          <t>GÄVLEBORGS LÄN</t>
        </is>
      </c>
      <c r="G585" t="inlineStr">
        <is>
          <t>GÄVLE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46141</v>
      </c>
      <c r="E586" s="1" t="n">
        <v>46253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62766-2022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44885</v>
      </c>
      <c r="E587" s="1" t="n">
        <v>46253</v>
      </c>
      <c r="F587" t="inlineStr">
        <is>
          <t>GÄVLEBORGS LÄN</t>
        </is>
      </c>
      <c r="G587" t="inlineStr">
        <is>
          <t>GÄVLE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46549-2021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44445</v>
      </c>
      <c r="E588" s="1" t="n">
        <v>46253</v>
      </c>
      <c r="F588" t="inlineStr">
        <is>
          <t>GÄVLEBORGS LÄN</t>
        </is>
      </c>
      <c r="G588" t="inlineStr">
        <is>
          <t>GÄVLE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61648-2025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46002</v>
      </c>
      <c r="E589" s="1" t="n">
        <v>46253</v>
      </c>
      <c r="F589" t="inlineStr">
        <is>
          <t>GÄVLEBORGS LÄN</t>
        </is>
      </c>
      <c r="G589" t="inlineStr">
        <is>
          <t>GÄVLE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61651-2025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46002</v>
      </c>
      <c r="E590" s="1" t="n">
        <v>46253</v>
      </c>
      <c r="F590" t="inlineStr">
        <is>
          <t>GÄVLEBORGS LÄN</t>
        </is>
      </c>
      <c r="G590" t="inlineStr">
        <is>
          <t>GÄVLE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61650-2025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46002</v>
      </c>
      <c r="E591" s="1" t="n">
        <v>46253</v>
      </c>
      <c r="F591" t="inlineStr">
        <is>
          <t>GÄVLEBORGS LÄN</t>
        </is>
      </c>
      <c r="G591" t="inlineStr">
        <is>
          <t>GÄVLE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20736-2026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46253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46253</v>
      </c>
      <c r="F593" t="inlineStr">
        <is>
          <t>GÄVLEBORGS LÄN</t>
        </is>
      </c>
      <c r="G593" t="inlineStr">
        <is>
          <t>GÄVLE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46111</v>
      </c>
      <c r="E594" s="1" t="n">
        <v>46253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46253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20785-2026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46141</v>
      </c>
      <c r="E596" s="1" t="n">
        <v>46253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61449-2025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46253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9.300000000000001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61880-2025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46253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46253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61879-2025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46003</v>
      </c>
      <c r="E600" s="1" t="n">
        <v>46253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1594-2024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45306</v>
      </c>
      <c r="E601" s="1" t="n">
        <v>46253</v>
      </c>
      <c r="F601" t="inlineStr">
        <is>
          <t>GÄVLEBORGS LÄN</t>
        </is>
      </c>
      <c r="G601" t="inlineStr">
        <is>
          <t>GÄVLE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20905-2026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46142</v>
      </c>
      <c r="E602" s="1" t="n">
        <v>46253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20735-2026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46141</v>
      </c>
      <c r="E603" s="1" t="n">
        <v>46253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62742-2025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46008</v>
      </c>
      <c r="E604" s="1" t="n">
        <v>46253</v>
      </c>
      <c r="F604" t="inlineStr">
        <is>
          <t>GÄVLEBORGS LÄN</t>
        </is>
      </c>
      <c r="G604" t="inlineStr">
        <is>
          <t>GÄVLE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38255-2023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45161</v>
      </c>
      <c r="E605" s="1" t="n">
        <v>46253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72734-2021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44546</v>
      </c>
      <c r="E606" s="1" t="n">
        <v>46253</v>
      </c>
      <c r="F606" t="inlineStr">
        <is>
          <t>GÄVLEBORGS LÄN</t>
        </is>
      </c>
      <c r="G606" t="inlineStr">
        <is>
          <t>GÄVLE</t>
        </is>
      </c>
      <c r="H606" t="inlineStr">
        <is>
          <t>Kommuner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46253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46253</v>
      </c>
      <c r="F608" t="inlineStr">
        <is>
          <t>GÄVLEBORGS LÄN</t>
        </is>
      </c>
      <c r="G608" t="inlineStr">
        <is>
          <t>GÄVLE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46253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17245-2024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45414</v>
      </c>
      <c r="E610" s="1" t="n">
        <v>46253</v>
      </c>
      <c r="F610" t="inlineStr">
        <is>
          <t>GÄVLEBORGS LÄN</t>
        </is>
      </c>
      <c r="G610" t="inlineStr">
        <is>
          <t>GÄVLE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17113-2024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45412</v>
      </c>
      <c r="E611" s="1" t="n">
        <v>46253</v>
      </c>
      <c r="F611" t="inlineStr">
        <is>
          <t>GÄVLEBORGS LÄN</t>
        </is>
      </c>
      <c r="G611" t="inlineStr">
        <is>
          <t>GÄVLE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46253</v>
      </c>
      <c r="F612" t="inlineStr">
        <is>
          <t>GÄVLEBORGS LÄN</t>
        </is>
      </c>
      <c r="G612" t="inlineStr">
        <is>
          <t>GÄVLE</t>
        </is>
      </c>
      <c r="H612" t="inlineStr">
        <is>
          <t>Kyrkan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32353-2023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45120</v>
      </c>
      <c r="E613" s="1" t="n">
        <v>46253</v>
      </c>
      <c r="F613" t="inlineStr">
        <is>
          <t>GÄVLEBORGS LÄN</t>
        </is>
      </c>
      <c r="G613" t="inlineStr">
        <is>
          <t>GÄVLE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16144-2026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46108</v>
      </c>
      <c r="E614" s="1" t="n">
        <v>46253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46253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14707-2026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46253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12228-2022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44637</v>
      </c>
      <c r="E617" s="1" t="n">
        <v>46253</v>
      </c>
      <c r="F617" t="inlineStr">
        <is>
          <t>GÄVLEBORGS LÄN</t>
        </is>
      </c>
      <c r="G617" t="inlineStr">
        <is>
          <t>GÄVLE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10001-2025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46253</v>
      </c>
      <c r="F618" t="inlineStr">
        <is>
          <t>GÄVLEBORGS LÄN</t>
        </is>
      </c>
      <c r="G618" t="inlineStr">
        <is>
          <t>GÄVLE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63801-2025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46019</v>
      </c>
      <c r="E619" s="1" t="n">
        <v>46253</v>
      </c>
      <c r="F619" t="inlineStr">
        <is>
          <t>GÄVLEBORGS LÄN</t>
        </is>
      </c>
      <c r="G619" t="inlineStr">
        <is>
          <t>GÄVLE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54953-2025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45967</v>
      </c>
      <c r="E620" s="1" t="n">
        <v>46253</v>
      </c>
      <c r="F620" t="inlineStr">
        <is>
          <t>GÄVLEBORGS LÄN</t>
        </is>
      </c>
      <c r="G620" t="inlineStr">
        <is>
          <t>GÄVLE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45931</v>
      </c>
      <c r="E621" s="1" t="n">
        <v>46253</v>
      </c>
      <c r="F621" t="inlineStr">
        <is>
          <t>GÄVLEBORGS LÄN</t>
        </is>
      </c>
      <c r="G621" t="inlineStr">
        <is>
          <t>GÄVLE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48864-2025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45937</v>
      </c>
      <c r="E622" s="1" t="n">
        <v>46253</v>
      </c>
      <c r="F622" t="inlineStr">
        <is>
          <t>GÄVLEBORGS LÄN</t>
        </is>
      </c>
      <c r="G622" t="inlineStr">
        <is>
          <t>GÄVLE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35450-2025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45855</v>
      </c>
      <c r="E623" s="1" t="n">
        <v>46253</v>
      </c>
      <c r="F623" t="inlineStr">
        <is>
          <t>GÄVLEBORGS LÄN</t>
        </is>
      </c>
      <c r="G623" t="inlineStr">
        <is>
          <t>GÄVLE</t>
        </is>
      </c>
      <c r="I623" t="n">
        <v>8.199999999999999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63800-2025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46019</v>
      </c>
      <c r="E624" s="1" t="n">
        <v>46253</v>
      </c>
      <c r="F624" t="inlineStr">
        <is>
          <t>GÄVLEBORGS LÄN</t>
        </is>
      </c>
      <c r="G624" t="inlineStr">
        <is>
          <t>GÄVLE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42788-2025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45908</v>
      </c>
      <c r="E625" s="1" t="n">
        <v>46253</v>
      </c>
      <c r="F625" t="inlineStr">
        <is>
          <t>GÄVLEBORGS LÄN</t>
        </is>
      </c>
      <c r="G625" t="inlineStr">
        <is>
          <t>GÄVLE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47942-2025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45932</v>
      </c>
      <c r="E626" s="1" t="n">
        <v>46253</v>
      </c>
      <c r="F626" t="inlineStr">
        <is>
          <t>GÄVLEBORGS LÄN</t>
        </is>
      </c>
      <c r="G626" t="inlineStr">
        <is>
          <t>GÄVLE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47981-2025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45932</v>
      </c>
      <c r="E627" s="1" t="n">
        <v>46253</v>
      </c>
      <c r="F627" t="inlineStr">
        <is>
          <t>GÄVLEBORGS LÄN</t>
        </is>
      </c>
      <c r="G627" t="inlineStr">
        <is>
          <t>GÄVLE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48928-2025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45937</v>
      </c>
      <c r="E628" s="1" t="n">
        <v>46253</v>
      </c>
      <c r="F628" t="inlineStr">
        <is>
          <t>GÄVLEBORGS LÄN</t>
        </is>
      </c>
      <c r="G628" t="inlineStr">
        <is>
          <t>GÄVLE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42692-2025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45908</v>
      </c>
      <c r="E629" s="1" t="n">
        <v>46253</v>
      </c>
      <c r="F629" t="inlineStr">
        <is>
          <t>GÄVLEBORGS LÄN</t>
        </is>
      </c>
      <c r="G629" t="inlineStr">
        <is>
          <t>GÄVLE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64142-2025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46022</v>
      </c>
      <c r="E630" s="1" t="n">
        <v>46253</v>
      </c>
      <c r="F630" t="inlineStr">
        <is>
          <t>GÄVLEBORGS LÄN</t>
        </is>
      </c>
      <c r="G630" t="inlineStr">
        <is>
          <t>GÄVLE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47916-2025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45932</v>
      </c>
      <c r="E631" s="1" t="n">
        <v>46253</v>
      </c>
      <c r="F631" t="inlineStr">
        <is>
          <t>GÄVLEBORGS LÄN</t>
        </is>
      </c>
      <c r="G631" t="inlineStr">
        <is>
          <t>GÄVLE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14666-2026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46101</v>
      </c>
      <c r="E632" s="1" t="n">
        <v>46253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22342-2026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46154</v>
      </c>
      <c r="E633" s="1" t="n">
        <v>46253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4290-2024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45324</v>
      </c>
      <c r="E634" s="1" t="n">
        <v>46253</v>
      </c>
      <c r="F634" t="inlineStr">
        <is>
          <t>GÄVLEBORGS LÄN</t>
        </is>
      </c>
      <c r="G634" t="inlineStr">
        <is>
          <t>GÄVLE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46154</v>
      </c>
      <c r="E635" s="1" t="n">
        <v>46253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42934-2023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45182</v>
      </c>
      <c r="E636" s="1" t="n">
        <v>46253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46253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46253</v>
      </c>
      <c r="F638" t="inlineStr">
        <is>
          <t>GÄVLEBORGS LÄN</t>
        </is>
      </c>
      <c r="G638" t="inlineStr">
        <is>
          <t>GÄVLE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22075-2026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46153</v>
      </c>
      <c r="E639" s="1" t="n">
        <v>46253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22111-2026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46153</v>
      </c>
      <c r="E640" s="1" t="n">
        <v>46253</v>
      </c>
      <c r="F640" t="inlineStr">
        <is>
          <t>GÄVLEBORGS LÄN</t>
        </is>
      </c>
      <c r="G640" t="inlineStr">
        <is>
          <t>GÄVLE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46253</v>
      </c>
      <c r="F641" t="inlineStr">
        <is>
          <t>GÄVLEBORGS LÄN</t>
        </is>
      </c>
      <c r="G641" t="inlineStr">
        <is>
          <t>GÄVLE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46153</v>
      </c>
      <c r="E642" s="1" t="n">
        <v>46253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8.5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46154</v>
      </c>
      <c r="E643" s="1" t="n">
        <v>46253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44585</v>
      </c>
      <c r="E644" s="1" t="n">
        <v>46253</v>
      </c>
      <c r="F644" t="inlineStr">
        <is>
          <t>GÄVLEBORGS LÄN</t>
        </is>
      </c>
      <c r="G644" t="inlineStr">
        <is>
          <t>GÄVLE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35440-2023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45146</v>
      </c>
      <c r="E645" s="1" t="n">
        <v>46253</v>
      </c>
      <c r="F645" t="inlineStr">
        <is>
          <t>GÄVLEBORGS LÄN</t>
        </is>
      </c>
      <c r="G645" t="inlineStr">
        <is>
          <t>GÄVLE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46253</v>
      </c>
      <c r="F646" t="inlineStr">
        <is>
          <t>GÄVLEBORGS LÄN</t>
        </is>
      </c>
      <c r="G646" t="inlineStr">
        <is>
          <t>GÄVLE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46034</v>
      </c>
      <c r="E647" s="1" t="n">
        <v>46253</v>
      </c>
      <c r="F647" t="inlineStr">
        <is>
          <t>GÄVLEBORGS LÄN</t>
        </is>
      </c>
      <c r="G647" t="inlineStr">
        <is>
          <t>GÄVLE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61878-2025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46003</v>
      </c>
      <c r="E648" s="1" t="n">
        <v>46253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46253</v>
      </c>
      <c r="F649" t="inlineStr">
        <is>
          <t>GÄVLEBORGS LÄN</t>
        </is>
      </c>
      <c r="G649" t="inlineStr">
        <is>
          <t>GÄVLE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46253</v>
      </c>
      <c r="F650" t="inlineStr">
        <is>
          <t>GÄVLEBORGS LÄN</t>
        </is>
      </c>
      <c r="G650" t="inlineStr">
        <is>
          <t>GÄVLE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46253</v>
      </c>
      <c r="F651" t="inlineStr">
        <is>
          <t>GÄVLEBORGS LÄN</t>
        </is>
      </c>
      <c r="G651" t="inlineStr">
        <is>
          <t>GÄVLE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33901-2024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45523</v>
      </c>
      <c r="E652" s="1" t="n">
        <v>46253</v>
      </c>
      <c r="F652" t="inlineStr">
        <is>
          <t>GÄVLEBORGS LÄN</t>
        </is>
      </c>
      <c r="G652" t="inlineStr">
        <is>
          <t>GÄVLE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45660</v>
      </c>
      <c r="E653" s="1" t="n">
        <v>46253</v>
      </c>
      <c r="F653" t="inlineStr">
        <is>
          <t>GÄVLEBORGS LÄN</t>
        </is>
      </c>
      <c r="G653" t="inlineStr">
        <is>
          <t>GÄVLE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46253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22545-2026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46155</v>
      </c>
      <c r="E655" s="1" t="n">
        <v>46253</v>
      </c>
      <c r="F655" t="inlineStr">
        <is>
          <t>GÄVLEBORGS LÄN</t>
        </is>
      </c>
      <c r="G655" t="inlineStr">
        <is>
          <t>GÄVLE</t>
        </is>
      </c>
      <c r="H655" t="inlineStr">
        <is>
          <t>Kyrkan</t>
        </is>
      </c>
      <c r="I655" t="n">
        <v>10.1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46105</v>
      </c>
      <c r="E656" s="1" t="n">
        <v>46253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60792-2024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45644</v>
      </c>
      <c r="E657" s="1" t="n">
        <v>46253</v>
      </c>
      <c r="F657" t="inlineStr">
        <is>
          <t>GÄVLEBORGS LÄN</t>
        </is>
      </c>
      <c r="G657" t="inlineStr">
        <is>
          <t>GÄVLE</t>
        </is>
      </c>
      <c r="H657" t="inlineStr">
        <is>
          <t>Kyrkan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46253</v>
      </c>
      <c r="F658" t="inlineStr">
        <is>
          <t>GÄVLEBORGS LÄN</t>
        </is>
      </c>
      <c r="G658" t="inlineStr">
        <is>
          <t>GÄVLE</t>
        </is>
      </c>
      <c r="H658" t="inlineStr">
        <is>
          <t>Kyrkan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46105</v>
      </c>
      <c r="E659" s="1" t="n">
        <v>46253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15711-2026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46107</v>
      </c>
      <c r="E660" s="1" t="n">
        <v>46253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46253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46253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46253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28905-2023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45104</v>
      </c>
      <c r="E664" s="1" t="n">
        <v>46253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45312</v>
      </c>
      <c r="E665" s="1" t="n">
        <v>46253</v>
      </c>
      <c r="F665" t="inlineStr">
        <is>
          <t>GÄVLEBORGS LÄN</t>
        </is>
      </c>
      <c r="G665" t="inlineStr">
        <is>
          <t>GÄVLE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7235-2025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45702</v>
      </c>
      <c r="E666" s="1" t="n">
        <v>46253</v>
      </c>
      <c r="F666" t="inlineStr">
        <is>
          <t>GÄVLEBORGS LÄN</t>
        </is>
      </c>
      <c r="G666" t="inlineStr">
        <is>
          <t>GÄVLE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46253</v>
      </c>
      <c r="F667" t="inlineStr">
        <is>
          <t>GÄVLEBORGS LÄN</t>
        </is>
      </c>
      <c r="G667" t="inlineStr">
        <is>
          <t>GÄVLE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15765-2026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46107</v>
      </c>
      <c r="E668" s="1" t="n">
        <v>46253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23591-2026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46163</v>
      </c>
      <c r="E669" s="1" t="n">
        <v>46253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61004-2024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45645</v>
      </c>
      <c r="E670" s="1" t="n">
        <v>46253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30662-2022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44763</v>
      </c>
      <c r="E671" s="1" t="n">
        <v>46253</v>
      </c>
      <c r="F671" t="inlineStr">
        <is>
          <t>GÄVLEBORGS LÄN</t>
        </is>
      </c>
      <c r="G671" t="inlineStr">
        <is>
          <t>GÄVLE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46253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23956-2026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46167</v>
      </c>
      <c r="E673" s="1" t="n">
        <v>46253</v>
      </c>
      <c r="F673" t="inlineStr">
        <is>
          <t>GÄVLEBORGS LÄN</t>
        </is>
      </c>
      <c r="G673" t="inlineStr">
        <is>
          <t>GÄVLE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24090-2026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46253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24172-2026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46253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18217-2024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45420</v>
      </c>
      <c r="E676" s="1" t="n">
        <v>46253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20682-2023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45058</v>
      </c>
      <c r="E677" s="1" t="n">
        <v>46253</v>
      </c>
      <c r="F677" t="inlineStr">
        <is>
          <t>GÄVLEBORGS LÄN</t>
        </is>
      </c>
      <c r="G677" t="inlineStr">
        <is>
          <t>GÄVLE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46253</v>
      </c>
      <c r="F678" t="inlineStr">
        <is>
          <t>GÄVLEBORGS LÄN</t>
        </is>
      </c>
      <c r="G678" t="inlineStr">
        <is>
          <t>GÄVLE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3662-2022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44586</v>
      </c>
      <c r="E679" s="1" t="n">
        <v>46253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46253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46253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24400-2026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46253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61501-2024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45646</v>
      </c>
      <c r="E683" s="1" t="n">
        <v>46253</v>
      </c>
      <c r="F683" t="inlineStr">
        <is>
          <t>GÄVLEBORGS LÄN</t>
        </is>
      </c>
      <c r="G683" t="inlineStr">
        <is>
          <t>GÄVLE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46169</v>
      </c>
      <c r="E684" s="1" t="n">
        <v>46253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24306-2026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46253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24325-2026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46253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46169</v>
      </c>
      <c r="E687" s="1" t="n">
        <v>46253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24294-2026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46169</v>
      </c>
      <c r="E688" s="1" t="n">
        <v>46253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13193-2025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46253</v>
      </c>
      <c r="F689" t="inlineStr">
        <is>
          <t>GÄVLEBORGS LÄN</t>
        </is>
      </c>
      <c r="G689" t="inlineStr">
        <is>
          <t>GÄVLE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46213</v>
      </c>
      <c r="E690" s="1" t="n">
        <v>46253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30948-2026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46213</v>
      </c>
      <c r="E691" s="1" t="n">
        <v>46253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46171</v>
      </c>
      <c r="E692" s="1" t="n">
        <v>46253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21.4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24810-2026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46173</v>
      </c>
      <c r="E693" s="1" t="n">
        <v>46253</v>
      </c>
      <c r="F693" t="inlineStr">
        <is>
          <t>GÄVLEBORGS LÄN</t>
        </is>
      </c>
      <c r="G693" t="inlineStr">
        <is>
          <t>GÄVLE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46170</v>
      </c>
      <c r="E694" s="1" t="n">
        <v>46253</v>
      </c>
      <c r="F694" t="inlineStr">
        <is>
          <t>GÄVLEBORGS LÄN</t>
        </is>
      </c>
      <c r="G694" t="inlineStr">
        <is>
          <t>GÄVLE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38793-2024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45547</v>
      </c>
      <c r="E695" s="1" t="n">
        <v>46253</v>
      </c>
      <c r="F695" t="inlineStr">
        <is>
          <t>GÄVLEBORGS LÄN</t>
        </is>
      </c>
      <c r="G695" t="inlineStr">
        <is>
          <t>GÄVLE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46213</v>
      </c>
      <c r="E696" s="1" t="n">
        <v>46253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30951-2026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46213</v>
      </c>
      <c r="E697" s="1" t="n">
        <v>46253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45673</v>
      </c>
      <c r="E698" s="1" t="n">
        <v>46253</v>
      </c>
      <c r="F698" t="inlineStr">
        <is>
          <t>GÄVLEBORGS LÄN</t>
        </is>
      </c>
      <c r="G698" t="inlineStr">
        <is>
          <t>GÄVLE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45673</v>
      </c>
      <c r="E699" s="1" t="n">
        <v>46253</v>
      </c>
      <c r="F699" t="inlineStr">
        <is>
          <t>GÄVLEBORGS LÄN</t>
        </is>
      </c>
      <c r="G699" t="inlineStr">
        <is>
          <t>GÄVLE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31234-2026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46217</v>
      </c>
      <c r="E700" s="1" t="n">
        <v>46253</v>
      </c>
      <c r="F700" t="inlineStr">
        <is>
          <t>GÄVLEBORGS LÄN</t>
        </is>
      </c>
      <c r="G700" t="inlineStr">
        <is>
          <t>GÄVLE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18162-2022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44684</v>
      </c>
      <c r="E701" s="1" t="n">
        <v>46253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12079-2025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45728</v>
      </c>
      <c r="E702" s="1" t="n">
        <v>46253</v>
      </c>
      <c r="F702" t="inlineStr">
        <is>
          <t>GÄVLEBORGS LÄN</t>
        </is>
      </c>
      <c r="G702" t="inlineStr">
        <is>
          <t>GÄVLE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24618-2023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45084</v>
      </c>
      <c r="E703" s="1" t="n">
        <v>46253</v>
      </c>
      <c r="F703" t="inlineStr">
        <is>
          <t>GÄVLEBORGS LÄN</t>
        </is>
      </c>
      <c r="G703" t="inlineStr">
        <is>
          <t>GÄVLE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45705</v>
      </c>
      <c r="E704" s="1" t="n">
        <v>46253</v>
      </c>
      <c r="F704" t="inlineStr">
        <is>
          <t>GÄVLEBORGS LÄN</t>
        </is>
      </c>
      <c r="G704" t="inlineStr">
        <is>
          <t>GÄVLE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25814-2023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45090</v>
      </c>
      <c r="E705" s="1" t="n">
        <v>46253</v>
      </c>
      <c r="F705" t="inlineStr">
        <is>
          <t>GÄVLEBORGS LÄN</t>
        </is>
      </c>
      <c r="G705" t="inlineStr">
        <is>
          <t>GÄVLE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45666</v>
      </c>
      <c r="E706" s="1" t="n">
        <v>46253</v>
      </c>
      <c r="F706" t="inlineStr">
        <is>
          <t>GÄVLEBORGS LÄN</t>
        </is>
      </c>
      <c r="G706" t="inlineStr">
        <is>
          <t>GÄVLE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21365-2026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46147</v>
      </c>
      <c r="E707" s="1" t="n">
        <v>46253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25500-2026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46177</v>
      </c>
      <c r="E708" s="1" t="n">
        <v>46253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46253</v>
      </c>
      <c r="F709" t="inlineStr">
        <is>
          <t>GÄVLEBORGS LÄN</t>
        </is>
      </c>
      <c r="G709" t="inlineStr">
        <is>
          <t>GÄVLE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25513-2026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46253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25623-2026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46177</v>
      </c>
      <c r="E711" s="1" t="n">
        <v>46253</v>
      </c>
      <c r="F711" t="inlineStr">
        <is>
          <t>GÄVLEBORGS LÄN</t>
        </is>
      </c>
      <c r="G711" t="inlineStr">
        <is>
          <t>GÄVLE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20676-2026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46141</v>
      </c>
      <c r="E712" s="1" t="n">
        <v>46253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18168-2022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44684</v>
      </c>
      <c r="E713" s="1" t="n">
        <v>46253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51071-2023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45218</v>
      </c>
      <c r="E714" s="1" t="n">
        <v>46253</v>
      </c>
      <c r="F714" t="inlineStr">
        <is>
          <t>GÄVLEBORGS LÄN</t>
        </is>
      </c>
      <c r="G714" t="inlineStr">
        <is>
          <t>GÄVLE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3639-2022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44586</v>
      </c>
      <c r="E715" s="1" t="n">
        <v>46253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21367-2026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46253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25367-2026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46176</v>
      </c>
      <c r="E717" s="1" t="n">
        <v>46253</v>
      </c>
      <c r="F717" t="inlineStr">
        <is>
          <t>GÄVLEBORGS LÄN</t>
        </is>
      </c>
      <c r="G717" t="inlineStr">
        <is>
          <t>GÄVLE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46176</v>
      </c>
      <c r="E718" s="1" t="n">
        <v>46253</v>
      </c>
      <c r="F718" t="inlineStr">
        <is>
          <t>GÄVLEBORGS LÄN</t>
        </is>
      </c>
      <c r="G718" t="inlineStr">
        <is>
          <t>GÄVLE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31445-2026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46253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1062-2025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45666</v>
      </c>
      <c r="E720" s="1" t="n">
        <v>46253</v>
      </c>
      <c r="F720" t="inlineStr">
        <is>
          <t>GÄVLEBORGS LÄN</t>
        </is>
      </c>
      <c r="G720" t="inlineStr">
        <is>
          <t>GÄVLE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31566-2026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46223</v>
      </c>
      <c r="E721" s="1" t="n">
        <v>46253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10.2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46253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25829-2026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46253</v>
      </c>
      <c r="F723" t="inlineStr">
        <is>
          <t>GÄVLEBORGS LÄN</t>
        </is>
      </c>
      <c r="G723" t="inlineStr">
        <is>
          <t>GÄVLE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57168-2023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45245</v>
      </c>
      <c r="E724" s="1" t="n">
        <v>46253</v>
      </c>
      <c r="F724" t="inlineStr">
        <is>
          <t>GÄVLEBORGS LÄN</t>
        </is>
      </c>
      <c r="G724" t="inlineStr">
        <is>
          <t>GÄVLE</t>
        </is>
      </c>
      <c r="H724" t="inlineStr">
        <is>
          <t>Kyrkan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33880-2022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44790</v>
      </c>
      <c r="E725" s="1" t="n">
        <v>46253</v>
      </c>
      <c r="F725" t="inlineStr">
        <is>
          <t>GÄVLEBORGS LÄN</t>
        </is>
      </c>
      <c r="G725" t="inlineStr">
        <is>
          <t>GÄVLE</t>
        </is>
      </c>
      <c r="I725" t="n">
        <v>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31528-2026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46220</v>
      </c>
      <c r="E726" s="1" t="n">
        <v>46253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11.4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26016-2026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46253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26281-2026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46182</v>
      </c>
      <c r="E728" s="1" t="n">
        <v>46253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26599-2026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46253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26249-2022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44735</v>
      </c>
      <c r="E730" s="1" t="n">
        <v>46253</v>
      </c>
      <c r="F730" t="inlineStr">
        <is>
          <t>GÄVLEBORGS LÄN</t>
        </is>
      </c>
      <c r="G730" t="inlineStr">
        <is>
          <t>GÄVLE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20999-2022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44701</v>
      </c>
      <c r="E731" s="1" t="n">
        <v>46253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26.3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26600-2026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46253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46253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27057-2026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46253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46253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46253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27053-2026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46253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46253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27042-2026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46253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27056-2026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46253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46253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46253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46253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46253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26658-2026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46184</v>
      </c>
      <c r="E745" s="1" t="n">
        <v>46253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46253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27069-2026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46253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26885-2026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46253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26942-2026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46253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26991-2026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46253</v>
      </c>
      <c r="F750" t="inlineStr">
        <is>
          <t>GÄVLEBORGS LÄN</t>
        </is>
      </c>
      <c r="G750" t="inlineStr">
        <is>
          <t>GÄVLE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27068-2026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46253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27059-2026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46253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46253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27182-2022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44741</v>
      </c>
      <c r="E754" s="1" t="n">
        <v>46253</v>
      </c>
      <c r="F754" t="inlineStr">
        <is>
          <t>GÄVLEBORGS LÄN</t>
        </is>
      </c>
      <c r="G754" t="inlineStr">
        <is>
          <t>GÄVLE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27065-2026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46253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46253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44800</v>
      </c>
      <c r="E757" s="1" t="n">
        <v>46253</v>
      </c>
      <c r="F757" t="inlineStr">
        <is>
          <t>GÄVLEBORGS LÄN</t>
        </is>
      </c>
      <c r="G757" t="inlineStr">
        <is>
          <t>GÄVLE</t>
        </is>
      </c>
      <c r="I757" t="n">
        <v>8.199999999999999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46188</v>
      </c>
      <c r="E758" s="1" t="n">
        <v>46253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27360-2026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46253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59322-2022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44904</v>
      </c>
      <c r="E760" s="1" t="n">
        <v>46253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46253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46253</v>
      </c>
      <c r="F762" t="inlineStr">
        <is>
          <t>GÄVLEBORGS LÄN</t>
        </is>
      </c>
      <c r="G762" t="inlineStr">
        <is>
          <t>GÄVLE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61672-2023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45265</v>
      </c>
      <c r="E763" s="1" t="n">
        <v>46253</v>
      </c>
      <c r="F763" t="inlineStr">
        <is>
          <t>GÄVLEBORGS LÄN</t>
        </is>
      </c>
      <c r="G763" t="inlineStr">
        <is>
          <t>GÄVLE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30875-2022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44767</v>
      </c>
      <c r="E764" s="1" t="n">
        <v>46253</v>
      </c>
      <c r="F764" t="inlineStr">
        <is>
          <t>GÄVLEBORGS LÄN</t>
        </is>
      </c>
      <c r="G764" t="inlineStr">
        <is>
          <t>GÄVLE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9426-2025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45715</v>
      </c>
      <c r="E765" s="1" t="n">
        <v>46253</v>
      </c>
      <c r="F765" t="inlineStr">
        <is>
          <t>GÄVLEBORGS LÄN</t>
        </is>
      </c>
      <c r="G765" t="inlineStr">
        <is>
          <t>GÄVLE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60885-2023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45261</v>
      </c>
      <c r="E766" s="1" t="n">
        <v>46253</v>
      </c>
      <c r="F766" t="inlineStr">
        <is>
          <t>GÄVLEBORGS LÄN</t>
        </is>
      </c>
      <c r="G766" t="inlineStr">
        <is>
          <t>GÄVLE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46253</v>
      </c>
      <c r="F767" t="inlineStr">
        <is>
          <t>GÄVLEBORGS LÄN</t>
        </is>
      </c>
      <c r="G767" t="inlineStr">
        <is>
          <t>GÄVLE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2457-2024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45312</v>
      </c>
      <c r="E768" s="1" t="n">
        <v>46253</v>
      </c>
      <c r="F768" t="inlineStr">
        <is>
          <t>GÄVLEBORGS LÄN</t>
        </is>
      </c>
      <c r="G768" t="inlineStr">
        <is>
          <t>GÄVLE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22358-2026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46253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29494-2026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46198</v>
      </c>
      <c r="E770" s="1" t="n">
        <v>46253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29506-2026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46253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52.7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32436-2026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46239</v>
      </c>
      <c r="E772" s="1" t="n">
        <v>46253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28379-2026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46196</v>
      </c>
      <c r="E773" s="1" t="n">
        <v>46253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28485-2026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46253</v>
      </c>
      <c r="F774" t="inlineStr">
        <is>
          <t>GÄVLEBORGS LÄN</t>
        </is>
      </c>
      <c r="G774" t="inlineStr">
        <is>
          <t>GÄVLE</t>
        </is>
      </c>
      <c r="H774" t="inlineStr">
        <is>
          <t>BillerudKorsnäs AB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28332-2026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46196</v>
      </c>
      <c r="E775" s="1" t="n">
        <v>46253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28334-2026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46253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22968-2026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46160</v>
      </c>
      <c r="E777" s="1" t="n">
        <v>46253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28331-2026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46253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16401-2025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45751</v>
      </c>
      <c r="E779" s="1" t="n">
        <v>46253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46239</v>
      </c>
      <c r="E780" s="1" t="n">
        <v>46253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64868-2023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45282</v>
      </c>
      <c r="E781" s="1" t="n">
        <v>46253</v>
      </c>
      <c r="F781" t="inlineStr">
        <is>
          <t>GÄVLEBORGS LÄN</t>
        </is>
      </c>
      <c r="G781" t="inlineStr">
        <is>
          <t>GÄVLE</t>
        </is>
      </c>
      <c r="I781" t="n">
        <v>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64873-2023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45282</v>
      </c>
      <c r="E782" s="1" t="n">
        <v>46253</v>
      </c>
      <c r="F782" t="inlineStr">
        <is>
          <t>GÄVLEBORGS LÄN</t>
        </is>
      </c>
      <c r="G782" t="inlineStr">
        <is>
          <t>GÄVLE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46253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28654-2026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46253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13961-2024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45392</v>
      </c>
      <c r="E785" s="1" t="n">
        <v>46253</v>
      </c>
      <c r="F785" t="inlineStr">
        <is>
          <t>GÄVLEBORGS LÄN</t>
        </is>
      </c>
      <c r="G785" t="inlineStr">
        <is>
          <t>GÄVLE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15444-2024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45401</v>
      </c>
      <c r="E786" s="1" t="n">
        <v>46253</v>
      </c>
      <c r="F786" t="inlineStr">
        <is>
          <t>GÄVLEBORGS LÄN</t>
        </is>
      </c>
      <c r="G786" t="inlineStr">
        <is>
          <t>GÄVLE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34668-2024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45526</v>
      </c>
      <c r="E787" s="1" t="n">
        <v>46253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28655-2026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46253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28657-2026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46253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28658-2026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46253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61301-2024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45645</v>
      </c>
      <c r="E791" s="1" t="n">
        <v>46253</v>
      </c>
      <c r="F791" t="inlineStr">
        <is>
          <t>GÄVLEBORGS LÄN</t>
        </is>
      </c>
      <c r="G791" t="inlineStr">
        <is>
          <t>GÄVLE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46253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28656-2026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46253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46253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44806-2024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45574</v>
      </c>
      <c r="E795" s="1" t="n">
        <v>46253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32887-2026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46244</v>
      </c>
      <c r="E796" s="1" t="n">
        <v>46253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46202</v>
      </c>
      <c r="E797" s="1" t="n">
        <v>46253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47458-2022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44853</v>
      </c>
      <c r="E798" s="1" t="n">
        <v>46253</v>
      </c>
      <c r="F798" t="inlineStr">
        <is>
          <t>GÄVLEBORGS LÄN</t>
        </is>
      </c>
      <c r="G798" t="inlineStr">
        <is>
          <t>GÄVLE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29142-2026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46202</v>
      </c>
      <c r="E799" s="1" t="n">
        <v>46253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33635-2024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45520</v>
      </c>
      <c r="E800" s="1" t="n">
        <v>46253</v>
      </c>
      <c r="F800" t="inlineStr">
        <is>
          <t>GÄVLEBORGS LÄN</t>
        </is>
      </c>
      <c r="G800" t="inlineStr">
        <is>
          <t>GÄVLE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33637-2024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45520</v>
      </c>
      <c r="E801" s="1" t="n">
        <v>46253</v>
      </c>
      <c r="F801" t="inlineStr">
        <is>
          <t>GÄVLEBORGS LÄN</t>
        </is>
      </c>
      <c r="G801" t="inlineStr">
        <is>
          <t>GÄVLE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33231-2026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46246</v>
      </c>
      <c r="E802" s="1" t="n">
        <v>46253</v>
      </c>
      <c r="F802" t="inlineStr">
        <is>
          <t>GÄVLEBORGS LÄN</t>
        </is>
      </c>
      <c r="G802" t="inlineStr">
        <is>
          <t>GÄVLE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46253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46246</v>
      </c>
      <c r="E804" s="1" t="n">
        <v>46253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46246</v>
      </c>
      <c r="E805" s="1" t="n">
        <v>46253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33265-2026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46246</v>
      </c>
      <c r="E806" s="1" t="n">
        <v>46253</v>
      </c>
      <c r="F806" t="inlineStr">
        <is>
          <t>GÄVLEBORGS LÄN</t>
        </is>
      </c>
      <c r="G806" t="inlineStr">
        <is>
          <t>GÄVLE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11410-2025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45726</v>
      </c>
      <c r="E807" s="1" t="n">
        <v>46253</v>
      </c>
      <c r="F807" t="inlineStr">
        <is>
          <t>GÄVLEBORGS LÄN</t>
        </is>
      </c>
      <c r="G807" t="inlineStr">
        <is>
          <t>GÄVLE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61492-2024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45646</v>
      </c>
      <c r="E808" s="1" t="n">
        <v>46253</v>
      </c>
      <c r="F808" t="inlineStr">
        <is>
          <t>GÄVLEBORGS LÄN</t>
        </is>
      </c>
      <c r="G808" t="inlineStr">
        <is>
          <t>GÄVLE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29364-2026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46203</v>
      </c>
      <c r="E809" s="1" t="n">
        <v>46253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53138-2024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45611</v>
      </c>
      <c r="E810" s="1" t="n">
        <v>46253</v>
      </c>
      <c r="F810" t="inlineStr">
        <is>
          <t>GÄVLEBORGS LÄN</t>
        </is>
      </c>
      <c r="G810" t="inlineStr">
        <is>
          <t>GÄVLE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46246</v>
      </c>
      <c r="E811" s="1" t="n">
        <v>46253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46246</v>
      </c>
      <c r="E812" s="1" t="n">
        <v>46253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33662-2026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46248</v>
      </c>
      <c r="E813" s="1" t="n">
        <v>46253</v>
      </c>
      <c r="F813" t="inlineStr">
        <is>
          <t>GÄVLEBORGS LÄN</t>
        </is>
      </c>
      <c r="G813" t="inlineStr">
        <is>
          <t>GÄVLE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66493-2021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44519</v>
      </c>
      <c r="E814" s="1" t="n">
        <v>46253</v>
      </c>
      <c r="F814" t="inlineStr">
        <is>
          <t>GÄVLEBORGS LÄN</t>
        </is>
      </c>
      <c r="G814" t="inlineStr">
        <is>
          <t>GÄVLE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33586-2026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46253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7060-2022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44603</v>
      </c>
      <c r="E816" s="1" t="n">
        <v>46253</v>
      </c>
      <c r="F816" t="inlineStr">
        <is>
          <t>GÄVLEBORGS LÄN</t>
        </is>
      </c>
      <c r="G816" t="inlineStr">
        <is>
          <t>GÄVLE</t>
        </is>
      </c>
      <c r="I816" t="n">
        <v>10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7998-2023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44973</v>
      </c>
      <c r="E817" s="1" t="n">
        <v>46253</v>
      </c>
      <c r="F817" t="inlineStr">
        <is>
          <t>GÄVLEBORGS LÄN</t>
        </is>
      </c>
      <c r="G817" t="inlineStr">
        <is>
          <t>GÄVLE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31019-2026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46206</v>
      </c>
      <c r="E818" s="1" t="n">
        <v>46253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33585-2026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46248</v>
      </c>
      <c r="E819" s="1" t="n">
        <v>46253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9.5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33664-2026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46248</v>
      </c>
      <c r="E820" s="1" t="n">
        <v>46253</v>
      </c>
      <c r="F820" t="inlineStr">
        <is>
          <t>GÄVLEBORGS LÄN</t>
        </is>
      </c>
      <c r="G820" t="inlineStr">
        <is>
          <t>GÄVLE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5408-2023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44959</v>
      </c>
      <c r="E821" s="1" t="n">
        <v>46253</v>
      </c>
      <c r="F821" t="inlineStr">
        <is>
          <t>GÄVLEBORGS LÄN</t>
        </is>
      </c>
      <c r="G821" t="inlineStr">
        <is>
          <t>GÄVLE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60442-2022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44911</v>
      </c>
      <c r="E822" s="1" t="n">
        <v>46253</v>
      </c>
      <c r="F822" t="inlineStr">
        <is>
          <t>GÄVLEBORGS LÄN</t>
        </is>
      </c>
      <c r="G822" t="inlineStr">
        <is>
          <t>GÄVLE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26334-2022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44735</v>
      </c>
      <c r="E823" s="1" t="n">
        <v>46253</v>
      </c>
      <c r="F823" t="inlineStr">
        <is>
          <t>GÄVLEBORGS LÄN</t>
        </is>
      </c>
      <c r="G823" t="inlineStr">
        <is>
          <t>GÄVLE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51758-2025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45950</v>
      </c>
      <c r="E824" s="1" t="n">
        <v>46253</v>
      </c>
      <c r="F824" t="inlineStr">
        <is>
          <t>GÄVLEBORGS LÄN</t>
        </is>
      </c>
      <c r="G824" t="inlineStr">
        <is>
          <t>GÄVLE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5462-2023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44960</v>
      </c>
      <c r="E825" s="1" t="n">
        <v>46253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15456-2026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46106</v>
      </c>
      <c r="E826" s="1" t="n">
        <v>46253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24367-2026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46169</v>
      </c>
      <c r="E827" s="1" t="n">
        <v>46253</v>
      </c>
      <c r="F827" t="inlineStr">
        <is>
          <t>GÄVLEBORGS LÄN</t>
        </is>
      </c>
      <c r="G827" t="inlineStr">
        <is>
          <t>GÄVLE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22363-2026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46154</v>
      </c>
      <c r="E828" s="1" t="n">
        <v>46253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33719-2026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46251</v>
      </c>
      <c r="E829" s="1" t="n">
        <v>46253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19424-2022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44693</v>
      </c>
      <c r="E830" s="1" t="n">
        <v>46253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30324-2026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46207</v>
      </c>
      <c r="E831" s="1" t="n">
        <v>46253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46252</v>
      </c>
      <c r="E832" s="1" t="n">
        <v>46253</v>
      </c>
      <c r="F832" t="inlineStr">
        <is>
          <t>GÄVLEBORGS LÄN</t>
        </is>
      </c>
      <c r="G832" t="inlineStr">
        <is>
          <t>GÄVLE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37534-2023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45158</v>
      </c>
      <c r="E833" s="1" t="n">
        <v>46253</v>
      </c>
      <c r="F833" t="inlineStr">
        <is>
          <t>GÄVLEBORGS LÄN</t>
        </is>
      </c>
      <c r="G833" t="inlineStr">
        <is>
          <t>GÄVLE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37538-2023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45158</v>
      </c>
      <c r="E834" s="1" t="n">
        <v>46253</v>
      </c>
      <c r="F834" t="inlineStr">
        <is>
          <t>GÄVLEBORGS LÄN</t>
        </is>
      </c>
      <c r="G834" t="inlineStr">
        <is>
          <t>GÄVLE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30600-2026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46210</v>
      </c>
      <c r="E835" s="1" t="n">
        <v>46253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30601-2026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46210</v>
      </c>
      <c r="E836" s="1" t="n">
        <v>46253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14750-2022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44656</v>
      </c>
      <c r="E837" s="1" t="n">
        <v>46253</v>
      </c>
      <c r="F837" t="inlineStr">
        <is>
          <t>GÄVLEBORGS LÄN</t>
        </is>
      </c>
      <c r="G837" t="inlineStr">
        <is>
          <t>GÄVLE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53432-2021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44468</v>
      </c>
      <c r="E838" s="1" t="n">
        <v>46253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14735-2024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45397</v>
      </c>
      <c r="E839" s="1" t="n">
        <v>46253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19712-2022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44694</v>
      </c>
      <c r="E840" s="1" t="n">
        <v>46253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14173-2022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44651</v>
      </c>
      <c r="E841" s="1" t="n">
        <v>46253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9307-2022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44616</v>
      </c>
      <c r="E842" s="1" t="n">
        <v>46253</v>
      </c>
      <c r="F842" t="inlineStr">
        <is>
          <t>GÄVLEBORGS LÄN</t>
        </is>
      </c>
      <c r="G842" t="inlineStr">
        <is>
          <t>GÄVLE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5728-2023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44962</v>
      </c>
      <c r="E843" s="1" t="n">
        <v>46253</v>
      </c>
      <c r="F843" t="inlineStr">
        <is>
          <t>GÄVLEBORGS LÄN</t>
        </is>
      </c>
      <c r="G843" t="inlineStr">
        <is>
          <t>GÄVLE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18361-2024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45422</v>
      </c>
      <c r="E844" s="1" t="n">
        <v>46253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44927</v>
      </c>
      <c r="E845" s="1" t="n">
        <v>46253</v>
      </c>
      <c r="F845" t="inlineStr">
        <is>
          <t>GÄVLEBORGS LÄN</t>
        </is>
      </c>
      <c r="G845" t="inlineStr">
        <is>
          <t>GÄVLE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33015-2023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45125</v>
      </c>
      <c r="E846" s="1" t="n">
        <v>46253</v>
      </c>
      <c r="F846" t="inlineStr">
        <is>
          <t>GÄVLEBORGS LÄN</t>
        </is>
      </c>
      <c r="G846" t="inlineStr">
        <is>
          <t>GÄVLE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64878-2023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45282</v>
      </c>
      <c r="E847" s="1" t="n">
        <v>46253</v>
      </c>
      <c r="F847" t="inlineStr">
        <is>
          <t>GÄVLEBORGS LÄN</t>
        </is>
      </c>
      <c r="G847" t="inlineStr">
        <is>
          <t>GÄVLE</t>
        </is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9235-2022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44616</v>
      </c>
      <c r="E848" s="1" t="n">
        <v>46253</v>
      </c>
      <c r="F848" t="inlineStr">
        <is>
          <t>GÄVLEBORGS LÄN</t>
        </is>
      </c>
      <c r="G848" t="inlineStr">
        <is>
          <t>GÄVLE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35445-2023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45146</v>
      </c>
      <c r="E849" s="1" t="n">
        <v>46253</v>
      </c>
      <c r="F849" t="inlineStr">
        <is>
          <t>GÄVLEBORGS LÄN</t>
        </is>
      </c>
      <c r="G849" t="inlineStr">
        <is>
          <t>GÄVLE</t>
        </is>
      </c>
      <c r="I849" t="n">
        <v>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52495-2021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44466</v>
      </c>
      <c r="E850" s="1" t="n">
        <v>46253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17088-2023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45034</v>
      </c>
      <c r="E851" s="1" t="n">
        <v>46253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32255-2023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45120</v>
      </c>
      <c r="E852" s="1" t="n">
        <v>46253</v>
      </c>
      <c r="F852" t="inlineStr">
        <is>
          <t>GÄVLEBORGS LÄN</t>
        </is>
      </c>
      <c r="G852" t="inlineStr">
        <is>
          <t>GÄVLE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2247-2023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44942</v>
      </c>
      <c r="E853" s="1" t="n">
        <v>46253</v>
      </c>
      <c r="F853" t="inlineStr">
        <is>
          <t>GÄVLEBORGS LÄN</t>
        </is>
      </c>
      <c r="G853" t="inlineStr">
        <is>
          <t>GÄVLE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38558-2023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45162</v>
      </c>
      <c r="E854" s="1" t="n">
        <v>46253</v>
      </c>
      <c r="F854" t="inlineStr">
        <is>
          <t>GÄVLEBORGS LÄN</t>
        </is>
      </c>
      <c r="G854" t="inlineStr">
        <is>
          <t>GÄVLE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52250-2024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45608</v>
      </c>
      <c r="E855" s="1" t="n">
        <v>46253</v>
      </c>
      <c r="F855" t="inlineStr">
        <is>
          <t>GÄVLEBORGS LÄN</t>
        </is>
      </c>
      <c r="G855" t="inlineStr">
        <is>
          <t>GÄVLE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7748-2025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45706</v>
      </c>
      <c r="E856" s="1" t="n">
        <v>46253</v>
      </c>
      <c r="F856" t="inlineStr">
        <is>
          <t>GÄVLEBORGS LÄN</t>
        </is>
      </c>
      <c r="G856" t="inlineStr">
        <is>
          <t>GÄVLE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3712-2023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44951</v>
      </c>
      <c r="E857" s="1" t="n">
        <v>46253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26129-2024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45468</v>
      </c>
      <c r="E858" s="1" t="n">
        <v>46253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9.9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41100-2024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45559</v>
      </c>
      <c r="E859" s="1" t="n">
        <v>46253</v>
      </c>
      <c r="F859" t="inlineStr">
        <is>
          <t>GÄVLEBORGS LÄN</t>
        </is>
      </c>
      <c r="G859" t="inlineStr">
        <is>
          <t>GÄVLE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45278-2022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44840</v>
      </c>
      <c r="E860" s="1" t="n">
        <v>46253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8.5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24720-2023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45084</v>
      </c>
      <c r="E861" s="1" t="n">
        <v>46253</v>
      </c>
      <c r="F861" t="inlineStr">
        <is>
          <t>GÄVLEBORGS LÄN</t>
        </is>
      </c>
      <c r="G861" t="inlineStr">
        <is>
          <t>GÄVLE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71215-2021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44539</v>
      </c>
      <c r="E862" s="1" t="n">
        <v>46253</v>
      </c>
      <c r="F862" t="inlineStr">
        <is>
          <t>GÄVLEBORGS LÄN</t>
        </is>
      </c>
      <c r="G862" t="inlineStr">
        <is>
          <t>GÄVLE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56138-2023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45240</v>
      </c>
      <c r="E863" s="1" t="n">
        <v>46253</v>
      </c>
      <c r="F863" t="inlineStr">
        <is>
          <t>GÄVLEBORGS LÄN</t>
        </is>
      </c>
      <c r="G863" t="inlineStr">
        <is>
          <t>GÄVLE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25768-2022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44733</v>
      </c>
      <c r="E864" s="1" t="n">
        <v>46253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50582-2023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45217</v>
      </c>
      <c r="E865" s="1" t="n">
        <v>46253</v>
      </c>
      <c r="F865" t="inlineStr">
        <is>
          <t>GÄVLEBORGS LÄN</t>
        </is>
      </c>
      <c r="G865" t="inlineStr">
        <is>
          <t>GÄVLE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48834-2024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45593</v>
      </c>
      <c r="E866" s="1" t="n">
        <v>46253</v>
      </c>
      <c r="F866" t="inlineStr">
        <is>
          <t>GÄVLEBORGS LÄN</t>
        </is>
      </c>
      <c r="G866" t="inlineStr">
        <is>
          <t>GÄVLE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58192-2024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45632</v>
      </c>
      <c r="E867" s="1" t="n">
        <v>46253</v>
      </c>
      <c r="F867" t="inlineStr">
        <is>
          <t>GÄVLEBORGS LÄN</t>
        </is>
      </c>
      <c r="G867" t="inlineStr">
        <is>
          <t>GÄVLE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42876-2023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46253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61786-2024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45649</v>
      </c>
      <c r="E869" s="1" t="n">
        <v>46253</v>
      </c>
      <c r="F869" t="inlineStr">
        <is>
          <t>GÄVLEBORGS LÄN</t>
        </is>
      </c>
      <c r="G869" t="inlineStr">
        <is>
          <t>GÄVLE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61300-2024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45645</v>
      </c>
      <c r="E870" s="1" t="n">
        <v>46253</v>
      </c>
      <c r="F870" t="inlineStr">
        <is>
          <t>GÄVLEBORGS LÄN</t>
        </is>
      </c>
      <c r="G870" t="inlineStr">
        <is>
          <t>GÄVLE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39509-2022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44818</v>
      </c>
      <c r="E871" s="1" t="n">
        <v>46253</v>
      </c>
      <c r="F871" t="inlineStr">
        <is>
          <t>GÄVLEBORGS LÄN</t>
        </is>
      </c>
      <c r="G871" t="inlineStr">
        <is>
          <t>GÄVLE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40091-2023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45168</v>
      </c>
      <c r="E872" s="1" t="n">
        <v>46253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6370-2025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45699</v>
      </c>
      <c r="E873" s="1" t="n">
        <v>46253</v>
      </c>
      <c r="F873" t="inlineStr">
        <is>
          <t>GÄVLEBORGS LÄN</t>
        </is>
      </c>
      <c r="G873" t="inlineStr">
        <is>
          <t>GÄVLE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15935-2025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45749</v>
      </c>
      <c r="E874" s="1" t="n">
        <v>46253</v>
      </c>
      <c r="F874" t="inlineStr">
        <is>
          <t>GÄVLEBORGS LÄN</t>
        </is>
      </c>
      <c r="G874" t="inlineStr">
        <is>
          <t>GÄVLE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29929-2022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44756</v>
      </c>
      <c r="E875" s="1" t="n">
        <v>46253</v>
      </c>
      <c r="F875" t="inlineStr">
        <is>
          <t>GÄVLEBORGS LÄN</t>
        </is>
      </c>
      <c r="G875" t="inlineStr">
        <is>
          <t>GÄVLE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10352-2025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45720</v>
      </c>
      <c r="E876" s="1" t="n">
        <v>46253</v>
      </c>
      <c r="F876" t="inlineStr">
        <is>
          <t>GÄVLEBORGS LÄN</t>
        </is>
      </c>
      <c r="G876" t="inlineStr">
        <is>
          <t>GÄVLE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58445-2021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44488</v>
      </c>
      <c r="E877" s="1" t="n">
        <v>46253</v>
      </c>
      <c r="F877" t="inlineStr">
        <is>
          <t>GÄVLEBORGS LÄN</t>
        </is>
      </c>
      <c r="G877" t="inlineStr">
        <is>
          <t>GÄVLE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35206-2024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45530</v>
      </c>
      <c r="E878" s="1" t="n">
        <v>46253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61918-2023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45266</v>
      </c>
      <c r="E879" s="1" t="n">
        <v>46253</v>
      </c>
      <c r="F879" t="inlineStr">
        <is>
          <t>GÄVLEBORGS LÄN</t>
        </is>
      </c>
      <c r="G879" t="inlineStr">
        <is>
          <t>GÄVLE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2458-2024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45312</v>
      </c>
      <c r="E880" s="1" t="n">
        <v>46253</v>
      </c>
      <c r="F880" t="inlineStr">
        <is>
          <t>GÄVLEBORGS LÄN</t>
        </is>
      </c>
      <c r="G880" t="inlineStr">
        <is>
          <t>GÄVLE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21300-2024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45440</v>
      </c>
      <c r="E881" s="1" t="n">
        <v>46253</v>
      </c>
      <c r="F881" t="inlineStr">
        <is>
          <t>GÄVLEBORGS LÄN</t>
        </is>
      </c>
      <c r="G881" t="inlineStr">
        <is>
          <t>GÄVLE</t>
        </is>
      </c>
      <c r="I881" t="n">
        <v>8.6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61843-2023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45266</v>
      </c>
      <c r="E882" s="1" t="n">
        <v>46253</v>
      </c>
      <c r="F882" t="inlineStr">
        <is>
          <t>GÄVLEBORGS LÄN</t>
        </is>
      </c>
      <c r="G882" t="inlineStr">
        <is>
          <t>GÄVLE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45660</v>
      </c>
      <c r="E883" s="1" t="n">
        <v>46253</v>
      </c>
      <c r="F883" t="inlineStr">
        <is>
          <t>GÄVLEBORGS LÄN</t>
        </is>
      </c>
      <c r="G883" t="inlineStr">
        <is>
          <t>GÄVLE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49401-2024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45595</v>
      </c>
      <c r="E884" s="1" t="n">
        <v>46253</v>
      </c>
      <c r="F884" t="inlineStr">
        <is>
          <t>GÄVLEBORGS LÄN</t>
        </is>
      </c>
      <c r="G884" t="inlineStr">
        <is>
          <t>GÄVLE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45938-2024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45580</v>
      </c>
      <c r="E885" s="1" t="n">
        <v>46253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20621-2025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45776</v>
      </c>
      <c r="E886" s="1" t="n">
        <v>46253</v>
      </c>
      <c r="F886" t="inlineStr">
        <is>
          <t>GÄVLEBORGS LÄN</t>
        </is>
      </c>
      <c r="G886" t="inlineStr">
        <is>
          <t>GÄVLE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21431-2025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45782</v>
      </c>
      <c r="E887" s="1" t="n">
        <v>46253</v>
      </c>
      <c r="F887" t="inlineStr">
        <is>
          <t>GÄVLEBORGS LÄN</t>
        </is>
      </c>
      <c r="G887" t="inlineStr">
        <is>
          <t>GÄVLE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59044-2023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45252</v>
      </c>
      <c r="E888" s="1" t="n">
        <v>46253</v>
      </c>
      <c r="F888" t="inlineStr">
        <is>
          <t>GÄVLEBORGS LÄN</t>
        </is>
      </c>
      <c r="G888" t="inlineStr">
        <is>
          <t>GÄVLE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7451-2025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46253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7202-2025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45702</v>
      </c>
      <c r="E890" s="1" t="n">
        <v>46253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3862-2024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45322</v>
      </c>
      <c r="E891" s="1" t="n">
        <v>46253</v>
      </c>
      <c r="F891" t="inlineStr">
        <is>
          <t>GÄVLEBORGS LÄN</t>
        </is>
      </c>
      <c r="G891" t="inlineStr">
        <is>
          <t>GÄVLE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22923-2025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45790</v>
      </c>
      <c r="E892" s="1" t="n">
        <v>46253</v>
      </c>
      <c r="F892" t="inlineStr">
        <is>
          <t>GÄVLEBORGS LÄN</t>
        </is>
      </c>
      <c r="G892" t="inlineStr">
        <is>
          <t>GÄVLE</t>
        </is>
      </c>
      <c r="I892" t="n">
        <v>20.8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22879-2025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45790</v>
      </c>
      <c r="E893" s="1" t="n">
        <v>46253</v>
      </c>
      <c r="F893" t="inlineStr">
        <is>
          <t>GÄVLEBORGS LÄN</t>
        </is>
      </c>
      <c r="G893" t="inlineStr">
        <is>
          <t>GÄVLE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45660</v>
      </c>
      <c r="E894" s="1" t="n">
        <v>46253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3.7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23324-2025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45791</v>
      </c>
      <c r="E895" s="1" t="n">
        <v>46253</v>
      </c>
      <c r="F895" t="inlineStr">
        <is>
          <t>GÄVLEBORGS LÄN</t>
        </is>
      </c>
      <c r="G895" t="inlineStr">
        <is>
          <t>GÄVLE</t>
        </is>
      </c>
      <c r="I895" t="n">
        <v>6.2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23291-2025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45791</v>
      </c>
      <c r="E896" s="1" t="n">
        <v>46253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23232-2025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45791</v>
      </c>
      <c r="E897" s="1" t="n">
        <v>46253</v>
      </c>
      <c r="F897" t="inlineStr">
        <is>
          <t>GÄVLEBORGS LÄN</t>
        </is>
      </c>
      <c r="G897" t="inlineStr">
        <is>
          <t>GÄVLE</t>
        </is>
      </c>
      <c r="I897" t="n">
        <v>10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48913-2024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46253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55878-2024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45623</v>
      </c>
      <c r="E899" s="1" t="n">
        <v>46253</v>
      </c>
      <c r="F899" t="inlineStr">
        <is>
          <t>GÄVLEBORGS LÄN</t>
        </is>
      </c>
      <c r="G899" t="inlineStr">
        <is>
          <t>GÄVLE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58373-2024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45632</v>
      </c>
      <c r="E900" s="1" t="n">
        <v>46253</v>
      </c>
      <c r="F900" t="inlineStr">
        <is>
          <t>GÄVLEBORGS LÄN</t>
        </is>
      </c>
      <c r="G900" t="inlineStr">
        <is>
          <t>GÄVLE</t>
        </is>
      </c>
      <c r="I900" t="n">
        <v>13.1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24225-2025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45797</v>
      </c>
      <c r="E901" s="1" t="n">
        <v>46253</v>
      </c>
      <c r="F901" t="inlineStr">
        <is>
          <t>GÄVLEBORGS LÄN</t>
        </is>
      </c>
      <c r="G901" t="inlineStr">
        <is>
          <t>GÄVLE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24614-2025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45798</v>
      </c>
      <c r="E902" s="1" t="n">
        <v>46253</v>
      </c>
      <c r="F902" t="inlineStr">
        <is>
          <t>GÄVLEBORGS LÄN</t>
        </is>
      </c>
      <c r="G902" t="inlineStr">
        <is>
          <t>GÄVLE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24228-2025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45797</v>
      </c>
      <c r="E903" s="1" t="n">
        <v>46253</v>
      </c>
      <c r="F903" t="inlineStr">
        <is>
          <t>GÄVLEBORGS LÄN</t>
        </is>
      </c>
      <c r="G903" t="inlineStr">
        <is>
          <t>GÄVLE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31367-2024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45505</v>
      </c>
      <c r="E904" s="1" t="n">
        <v>46253</v>
      </c>
      <c r="F904" t="inlineStr">
        <is>
          <t>GÄVLEBORGS LÄN</t>
        </is>
      </c>
      <c r="G904" t="inlineStr">
        <is>
          <t>GÄVLE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26564-2022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44739</v>
      </c>
      <c r="E905" s="1" t="n">
        <v>46253</v>
      </c>
      <c r="F905" t="inlineStr">
        <is>
          <t>GÄVLEBORGS LÄN</t>
        </is>
      </c>
      <c r="G905" t="inlineStr">
        <is>
          <t>GÄVLE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25878-2025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45804</v>
      </c>
      <c r="E906" s="1" t="n">
        <v>46253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3425-2023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45205</v>
      </c>
      <c r="E907" s="1" t="n">
        <v>46253</v>
      </c>
      <c r="F907" t="inlineStr">
        <is>
          <t>GÄVLEBORGS LÄN</t>
        </is>
      </c>
      <c r="G907" t="inlineStr">
        <is>
          <t>GÄVLE</t>
        </is>
      </c>
      <c r="I907" t="n">
        <v>0.2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  <c r="Z907">
        <f>HYPERLINK("https://klasma.github.io/Logging_2180/knärot/S 3425-2023 karta knärot.png", "S 3425-2023")</f>
        <v/>
      </c>
      <c r="AA907">
        <f>HYPERLINK("https://klasma.github.io/Logging_2180/klagomål/S 3425-2023 FSC-klagomål.docx", "S 3425-2023")</f>
        <v/>
      </c>
      <c r="AB907">
        <f>HYPERLINK("https://klasma.github.io/Logging_2180/klagomålsmail/S 3425-2023 FSC-klagomål mail.docx", "S 3425-2023")</f>
        <v/>
      </c>
      <c r="AC907">
        <f>HYPERLINK("https://klasma.github.io/Logging_2180/tillsyn/S 3425-2023 tillsynsbegäran.docx", "S 3425-2023")</f>
        <v/>
      </c>
      <c r="AD907">
        <f>HYPERLINK("https://klasma.github.io/Logging_2180/tillsynsmail/S 3425-2023 tillsynsbegäran mail.docx", "S 3425-2023")</f>
        <v/>
      </c>
    </row>
    <row r="908" ht="15" customHeight="1">
      <c r="A908" t="inlineStr">
        <is>
          <t>S 889-2023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44995</v>
      </c>
      <c r="E908" s="1" t="n">
        <v>46253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13.3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886-2024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45376</v>
      </c>
      <c r="E909" s="1" t="n">
        <v>46253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11.9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2464-2024</t>
        </is>
      </c>
      <c r="B910" t="inlineStr">
        <is>
          <t>samrådsanmälan</t>
        </is>
      </c>
      <c r="C910" t="inlineStr">
        <is>
          <t>Skogsbilväg</t>
        </is>
      </c>
      <c r="D910" s="1" t="n">
        <v>45470</v>
      </c>
      <c r="E910" s="1" t="n">
        <v>46253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644-2026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46253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29.2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2026-08-19T01:47:25Z</dcterms:created>
  <dcterms:modified xmlns:dcterms="http://purl.org/dc/terms/" xmlns:xsi="http://www.w3.org/2001/XMLSchema-instance" xsi:type="dcterms:W3CDTF">2026-08-19T01:47:26Z</dcterms:modified>
</cp:coreProperties>
</file>