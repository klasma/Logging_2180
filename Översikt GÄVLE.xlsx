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46280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46280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46280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46280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46280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46280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46280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46280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46280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46280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46280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46280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46280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46280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46280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46280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46280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46280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5487-2025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46280</v>
      </c>
      <c r="F34" t="inlineStr">
        <is>
          <t>GÄVLEBORGS LÄN</t>
        </is>
      </c>
      <c r="G34" t="inlineStr">
        <is>
          <t>GÄVLE</t>
        </is>
      </c>
      <c r="H34" t="inlineStr">
        <is>
          <t>Kyrkan</t>
        </is>
      </c>
      <c r="I34" t="n">
        <v>4.7</v>
      </c>
      <c r="J34" t="n">
        <v>4</v>
      </c>
      <c r="K34" t="n">
        <v>0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1</v>
      </c>
      <c r="V34" s="2" t="inlineStr">
        <is>
          <t>Pärluggla
Enkelbeckasin
Rödvingetrast
Nattskärra</t>
        </is>
      </c>
      <c r="W34">
        <f>HYPERLINK("https://klasma.github.io/Logging_2180/artfynd/A 5487-2025 artfynd.xlsx", "A 5487-2025")</f>
        <v/>
      </c>
      <c r="X34">
        <f>HYPERLINK("https://klasma.github.io/Logging_2180/kartor/A 5487-2025 karta.png", "A 5487-2025")</f>
        <v/>
      </c>
      <c r="Y34">
        <f>HYPERLINK("https://klasma.github.io/Logging_2180/kartor_geotiff/A 5487-2025 georefererad karta.tif", "A 5487-2025")</f>
        <v/>
      </c>
      <c r="AA34">
        <f>HYPERLINK("https://klasma.github.io/Logging_2180/klagomål/A 5487-2025 FSC-klagomål.docx", "A 5487-2025")</f>
        <v/>
      </c>
      <c r="AB34">
        <f>HYPERLINK("https://klasma.github.io/Logging_2180/klagomålsmail/A 5487-2025 FSC-klagomål mail.docx", "A 5487-2025")</f>
        <v/>
      </c>
      <c r="AC34">
        <f>HYPERLINK("https://klasma.github.io/Logging_2180/tillsyn/A 5487-2025 tillsynsbegäran.docx", "A 5487-2025")</f>
        <v/>
      </c>
      <c r="AD34">
        <f>HYPERLINK("https://klasma.github.io/Logging_2180/tillsynsmail/A 5487-2025 tillsynsbegäran mail.docx", "A 5487-2025")</f>
        <v/>
      </c>
      <c r="AE34">
        <f>HYPERLINK("https://klasma.github.io/Logging_2180/fåglar/A 5487-2025 prioriterade fågelarter.docx", "A 5487-2025")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46280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46280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46280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46280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46280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46280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46280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46280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34433-2026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46254</v>
      </c>
      <c r="E43" s="1" t="n">
        <v>46280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4.2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Majviva
Vätteros
Blåsippa</t>
        </is>
      </c>
      <c r="W43">
        <f>HYPERLINK("https://klasma.github.io/Logging_2180/artfynd/A 34433-2026 artfynd.xlsx", "A 34433-2026")</f>
        <v/>
      </c>
      <c r="X43">
        <f>HYPERLINK("https://klasma.github.io/Logging_2180/kartor/A 34433-2026 karta.png", "A 34433-2026")</f>
        <v/>
      </c>
      <c r="Y43">
        <f>HYPERLINK("https://klasma.github.io/Logging_2180/kartor_geotiff/A 34433-2026 georefererad karta.tif", "A 34433-2026")</f>
        <v/>
      </c>
      <c r="AA43">
        <f>HYPERLINK("https://klasma.github.io/Logging_2180/klagomål/A 34433-2026 FSC-klagomål.docx", "A 34433-2026")</f>
        <v/>
      </c>
      <c r="AB43">
        <f>HYPERLINK("https://klasma.github.io/Logging_2180/klagomålsmail/A 34433-2026 FSC-klagomål mail.docx", "A 34433-2026")</f>
        <v/>
      </c>
      <c r="AC43">
        <f>HYPERLINK("https://klasma.github.io/Logging_2180/tillsyn/A 34433-2026 tillsynsbegäran.docx", "A 34433-2026")</f>
        <v/>
      </c>
      <c r="AD43">
        <f>HYPERLINK("https://klasma.github.io/Logging_2180/tillsynsmail/A 34433-2026 tillsynsbegäran mail.docx", "A 34433-2026")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46280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14891-2024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45398</v>
      </c>
      <c r="E45" s="1" t="n">
        <v>46280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10.8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Kattfotslav
Svavelriska</t>
        </is>
      </c>
      <c r="W45">
        <f>HYPERLINK("https://klasma.github.io/Logging_2180/artfynd/A 14891-2024 artfynd.xlsx", "A 14891-2024")</f>
        <v/>
      </c>
      <c r="X45">
        <f>HYPERLINK("https://klasma.github.io/Logging_2180/kartor/A 14891-2024 karta.png", "A 14891-2024")</f>
        <v/>
      </c>
      <c r="Y45">
        <f>HYPERLINK("https://klasma.github.io/Logging_2180/kartor_geotiff/A 14891-2024 georefererad karta.tif", "A 14891-2024")</f>
        <v/>
      </c>
      <c r="AA45">
        <f>HYPERLINK("https://klasma.github.io/Logging_2180/klagomål/A 14891-2024 FSC-klagomål.docx", "A 14891-2024")</f>
        <v/>
      </c>
      <c r="AB45">
        <f>HYPERLINK("https://klasma.github.io/Logging_2180/klagomålsmail/A 14891-2024 FSC-klagomål mail.docx", "A 14891-2024")</f>
        <v/>
      </c>
      <c r="AC45">
        <f>HYPERLINK("https://klasma.github.io/Logging_2180/tillsyn/A 14891-2024 tillsynsbegäran.docx", "A 14891-2024")</f>
        <v/>
      </c>
      <c r="AD45">
        <f>HYPERLINK("https://klasma.github.io/Logging_2180/tillsynsmail/A 14891-2024 tillsynsbegäran mail.docx", "A 14891-2024")</f>
        <v/>
      </c>
    </row>
    <row r="46" ht="15" customHeight="1">
      <c r="A46" t="inlineStr">
        <is>
          <t>A 18215-2024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46280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68.59999999999999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Brunklöver
Tjäder
Huggorm</t>
        </is>
      </c>
      <c r="W46">
        <f>HYPERLINK("https://klasma.github.io/Logging_2180/artfynd/A 18215-2024 artfynd.xlsx", "A 18215-2024")</f>
        <v/>
      </c>
      <c r="X46">
        <f>HYPERLINK("https://klasma.github.io/Logging_2180/kartor/A 18215-2024 karta.png", "A 18215-2024")</f>
        <v/>
      </c>
      <c r="Y46">
        <f>HYPERLINK("https://klasma.github.io/Logging_2180/kartor_geotiff/A 18215-2024 georefererad karta.tif", "A 18215-2024")</f>
        <v/>
      </c>
      <c r="AA46">
        <f>HYPERLINK("https://klasma.github.io/Logging_2180/klagomål/A 18215-2024 FSC-klagomål.docx", "A 18215-2024")</f>
        <v/>
      </c>
      <c r="AB46">
        <f>HYPERLINK("https://klasma.github.io/Logging_2180/klagomålsmail/A 18215-2024 FSC-klagomål mail.docx", "A 18215-2024")</f>
        <v/>
      </c>
      <c r="AC46">
        <f>HYPERLINK("https://klasma.github.io/Logging_2180/tillsyn/A 18215-2024 tillsynsbegäran.docx", "A 18215-2024")</f>
        <v/>
      </c>
      <c r="AD46">
        <f>HYPERLINK("https://klasma.github.io/Logging_2180/tillsynsmail/A 18215-2024 tillsynsbegäran mail.docx", "A 18215-2024")</f>
        <v/>
      </c>
      <c r="AE46">
        <f>HYPERLINK("https://klasma.github.io/Logging_2180/fåglar/A 18215-2024 prioriterade fågelarter.docx", "A 18215-2024")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46280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46280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46280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46280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46280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46280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46280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46280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46280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46280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Pärluggla
Sparvuggla</t>
        </is>
      </c>
      <c r="W56">
        <f>HYPERLINK("https://klasma.github.io/Logging_2180/artfynd/A 13487-2026 artfynd.xlsx", "A 13487-2026")</f>
        <v/>
      </c>
      <c r="X56">
        <f>HYPERLINK("https://klasma.github.io/Logging_2180/kartor/A 13487-2026 karta.png", "A 13487-2026")</f>
        <v/>
      </c>
      <c r="Y56">
        <f>HYPERLINK("https://klasma.github.io/Logging_2180/kartor_geotiff/A 13487-2026 georefererad karta.tif", "A 13487-2026")</f>
        <v/>
      </c>
      <c r="AA56">
        <f>HYPERLINK("https://klasma.github.io/Logging_2180/klagomål/A 13487-2026 FSC-klagomål.docx", "A 13487-2026")</f>
        <v/>
      </c>
      <c r="AB56">
        <f>HYPERLINK("https://klasma.github.io/Logging_2180/klagomålsmail/A 13487-2026 FSC-klagomål mail.docx", "A 13487-2026")</f>
        <v/>
      </c>
      <c r="AC56">
        <f>HYPERLINK("https://klasma.github.io/Logging_2180/tillsyn/A 13487-2026 tillsynsbegäran.docx", "A 13487-2026")</f>
        <v/>
      </c>
      <c r="AD56">
        <f>HYPERLINK("https://klasma.github.io/Logging_2180/tillsynsmail/A 13487-2026 tillsynsbegäran mail.docx", "A 13487-2026")</f>
        <v/>
      </c>
      <c r="AE56">
        <f>HYPERLINK("https://klasma.github.io/Logging_2180/fåglar/A 13487-2026 prioriterade fågelarter.docx", "A 13487-2026")</f>
        <v/>
      </c>
    </row>
    <row r="57" ht="15" customHeight="1">
      <c r="A57" t="inlineStr">
        <is>
          <t>A 32328-2024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46280</v>
      </c>
      <c r="F57" t="inlineStr">
        <is>
          <t>GÄVLEBORGS LÄN</t>
        </is>
      </c>
      <c r="G57" t="inlineStr">
        <is>
          <t>GÄVLE</t>
        </is>
      </c>
      <c r="I57" t="n">
        <v>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Spillkråka
Orre</t>
        </is>
      </c>
      <c r="W57">
        <f>HYPERLINK("https://klasma.github.io/Logging_2180/artfynd/A 32328-2024 artfynd.xlsx", "A 32328-2024")</f>
        <v/>
      </c>
      <c r="X57">
        <f>HYPERLINK("https://klasma.github.io/Logging_2180/kartor/A 32328-2024 karta.png", "A 32328-2024")</f>
        <v/>
      </c>
      <c r="Y57">
        <f>HYPERLINK("https://klasma.github.io/Logging_2180/kartor_geotiff/A 32328-2024 georefererad karta.tif", "A 32328-2024")</f>
        <v/>
      </c>
      <c r="AA57">
        <f>HYPERLINK("https://klasma.github.io/Logging_2180/klagomål/A 32328-2024 FSC-klagomål.docx", "A 32328-2024")</f>
        <v/>
      </c>
      <c r="AB57">
        <f>HYPERLINK("https://klasma.github.io/Logging_2180/klagomålsmail/A 32328-2024 FSC-klagomål mail.docx", "A 32328-2024")</f>
        <v/>
      </c>
      <c r="AC57">
        <f>HYPERLINK("https://klasma.github.io/Logging_2180/tillsyn/A 32328-2024 tillsynsbegäran.docx", "A 32328-2024")</f>
        <v/>
      </c>
      <c r="AD57">
        <f>HYPERLINK("https://klasma.github.io/Logging_2180/tillsynsmail/A 32328-2024 tillsynsbegäran mail.docx", "A 32328-2024")</f>
        <v/>
      </c>
      <c r="AE57">
        <f>HYPERLINK("https://klasma.github.io/Logging_2180/fåglar/A 32328-2024 prioriterade fågelarter.docx", "A 32328-2024")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46280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Kattfotslav
Fläcknycklar</t>
        </is>
      </c>
      <c r="W58">
        <f>HYPERLINK("https://klasma.github.io/Logging_2180/artfynd/A 13248-2026 artfynd.xlsx", "A 13248-2026")</f>
        <v/>
      </c>
      <c r="X58">
        <f>HYPERLINK("https://klasma.github.io/Logging_2180/kartor/A 13248-2026 karta.png", "A 13248-2026")</f>
        <v/>
      </c>
      <c r="Y58">
        <f>HYPERLINK("https://klasma.github.io/Logging_2180/kartor_geotiff/A 13248-2026 georefererad karta.tif", "A 13248-2026")</f>
        <v/>
      </c>
      <c r="AA58">
        <f>HYPERLINK("https://klasma.github.io/Logging_2180/klagomål/A 13248-2026 FSC-klagomål.docx", "A 13248-2026")</f>
        <v/>
      </c>
      <c r="AB58">
        <f>HYPERLINK("https://klasma.github.io/Logging_2180/klagomålsmail/A 13248-2026 FSC-klagomål mail.docx", "A 13248-2026")</f>
        <v/>
      </c>
      <c r="AC58">
        <f>HYPERLINK("https://klasma.github.io/Logging_2180/tillsyn/A 13248-2026 tillsynsbegäran.docx", "A 13248-2026")</f>
        <v/>
      </c>
      <c r="AD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46280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46280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46280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46280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46280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64533-2023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46280</v>
      </c>
      <c r="F64" t="inlineStr">
        <is>
          <t>GÄVLEBORGS LÄN</t>
        </is>
      </c>
      <c r="G64" t="inlineStr">
        <is>
          <t>GÄVLE</t>
        </is>
      </c>
      <c r="I64" t="n">
        <v>1.1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Aspvedgnagare
Jättesvampmal</t>
        </is>
      </c>
      <c r="W64">
        <f>HYPERLINK("https://klasma.github.io/Logging_2180/artfynd/A 64533-2023 artfynd.xlsx", "A 64533-2023")</f>
        <v/>
      </c>
      <c r="X64">
        <f>HYPERLINK("https://klasma.github.io/Logging_2180/kartor/A 64533-2023 karta.png", "A 64533-2023")</f>
        <v/>
      </c>
      <c r="Y64">
        <f>HYPERLINK("https://klasma.github.io/Logging_2180/kartor_geotiff/A 64533-2023 georefererad karta.tif", "A 64533-2023")</f>
        <v/>
      </c>
      <c r="AA64">
        <f>HYPERLINK("https://klasma.github.io/Logging_2180/klagomål/A 64533-2023 FSC-klagomål.docx", "A 64533-2023")</f>
        <v/>
      </c>
      <c r="AB64">
        <f>HYPERLINK("https://klasma.github.io/Logging_2180/klagomålsmail/A 64533-2023 FSC-klagomål mail.docx", "A 64533-2023")</f>
        <v/>
      </c>
      <c r="AC64">
        <f>HYPERLINK("https://klasma.github.io/Logging_2180/tillsyn/A 64533-2023 tillsynsbegäran.docx", "A 64533-2023")</f>
        <v/>
      </c>
      <c r="AD64">
        <f>HYPERLINK("https://klasma.github.io/Logging_2180/tillsynsmail/A 64533-2023 tillsynsbegäran mail.docx", "A 64533-2023")</f>
        <v/>
      </c>
    </row>
    <row r="65" ht="15" customHeight="1">
      <c r="A65" t="inlineStr">
        <is>
          <t>A 14701-2026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46101</v>
      </c>
      <c r="E65" s="1" t="n">
        <v>46280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Tjäder
Fläcknycklar</t>
        </is>
      </c>
      <c r="W65">
        <f>HYPERLINK("https://klasma.github.io/Logging_2180/artfynd/A 14701-2026 artfynd.xlsx", "A 14701-2026")</f>
        <v/>
      </c>
      <c r="X65">
        <f>HYPERLINK("https://klasma.github.io/Logging_2180/kartor/A 14701-2026 karta.png", "A 14701-2026")</f>
        <v/>
      </c>
      <c r="Y65">
        <f>HYPERLINK("https://klasma.github.io/Logging_2180/kartor_geotiff/A 14701-2026 georefererad karta.tif", "A 14701-2026")</f>
        <v/>
      </c>
      <c r="AA65">
        <f>HYPERLINK("https://klasma.github.io/Logging_2180/klagomål/A 14701-2026 FSC-klagomål.docx", "A 14701-2026")</f>
        <v/>
      </c>
      <c r="AB65">
        <f>HYPERLINK("https://klasma.github.io/Logging_2180/klagomålsmail/A 14701-2026 FSC-klagomål mail.docx", "A 14701-2026")</f>
        <v/>
      </c>
      <c r="AC65">
        <f>HYPERLINK("https://klasma.github.io/Logging_2180/tillsyn/A 14701-2026 tillsynsbegäran.docx", "A 14701-2026")</f>
        <v/>
      </c>
      <c r="AD65">
        <f>HYPERLINK("https://klasma.github.io/Logging_2180/tillsynsmail/A 14701-2026 tillsynsbegäran mail.docx", "A 14701-2026")</f>
        <v/>
      </c>
      <c r="AE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46280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46280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23257-2026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46280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42.1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Kattfotslav
Havsörn</t>
        </is>
      </c>
      <c r="W68">
        <f>HYPERLINK("https://klasma.github.io/Logging_2180/artfynd/A 23257-2026 artfynd.xlsx", "A 23257-2026")</f>
        <v/>
      </c>
      <c r="X68">
        <f>HYPERLINK("https://klasma.github.io/Logging_2180/kartor/A 23257-2026 karta.png", "A 23257-2026")</f>
        <v/>
      </c>
      <c r="Y68">
        <f>HYPERLINK("https://klasma.github.io/Logging_2180/kartor_geotiff/A 23257-2026 georefererad karta.tif", "A 23257-2026")</f>
        <v/>
      </c>
      <c r="AA68">
        <f>HYPERLINK("https://klasma.github.io/Logging_2180/klagomål/A 23257-2026 FSC-klagomål.docx", "A 23257-2026")</f>
        <v/>
      </c>
      <c r="AB68">
        <f>HYPERLINK("https://klasma.github.io/Logging_2180/klagomålsmail/A 23257-2026 FSC-klagomål mail.docx", "A 23257-2026")</f>
        <v/>
      </c>
      <c r="AC68">
        <f>HYPERLINK("https://klasma.github.io/Logging_2180/tillsyn/A 23257-2026 tillsynsbegäran.docx", "A 23257-2026")</f>
        <v/>
      </c>
      <c r="AD68">
        <f>HYPERLINK("https://klasma.github.io/Logging_2180/tillsynsmail/A 23257-2026 tillsynsbegäran mail.docx", "A 23257-2026")</f>
        <v/>
      </c>
      <c r="AE68">
        <f>HYPERLINK("https://klasma.github.io/Logging_2180/fåglar/A 23257-2026 prioriterade fågelarter.docx", "A 23257-2026")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46280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46280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46280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27054-2026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46280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27054-2026 artfynd.xlsx", "A 27054-2026")</f>
        <v/>
      </c>
      <c r="X72">
        <f>HYPERLINK("https://klasma.github.io/Logging_2180/kartor/A 27054-2026 karta.png", "A 27054-2026")</f>
        <v/>
      </c>
      <c r="Y72">
        <f>HYPERLINK("https://klasma.github.io/Logging_2180/kartor_geotiff/A 27054-2026 georefererad karta.tif", "A 27054-2026")</f>
        <v/>
      </c>
      <c r="AA72">
        <f>HYPERLINK("https://klasma.github.io/Logging_2180/klagomål/A 27054-2026 FSC-klagomål.docx", "A 27054-2026")</f>
        <v/>
      </c>
      <c r="AB72">
        <f>HYPERLINK("https://klasma.github.io/Logging_2180/klagomålsmail/A 27054-2026 FSC-klagomål mail.docx", "A 27054-2026")</f>
        <v/>
      </c>
      <c r="AC72">
        <f>HYPERLINK("https://klasma.github.io/Logging_2180/tillsyn/A 27054-2026 tillsynsbegäran.docx", "A 27054-2026")</f>
        <v/>
      </c>
      <c r="AD72">
        <f>HYPERLINK("https://klasma.github.io/Logging_2180/tillsynsmail/A 27054-2026 tillsynsbegäran mail.docx", "A 27054-2026")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46280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6473-2024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46280</v>
      </c>
      <c r="F75" t="inlineStr">
        <is>
          <t>GÄVLEBORGS LÄN</t>
        </is>
      </c>
      <c r="G75" t="inlineStr">
        <is>
          <t>GÄVLE</t>
        </is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Tibast
Nattviol</t>
        </is>
      </c>
      <c r="W75">
        <f>HYPERLINK("https://klasma.github.io/Logging_2180/artfynd/A 6473-2024 artfynd.xlsx", "A 6473-2024")</f>
        <v/>
      </c>
      <c r="X75">
        <f>HYPERLINK("https://klasma.github.io/Logging_2180/kartor/A 6473-2024 karta.png", "A 6473-2024")</f>
        <v/>
      </c>
      <c r="Y75">
        <f>HYPERLINK("https://klasma.github.io/Logging_2180/kartor_geotiff/A 6473-2024 georefererad karta.tif", "A 6473-2024")</f>
        <v/>
      </c>
      <c r="AA75">
        <f>HYPERLINK("https://klasma.github.io/Logging_2180/klagomål/A 6473-2024 FSC-klagomål.docx", "A 6473-2024")</f>
        <v/>
      </c>
      <c r="AB75">
        <f>HYPERLINK("https://klasma.github.io/Logging_2180/klagomålsmail/A 6473-2024 FSC-klagomål mail.docx", "A 6473-2024")</f>
        <v/>
      </c>
      <c r="AC75">
        <f>HYPERLINK("https://klasma.github.io/Logging_2180/tillsyn/A 6473-2024 tillsynsbegäran.docx", "A 6473-2024")</f>
        <v/>
      </c>
      <c r="AD75">
        <f>HYPERLINK("https://klasma.github.io/Logging_2180/tillsynsmail/A 6473-2024 tillsynsbegäran mail.docx", "A 6473-2024")</f>
        <v/>
      </c>
    </row>
    <row r="76" ht="15" customHeight="1">
      <c r="A76" t="inlineStr">
        <is>
          <t>A 35989-2024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46280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3.1</v>
      </c>
      <c r="J76" t="n">
        <v>1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Knärot
Jättesvampmal</t>
        </is>
      </c>
      <c r="W76">
        <f>HYPERLINK("https://klasma.github.io/Logging_2180/artfynd/A 35989-2024 artfynd.xlsx", "A 35989-2024")</f>
        <v/>
      </c>
      <c r="X76">
        <f>HYPERLINK("https://klasma.github.io/Logging_2180/kartor/A 35989-2024 karta.png", "A 35989-2024")</f>
        <v/>
      </c>
      <c r="Y76">
        <f>HYPERLINK("https://klasma.github.io/Logging_2180/kartor_geotiff/A 35989-2024 georefererad karta.tif", "A 35989-2024")</f>
        <v/>
      </c>
      <c r="Z76">
        <f>HYPERLINK("https://klasma.github.io/Logging_2180/knärot/A 35989-2024 karta knärot.png", "A 35989-2024")</f>
        <v/>
      </c>
      <c r="AA76">
        <f>HYPERLINK("https://klasma.github.io/Logging_2180/klagomål/A 35989-2024 FSC-klagomål.docx", "A 35989-2024")</f>
        <v/>
      </c>
      <c r="AB76">
        <f>HYPERLINK("https://klasma.github.io/Logging_2180/klagomålsmail/A 35989-2024 FSC-klagomål mail.docx", "A 35989-2024")</f>
        <v/>
      </c>
      <c r="AC76">
        <f>HYPERLINK("https://klasma.github.io/Logging_2180/tillsyn/A 35989-2024 tillsynsbegäran.docx", "A 35989-2024")</f>
        <v/>
      </c>
      <c r="AD76">
        <f>HYPERLINK("https://klasma.github.io/Logging_2180/tillsynsmail/A 35989-2024 tillsynsbegäran mail.docx", "A 35989-2024")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46280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46280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46280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46280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46280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46280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46280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46280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46280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46280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47642-2024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45588</v>
      </c>
      <c r="E87" s="1" t="n">
        <v>46280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8.199999999999999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HYPERLINK("https://klasma.github.io/Logging_2180/artfynd/A 47642-2024 artfynd.xlsx", "A 47642-2024")</f>
        <v/>
      </c>
      <c r="X87">
        <f>HYPERLINK("https://klasma.github.io/Logging_2180/kartor/A 47642-2024 karta.png", "A 47642-2024")</f>
        <v/>
      </c>
      <c r="Y87">
        <f>HYPERLINK("https://klasma.github.io/Logging_2180/kartor_geotiff/A 47642-2024 georefererad karta.tif", "A 47642-2024")</f>
        <v/>
      </c>
      <c r="AA87">
        <f>HYPERLINK("https://klasma.github.io/Logging_2180/klagomål/A 47642-2024 FSC-klagomål.docx", "A 47642-2024")</f>
        <v/>
      </c>
      <c r="AB87">
        <f>HYPERLINK("https://klasma.github.io/Logging_2180/klagomålsmail/A 47642-2024 FSC-klagomål mail.docx", "A 47642-2024")</f>
        <v/>
      </c>
      <c r="AC87">
        <f>HYPERLINK("https://klasma.github.io/Logging_2180/tillsyn/A 47642-2024 tillsynsbegäran.docx", "A 47642-2024")</f>
        <v/>
      </c>
      <c r="AD87">
        <f>HYPERLINK("https://klasma.github.io/Logging_2180/tillsynsmail/A 47642-2024 tillsynsbegäran mail.docx", "A 47642-2024")</f>
        <v/>
      </c>
      <c r="AE87">
        <f>HYPERLINK("https://klasma.github.io/Logging_2180/fåglar/A 47642-2024 prioriterade fågelarter.docx", "A 47642-2024")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46280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46280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30302-2025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46280</v>
      </c>
      <c r="F90" t="inlineStr">
        <is>
          <t>GÄVLEBORGS LÄN</t>
        </is>
      </c>
      <c r="G90" t="inlineStr">
        <is>
          <t>GÄVLE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Fläcknycklar</t>
        </is>
      </c>
      <c r="W90">
        <f>HYPERLINK("https://klasma.github.io/Logging_2180/artfynd/A 30302-2025 artfynd.xlsx", "A 30302-2025")</f>
        <v/>
      </c>
      <c r="X90">
        <f>HYPERLINK("https://klasma.github.io/Logging_2180/kartor/A 30302-2025 karta.png", "A 30302-2025")</f>
        <v/>
      </c>
      <c r="Y90">
        <f>HYPERLINK("https://klasma.github.io/Logging_2180/kartor_geotiff/A 30302-2025 georefererad karta.tif", "A 30302-2025")</f>
        <v/>
      </c>
      <c r="AA90">
        <f>HYPERLINK("https://klasma.github.io/Logging_2180/klagomål/A 30302-2025 FSC-klagomål.docx", "A 30302-2025")</f>
        <v/>
      </c>
      <c r="AB90">
        <f>HYPERLINK("https://klasma.github.io/Logging_2180/klagomålsmail/A 30302-2025 FSC-klagomål mail.docx", "A 30302-2025")</f>
        <v/>
      </c>
      <c r="AC90">
        <f>HYPERLINK("https://klasma.github.io/Logging_2180/tillsyn/A 30302-2025 tillsynsbegäran.docx", "A 30302-2025")</f>
        <v/>
      </c>
      <c r="AD90">
        <f>HYPERLINK("https://klasma.github.io/Logging_2180/tillsynsmail/A 30302-2025 tillsynsbegäran mail.docx", "A 30302-2025")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46280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46280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11411-2025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46280</v>
      </c>
      <c r="F93" t="inlineStr">
        <is>
          <t>GÄVLEBORGS LÄN</t>
        </is>
      </c>
      <c r="G93" t="inlineStr">
        <is>
          <t>GÄVLE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11411-2025 artfynd.xlsx", "A 11411-2025")</f>
        <v/>
      </c>
      <c r="X93">
        <f>HYPERLINK("https://klasma.github.io/Logging_2180/kartor/A 11411-2025 karta.png", "A 11411-2025")</f>
        <v/>
      </c>
      <c r="Y93">
        <f>HYPERLINK("https://klasma.github.io/Logging_2180/kartor_geotiff/A 11411-2025 georefererad karta.tif", "A 11411-2025")</f>
        <v/>
      </c>
      <c r="AA93">
        <f>HYPERLINK("https://klasma.github.io/Logging_2180/klagomål/A 11411-2025 FSC-klagomål.docx", "A 11411-2025")</f>
        <v/>
      </c>
      <c r="AB93">
        <f>HYPERLINK("https://klasma.github.io/Logging_2180/klagomålsmail/A 11411-2025 FSC-klagomål mail.docx", "A 11411-2025")</f>
        <v/>
      </c>
      <c r="AC93">
        <f>HYPERLINK("https://klasma.github.io/Logging_2180/tillsyn/A 11411-2025 tillsynsbegäran.docx", "A 11411-2025")</f>
        <v/>
      </c>
      <c r="AD93">
        <f>HYPERLINK("https://klasma.github.io/Logging_2180/tillsynsmail/A 11411-2025 tillsynsbegäran mail.docx", "A 11411-2025")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46280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50052-2025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46280</v>
      </c>
      <c r="F95" t="inlineStr">
        <is>
          <t>GÄVLEBORGS LÄN</t>
        </is>
      </c>
      <c r="G95" t="inlineStr">
        <is>
          <t>GÄVLE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Mosippa</t>
        </is>
      </c>
      <c r="W95">
        <f>HYPERLINK("https://klasma.github.io/Logging_2180/artfynd/A 50052-2025 artfynd.xlsx", "A 50052-2025")</f>
        <v/>
      </c>
      <c r="X95">
        <f>HYPERLINK("https://klasma.github.io/Logging_2180/kartor/A 50052-2025 karta.png", "A 50052-2025")</f>
        <v/>
      </c>
      <c r="Y95">
        <f>HYPERLINK("https://klasma.github.io/Logging_2180/kartor_geotiff/A 50052-2025 georefererad karta.tif", "A 50052-2025")</f>
        <v/>
      </c>
      <c r="AA95">
        <f>HYPERLINK("https://klasma.github.io/Logging_2180/klagomål/A 50052-2025 FSC-klagomål.docx", "A 50052-2025")</f>
        <v/>
      </c>
      <c r="AB95">
        <f>HYPERLINK("https://klasma.github.io/Logging_2180/klagomålsmail/A 50052-2025 FSC-klagomål mail.docx", "A 50052-2025")</f>
        <v/>
      </c>
      <c r="AC95">
        <f>HYPERLINK("https://klasma.github.io/Logging_2180/tillsyn/A 50052-2025 tillsynsbegäran.docx", "A 50052-2025")</f>
        <v/>
      </c>
      <c r="AD95">
        <f>HYPERLINK("https://klasma.github.io/Logging_2180/tillsynsmail/A 50052-2025 tillsynsbegäran mail.docx", "A 50052-2025")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46280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13684-2026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46280</v>
      </c>
      <c r="F97" t="inlineStr">
        <is>
          <t>GÄVLEBORGS LÄN</t>
        </is>
      </c>
      <c r="G97" t="inlineStr">
        <is>
          <t>GÄVLE</t>
        </is>
      </c>
      <c r="I97" t="n">
        <v>21.3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HYPERLINK("https://klasma.github.io/Logging_2180/artfynd/A 13684-2026 artfynd.xlsx", "A 13684-2026")</f>
        <v/>
      </c>
      <c r="X97">
        <f>HYPERLINK("https://klasma.github.io/Logging_2180/kartor/A 13684-2026 karta.png", "A 13684-2026")</f>
        <v/>
      </c>
      <c r="Y97">
        <f>HYPERLINK("https://klasma.github.io/Logging_2180/kartor_geotiff/A 13684-2026 georefererad karta.tif", "A 13684-2026")</f>
        <v/>
      </c>
      <c r="AA97">
        <f>HYPERLINK("https://klasma.github.io/Logging_2180/klagomål/A 13684-2026 FSC-klagomål.docx", "A 13684-2026")</f>
        <v/>
      </c>
      <c r="AB97">
        <f>HYPERLINK("https://klasma.github.io/Logging_2180/klagomålsmail/A 13684-2026 FSC-klagomål mail.docx", "A 13684-2026")</f>
        <v/>
      </c>
      <c r="AC97">
        <f>HYPERLINK("https://klasma.github.io/Logging_2180/tillsyn/A 13684-2026 tillsynsbegäran.docx", "A 13684-2026")</f>
        <v/>
      </c>
      <c r="AD97">
        <f>HYPERLINK("https://klasma.github.io/Logging_2180/tillsynsmail/A 13684-2026 tillsynsbegäran mail.docx", "A 13684-2026")</f>
        <v/>
      </c>
    </row>
    <row r="98" ht="15" customHeight="1">
      <c r="A98" t="inlineStr">
        <is>
          <t>A 17251-2026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46280</v>
      </c>
      <c r="F98" t="inlineStr">
        <is>
          <t>GÄVLEBORGS LÄN</t>
        </is>
      </c>
      <c r="G98" t="inlineStr">
        <is>
          <t>GÄVLE</t>
        </is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HYPERLINK("https://klasma.github.io/Logging_2180/artfynd/A 17251-2026 artfynd.xlsx", "A 17251-2026")</f>
        <v/>
      </c>
      <c r="X98">
        <f>HYPERLINK("https://klasma.github.io/Logging_2180/kartor/A 17251-2026 karta.png", "A 17251-2026")</f>
        <v/>
      </c>
      <c r="Y98">
        <f>HYPERLINK("https://klasma.github.io/Logging_2180/kartor_geotiff/A 17251-2026 georefererad karta.tif", "A 17251-2026")</f>
        <v/>
      </c>
      <c r="AA98">
        <f>HYPERLINK("https://klasma.github.io/Logging_2180/klagomål/A 17251-2026 FSC-klagomål.docx", "A 17251-2026")</f>
        <v/>
      </c>
      <c r="AB98">
        <f>HYPERLINK("https://klasma.github.io/Logging_2180/klagomålsmail/A 17251-2026 FSC-klagomål mail.docx", "A 17251-2026")</f>
        <v/>
      </c>
      <c r="AC98">
        <f>HYPERLINK("https://klasma.github.io/Logging_2180/tillsyn/A 17251-2026 tillsynsbegäran.docx", "A 17251-2026")</f>
        <v/>
      </c>
      <c r="AD98">
        <f>HYPERLINK("https://klasma.github.io/Logging_2180/tillsynsmail/A 17251-2026 tillsynsbegäran mail.docx", "A 17251-2026")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46280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19635-2026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46280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Skinnlav</t>
        </is>
      </c>
      <c r="W100">
        <f>HYPERLINK("https://klasma.github.io/Logging_2180/artfynd/A 19635-2026 artfynd.xlsx", "A 19635-2026")</f>
        <v/>
      </c>
      <c r="X100">
        <f>HYPERLINK("https://klasma.github.io/Logging_2180/kartor/A 19635-2026 karta.png", "A 19635-2026")</f>
        <v/>
      </c>
      <c r="Y100">
        <f>HYPERLINK("https://klasma.github.io/Logging_2180/kartor_geotiff/A 19635-2026 georefererad karta.tif", "A 19635-2026")</f>
        <v/>
      </c>
      <c r="AA100">
        <f>HYPERLINK("https://klasma.github.io/Logging_2180/klagomål/A 19635-2026 FSC-klagomål.docx", "A 19635-2026")</f>
        <v/>
      </c>
      <c r="AB100">
        <f>HYPERLINK("https://klasma.github.io/Logging_2180/klagomålsmail/A 19635-2026 FSC-klagomål mail.docx", "A 19635-2026")</f>
        <v/>
      </c>
      <c r="AC100">
        <f>HYPERLINK("https://klasma.github.io/Logging_2180/tillsyn/A 19635-2026 tillsynsbegäran.docx", "A 19635-2026")</f>
        <v/>
      </c>
      <c r="AD100">
        <f>HYPERLINK("https://klasma.github.io/Logging_2180/tillsynsmail/A 19635-2026 tillsynsbegäran mail.docx", "A 19635-2026")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46280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46280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46280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46280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14711-2026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46280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Blanksvart spiklav</t>
        </is>
      </c>
      <c r="W105">
        <f>HYPERLINK("https://klasma.github.io/Logging_2180/artfynd/A 14711-2026 artfynd.xlsx", "A 14711-2026")</f>
        <v/>
      </c>
      <c r="X105">
        <f>HYPERLINK("https://klasma.github.io/Logging_2180/kartor/A 14711-2026 karta.png", "A 14711-2026")</f>
        <v/>
      </c>
      <c r="Y105">
        <f>HYPERLINK("https://klasma.github.io/Logging_2180/kartor_geotiff/A 14711-2026 georefererad karta.tif", "A 14711-2026")</f>
        <v/>
      </c>
      <c r="AA105">
        <f>HYPERLINK("https://klasma.github.io/Logging_2180/klagomål/A 14711-2026 FSC-klagomål.docx", "A 14711-2026")</f>
        <v/>
      </c>
      <c r="AB105">
        <f>HYPERLINK("https://klasma.github.io/Logging_2180/klagomålsmail/A 14711-2026 FSC-klagomål mail.docx", "A 14711-2026")</f>
        <v/>
      </c>
      <c r="AC105">
        <f>HYPERLINK("https://klasma.github.io/Logging_2180/tillsyn/A 14711-2026 tillsynsbegäran.docx", "A 14711-2026")</f>
        <v/>
      </c>
      <c r="AD105">
        <f>HYPERLINK("https://klasma.github.io/Logging_2180/tillsynsmail/A 14711-2026 tillsynsbegäran mail.docx", "A 14711-2026")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46280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46280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46280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46280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46280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22892-2026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46280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HYPERLINK("https://klasma.github.io/Logging_2180/artfynd/A 22892-2026 artfynd.xlsx", "A 22892-2026")</f>
        <v/>
      </c>
      <c r="X111">
        <f>HYPERLINK("https://klasma.github.io/Logging_2180/kartor/A 22892-2026 karta.png", "A 22892-2026")</f>
        <v/>
      </c>
      <c r="Y111">
        <f>HYPERLINK("https://klasma.github.io/Logging_2180/kartor_geotiff/A 22892-2026 georefererad karta.tif", "A 22892-2026")</f>
        <v/>
      </c>
      <c r="AA111">
        <f>HYPERLINK("https://klasma.github.io/Logging_2180/klagomål/A 22892-2026 FSC-klagomål.docx", "A 22892-2026")</f>
        <v/>
      </c>
      <c r="AB111">
        <f>HYPERLINK("https://klasma.github.io/Logging_2180/klagomålsmail/A 22892-2026 FSC-klagomål mail.docx", "A 22892-2026")</f>
        <v/>
      </c>
      <c r="AC111">
        <f>HYPERLINK("https://klasma.github.io/Logging_2180/tillsyn/A 22892-2026 tillsynsbegäran.docx", "A 22892-2026")</f>
        <v/>
      </c>
      <c r="AD111">
        <f>HYPERLINK("https://klasma.github.io/Logging_2180/tillsynsmail/A 22892-2026 tillsynsbegäran mail.docx", "A 22892-2026")</f>
        <v/>
      </c>
      <c r="AE111">
        <f>HYPERLINK("https://klasma.github.io/Logging_2180/fåglar/A 22892-2026 prioriterade fågelarter.docx", "A 22892-2026")</f>
        <v/>
      </c>
    </row>
    <row r="112" ht="15" customHeight="1">
      <c r="A112" t="inlineStr">
        <is>
          <t>A 27063-2026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46280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27063-2026 artfynd.xlsx", "A 27063-2026")</f>
        <v/>
      </c>
      <c r="X112">
        <f>HYPERLINK("https://klasma.github.io/Logging_2180/kartor/A 27063-2026 karta.png", "A 27063-2026")</f>
        <v/>
      </c>
      <c r="Y112">
        <f>HYPERLINK("https://klasma.github.io/Logging_2180/kartor_geotiff/A 27063-2026 georefererad karta.tif", "A 27063-2026")</f>
        <v/>
      </c>
      <c r="AA112">
        <f>HYPERLINK("https://klasma.github.io/Logging_2180/klagomål/A 27063-2026 FSC-klagomål.docx", "A 27063-2026")</f>
        <v/>
      </c>
      <c r="AB112">
        <f>HYPERLINK("https://klasma.github.io/Logging_2180/klagomålsmail/A 27063-2026 FSC-klagomål mail.docx", "A 27063-2026")</f>
        <v/>
      </c>
      <c r="AC112">
        <f>HYPERLINK("https://klasma.github.io/Logging_2180/tillsyn/A 27063-2026 tillsynsbegäran.docx", "A 27063-2026")</f>
        <v/>
      </c>
      <c r="AD112">
        <f>HYPERLINK("https://klasma.github.io/Logging_2180/tillsynsmail/A 27063-2026 tillsynsbegäran mail.docx", "A 27063-2026")</f>
        <v/>
      </c>
    </row>
    <row r="113" ht="15" customHeight="1">
      <c r="A113" t="inlineStr">
        <is>
          <t>A 26871-2026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46280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4.2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HYPERLINK("https://klasma.github.io/Logging_2180/artfynd/A 26871-2026 artfynd.xlsx", "A 26871-2026")</f>
        <v/>
      </c>
      <c r="X113">
        <f>HYPERLINK("https://klasma.github.io/Logging_2180/kartor/A 26871-2026 karta.png", "A 26871-2026")</f>
        <v/>
      </c>
      <c r="Y113">
        <f>HYPERLINK("https://klasma.github.io/Logging_2180/kartor_geotiff/A 26871-2026 georefererad karta.tif", "A 26871-2026")</f>
        <v/>
      </c>
      <c r="AA113">
        <f>HYPERLINK("https://klasma.github.io/Logging_2180/klagomål/A 26871-2026 FSC-klagomål.docx", "A 26871-2026")</f>
        <v/>
      </c>
      <c r="AB113">
        <f>HYPERLINK("https://klasma.github.io/Logging_2180/klagomålsmail/A 26871-2026 FSC-klagomål mail.docx", "A 26871-2026")</f>
        <v/>
      </c>
      <c r="AC113">
        <f>HYPERLINK("https://klasma.github.io/Logging_2180/tillsyn/A 26871-2026 tillsynsbegäran.docx", "A 26871-2026")</f>
        <v/>
      </c>
      <c r="AD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46280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28546-2026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46280</v>
      </c>
      <c r="F116" t="inlineStr">
        <is>
          <t>GÄVLEBORGS LÄN</t>
        </is>
      </c>
      <c r="G116" t="inlineStr">
        <is>
          <t>GÄVLE</t>
        </is>
      </c>
      <c r="H116" t="inlineStr">
        <is>
          <t>BillerudKorsnäs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Fiskgjuse</t>
        </is>
      </c>
      <c r="W116">
        <f>HYPERLINK("https://klasma.github.io/Logging_2180/artfynd/A 28546-2026 artfynd.xlsx", "A 28546-2026")</f>
        <v/>
      </c>
      <c r="X116">
        <f>HYPERLINK("https://klasma.github.io/Logging_2180/kartor/A 28546-2026 karta.png", "A 28546-2026")</f>
        <v/>
      </c>
      <c r="Y116">
        <f>HYPERLINK("https://klasma.github.io/Logging_2180/kartor_geotiff/A 28546-2026 georefererad karta.tif", "A 28546-2026")</f>
        <v/>
      </c>
      <c r="AA116">
        <f>HYPERLINK("https://klasma.github.io/Logging_2180/klagomål/A 28546-2026 FSC-klagomål.docx", "A 28546-2026")</f>
        <v/>
      </c>
      <c r="AB116">
        <f>HYPERLINK("https://klasma.github.io/Logging_2180/klagomålsmail/A 28546-2026 FSC-klagomål mail.docx", "A 28546-2026")</f>
        <v/>
      </c>
      <c r="AC116">
        <f>HYPERLINK("https://klasma.github.io/Logging_2180/tillsyn/A 28546-2026 tillsynsbegäran.docx", "A 28546-2026")</f>
        <v/>
      </c>
      <c r="AD116">
        <f>HYPERLINK("https://klasma.github.io/Logging_2180/tillsynsmail/A 28546-2026 tillsynsbegäran mail.docx", "A 28546-2026")</f>
        <v/>
      </c>
      <c r="AE116">
        <f>HYPERLINK("https://klasma.github.io/Logging_2180/fåglar/A 28546-2026 prioriterade fågelarter.docx", "A 28546-2026")</f>
        <v/>
      </c>
    </row>
    <row r="117" ht="15" customHeight="1">
      <c r="A117" t="inlineStr">
        <is>
          <t>A 33832-2026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46280</v>
      </c>
      <c r="F117" t="inlineStr">
        <is>
          <t>GÄVLEBORGS LÄN</t>
        </is>
      </c>
      <c r="G117" t="inlineStr">
        <is>
          <t>GÄVLE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HYPERLINK("https://klasma.github.io/Logging_2180/artfynd/A 33832-2026 artfynd.xlsx", "A 33832-2026")</f>
        <v/>
      </c>
      <c r="X117">
        <f>HYPERLINK("https://klasma.github.io/Logging_2180/kartor/A 33832-2026 karta.png", "A 33832-2026")</f>
        <v/>
      </c>
      <c r="Y117">
        <f>HYPERLINK("https://klasma.github.io/Logging_2180/kartor_geotiff/A 33832-2026 georefererad karta.tif", "A 33832-2026")</f>
        <v/>
      </c>
      <c r="AA117">
        <f>HYPERLINK("https://klasma.github.io/Logging_2180/klagomål/A 33832-2026 FSC-klagomål.docx", "A 33832-2026")</f>
        <v/>
      </c>
      <c r="AB117">
        <f>HYPERLINK("https://klasma.github.io/Logging_2180/klagomålsmail/A 33832-2026 FSC-klagomål mail.docx", "A 33832-2026")</f>
        <v/>
      </c>
      <c r="AC117">
        <f>HYPERLINK("https://klasma.github.io/Logging_2180/tillsyn/A 33832-2026 tillsynsbegäran.docx", "A 33832-2026")</f>
        <v/>
      </c>
      <c r="AD117">
        <f>HYPERLINK("https://klasma.github.io/Logging_2180/tillsynsmail/A 33832-2026 tillsynsbegäran mail.docx", "A 33832-2026")</f>
        <v/>
      </c>
    </row>
    <row r="118" ht="15" customHeight="1">
      <c r="A118" t="inlineStr">
        <is>
          <t>A 51508-2024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45604</v>
      </c>
      <c r="E118" s="1" t="n">
        <v>46280</v>
      </c>
      <c r="F118" t="inlineStr">
        <is>
          <t>GÄVLEBORGS LÄN</t>
        </is>
      </c>
      <c r="G118" t="inlineStr">
        <is>
          <t>GÄVLE</t>
        </is>
      </c>
      <c r="I118" t="n">
        <v>0.9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Tibast</t>
        </is>
      </c>
      <c r="W118">
        <f>HYPERLINK("https://klasma.github.io/Logging_2180/artfynd/A 51508-2024 artfynd.xlsx", "A 51508-2024")</f>
        <v/>
      </c>
      <c r="X118">
        <f>HYPERLINK("https://klasma.github.io/Logging_2180/kartor/A 51508-2024 karta.png", "A 51508-2024")</f>
        <v/>
      </c>
      <c r="Y118">
        <f>HYPERLINK("https://klasma.github.io/Logging_2180/kartor_geotiff/A 51508-2024 georefererad karta.tif", "A 51508-2024")</f>
        <v/>
      </c>
      <c r="AA118">
        <f>HYPERLINK("https://klasma.github.io/Logging_2180/klagomål/A 51508-2024 FSC-klagomål.docx", "A 51508-2024")</f>
        <v/>
      </c>
      <c r="AB118">
        <f>HYPERLINK("https://klasma.github.io/Logging_2180/klagomålsmail/A 51508-2024 FSC-klagomål mail.docx", "A 51508-2024")</f>
        <v/>
      </c>
      <c r="AC118">
        <f>HYPERLINK("https://klasma.github.io/Logging_2180/tillsyn/A 51508-2024 tillsynsbegäran.docx", "A 51508-2024")</f>
        <v/>
      </c>
      <c r="AD118">
        <f>HYPERLINK("https://klasma.github.io/Logging_2180/tillsynsmail/A 51508-2024 tillsynsbegäran mail.docx", "A 51508-2024")</f>
        <v/>
      </c>
    </row>
    <row r="119" ht="15" customHeight="1">
      <c r="A119" t="inlineStr">
        <is>
          <t>A 34086-2026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46252</v>
      </c>
      <c r="E119" s="1" t="n">
        <v>46280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6.1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Gullgröppa</t>
        </is>
      </c>
      <c r="W119">
        <f>HYPERLINK("https://klasma.github.io/Logging_2180/artfynd/A 34086-2026 artfynd.xlsx", "A 34086-2026")</f>
        <v/>
      </c>
      <c r="X119">
        <f>HYPERLINK("https://klasma.github.io/Logging_2180/kartor/A 34086-2026 karta.png", "A 34086-2026")</f>
        <v/>
      </c>
      <c r="Y119">
        <f>HYPERLINK("https://klasma.github.io/Logging_2180/kartor_geotiff/A 34086-2026 georefererad karta.tif", "A 34086-2026")</f>
        <v/>
      </c>
      <c r="AA119">
        <f>HYPERLINK("https://klasma.github.io/Logging_2180/klagomål/A 34086-2026 FSC-klagomål.docx", "A 34086-2026")</f>
        <v/>
      </c>
      <c r="AB119">
        <f>HYPERLINK("https://klasma.github.io/Logging_2180/klagomålsmail/A 34086-2026 FSC-klagomål mail.docx", "A 34086-2026")</f>
        <v/>
      </c>
      <c r="AC119">
        <f>HYPERLINK("https://klasma.github.io/Logging_2180/tillsyn/A 34086-2026 tillsynsbegäran.docx", "A 34086-2026")</f>
        <v/>
      </c>
      <c r="AD119">
        <f>HYPERLINK("https://klasma.github.io/Logging_2180/tillsynsmail/A 34086-2026 tillsynsbegäran mail.docx", "A 34086-2026")</f>
        <v/>
      </c>
    </row>
    <row r="120" ht="15" customHeight="1">
      <c r="A120" t="inlineStr">
        <is>
          <t>A 34589-2026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46255</v>
      </c>
      <c r="E120" s="1" t="n">
        <v>46280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15.3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HYPERLINK("https://klasma.github.io/Logging_2180/artfynd/A 34589-2026 artfynd.xlsx", "A 34589-2026")</f>
        <v/>
      </c>
      <c r="X120">
        <f>HYPERLINK("https://klasma.github.io/Logging_2180/kartor/A 34589-2026 karta.png", "A 34589-2026")</f>
        <v/>
      </c>
      <c r="Y120">
        <f>HYPERLINK("https://klasma.github.io/Logging_2180/kartor_geotiff/A 34589-2026 georefererad karta.tif", "A 34589-2026")</f>
        <v/>
      </c>
      <c r="AA120">
        <f>HYPERLINK("https://klasma.github.io/Logging_2180/klagomål/A 34589-2026 FSC-klagomål.docx", "A 34589-2026")</f>
        <v/>
      </c>
      <c r="AB120">
        <f>HYPERLINK("https://klasma.github.io/Logging_2180/klagomålsmail/A 34589-2026 FSC-klagomål mail.docx", "A 34589-2026")</f>
        <v/>
      </c>
      <c r="AC120">
        <f>HYPERLINK("https://klasma.github.io/Logging_2180/tillsyn/A 34589-2026 tillsynsbegäran.docx", "A 34589-2026")</f>
        <v/>
      </c>
      <c r="AD120">
        <f>HYPERLINK("https://klasma.github.io/Logging_2180/tillsynsmail/A 34589-2026 tillsynsbegäran mail.docx", "A 34589-2026")</f>
        <v/>
      </c>
    </row>
    <row r="121" ht="15" customHeight="1">
      <c r="A121" t="inlineStr">
        <is>
          <t>A 31448-2026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46217</v>
      </c>
      <c r="E121" s="1" t="n">
        <v>46280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tåtelsmygare</t>
        </is>
      </c>
      <c r="W121">
        <f>HYPERLINK("https://klasma.github.io/Logging_2180/artfynd/A 31448-2026 artfynd.xlsx", "A 31448-2026")</f>
        <v/>
      </c>
      <c r="X121">
        <f>HYPERLINK("https://klasma.github.io/Logging_2180/kartor/A 31448-2026 karta.png", "A 31448-2026")</f>
        <v/>
      </c>
      <c r="Y121">
        <f>HYPERLINK("https://klasma.github.io/Logging_2180/kartor_geotiff/A 31448-2026 georefererad karta.tif", "A 31448-2026")</f>
        <v/>
      </c>
      <c r="AA121">
        <f>HYPERLINK("https://klasma.github.io/Logging_2180/klagomål/A 31448-2026 FSC-klagomål.docx", "A 31448-2026")</f>
        <v/>
      </c>
      <c r="AB121">
        <f>HYPERLINK("https://klasma.github.io/Logging_2180/klagomålsmail/A 31448-2026 FSC-klagomål mail.docx", "A 31448-2026")</f>
        <v/>
      </c>
      <c r="AC121">
        <f>HYPERLINK("https://klasma.github.io/Logging_2180/tillsyn/A 31448-2026 tillsynsbegäran.docx", "A 31448-2026")</f>
        <v/>
      </c>
      <c r="AD121">
        <f>HYPERLINK("https://klasma.github.io/Logging_2180/tillsynsmail/A 31448-2026 tillsynsbegäran mail.docx", "A 31448-2026")</f>
        <v/>
      </c>
    </row>
    <row r="122" ht="15" customHeight="1">
      <c r="A122" t="inlineStr">
        <is>
          <t>A 12437-2024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45379</v>
      </c>
      <c r="E122" s="1" t="n">
        <v>46280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Mindre bastardsvärmare</t>
        </is>
      </c>
      <c r="W122">
        <f>HYPERLINK("https://klasma.github.io/Logging_2180/artfynd/A 12437-2024 artfynd.xlsx", "A 12437-2024")</f>
        <v/>
      </c>
      <c r="X122">
        <f>HYPERLINK("https://klasma.github.io/Logging_2180/kartor/A 12437-2024 karta.png", "A 12437-2024")</f>
        <v/>
      </c>
      <c r="Y122">
        <f>HYPERLINK("https://klasma.github.io/Logging_2180/kartor_geotiff/A 12437-2024 georefererad karta.tif", "A 12437-2024")</f>
        <v/>
      </c>
      <c r="AA122">
        <f>HYPERLINK("https://klasma.github.io/Logging_2180/klagomål/A 12437-2024 FSC-klagomål.docx", "A 12437-2024")</f>
        <v/>
      </c>
      <c r="AB122">
        <f>HYPERLINK("https://klasma.github.io/Logging_2180/klagomålsmail/A 12437-2024 FSC-klagomål mail.docx", "A 12437-2024")</f>
        <v/>
      </c>
      <c r="AC122">
        <f>HYPERLINK("https://klasma.github.io/Logging_2180/tillsyn/A 12437-2024 tillsynsbegäran.docx", "A 12437-2024")</f>
        <v/>
      </c>
      <c r="AD122">
        <f>HYPERLINK("https://klasma.github.io/Logging_2180/tillsynsmail/A 12437-2024 tillsynsbegäran mail.docx", "A 12437-2024")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46280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10333-2025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45720</v>
      </c>
      <c r="E124" s="1" t="n">
        <v>46280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Tjäder</t>
        </is>
      </c>
      <c r="W124">
        <f>HYPERLINK("https://klasma.github.io/Logging_2180/artfynd/A 10333-2025 artfynd.xlsx", "A 10333-2025")</f>
        <v/>
      </c>
      <c r="X124">
        <f>HYPERLINK("https://klasma.github.io/Logging_2180/kartor/A 10333-2025 karta.png", "A 10333-2025")</f>
        <v/>
      </c>
      <c r="Y124">
        <f>HYPERLINK("https://klasma.github.io/Logging_2180/kartor_geotiff/A 10333-2025 georefererad karta.tif", "A 10333-2025")</f>
        <v/>
      </c>
      <c r="AA124">
        <f>HYPERLINK("https://klasma.github.io/Logging_2180/klagomål/A 10333-2025 FSC-klagomål.docx", "A 10333-2025")</f>
        <v/>
      </c>
      <c r="AB124">
        <f>HYPERLINK("https://klasma.github.io/Logging_2180/klagomålsmail/A 10333-2025 FSC-klagomål mail.docx", "A 10333-2025")</f>
        <v/>
      </c>
      <c r="AC124">
        <f>HYPERLINK("https://klasma.github.io/Logging_2180/tillsyn/A 10333-2025 tillsynsbegäran.docx", "A 10333-2025")</f>
        <v/>
      </c>
      <c r="AD124">
        <f>HYPERLINK("https://klasma.github.io/Logging_2180/tillsynsmail/A 10333-2025 tillsynsbegäran mail.docx", "A 10333-2025")</f>
        <v/>
      </c>
      <c r="AE124">
        <f>HYPERLINK("https://klasma.github.io/Logging_2180/fåglar/A 10333-2025 prioriterade fågelarter.docx", "A 10333-2025")</f>
        <v/>
      </c>
    </row>
    <row r="125" ht="15" customHeight="1">
      <c r="A125" t="inlineStr">
        <is>
          <t>A 23003-2026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46280</v>
      </c>
      <c r="F125" t="inlineStr">
        <is>
          <t>GÄVLEBORGS LÄN</t>
        </is>
      </c>
      <c r="G125" t="inlineStr">
        <is>
          <t>GÄVLE</t>
        </is>
      </c>
      <c r="I125" t="n">
        <v>12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Tjäder</t>
        </is>
      </c>
      <c r="W125">
        <f>HYPERLINK("https://klasma.github.io/Logging_2180/artfynd/A 23003-2026 artfynd.xlsx", "A 23003-2026")</f>
        <v/>
      </c>
      <c r="X125">
        <f>HYPERLINK("https://klasma.github.io/Logging_2180/kartor/A 23003-2026 karta.png", "A 23003-2026")</f>
        <v/>
      </c>
      <c r="Y125">
        <f>HYPERLINK("https://klasma.github.io/Logging_2180/kartor_geotiff/A 23003-2026 georefererad karta.tif", "A 23003-2026")</f>
        <v/>
      </c>
      <c r="AA125">
        <f>HYPERLINK("https://klasma.github.io/Logging_2180/klagomål/A 23003-2026 FSC-klagomål.docx", "A 23003-2026")</f>
        <v/>
      </c>
      <c r="AB125">
        <f>HYPERLINK("https://klasma.github.io/Logging_2180/klagomålsmail/A 23003-2026 FSC-klagomål mail.docx", "A 23003-2026")</f>
        <v/>
      </c>
      <c r="AC125">
        <f>HYPERLINK("https://klasma.github.io/Logging_2180/tillsyn/A 23003-2026 tillsynsbegäran.docx", "A 23003-2026")</f>
        <v/>
      </c>
      <c r="AD125">
        <f>HYPERLINK("https://klasma.github.io/Logging_2180/tillsynsmail/A 23003-2026 tillsynsbegäran mail.docx", "A 23003-2026")</f>
        <v/>
      </c>
      <c r="AE125">
        <f>HYPERLINK("https://klasma.github.io/Logging_2180/fåglar/A 23003-2026 prioriterade fågelarter.docx", "A 23003-2026")</f>
        <v/>
      </c>
    </row>
    <row r="126" ht="15" customHeight="1">
      <c r="A126" t="inlineStr">
        <is>
          <t>A 34890-2026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46259</v>
      </c>
      <c r="E126" s="1" t="n">
        <v>46280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18.3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4</v>
      </c>
      <c r="U126" t="n">
        <v>0</v>
      </c>
      <c r="V126" s="2" t="inlineStr">
        <is>
          <t>Spillkråka</t>
        </is>
      </c>
      <c r="W126">
        <f>HYPERLINK("https://klasma.github.io/Logging_2180/artfynd/A 34890-2026 artfynd.xlsx", "A 34890-2026")</f>
        <v/>
      </c>
      <c r="X126">
        <f>HYPERLINK("https://klasma.github.io/Logging_2180/kartor/A 34890-2026 karta.png", "A 34890-2026")</f>
        <v/>
      </c>
      <c r="Y126">
        <f>HYPERLINK("https://klasma.github.io/Logging_2180/kartor_geotiff/A 34890-2026 georefererad karta.tif", "A 34890-2026")</f>
        <v/>
      </c>
      <c r="AA126">
        <f>HYPERLINK("https://klasma.github.io/Logging_2180/klagomål/A 34890-2026 FSC-klagomål.docx", "A 34890-2026")</f>
        <v/>
      </c>
      <c r="AB126">
        <f>HYPERLINK("https://klasma.github.io/Logging_2180/klagomålsmail/A 34890-2026 FSC-klagomål mail.docx", "A 34890-2026")</f>
        <v/>
      </c>
      <c r="AC126">
        <f>HYPERLINK("https://klasma.github.io/Logging_2180/tillsyn/A 34890-2026 tillsynsbegäran.docx", "A 34890-2026")</f>
        <v/>
      </c>
      <c r="AD126">
        <f>HYPERLINK("https://klasma.github.io/Logging_2180/tillsynsmail/A 34890-2026 tillsynsbegäran mail.docx", "A 34890-2026")</f>
        <v/>
      </c>
      <c r="AE126">
        <f>HYPERLINK("https://klasma.github.io/Logging_2180/fåglar/A 34890-2026 prioriterade fågelarter.docx", "A 34890-2026")</f>
        <v/>
      </c>
    </row>
    <row r="127" ht="15" customHeight="1">
      <c r="A127" t="inlineStr">
        <is>
          <t>A 37220-2026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46274</v>
      </c>
      <c r="E127" s="1" t="n">
        <v>46280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HYPERLINK("https://klasma.github.io/Logging_2180/artfynd/A 37220-2026 artfynd.xlsx", "A 37220-2026")</f>
        <v/>
      </c>
      <c r="X127">
        <f>HYPERLINK("https://klasma.github.io/Logging_2180/kartor/A 37220-2026 karta.png", "A 37220-2026")</f>
        <v/>
      </c>
      <c r="Y127">
        <f>HYPERLINK("https://klasma.github.io/Logging_2180/kartor_geotiff/A 37220-2026 georefererad karta.tif", "A 37220-2026")</f>
        <v/>
      </c>
      <c r="AA127">
        <f>HYPERLINK("https://klasma.github.io/Logging_2180/klagomål/A 37220-2026 FSC-klagomål.docx", "A 37220-2026")</f>
        <v/>
      </c>
      <c r="AB127">
        <f>HYPERLINK("https://klasma.github.io/Logging_2180/klagomålsmail/A 37220-2026 FSC-klagomål mail.docx", "A 37220-2026")</f>
        <v/>
      </c>
      <c r="AC127">
        <f>HYPERLINK("https://klasma.github.io/Logging_2180/tillsyn/A 37220-2026 tillsynsbegäran.docx", "A 37220-2026")</f>
        <v/>
      </c>
      <c r="AD127">
        <f>HYPERLINK("https://klasma.github.io/Logging_2180/tillsynsmail/A 37220-2026 tillsynsbegäran mail.docx", "A 37220-2026")</f>
        <v/>
      </c>
    </row>
    <row r="128" ht="15" customHeight="1">
      <c r="A128" t="inlineStr">
        <is>
          <t>A 12381-2023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46280</v>
      </c>
      <c r="F128" t="inlineStr">
        <is>
          <t>GÄVLEBORGS LÄN</t>
        </is>
      </c>
      <c r="G128" t="inlineStr">
        <is>
          <t>GÄVLE</t>
        </is>
      </c>
      <c r="I128" t="n">
        <v>4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Brunlångöra</t>
        </is>
      </c>
      <c r="W128">
        <f>HYPERLINK("https://klasma.github.io/Logging_2180/artfynd/A 12381-2023 artfynd.xlsx", "A 12381-2023")</f>
        <v/>
      </c>
      <c r="X128">
        <f>HYPERLINK("https://klasma.github.io/Logging_2180/kartor/A 12381-2023 karta.png", "A 12381-2023")</f>
        <v/>
      </c>
      <c r="Y128">
        <f>HYPERLINK("https://klasma.github.io/Logging_2180/kartor_geotiff/A 12381-2023 georefererad karta.tif", "A 12381-2023")</f>
        <v/>
      </c>
      <c r="AA128">
        <f>HYPERLINK("https://klasma.github.io/Logging_2180/klagomål/A 12381-2023 FSC-klagomål.docx", "A 12381-2023")</f>
        <v/>
      </c>
      <c r="AB128">
        <f>HYPERLINK("https://klasma.github.io/Logging_2180/klagomålsmail/A 12381-2023 FSC-klagomål mail.docx", "A 12381-2023")</f>
        <v/>
      </c>
      <c r="AC128">
        <f>HYPERLINK("https://klasma.github.io/Logging_2180/tillsyn/A 12381-2023 tillsynsbegäran.docx", "A 12381-2023")</f>
        <v/>
      </c>
      <c r="AD128">
        <f>HYPERLINK("https://klasma.github.io/Logging_2180/tillsynsmail/A 12381-2023 tillsynsbegäran mail.docx", "A 12381-2023")</f>
        <v/>
      </c>
    </row>
    <row r="129" ht="15" customHeight="1">
      <c r="A129" t="inlineStr">
        <is>
          <t>A 21282-2024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46280</v>
      </c>
      <c r="F129" t="inlineStr">
        <is>
          <t>GÄVLEBORGS LÄN</t>
        </is>
      </c>
      <c r="G129" t="inlineStr">
        <is>
          <t>GÄVLE</t>
        </is>
      </c>
      <c r="I129" t="n">
        <v>7.4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1</v>
      </c>
      <c r="V129" s="2" t="inlineStr">
        <is>
          <t>Skogsklocka</t>
        </is>
      </c>
      <c r="W129">
        <f>HYPERLINK("https://klasma.github.io/Logging_2180/artfynd/A 21282-2024 artfynd.xlsx", "A 21282-2024")</f>
        <v/>
      </c>
      <c r="X129">
        <f>HYPERLINK("https://klasma.github.io/Logging_2180/kartor/A 21282-2024 karta.png", "A 21282-2024")</f>
        <v/>
      </c>
      <c r="Y129">
        <f>HYPERLINK("https://klasma.github.io/Logging_2180/kartor_geotiff/A 21282-2024 georefererad karta.tif", "A 21282-2024")</f>
        <v/>
      </c>
      <c r="AA129">
        <f>HYPERLINK("https://klasma.github.io/Logging_2180/klagomål/A 21282-2024 FSC-klagomål.docx", "A 21282-2024")</f>
        <v/>
      </c>
      <c r="AB129">
        <f>HYPERLINK("https://klasma.github.io/Logging_2180/klagomålsmail/A 21282-2024 FSC-klagomål mail.docx", "A 21282-2024")</f>
        <v/>
      </c>
      <c r="AC129">
        <f>HYPERLINK("https://klasma.github.io/Logging_2180/tillsyn/A 21282-2024 tillsynsbegäran.docx", "A 21282-2024")</f>
        <v/>
      </c>
      <c r="AD129">
        <f>HYPERLINK("https://klasma.github.io/Logging_2180/tillsynsmail/A 21282-2024 tillsynsbegäran mail.docx", "A 21282-2024")</f>
        <v/>
      </c>
    </row>
    <row r="130" ht="15" customHeight="1">
      <c r="A130" t="inlineStr">
        <is>
          <t>A 57932-2024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46280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48.7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Tjäder</t>
        </is>
      </c>
      <c r="W130">
        <f>HYPERLINK("https://klasma.github.io/Logging_2180/artfynd/A 57932-2024 artfynd.xlsx", "A 57932-2024")</f>
        <v/>
      </c>
      <c r="X130">
        <f>HYPERLINK("https://klasma.github.io/Logging_2180/kartor/A 57932-2024 karta.png", "A 57932-2024")</f>
        <v/>
      </c>
      <c r="Y130">
        <f>HYPERLINK("https://klasma.github.io/Logging_2180/kartor_geotiff/A 57932-2024 georefererad karta.tif", "A 57932-2024")</f>
        <v/>
      </c>
      <c r="AA130">
        <f>HYPERLINK("https://klasma.github.io/Logging_2180/klagomål/A 57932-2024 FSC-klagomål.docx", "A 57932-2024")</f>
        <v/>
      </c>
      <c r="AB130">
        <f>HYPERLINK("https://klasma.github.io/Logging_2180/klagomålsmail/A 57932-2024 FSC-klagomål mail.docx", "A 57932-2024")</f>
        <v/>
      </c>
      <c r="AC130">
        <f>HYPERLINK("https://klasma.github.io/Logging_2180/tillsyn/A 57932-2024 tillsynsbegäran.docx", "A 57932-2024")</f>
        <v/>
      </c>
      <c r="AD130">
        <f>HYPERLINK("https://klasma.github.io/Logging_2180/tillsynsmail/A 57932-2024 tillsynsbegäran mail.docx", "A 57932-2024")</f>
        <v/>
      </c>
      <c r="AE130">
        <f>HYPERLINK("https://klasma.github.io/Logging_2180/fåglar/A 57932-2024 prioriterade fågelarter.docx", "A 57932-2024")</f>
        <v/>
      </c>
    </row>
    <row r="131" ht="15" customHeight="1">
      <c r="A131" t="inlineStr">
        <is>
          <t>A 11407-2025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46280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Myskmadra</t>
        </is>
      </c>
      <c r="W131">
        <f>HYPERLINK("https://klasma.github.io/Logging_2180/artfynd/A 11407-2025 artfynd.xlsx", "A 11407-2025")</f>
        <v/>
      </c>
      <c r="X131">
        <f>HYPERLINK("https://klasma.github.io/Logging_2180/kartor/A 11407-2025 karta.png", "A 11407-2025")</f>
        <v/>
      </c>
      <c r="Y131">
        <f>HYPERLINK("https://klasma.github.io/Logging_2180/kartor_geotiff/A 11407-2025 georefererad karta.tif", "A 11407-2025")</f>
        <v/>
      </c>
      <c r="AA131">
        <f>HYPERLINK("https://klasma.github.io/Logging_2180/klagomål/A 11407-2025 FSC-klagomål.docx", "A 11407-2025")</f>
        <v/>
      </c>
      <c r="AB131">
        <f>HYPERLINK("https://klasma.github.io/Logging_2180/klagomålsmail/A 11407-2025 FSC-klagomål mail.docx", "A 11407-2025")</f>
        <v/>
      </c>
      <c r="AC131">
        <f>HYPERLINK("https://klasma.github.io/Logging_2180/tillsyn/A 11407-2025 tillsynsbegäran.docx", "A 11407-2025")</f>
        <v/>
      </c>
      <c r="AD131">
        <f>HYPERLINK("https://klasma.github.io/Logging_2180/tillsynsmail/A 11407-2025 tillsynsbegäran mail.docx", "A 11407-2025")</f>
        <v/>
      </c>
    </row>
    <row r="132" ht="15" customHeight="1">
      <c r="A132" t="inlineStr">
        <is>
          <t>A 18216-2024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46280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Dofttaggsvamp</t>
        </is>
      </c>
      <c r="W132">
        <f>HYPERLINK("https://klasma.github.io/Logging_2180/artfynd/A 18216-2024 artfynd.xlsx", "A 18216-2024")</f>
        <v/>
      </c>
      <c r="X132">
        <f>HYPERLINK("https://klasma.github.io/Logging_2180/kartor/A 18216-2024 karta.png", "A 18216-2024")</f>
        <v/>
      </c>
      <c r="Y132">
        <f>HYPERLINK("https://klasma.github.io/Logging_2180/kartor_geotiff/A 18216-2024 georefererad karta.tif", "A 18216-2024")</f>
        <v/>
      </c>
      <c r="AA132">
        <f>HYPERLINK("https://klasma.github.io/Logging_2180/klagomål/A 18216-2024 FSC-klagomål.docx", "A 18216-2024")</f>
        <v/>
      </c>
      <c r="AB132">
        <f>HYPERLINK("https://klasma.github.io/Logging_2180/klagomålsmail/A 18216-2024 FSC-klagomål mail.docx", "A 18216-2024")</f>
        <v/>
      </c>
      <c r="AC132">
        <f>HYPERLINK("https://klasma.github.io/Logging_2180/tillsyn/A 18216-2024 tillsynsbegäran.docx", "A 18216-2024")</f>
        <v/>
      </c>
      <c r="AD132">
        <f>HYPERLINK("https://klasma.github.io/Logging_2180/tillsynsmail/A 18216-2024 tillsynsbegäran mail.docx", "A 18216-2024")</f>
        <v/>
      </c>
    </row>
    <row r="133" ht="15" customHeight="1">
      <c r="A133" t="inlineStr">
        <is>
          <t>A 37927-2022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44811</v>
      </c>
      <c r="E133" s="1" t="n">
        <v>46280</v>
      </c>
      <c r="F133" t="inlineStr">
        <is>
          <t>GÄVLEBORGS LÄN</t>
        </is>
      </c>
      <c r="G133" t="inlineStr">
        <is>
          <t>GÄVLE</t>
        </is>
      </c>
      <c r="I133" t="n">
        <v>1.6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10</v>
      </c>
      <c r="U133" t="n">
        <v>10</v>
      </c>
      <c r="V133" s="2" t="inlineStr">
        <is>
          <t>Knärot</t>
        </is>
      </c>
      <c r="W133">
        <f>HYPERLINK("https://klasma.github.io/Logging_2180/artfynd/A 37927-2022 artfynd.xlsx", "A 37927-2022")</f>
        <v/>
      </c>
      <c r="X133">
        <f>HYPERLINK("https://klasma.github.io/Logging_2180/kartor/A 37927-2022 karta.png", "A 37927-2022")</f>
        <v/>
      </c>
      <c r="Y133">
        <f>HYPERLINK("https://klasma.github.io/Logging_2180/kartor_geotiff/A 37927-2022 georefererad karta.tif", "A 37927-2022")</f>
        <v/>
      </c>
      <c r="Z133">
        <f>HYPERLINK("https://klasma.github.io/Logging_2180/knärot/A 37927-2022 karta knärot.png", "A 37927-2022")</f>
        <v/>
      </c>
      <c r="AA133">
        <f>HYPERLINK("https://klasma.github.io/Logging_2180/klagomål/A 37927-2022 FSC-klagomål.docx", "A 37927-2022")</f>
        <v/>
      </c>
      <c r="AB133">
        <f>HYPERLINK("https://klasma.github.io/Logging_2180/klagomålsmail/A 37927-2022 FSC-klagomål mail.docx", "A 37927-2022")</f>
        <v/>
      </c>
      <c r="AC133">
        <f>HYPERLINK("https://klasma.github.io/Logging_2180/tillsyn/A 37927-2022 tillsynsbegäran.docx", "A 37927-2022")</f>
        <v/>
      </c>
      <c r="AD133">
        <f>HYPERLINK("https://klasma.github.io/Logging_2180/tillsynsmail/A 37927-2022 tillsynsbegäran mail.docx", "A 37927-2022")</f>
        <v/>
      </c>
    </row>
    <row r="134" ht="15" customHeight="1">
      <c r="A134" t="inlineStr">
        <is>
          <t>A 12083-2025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46280</v>
      </c>
      <c r="F134" t="inlineStr">
        <is>
          <t>GÄVLEBORGS LÄN</t>
        </is>
      </c>
      <c r="G134" t="inlineStr">
        <is>
          <t>GÄVLE</t>
        </is>
      </c>
      <c r="I134" t="n">
        <v>6.3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Grönsiska</t>
        </is>
      </c>
      <c r="W134">
        <f>HYPERLINK("https://klasma.github.io/Logging_2180/artfynd/A 12083-2025 artfynd.xlsx", "A 12083-2025")</f>
        <v/>
      </c>
      <c r="X134">
        <f>HYPERLINK("https://klasma.github.io/Logging_2180/kartor/A 12083-2025 karta.png", "A 12083-2025")</f>
        <v/>
      </c>
      <c r="Y134">
        <f>HYPERLINK("https://klasma.github.io/Logging_2180/kartor_geotiff/A 12083-2025 georefererad karta.tif", "A 12083-2025")</f>
        <v/>
      </c>
      <c r="AA134">
        <f>HYPERLINK("https://klasma.github.io/Logging_2180/klagomål/A 12083-2025 FSC-klagomål.docx", "A 12083-2025")</f>
        <v/>
      </c>
      <c r="AB134">
        <f>HYPERLINK("https://klasma.github.io/Logging_2180/klagomålsmail/A 12083-2025 FSC-klagomål mail.docx", "A 12083-2025")</f>
        <v/>
      </c>
      <c r="AC134">
        <f>HYPERLINK("https://klasma.github.io/Logging_2180/tillsyn/A 12083-2025 tillsynsbegäran.docx", "A 12083-2025")</f>
        <v/>
      </c>
      <c r="AD134">
        <f>HYPERLINK("https://klasma.github.io/Logging_2180/tillsynsmail/A 12083-2025 tillsynsbegäran mail.docx", "A 12083-2025")</f>
        <v/>
      </c>
    </row>
    <row r="135" ht="15" customHeight="1">
      <c r="A135" t="inlineStr">
        <is>
          <t>A 13227-2024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46280</v>
      </c>
      <c r="F135" t="inlineStr">
        <is>
          <t>GÄVLEBORGS LÄN</t>
        </is>
      </c>
      <c r="G135" t="inlineStr">
        <is>
          <t>GÄVLE</t>
        </is>
      </c>
      <c r="H135" t="inlineStr">
        <is>
          <t>Övriga statliga verk och myndigheter</t>
        </is>
      </c>
      <c r="I135" t="n">
        <v>5.9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Större vattensalamander</t>
        </is>
      </c>
      <c r="W135">
        <f>HYPERLINK("https://klasma.github.io/Logging_2180/artfynd/A 13227-2024 artfynd.xlsx", "A 13227-2024")</f>
        <v/>
      </c>
      <c r="X135">
        <f>HYPERLINK("https://klasma.github.io/Logging_2180/kartor/A 13227-2024 karta.png", "A 13227-2024")</f>
        <v/>
      </c>
      <c r="Y135">
        <f>HYPERLINK("https://klasma.github.io/Logging_2180/kartor_geotiff/A 13227-2024 georefererad karta.tif", "A 13227-2024")</f>
        <v/>
      </c>
      <c r="AA135">
        <f>HYPERLINK("https://klasma.github.io/Logging_2180/klagomål/A 13227-2024 FSC-klagomål.docx", "A 13227-2024")</f>
        <v/>
      </c>
      <c r="AB135">
        <f>HYPERLINK("https://klasma.github.io/Logging_2180/klagomålsmail/A 13227-2024 FSC-klagomål mail.docx", "A 13227-2024")</f>
        <v/>
      </c>
      <c r="AC135">
        <f>HYPERLINK("https://klasma.github.io/Logging_2180/tillsyn/A 13227-2024 tillsynsbegäran.docx", "A 13227-2024")</f>
        <v/>
      </c>
      <c r="AD135">
        <f>HYPERLINK("https://klasma.github.io/Logging_2180/tillsynsmail/A 13227-2024 tillsynsbegäran mail.docx", "A 13227-2024")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46280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46280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46280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46280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46280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46280</v>
      </c>
      <c r="F141" t="inlineStr">
        <is>
          <t>GÄVLEBORGS LÄN</t>
        </is>
      </c>
      <c r="G141" t="inlineStr">
        <is>
          <t>GÄVLE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46280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46280</v>
      </c>
      <c r="F143" t="inlineStr">
        <is>
          <t>GÄVLEBORGS LÄN</t>
        </is>
      </c>
      <c r="G143" t="inlineStr">
        <is>
          <t>GÄVLE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46280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46280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46280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46280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46280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46280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46280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46280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46280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46280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46280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46280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46280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46280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44599</v>
      </c>
      <c r="E158" s="1" t="n">
        <v>46280</v>
      </c>
      <c r="F158" t="inlineStr">
        <is>
          <t>GÄVLEBORGS LÄN</t>
        </is>
      </c>
      <c r="G158" t="inlineStr">
        <is>
          <t>GÄVLE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46280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44658</v>
      </c>
      <c r="E160" s="1" t="n">
        <v>46280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46280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44571</v>
      </c>
      <c r="E162" s="1" t="n">
        <v>46280</v>
      </c>
      <c r="F162" t="inlineStr">
        <is>
          <t>GÄVLEBORGS LÄN</t>
        </is>
      </c>
      <c r="G162" t="inlineStr">
        <is>
          <t>GÄVLE</t>
        </is>
      </c>
      <c r="I162" t="n">
        <v>12.2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46280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44589</v>
      </c>
      <c r="E164" s="1" t="n">
        <v>46280</v>
      </c>
      <c r="F164" t="inlineStr">
        <is>
          <t>GÄVLEBORGS LÄN</t>
        </is>
      </c>
      <c r="G164" t="inlineStr">
        <is>
          <t>GÄVLE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46280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46280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33178-2022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44785</v>
      </c>
      <c r="E167" s="1" t="n">
        <v>46280</v>
      </c>
      <c r="F167" t="inlineStr">
        <is>
          <t>GÄVLEBORGS LÄN</t>
        </is>
      </c>
      <c r="G167" t="inlineStr">
        <is>
          <t>GÄVLE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46280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46280</v>
      </c>
      <c r="F169" t="inlineStr">
        <is>
          <t>GÄVLEBORGS LÄN</t>
        </is>
      </c>
      <c r="G169" t="inlineStr">
        <is>
          <t>GÄVLE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46280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46280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46280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46280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46280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46280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46280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46280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46280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46280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46280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45014</v>
      </c>
      <c r="E181" s="1" t="n">
        <v>46280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46280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46280</v>
      </c>
      <c r="F183" t="inlineStr">
        <is>
          <t>GÄVLEBORGS LÄN</t>
        </is>
      </c>
      <c r="G183" t="inlineStr">
        <is>
          <t>GÄVLE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46280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46280</v>
      </c>
      <c r="F185" t="inlineStr">
        <is>
          <t>GÄVLEBORGS LÄN</t>
        </is>
      </c>
      <c r="G185" t="inlineStr">
        <is>
          <t>GÄVLE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46280</v>
      </c>
      <c r="F186" t="inlineStr">
        <is>
          <t>GÄVLEBORGS LÄN</t>
        </is>
      </c>
      <c r="G186" t="inlineStr">
        <is>
          <t>GÄVLE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46280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44656</v>
      </c>
      <c r="E188" s="1" t="n">
        <v>46280</v>
      </c>
      <c r="F188" t="inlineStr">
        <is>
          <t>GÄVLEBORGS LÄN</t>
        </is>
      </c>
      <c r="G188" t="inlineStr">
        <is>
          <t>GÄVLE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46280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46280</v>
      </c>
      <c r="F190" t="inlineStr">
        <is>
          <t>GÄVLEBORGS LÄN</t>
        </is>
      </c>
      <c r="G190" t="inlineStr">
        <is>
          <t>GÄVLE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46280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46280</v>
      </c>
      <c r="F192" t="inlineStr">
        <is>
          <t>GÄVLEBORGS LÄN</t>
        </is>
      </c>
      <c r="G192" t="inlineStr">
        <is>
          <t>GÄVLE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45706</v>
      </c>
      <c r="E193" s="1" t="n">
        <v>46280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46280</v>
      </c>
      <c r="F194" t="inlineStr">
        <is>
          <t>GÄVLEBORGS LÄN</t>
        </is>
      </c>
      <c r="G194" t="inlineStr">
        <is>
          <t>GÄVLE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46280</v>
      </c>
      <c r="F195" t="inlineStr">
        <is>
          <t>GÄVLEBORGS LÄN</t>
        </is>
      </c>
      <c r="G195" t="inlineStr">
        <is>
          <t>GÄVLE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46280</v>
      </c>
      <c r="F196" t="inlineStr">
        <is>
          <t>GÄVLEBORGS LÄN</t>
        </is>
      </c>
      <c r="G196" t="inlineStr">
        <is>
          <t>GÄVLE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46280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46280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46280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46280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46280</v>
      </c>
      <c r="F201" t="inlineStr">
        <is>
          <t>GÄVLEBORGS LÄN</t>
        </is>
      </c>
      <c r="G201" t="inlineStr">
        <is>
          <t>GÄVLE</t>
        </is>
      </c>
      <c r="I201" t="n">
        <v>20.8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46280</v>
      </c>
      <c r="F202" t="inlineStr">
        <is>
          <t>GÄVLEBORGS LÄN</t>
        </is>
      </c>
      <c r="G202" t="inlineStr">
        <is>
          <t>GÄVLE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46280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45660</v>
      </c>
      <c r="E204" s="1" t="n">
        <v>46280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46280</v>
      </c>
      <c r="F205" t="inlineStr">
        <is>
          <t>GÄVLEBORGS LÄN</t>
        </is>
      </c>
      <c r="G205" t="inlineStr">
        <is>
          <t>GÄVLE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45623</v>
      </c>
      <c r="E206" s="1" t="n">
        <v>46280</v>
      </c>
      <c r="F206" t="inlineStr">
        <is>
          <t>GÄVLEBORGS LÄN</t>
        </is>
      </c>
      <c r="G206" t="inlineStr">
        <is>
          <t>GÄVLE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44942</v>
      </c>
      <c r="E207" s="1" t="n">
        <v>46280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46280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46280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46280</v>
      </c>
      <c r="F210" t="inlineStr">
        <is>
          <t>GÄVLEBORGS LÄN</t>
        </is>
      </c>
      <c r="G210" t="inlineStr">
        <is>
          <t>GÄVLE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45632</v>
      </c>
      <c r="E211" s="1" t="n">
        <v>46280</v>
      </c>
      <c r="F211" t="inlineStr">
        <is>
          <t>GÄVLEBORGS LÄN</t>
        </is>
      </c>
      <c r="G211" t="inlineStr">
        <is>
          <t>GÄVLE</t>
        </is>
      </c>
      <c r="I211" t="n">
        <v>13.1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45505</v>
      </c>
      <c r="E212" s="1" t="n">
        <v>46280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46280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46280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26564-2022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44739</v>
      </c>
      <c r="E215" s="1" t="n">
        <v>46280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46280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19095-2022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44691</v>
      </c>
      <c r="E217" s="1" t="n">
        <v>46280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46280</v>
      </c>
      <c r="F218" t="inlineStr">
        <is>
          <t>GÄVLEBORGS LÄN</t>
        </is>
      </c>
      <c r="G218" t="inlineStr">
        <is>
          <t>GÄVLE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46019</v>
      </c>
      <c r="E219" s="1" t="n">
        <v>46280</v>
      </c>
      <c r="F219" t="inlineStr">
        <is>
          <t>GÄVLEBORGS LÄN</t>
        </is>
      </c>
      <c r="G219" t="inlineStr">
        <is>
          <t>GÄVLE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46280</v>
      </c>
      <c r="F220" t="inlineStr">
        <is>
          <t>GÄVLEBORGS LÄN</t>
        </is>
      </c>
      <c r="G220" t="inlineStr">
        <is>
          <t>GÄVLE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46280</v>
      </c>
      <c r="F221" t="inlineStr">
        <is>
          <t>GÄVLEBORGS LÄN</t>
        </is>
      </c>
      <c r="G221" t="inlineStr">
        <is>
          <t>GÄVLE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46280</v>
      </c>
      <c r="F222" t="inlineStr">
        <is>
          <t>GÄVLEBORGS LÄN</t>
        </is>
      </c>
      <c r="G222" t="inlineStr">
        <is>
          <t>GÄVLE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46019</v>
      </c>
      <c r="E223" s="1" t="n">
        <v>46280</v>
      </c>
      <c r="F223" t="inlineStr">
        <is>
          <t>GÄVLEBORGS LÄN</t>
        </is>
      </c>
      <c r="G223" t="inlineStr">
        <is>
          <t>GÄVLE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46280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46280</v>
      </c>
      <c r="F225" t="inlineStr">
        <is>
          <t>GÄVLEBORGS LÄN</t>
        </is>
      </c>
      <c r="G225" t="inlineStr">
        <is>
          <t>GÄVLE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46280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46280</v>
      </c>
      <c r="F227" t="inlineStr">
        <is>
          <t>GÄVLEBORGS LÄN</t>
        </is>
      </c>
      <c r="G227" t="inlineStr">
        <is>
          <t>GÄVLE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46280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46280</v>
      </c>
      <c r="F229" t="inlineStr">
        <is>
          <t>GÄVLEBORGS LÄN</t>
        </is>
      </c>
      <c r="G229" t="inlineStr">
        <is>
          <t>GÄVLE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46280</v>
      </c>
      <c r="F230" t="inlineStr">
        <is>
          <t>GÄVLEBORGS LÄN</t>
        </is>
      </c>
      <c r="G230" t="inlineStr">
        <is>
          <t>GÄVLE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46280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46280</v>
      </c>
      <c r="F232" t="inlineStr">
        <is>
          <t>GÄVLEBORGS LÄN</t>
        </is>
      </c>
      <c r="G232" t="inlineStr">
        <is>
          <t>GÄVLE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45184</v>
      </c>
      <c r="E233" s="1" t="n">
        <v>46280</v>
      </c>
      <c r="F233" t="inlineStr">
        <is>
          <t>GÄVLEBORGS LÄN</t>
        </is>
      </c>
      <c r="G233" t="inlineStr">
        <is>
          <t>GÄVLE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46280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46280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46280</v>
      </c>
      <c r="F236" t="inlineStr">
        <is>
          <t>GÄVLEBORGS LÄN</t>
        </is>
      </c>
      <c r="G236" t="inlineStr">
        <is>
          <t>GÄVLE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46280</v>
      </c>
      <c r="F237" t="inlineStr">
        <is>
          <t>GÄVLEBORGS LÄN</t>
        </is>
      </c>
      <c r="G237" t="inlineStr">
        <is>
          <t>GÄVLE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46280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44756</v>
      </c>
      <c r="E239" s="1" t="n">
        <v>46280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44756</v>
      </c>
      <c r="E240" s="1" t="n">
        <v>46280</v>
      </c>
      <c r="F240" t="inlineStr">
        <is>
          <t>GÄVLEBORGS LÄN</t>
        </is>
      </c>
      <c r="G240" t="inlineStr">
        <is>
          <t>GÄVLE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46280</v>
      </c>
      <c r="F241" t="inlineStr">
        <is>
          <t>GÄVLEBORGS LÄN</t>
        </is>
      </c>
      <c r="G241" t="inlineStr">
        <is>
          <t>GÄVLE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46280</v>
      </c>
      <c r="F242" t="inlineStr">
        <is>
          <t>GÄVLEBORGS LÄN</t>
        </is>
      </c>
      <c r="G242" t="inlineStr">
        <is>
          <t>GÄVLE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46280</v>
      </c>
      <c r="F243" t="inlineStr">
        <is>
          <t>GÄVLEBORGS LÄN</t>
        </is>
      </c>
      <c r="G243" t="inlineStr">
        <is>
          <t>GÄVLE</t>
        </is>
      </c>
      <c r="H243" t="inlineStr">
        <is>
          <t>Kyrkan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40297-2025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45895</v>
      </c>
      <c r="E244" s="1" t="n">
        <v>46280</v>
      </c>
      <c r="F244" t="inlineStr">
        <is>
          <t>GÄVLEBORGS LÄN</t>
        </is>
      </c>
      <c r="G244" t="inlineStr">
        <is>
          <t>GÄVLE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46280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46280</v>
      </c>
      <c r="F246" t="inlineStr">
        <is>
          <t>GÄVLEBORGS LÄN</t>
        </is>
      </c>
      <c r="G246" t="inlineStr">
        <is>
          <t>GÄVLE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46280</v>
      </c>
      <c r="F247" t="inlineStr">
        <is>
          <t>GÄVLEBORGS LÄN</t>
        </is>
      </c>
      <c r="G247" t="inlineStr">
        <is>
          <t>GÄVLE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46280</v>
      </c>
      <c r="F248" t="inlineStr">
        <is>
          <t>GÄVLEBORGS LÄN</t>
        </is>
      </c>
      <c r="G248" t="inlineStr">
        <is>
          <t>GÄVLE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46280</v>
      </c>
      <c r="F249" t="inlineStr">
        <is>
          <t>GÄVLEBORGS LÄN</t>
        </is>
      </c>
      <c r="G249" t="inlineStr">
        <is>
          <t>GÄVLE</t>
        </is>
      </c>
      <c r="I249" t="n">
        <v>13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46280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46280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45819</v>
      </c>
      <c r="E252" s="1" t="n">
        <v>46280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46280</v>
      </c>
      <c r="F253" t="inlineStr">
        <is>
          <t>GÄVLEBORGS LÄN</t>
        </is>
      </c>
      <c r="G253" t="inlineStr">
        <is>
          <t>GÄVLE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45125</v>
      </c>
      <c r="E254" s="1" t="n">
        <v>46280</v>
      </c>
      <c r="F254" t="inlineStr">
        <is>
          <t>GÄVLEBORGS LÄN</t>
        </is>
      </c>
      <c r="G254" t="inlineStr">
        <is>
          <t>GÄVLE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46280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46280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46280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46280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46280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46280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46280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71249-2021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44539</v>
      </c>
      <c r="E262" s="1" t="n">
        <v>46280</v>
      </c>
      <c r="F262" t="inlineStr">
        <is>
          <t>GÄVLEBORGS LÄN</t>
        </is>
      </c>
      <c r="G262" t="inlineStr">
        <is>
          <t>GÄVLE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46280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46280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46280</v>
      </c>
      <c r="F265" t="inlineStr">
        <is>
          <t>GÄVLEBORGS LÄN</t>
        </is>
      </c>
      <c r="G265" t="inlineStr">
        <is>
          <t>GÄVLE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46280</v>
      </c>
      <c r="F266" t="inlineStr">
        <is>
          <t>GÄVLEBORGS LÄN</t>
        </is>
      </c>
      <c r="G266" t="inlineStr">
        <is>
          <t>GÄVLE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30202-2025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45827</v>
      </c>
      <c r="E267" s="1" t="n">
        <v>46280</v>
      </c>
      <c r="F267" t="inlineStr">
        <is>
          <t>GÄVLEBORGS LÄN</t>
        </is>
      </c>
      <c r="G267" t="inlineStr">
        <is>
          <t>GÄVLE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45902</v>
      </c>
      <c r="E268" s="1" t="n">
        <v>46280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46280</v>
      </c>
      <c r="F269" t="inlineStr">
        <is>
          <t>GÄVLEBORGS LÄN</t>
        </is>
      </c>
      <c r="G269" t="inlineStr">
        <is>
          <t>GÄVLE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46280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30300-2025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46280</v>
      </c>
      <c r="F271" t="inlineStr">
        <is>
          <t>GÄVLEBORGS LÄN</t>
        </is>
      </c>
      <c r="G271" t="inlineStr">
        <is>
          <t>GÄVLE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46280</v>
      </c>
      <c r="F272" t="inlineStr">
        <is>
          <t>GÄVLEBORGS LÄN</t>
        </is>
      </c>
      <c r="G272" t="inlineStr">
        <is>
          <t>GÄVLE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46280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46280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46280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46280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46280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30915-2025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46280</v>
      </c>
      <c r="F278" t="inlineStr">
        <is>
          <t>GÄVLEBORGS LÄN</t>
        </is>
      </c>
      <c r="G278" t="inlineStr">
        <is>
          <t>GÄVLE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46280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46280</v>
      </c>
      <c r="F280" t="inlineStr">
        <is>
          <t>GÄVLEBORGS LÄN</t>
        </is>
      </c>
      <c r="G280" t="inlineStr">
        <is>
          <t>GÄVLE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50871-2022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44867</v>
      </c>
      <c r="E281" s="1" t="n">
        <v>46280</v>
      </c>
      <c r="F281" t="inlineStr">
        <is>
          <t>GÄVLEBORGS LÄN</t>
        </is>
      </c>
      <c r="G281" t="inlineStr">
        <is>
          <t>GÄVLE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19424-2022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44693</v>
      </c>
      <c r="E282" s="1" t="n">
        <v>46280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46280</v>
      </c>
      <c r="F283" t="inlineStr">
        <is>
          <t>GÄVLEBORGS LÄN</t>
        </is>
      </c>
      <c r="G283" t="inlineStr">
        <is>
          <t>GÄVLE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46280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46280</v>
      </c>
      <c r="F285" t="inlineStr">
        <is>
          <t>GÄVLEBORGS LÄN</t>
        </is>
      </c>
      <c r="G285" t="inlineStr">
        <is>
          <t>GÄVLE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46280</v>
      </c>
      <c r="F286" t="inlineStr">
        <is>
          <t>GÄVLEBORGS LÄN</t>
        </is>
      </c>
      <c r="G286" t="inlineStr">
        <is>
          <t>GÄVLE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46280</v>
      </c>
      <c r="F287" t="inlineStr">
        <is>
          <t>GÄVLEBORGS LÄN</t>
        </is>
      </c>
      <c r="G287" t="inlineStr">
        <is>
          <t>GÄVLE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46280</v>
      </c>
      <c r="F288" t="inlineStr">
        <is>
          <t>GÄVLEBORGS LÄN</t>
        </is>
      </c>
      <c r="G288" t="inlineStr">
        <is>
          <t>GÄVLE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10001-2025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46280</v>
      </c>
      <c r="F289" t="inlineStr">
        <is>
          <t>GÄVLEBORGS LÄN</t>
        </is>
      </c>
      <c r="G289" t="inlineStr">
        <is>
          <t>GÄVLE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46280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46280</v>
      </c>
      <c r="F291" t="inlineStr">
        <is>
          <t>GÄVLEBORGS LÄN</t>
        </is>
      </c>
      <c r="G291" t="inlineStr">
        <is>
          <t>GÄVLE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46280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46280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46280</v>
      </c>
      <c r="F294" t="inlineStr">
        <is>
          <t>GÄVLEBORGS LÄN</t>
        </is>
      </c>
      <c r="G294" t="inlineStr">
        <is>
          <t>GÄVLE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45540</v>
      </c>
      <c r="E295" s="1" t="n">
        <v>46280</v>
      </c>
      <c r="F295" t="inlineStr">
        <is>
          <t>GÄVLEBORGS LÄN</t>
        </is>
      </c>
      <c r="G295" t="inlineStr">
        <is>
          <t>GÄVLE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45850-2025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45923</v>
      </c>
      <c r="E296" s="1" t="n">
        <v>46280</v>
      </c>
      <c r="F296" t="inlineStr">
        <is>
          <t>GÄVLEBORGS LÄN</t>
        </is>
      </c>
      <c r="G296" t="inlineStr">
        <is>
          <t>GÄVLE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46280</v>
      </c>
      <c r="F297" t="inlineStr">
        <is>
          <t>GÄVLEBORGS LÄN</t>
        </is>
      </c>
      <c r="G297" t="inlineStr">
        <is>
          <t>GÄVLE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44733</v>
      </c>
      <c r="E298" s="1" t="n">
        <v>46280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46280</v>
      </c>
      <c r="F299" t="inlineStr">
        <is>
          <t>GÄVLEBORGS LÄN</t>
        </is>
      </c>
      <c r="G299" t="inlineStr">
        <is>
          <t>GÄVLE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46280</v>
      </c>
      <c r="F300" t="inlineStr">
        <is>
          <t>GÄVLEBORGS LÄN</t>
        </is>
      </c>
      <c r="G300" t="inlineStr">
        <is>
          <t>GÄVLE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46280</v>
      </c>
      <c r="F301" t="inlineStr">
        <is>
          <t>GÄVLEBORGS LÄN</t>
        </is>
      </c>
      <c r="G301" t="inlineStr">
        <is>
          <t>GÄVLE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46280</v>
      </c>
      <c r="F302" t="inlineStr">
        <is>
          <t>GÄVLEBORGS LÄN</t>
        </is>
      </c>
      <c r="G302" t="inlineStr">
        <is>
          <t>GÄVLE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46280</v>
      </c>
      <c r="F303" t="inlineStr">
        <is>
          <t>GÄVLEBORGS LÄN</t>
        </is>
      </c>
      <c r="G303" t="inlineStr">
        <is>
          <t>GÄVLE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46280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45652</v>
      </c>
      <c r="E305" s="1" t="n">
        <v>46280</v>
      </c>
      <c r="F305" t="inlineStr">
        <is>
          <t>GÄVLEBORGS LÄN</t>
        </is>
      </c>
      <c r="G305" t="inlineStr">
        <is>
          <t>GÄVLE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45475</v>
      </c>
      <c r="E306" s="1" t="n">
        <v>46280</v>
      </c>
      <c r="F306" t="inlineStr">
        <is>
          <t>GÄVLEBORGS LÄN</t>
        </is>
      </c>
      <c r="G306" t="inlineStr">
        <is>
          <t>GÄVLE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46280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46280</v>
      </c>
      <c r="F308" t="inlineStr">
        <is>
          <t>GÄVLEBORGS LÄN</t>
        </is>
      </c>
      <c r="G308" t="inlineStr">
        <is>
          <t>GÄVLE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46280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46280</v>
      </c>
      <c r="F310" t="inlineStr">
        <is>
          <t>GÄVLEBORGS LÄN</t>
        </is>
      </c>
      <c r="G310" t="inlineStr">
        <is>
          <t>GÄVLE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45845</v>
      </c>
      <c r="E311" s="1" t="n">
        <v>46280</v>
      </c>
      <c r="F311" t="inlineStr">
        <is>
          <t>GÄVLEBORGS LÄN</t>
        </is>
      </c>
      <c r="G311" t="inlineStr">
        <is>
          <t>GÄVLE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46280</v>
      </c>
      <c r="F312" t="inlineStr">
        <is>
          <t>GÄVLEBORGS LÄN</t>
        </is>
      </c>
      <c r="G312" t="inlineStr">
        <is>
          <t>GÄVLE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46280</v>
      </c>
      <c r="F313" t="inlineStr">
        <is>
          <t>GÄVLEBORGS LÄN</t>
        </is>
      </c>
      <c r="G313" t="inlineStr">
        <is>
          <t>GÄVLE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46280</v>
      </c>
      <c r="F314" t="inlineStr">
        <is>
          <t>GÄVLEBORGS LÄN</t>
        </is>
      </c>
      <c r="G314" t="inlineStr">
        <is>
          <t>GÄVLE</t>
        </is>
      </c>
      <c r="H314" t="inlineStr">
        <is>
          <t>Övriga statliga verk och myndigheter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46280</v>
      </c>
      <c r="F315" t="inlineStr">
        <is>
          <t>GÄVLEBORGS LÄN</t>
        </is>
      </c>
      <c r="G315" t="inlineStr">
        <is>
          <t>GÄVLE</t>
        </is>
      </c>
      <c r="H315" t="inlineStr">
        <is>
          <t>Kyrkan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46280</v>
      </c>
      <c r="F316" t="inlineStr">
        <is>
          <t>GÄVLEBORGS LÄN</t>
        </is>
      </c>
      <c r="G316" t="inlineStr">
        <is>
          <t>GÄVLE</t>
        </is>
      </c>
      <c r="H316" t="inlineStr">
        <is>
          <t>Kyrkan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46280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46280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46280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46280</v>
      </c>
      <c r="F320" t="inlineStr">
        <is>
          <t>GÄVLEBORGS LÄN</t>
        </is>
      </c>
      <c r="G320" t="inlineStr">
        <is>
          <t>GÄVLE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46280</v>
      </c>
      <c r="F321" t="inlineStr">
        <is>
          <t>GÄVLEBORGS LÄN</t>
        </is>
      </c>
      <c r="G321" t="inlineStr">
        <is>
          <t>GÄVLE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45030</v>
      </c>
      <c r="E322" s="1" t="n">
        <v>46280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46280</v>
      </c>
      <c r="F323" t="inlineStr">
        <is>
          <t>GÄVLEBORGS LÄN</t>
        </is>
      </c>
      <c r="G323" t="inlineStr">
        <is>
          <t>GÄVLE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46280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46280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46280</v>
      </c>
      <c r="F326" t="inlineStr">
        <is>
          <t>GÄVLEBORGS LÄN</t>
        </is>
      </c>
      <c r="G326" t="inlineStr">
        <is>
          <t>GÄVLE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46280</v>
      </c>
      <c r="F327" t="inlineStr">
        <is>
          <t>GÄVLEBORGS LÄN</t>
        </is>
      </c>
      <c r="G327" t="inlineStr">
        <is>
          <t>GÄVLE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45848</v>
      </c>
      <c r="E328" s="1" t="n">
        <v>46280</v>
      </c>
      <c r="F328" t="inlineStr">
        <is>
          <t>GÄVLEBORGS LÄN</t>
        </is>
      </c>
      <c r="G328" t="inlineStr">
        <is>
          <t>GÄVLE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45540</v>
      </c>
      <c r="E329" s="1" t="n">
        <v>46280</v>
      </c>
      <c r="F329" t="inlineStr">
        <is>
          <t>GÄVLEBORGS LÄN</t>
        </is>
      </c>
      <c r="G329" t="inlineStr">
        <is>
          <t>GÄVLE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46280</v>
      </c>
      <c r="F330" t="inlineStr">
        <is>
          <t>GÄVLEBORGS LÄN</t>
        </is>
      </c>
      <c r="G330" t="inlineStr">
        <is>
          <t>GÄVLE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46280</v>
      </c>
      <c r="F331" t="inlineStr">
        <is>
          <t>GÄVLEBORGS LÄN</t>
        </is>
      </c>
      <c r="G331" t="inlineStr">
        <is>
          <t>GÄVLE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46280</v>
      </c>
      <c r="F332" t="inlineStr">
        <is>
          <t>GÄVLEBORGS LÄN</t>
        </is>
      </c>
      <c r="G332" t="inlineStr">
        <is>
          <t>GÄVLE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46280</v>
      </c>
      <c r="F333" t="inlineStr">
        <is>
          <t>GÄVLEBORGS LÄN</t>
        </is>
      </c>
      <c r="G333" t="inlineStr">
        <is>
          <t>GÄVLE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46280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45854</v>
      </c>
      <c r="E335" s="1" t="n">
        <v>46280</v>
      </c>
      <c r="F335" t="inlineStr">
        <is>
          <t>GÄVLEBORGS LÄN</t>
        </is>
      </c>
      <c r="G335" t="inlineStr">
        <is>
          <t>GÄVLE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45859</v>
      </c>
      <c r="E336" s="1" t="n">
        <v>46280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45726</v>
      </c>
      <c r="E337" s="1" t="n">
        <v>46280</v>
      </c>
      <c r="F337" t="inlineStr">
        <is>
          <t>GÄVLEBORGS LÄN</t>
        </is>
      </c>
      <c r="G337" t="inlineStr">
        <is>
          <t>GÄVLE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45933</v>
      </c>
      <c r="E338" s="1" t="n">
        <v>46280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44589</v>
      </c>
      <c r="E339" s="1" t="n">
        <v>46280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45862</v>
      </c>
      <c r="E340" s="1" t="n">
        <v>46280</v>
      </c>
      <c r="F340" t="inlineStr">
        <is>
          <t>GÄVLEBORGS LÄN</t>
        </is>
      </c>
      <c r="G340" t="inlineStr">
        <is>
          <t>GÄVLE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45862</v>
      </c>
      <c r="E341" s="1" t="n">
        <v>46280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46280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35919-2025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45862</v>
      </c>
      <c r="E343" s="1" t="n">
        <v>46280</v>
      </c>
      <c r="F343" t="inlineStr">
        <is>
          <t>GÄVLEBORGS LÄN</t>
        </is>
      </c>
      <c r="G343" t="inlineStr">
        <is>
          <t>GÄVLE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46280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48251-2025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46280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46280</v>
      </c>
      <c r="F346" t="inlineStr">
        <is>
          <t>GÄVLEBORGS LÄN</t>
        </is>
      </c>
      <c r="G346" t="inlineStr">
        <is>
          <t>GÄVLE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46280</v>
      </c>
      <c r="F347" t="inlineStr">
        <is>
          <t>GÄVLEBORGS LÄN</t>
        </is>
      </c>
      <c r="G347" t="inlineStr">
        <is>
          <t>GÄVLE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46280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45866</v>
      </c>
      <c r="E349" s="1" t="n">
        <v>46280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46280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36255-2025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45867</v>
      </c>
      <c r="E351" s="1" t="n">
        <v>46280</v>
      </c>
      <c r="F351" t="inlineStr">
        <is>
          <t>GÄVLEBORGS LÄN</t>
        </is>
      </c>
      <c r="G351" t="inlineStr">
        <is>
          <t>GÄVLE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46280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46280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9779-2026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46280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46280</v>
      </c>
      <c r="F355" t="inlineStr">
        <is>
          <t>GÄVLEBORGS LÄN</t>
        </is>
      </c>
      <c r="G355" t="inlineStr">
        <is>
          <t>GÄVLE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46280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45869</v>
      </c>
      <c r="E357" s="1" t="n">
        <v>46280</v>
      </c>
      <c r="F357" t="inlineStr">
        <is>
          <t>GÄVLEBORGS LÄN</t>
        </is>
      </c>
      <c r="G357" t="inlineStr">
        <is>
          <t>GÄVLE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46280</v>
      </c>
      <c r="F358" t="inlineStr">
        <is>
          <t>GÄVLEBORGS LÄN</t>
        </is>
      </c>
      <c r="G358" t="inlineStr">
        <is>
          <t>GÄVLE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26129-2024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45468</v>
      </c>
      <c r="E359" s="1" t="n">
        <v>46280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9.9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46280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46280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46280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46280</v>
      </c>
      <c r="F363" t="inlineStr">
        <is>
          <t>GÄVLEBORGS LÄN</t>
        </is>
      </c>
      <c r="G363" t="inlineStr">
        <is>
          <t>GÄVLE</t>
        </is>
      </c>
      <c r="H363" t="inlineStr">
        <is>
          <t>Kyrkan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45916</v>
      </c>
      <c r="E364" s="1" t="n">
        <v>46280</v>
      </c>
      <c r="F364" t="inlineStr">
        <is>
          <t>GÄVLEBORGS LÄN</t>
        </is>
      </c>
      <c r="G364" t="inlineStr">
        <is>
          <t>GÄVLE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45873</v>
      </c>
      <c r="E365" s="1" t="n">
        <v>46280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46280</v>
      </c>
      <c r="F366" t="inlineStr">
        <is>
          <t>GÄVLEBORGS LÄN</t>
        </is>
      </c>
      <c r="G366" t="inlineStr">
        <is>
          <t>GÄVLE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46280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46280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46280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49842-2025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45940</v>
      </c>
      <c r="E370" s="1" t="n">
        <v>46280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46077</v>
      </c>
      <c r="E371" s="1" t="n">
        <v>46280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46280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45324</v>
      </c>
      <c r="E373" s="1" t="n">
        <v>46280</v>
      </c>
      <c r="F373" t="inlineStr">
        <is>
          <t>GÄVLEBORGS LÄN</t>
        </is>
      </c>
      <c r="G373" t="inlineStr">
        <is>
          <t>GÄVLE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46280</v>
      </c>
      <c r="F374" t="inlineStr">
        <is>
          <t>GÄVLEBORGS LÄN</t>
        </is>
      </c>
      <c r="G374" t="inlineStr">
        <is>
          <t>GÄVLE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46280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45944</v>
      </c>
      <c r="E376" s="1" t="n">
        <v>46280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46280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46280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45817</v>
      </c>
      <c r="E379" s="1" t="n">
        <v>46280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45261</v>
      </c>
      <c r="E380" s="1" t="n">
        <v>46280</v>
      </c>
      <c r="F380" t="inlineStr">
        <is>
          <t>GÄVLEBORGS LÄN</t>
        </is>
      </c>
      <c r="G380" t="inlineStr">
        <is>
          <t>GÄVLE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46280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46280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46280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45884</v>
      </c>
      <c r="E384" s="1" t="n">
        <v>46280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46280</v>
      </c>
      <c r="F385" t="inlineStr">
        <is>
          <t>GÄVLEBORGS LÄN</t>
        </is>
      </c>
      <c r="G385" t="inlineStr">
        <is>
          <t>GÄVLE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45034</v>
      </c>
      <c r="E386" s="1" t="n">
        <v>46280</v>
      </c>
      <c r="F386" t="inlineStr">
        <is>
          <t>GÄVLEBORGS LÄN</t>
        </is>
      </c>
      <c r="G386" t="inlineStr">
        <is>
          <t>GÄVLE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46280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46280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45420</v>
      </c>
      <c r="E389" s="1" t="n">
        <v>46280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48247-2025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45933</v>
      </c>
      <c r="E390" s="1" t="n">
        <v>46280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46280</v>
      </c>
      <c r="F391" t="inlineStr">
        <is>
          <t>GÄVLEBORGS LÄN</t>
        </is>
      </c>
      <c r="G391" t="inlineStr">
        <is>
          <t>GÄVLE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46280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46280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46280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46280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46280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46280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46280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46280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46280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46280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10352-2025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45720</v>
      </c>
      <c r="E402" s="1" t="n">
        <v>46280</v>
      </c>
      <c r="F402" t="inlineStr">
        <is>
          <t>GÄVLEBORGS LÄN</t>
        </is>
      </c>
      <c r="G402" t="inlineStr">
        <is>
          <t>GÄVLE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46280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46280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46280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46280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46095</v>
      </c>
      <c r="E408" s="1" t="n">
        <v>46280</v>
      </c>
      <c r="F408" t="inlineStr">
        <is>
          <t>GÄVLEBORGS LÄN</t>
        </is>
      </c>
      <c r="G408" t="inlineStr">
        <is>
          <t>GÄVLE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46280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46280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46100</v>
      </c>
      <c r="E411" s="1" t="n">
        <v>46280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45952</v>
      </c>
      <c r="E412" s="1" t="n">
        <v>46280</v>
      </c>
      <c r="F412" t="inlineStr">
        <is>
          <t>GÄVLEBORGS LÄN</t>
        </is>
      </c>
      <c r="G412" t="inlineStr">
        <is>
          <t>GÄVLE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44960</v>
      </c>
      <c r="E413" s="1" t="n">
        <v>46280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46280</v>
      </c>
      <c r="F414" t="inlineStr">
        <is>
          <t>GÄVLEBORGS LÄN</t>
        </is>
      </c>
      <c r="G414" t="inlineStr">
        <is>
          <t>GÄVLE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46280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46280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52970-2025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45957</v>
      </c>
      <c r="E417" s="1" t="n">
        <v>46280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46280</v>
      </c>
      <c r="F418" t="inlineStr">
        <is>
          <t>GÄVLEBORGS LÄN</t>
        </is>
      </c>
      <c r="G418" t="inlineStr">
        <is>
          <t>GÄVLE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46280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52897-2025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45957</v>
      </c>
      <c r="E420" s="1" t="n">
        <v>46280</v>
      </c>
      <c r="F420" t="inlineStr">
        <is>
          <t>GÄVLEBORGS LÄN</t>
        </is>
      </c>
      <c r="G420" t="inlineStr">
        <is>
          <t>GÄVLE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46280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46280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46280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45084</v>
      </c>
      <c r="E424" s="1" t="n">
        <v>46280</v>
      </c>
      <c r="F424" t="inlineStr">
        <is>
          <t>GÄVLEBORGS LÄN</t>
        </is>
      </c>
      <c r="G424" t="inlineStr">
        <is>
          <t>GÄVLE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46280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46280</v>
      </c>
      <c r="F426" t="inlineStr">
        <is>
          <t>GÄVLEBORGS LÄN</t>
        </is>
      </c>
      <c r="G426" t="inlineStr">
        <is>
          <t>GÄVLE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45356</v>
      </c>
      <c r="E427" s="1" t="n">
        <v>46280</v>
      </c>
      <c r="F427" t="inlineStr">
        <is>
          <t>GÄVLEBORGS LÄN</t>
        </is>
      </c>
      <c r="G427" t="inlineStr">
        <is>
          <t>GÄVLE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46280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65879-2021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44517</v>
      </c>
      <c r="E429" s="1" t="n">
        <v>46280</v>
      </c>
      <c r="F429" t="inlineStr">
        <is>
          <t>GÄVLEBORGS LÄN</t>
        </is>
      </c>
      <c r="G429" t="inlineStr">
        <is>
          <t>GÄVLE</t>
        </is>
      </c>
      <c r="H429" t="inlineStr">
        <is>
          <t>Kyrkan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46280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45719</v>
      </c>
      <c r="E431" s="1" t="n">
        <v>46280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46280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46280</v>
      </c>
      <c r="F433" t="inlineStr">
        <is>
          <t>GÄVLEBORGS LÄN</t>
        </is>
      </c>
      <c r="G433" t="inlineStr">
        <is>
          <t>GÄVLE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45719</v>
      </c>
      <c r="E434" s="1" t="n">
        <v>46280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46122</v>
      </c>
      <c r="E435" s="1" t="n">
        <v>46280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45967</v>
      </c>
      <c r="E437" s="1" t="n">
        <v>46280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45967</v>
      </c>
      <c r="E438" s="1" t="n">
        <v>46280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46280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46280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46125</v>
      </c>
      <c r="E441" s="1" t="n">
        <v>46280</v>
      </c>
      <c r="F441" t="inlineStr">
        <is>
          <t>GÄVLEBORGS LÄN</t>
        </is>
      </c>
      <c r="G441" t="inlineStr">
        <is>
          <t>GÄVLE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54959-2025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45967</v>
      </c>
      <c r="E442" s="1" t="n">
        <v>46280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46280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46280</v>
      </c>
      <c r="F444" t="inlineStr">
        <is>
          <t>GÄVLEBORGS LÄN</t>
        </is>
      </c>
      <c r="G444" t="inlineStr">
        <is>
          <t>GÄVLE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46280</v>
      </c>
      <c r="F445" t="inlineStr">
        <is>
          <t>GÄVLEBORGS LÄN</t>
        </is>
      </c>
      <c r="G445" t="inlineStr">
        <is>
          <t>GÄVLE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70043-2021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44533</v>
      </c>
      <c r="E446" s="1" t="n">
        <v>46280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46124</v>
      </c>
      <c r="E447" s="1" t="n">
        <v>46280</v>
      </c>
      <c r="F447" t="inlineStr">
        <is>
          <t>GÄVLEBORGS LÄN</t>
        </is>
      </c>
      <c r="G447" t="inlineStr">
        <is>
          <t>GÄVLE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46124</v>
      </c>
      <c r="E448" s="1" t="n">
        <v>46280</v>
      </c>
      <c r="F448" t="inlineStr">
        <is>
          <t>GÄVLEBORGS LÄN</t>
        </is>
      </c>
      <c r="G448" t="inlineStr">
        <is>
          <t>GÄVLE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46124</v>
      </c>
      <c r="E449" s="1" t="n">
        <v>46280</v>
      </c>
      <c r="F449" t="inlineStr">
        <is>
          <t>GÄVLEBORGS LÄN</t>
        </is>
      </c>
      <c r="G449" t="inlineStr">
        <is>
          <t>GÄVLE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45681</v>
      </c>
      <c r="E450" s="1" t="n">
        <v>46280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46280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46280</v>
      </c>
      <c r="F452" t="inlineStr">
        <is>
          <t>GÄVLEBORGS LÄN</t>
        </is>
      </c>
      <c r="G452" t="inlineStr">
        <is>
          <t>GÄVLE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46280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46280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46280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45968</v>
      </c>
      <c r="E456" s="1" t="n">
        <v>46280</v>
      </c>
      <c r="F456" t="inlineStr">
        <is>
          <t>GÄVLEBORGS LÄN</t>
        </is>
      </c>
      <c r="G456" t="inlineStr">
        <is>
          <t>GÄVLE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46280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45526</v>
      </c>
      <c r="E458" s="1" t="n">
        <v>46280</v>
      </c>
      <c r="F458" t="inlineStr">
        <is>
          <t>GÄVLEBORGS LÄN</t>
        </is>
      </c>
      <c r="G458" t="inlineStr">
        <is>
          <t>GÄVLE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46280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46280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46280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56121-2025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46280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46280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48834-2024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45593</v>
      </c>
      <c r="E464" s="1" t="n">
        <v>46280</v>
      </c>
      <c r="F464" t="inlineStr">
        <is>
          <t>GÄVLEBORGS LÄN</t>
        </is>
      </c>
      <c r="G464" t="inlineStr">
        <is>
          <t>GÄVLE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46280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45468</v>
      </c>
      <c r="E466" s="1" t="n">
        <v>46280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46280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46280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19371-2026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46280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46280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46280</v>
      </c>
      <c r="F471" t="inlineStr">
        <is>
          <t>GÄVLEBORGS LÄN</t>
        </is>
      </c>
      <c r="G471" t="inlineStr">
        <is>
          <t>GÄVLE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46280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46280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12386-2026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46280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46280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46280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46105</v>
      </c>
      <c r="E477" s="1" t="n">
        <v>46280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46280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56122-2025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46280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46280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10.5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46280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45974</v>
      </c>
      <c r="E482" s="1" t="n">
        <v>46280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46280</v>
      </c>
      <c r="F483" t="inlineStr">
        <is>
          <t>GÄVLEBORGS LÄN</t>
        </is>
      </c>
      <c r="G483" t="inlineStr">
        <is>
          <t>GÄVLE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46280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46280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46280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46280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56272-2025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45974</v>
      </c>
      <c r="E488" s="1" t="n">
        <v>46280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45974</v>
      </c>
      <c r="E489" s="1" t="n">
        <v>46280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45974</v>
      </c>
      <c r="E490" s="1" t="n">
        <v>46280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45974</v>
      </c>
      <c r="E491" s="1" t="n">
        <v>46280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56269-2025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45974</v>
      </c>
      <c r="E492" s="1" t="n">
        <v>46280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46280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45974</v>
      </c>
      <c r="E494" s="1" t="n">
        <v>46280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46280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46280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väst AB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45978</v>
      </c>
      <c r="E497" s="1" t="n">
        <v>46280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46280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46280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46280</v>
      </c>
      <c r="F500" t="inlineStr">
        <is>
          <t>GÄVLEBORGS LÄN</t>
        </is>
      </c>
      <c r="G500" t="inlineStr">
        <is>
          <t>GÄVLE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18162-2022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44684</v>
      </c>
      <c r="E501" s="1" t="n">
        <v>46280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46280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45686</v>
      </c>
      <c r="E503" s="1" t="n">
        <v>46280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50537-2025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45945</v>
      </c>
      <c r="E504" s="1" t="n">
        <v>46280</v>
      </c>
      <c r="F504" t="inlineStr">
        <is>
          <t>GÄVLEBORGS LÄN</t>
        </is>
      </c>
      <c r="G504" t="inlineStr">
        <is>
          <t>GÄVLE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46280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26094-2025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45805</v>
      </c>
      <c r="E506" s="1" t="n">
        <v>46280</v>
      </c>
      <c r="F506" t="inlineStr">
        <is>
          <t>GÄVLEBORGS LÄN</t>
        </is>
      </c>
      <c r="G506" t="inlineStr">
        <is>
          <t>GÄVLE</t>
        </is>
      </c>
      <c r="I506" t="n">
        <v>12.4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46280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45912</v>
      </c>
      <c r="E508" s="1" t="n">
        <v>46280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43780-2025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45912</v>
      </c>
      <c r="E509" s="1" t="n">
        <v>46280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45922</v>
      </c>
      <c r="E510" s="1" t="n">
        <v>46280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45469-2025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46280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46280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46280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45922</v>
      </c>
      <c r="E514" s="1" t="n">
        <v>46280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45912</v>
      </c>
      <c r="E515" s="1" t="n">
        <v>46280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46280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46280</v>
      </c>
      <c r="F517" t="inlineStr">
        <is>
          <t>GÄVLEBORGS LÄN</t>
        </is>
      </c>
      <c r="G517" t="inlineStr">
        <is>
          <t>GÄVLE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45912</v>
      </c>
      <c r="E518" s="1" t="n">
        <v>46280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46280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8.199999999999999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46280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45415-2025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45922</v>
      </c>
      <c r="E521" s="1" t="n">
        <v>46280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46280</v>
      </c>
      <c r="F522" t="inlineStr">
        <is>
          <t>GÄVLEBORGS LÄN</t>
        </is>
      </c>
      <c r="G522" t="inlineStr">
        <is>
          <t>GÄVLE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45438-2025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45922</v>
      </c>
      <c r="E523" s="1" t="n">
        <v>46280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45456-2025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45922</v>
      </c>
      <c r="E524" s="1" t="n">
        <v>46280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45744</v>
      </c>
      <c r="E525" s="1" t="n">
        <v>46280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45987</v>
      </c>
      <c r="E526" s="1" t="n">
        <v>46280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43764-2025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45912</v>
      </c>
      <c r="E527" s="1" t="n">
        <v>46280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38255-2023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45161</v>
      </c>
      <c r="E528" s="1" t="n">
        <v>46280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42592-2025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45905</v>
      </c>
      <c r="E529" s="1" t="n">
        <v>46280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45715</v>
      </c>
      <c r="E530" s="1" t="n">
        <v>46280</v>
      </c>
      <c r="F530" t="inlineStr">
        <is>
          <t>GÄVLEBORGS LÄN</t>
        </is>
      </c>
      <c r="G530" t="inlineStr">
        <is>
          <t>GÄVLE</t>
        </is>
      </c>
      <c r="H530" t="inlineStr">
        <is>
          <t>Kyrkan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46280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22.4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46077</v>
      </c>
      <c r="E532" s="1" t="n">
        <v>46280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46280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46105</v>
      </c>
      <c r="E534" s="1" t="n">
        <v>46280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31062-2023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45113</v>
      </c>
      <c r="E535" s="1" t="n">
        <v>46280</v>
      </c>
      <c r="F535" t="inlineStr">
        <is>
          <t>GÄVLEBORGS LÄN</t>
        </is>
      </c>
      <c r="G535" t="inlineStr">
        <is>
          <t>GÄVLE</t>
        </is>
      </c>
      <c r="H535" t="inlineStr">
        <is>
          <t>Kommuner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45992</v>
      </c>
      <c r="E536" s="1" t="n">
        <v>46280</v>
      </c>
      <c r="F536" t="inlineStr">
        <is>
          <t>GÄVLEBORGS LÄN</t>
        </is>
      </c>
      <c r="G536" t="inlineStr">
        <is>
          <t>GÄVLE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45744</v>
      </c>
      <c r="E537" s="1" t="n">
        <v>46280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60038-2025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46280</v>
      </c>
      <c r="F538" t="inlineStr">
        <is>
          <t>GÄVLEBORGS LÄN</t>
        </is>
      </c>
      <c r="G538" t="inlineStr">
        <is>
          <t>GÄVLE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44735</v>
      </c>
      <c r="E539" s="1" t="n">
        <v>46280</v>
      </c>
      <c r="F539" t="inlineStr">
        <is>
          <t>GÄVLEBORGS LÄN</t>
        </is>
      </c>
      <c r="G539" t="inlineStr">
        <is>
          <t>GÄVLE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46280</v>
      </c>
      <c r="F540" t="inlineStr">
        <is>
          <t>GÄVLEBORGS LÄN</t>
        </is>
      </c>
      <c r="G540" t="inlineStr">
        <is>
          <t>GÄVLE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51876-2023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45223</v>
      </c>
      <c r="E541" s="1" t="n">
        <v>46280</v>
      </c>
      <c r="F541" t="inlineStr">
        <is>
          <t>GÄVLEBORGS LÄN</t>
        </is>
      </c>
      <c r="G541" t="inlineStr">
        <is>
          <t>GÄVLE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46280</v>
      </c>
      <c r="F542" t="inlineStr">
        <is>
          <t>GÄVLEBORGS LÄN</t>
        </is>
      </c>
      <c r="G542" t="inlineStr">
        <is>
          <t>GÄVLE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46280</v>
      </c>
      <c r="F543" t="inlineStr">
        <is>
          <t>GÄVLEBORGS LÄN</t>
        </is>
      </c>
      <c r="G543" t="inlineStr">
        <is>
          <t>GÄVLE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60364-2025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45995</v>
      </c>
      <c r="E544" s="1" t="n">
        <v>46280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45995</v>
      </c>
      <c r="E545" s="1" t="n">
        <v>46280</v>
      </c>
      <c r="F545" t="inlineStr">
        <is>
          <t>GÄVLEBORGS LÄN</t>
        </is>
      </c>
      <c r="G545" t="inlineStr">
        <is>
          <t>GÄVLE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55217-2025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46280</v>
      </c>
      <c r="F546" t="inlineStr">
        <is>
          <t>GÄVLEBORGS LÄN</t>
        </is>
      </c>
      <c r="G546" t="inlineStr">
        <is>
          <t>GÄVLE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19555-2022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44693</v>
      </c>
      <c r="E547" s="1" t="n">
        <v>46280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46070</v>
      </c>
      <c r="E548" s="1" t="n">
        <v>46280</v>
      </c>
      <c r="F548" t="inlineStr">
        <is>
          <t>GÄVLEBORGS LÄN</t>
        </is>
      </c>
      <c r="G548" t="inlineStr">
        <is>
          <t>GÄVLE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60536-2025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46280</v>
      </c>
      <c r="F549" t="inlineStr">
        <is>
          <t>GÄVLEBORGS LÄN</t>
        </is>
      </c>
      <c r="G549" t="inlineStr">
        <is>
          <t>GÄVLE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45401</v>
      </c>
      <c r="E550" s="1" t="n">
        <v>46280</v>
      </c>
      <c r="F550" t="inlineStr">
        <is>
          <t>GÄVLEBORGS LÄN</t>
        </is>
      </c>
      <c r="G550" t="inlineStr">
        <is>
          <t>GÄVLE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8568-2026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46280</v>
      </c>
      <c r="F551" t="inlineStr">
        <is>
          <t>GÄVLEBORGS LÄN</t>
        </is>
      </c>
      <c r="G551" t="inlineStr">
        <is>
          <t>GÄVLE</t>
        </is>
      </c>
      <c r="I551" t="n">
        <v>9.5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46280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46280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46280</v>
      </c>
      <c r="F554" t="inlineStr">
        <is>
          <t>GÄVLEBORGS LÄN</t>
        </is>
      </c>
      <c r="G554" t="inlineStr">
        <is>
          <t>GÄVLE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46000</v>
      </c>
      <c r="E555" s="1" t="n">
        <v>46280</v>
      </c>
      <c r="F555" t="inlineStr">
        <is>
          <t>GÄVLEBORGS LÄN</t>
        </is>
      </c>
      <c r="G555" t="inlineStr">
        <is>
          <t>GÄVLE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45454</v>
      </c>
      <c r="E556" s="1" t="n">
        <v>46280</v>
      </c>
      <c r="F556" t="inlineStr">
        <is>
          <t>GÄVLEBORGS LÄN</t>
        </is>
      </c>
      <c r="G556" t="inlineStr">
        <is>
          <t>GÄVLE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46280</v>
      </c>
      <c r="F557" t="inlineStr">
        <is>
          <t>GÄVLEBORGS LÄN</t>
        </is>
      </c>
      <c r="G557" t="inlineStr">
        <is>
          <t>GÄVLE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45742</v>
      </c>
      <c r="E558" s="1" t="n">
        <v>46280</v>
      </c>
      <c r="F558" t="inlineStr">
        <is>
          <t>GÄVLEBORGS LÄN</t>
        </is>
      </c>
      <c r="G558" t="inlineStr">
        <is>
          <t>GÄVLE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46280</v>
      </c>
      <c r="F559" t="inlineStr">
        <is>
          <t>GÄVLEBORGS LÄN</t>
        </is>
      </c>
      <c r="G559" t="inlineStr">
        <is>
          <t>GÄVLE</t>
        </is>
      </c>
      <c r="I559" t="n">
        <v>12.7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44585</v>
      </c>
      <c r="E560" s="1" t="n">
        <v>46280</v>
      </c>
      <c r="F560" t="inlineStr">
        <is>
          <t>GÄVLEBORGS LÄN</t>
        </is>
      </c>
      <c r="G560" t="inlineStr">
        <is>
          <t>GÄVLE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61880-2025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46003</v>
      </c>
      <c r="E561" s="1" t="n">
        <v>46280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61650-2025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46280</v>
      </c>
      <c r="F562" t="inlineStr">
        <is>
          <t>GÄVLEBORGS LÄN</t>
        </is>
      </c>
      <c r="G562" t="inlineStr">
        <is>
          <t>GÄVLE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61648-2025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46002</v>
      </c>
      <c r="E563" s="1" t="n">
        <v>46280</v>
      </c>
      <c r="F563" t="inlineStr">
        <is>
          <t>GÄVLEBORGS LÄN</t>
        </is>
      </c>
      <c r="G563" t="inlineStr">
        <is>
          <t>GÄVLE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61651-2025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46002</v>
      </c>
      <c r="E564" s="1" t="n">
        <v>46280</v>
      </c>
      <c r="F564" t="inlineStr">
        <is>
          <t>GÄVLEBORGS LÄN</t>
        </is>
      </c>
      <c r="G564" t="inlineStr">
        <is>
          <t>GÄVLE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46003</v>
      </c>
      <c r="E565" s="1" t="n">
        <v>46280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36512-2025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45869</v>
      </c>
      <c r="E566" s="1" t="n">
        <v>46280</v>
      </c>
      <c r="F566" t="inlineStr">
        <is>
          <t>GÄVLEBORGS LÄN</t>
        </is>
      </c>
      <c r="G566" t="inlineStr">
        <is>
          <t>GÄVLE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46280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44735</v>
      </c>
      <c r="E568" s="1" t="n">
        <v>46280</v>
      </c>
      <c r="F568" t="inlineStr">
        <is>
          <t>GÄVLEBORGS LÄN</t>
        </is>
      </c>
      <c r="G568" t="inlineStr">
        <is>
          <t>GÄVLE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44701</v>
      </c>
      <c r="E569" s="1" t="n">
        <v>46280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26.3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45511</v>
      </c>
      <c r="E570" s="1" t="n">
        <v>46280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57570-2024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46280</v>
      </c>
      <c r="F571" t="inlineStr">
        <is>
          <t>GÄVLEBORGS LÄN</t>
        </is>
      </c>
      <c r="G571" t="inlineStr">
        <is>
          <t>GÄVLE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44600</v>
      </c>
      <c r="E572" s="1" t="n">
        <v>46280</v>
      </c>
      <c r="F572" t="inlineStr">
        <is>
          <t>GÄVLEBORGS LÄN</t>
        </is>
      </c>
      <c r="G572" t="inlineStr">
        <is>
          <t>GÄVLE</t>
        </is>
      </c>
      <c r="H572" t="inlineStr">
        <is>
          <t>Kyrkan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15647-2026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46280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46280</v>
      </c>
      <c r="F574" t="inlineStr">
        <is>
          <t>GÄVLEBORGS LÄN</t>
        </is>
      </c>
      <c r="G574" t="inlineStr">
        <is>
          <t>GÄVLE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46280</v>
      </c>
      <c r="F575" t="inlineStr">
        <is>
          <t>GÄVLEBORGS LÄN</t>
        </is>
      </c>
      <c r="G575" t="inlineStr">
        <is>
          <t>GÄVLE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46280</v>
      </c>
      <c r="F576" t="inlineStr">
        <is>
          <t>GÄVLEBORGS LÄN</t>
        </is>
      </c>
      <c r="G576" t="inlineStr">
        <is>
          <t>GÄVLE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16190-2026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46280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16263-2026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46111</v>
      </c>
      <c r="E578" s="1" t="n">
        <v>46280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46280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18168-2022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44684</v>
      </c>
      <c r="E580" s="1" t="n">
        <v>46280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46280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46033</v>
      </c>
      <c r="E582" s="1" t="n">
        <v>46280</v>
      </c>
      <c r="F582" t="inlineStr">
        <is>
          <t>GÄVLEBORGS LÄN</t>
        </is>
      </c>
      <c r="G582" t="inlineStr">
        <is>
          <t>GÄVLE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46280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19730-2022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44694</v>
      </c>
      <c r="E584" s="1" t="n">
        <v>46280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45705</v>
      </c>
      <c r="E585" s="1" t="n">
        <v>46280</v>
      </c>
      <c r="F585" t="inlineStr">
        <is>
          <t>GÄVLEBORGS LÄN</t>
        </is>
      </c>
      <c r="G585" t="inlineStr">
        <is>
          <t>GÄVLE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45784</v>
      </c>
      <c r="E586" s="1" t="n">
        <v>46280</v>
      </c>
      <c r="F586" t="inlineStr">
        <is>
          <t>GÄVLEBORGS LÄN</t>
        </is>
      </c>
      <c r="G586" t="inlineStr">
        <is>
          <t>GÄVLE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34233-2023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45138</v>
      </c>
      <c r="E587" s="1" t="n">
        <v>46280</v>
      </c>
      <c r="F587" t="inlineStr">
        <is>
          <t>GÄVLEBORGS LÄN</t>
        </is>
      </c>
      <c r="G587" t="inlineStr">
        <is>
          <t>GÄVLE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40091-2023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45168</v>
      </c>
      <c r="E588" s="1" t="n">
        <v>46280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44951</v>
      </c>
      <c r="E589" s="1" t="n">
        <v>46280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44951</v>
      </c>
      <c r="E590" s="1" t="n">
        <v>46280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46280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20735-2026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46280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46142</v>
      </c>
      <c r="E593" s="1" t="n">
        <v>46280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46280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59322-2022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44904</v>
      </c>
      <c r="E595" s="1" t="n">
        <v>46280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44962</v>
      </c>
      <c r="E596" s="1" t="n">
        <v>46280</v>
      </c>
      <c r="F596" t="inlineStr">
        <is>
          <t>GÄVLEBORGS LÄN</t>
        </is>
      </c>
      <c r="G596" t="inlineStr">
        <is>
          <t>GÄVLE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45660</v>
      </c>
      <c r="E597" s="1" t="n">
        <v>46280</v>
      </c>
      <c r="F597" t="inlineStr">
        <is>
          <t>GÄVLEBORGS LÄN</t>
        </is>
      </c>
      <c r="G597" t="inlineStr">
        <is>
          <t>GÄVLE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46280</v>
      </c>
      <c r="F598" t="inlineStr">
        <is>
          <t>GÄVLEBORGS LÄN</t>
        </is>
      </c>
      <c r="G598" t="inlineStr">
        <is>
          <t>GÄVLE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46280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21033-2026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46146</v>
      </c>
      <c r="E600" s="1" t="n">
        <v>46280</v>
      </c>
      <c r="F600" t="inlineStr">
        <is>
          <t>GÄVLEBORGS LÄN</t>
        </is>
      </c>
      <c r="G600" t="inlineStr">
        <is>
          <t>GÄVLE</t>
        </is>
      </c>
      <c r="H600" t="inlineStr">
        <is>
          <t>Kyrkan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14707-2026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46280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46280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2247-2023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44942</v>
      </c>
      <c r="E603" s="1" t="n">
        <v>46280</v>
      </c>
      <c r="F603" t="inlineStr">
        <is>
          <t>GÄVLEBORGS LÄN</t>
        </is>
      </c>
      <c r="G603" t="inlineStr">
        <is>
          <t>GÄVLE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47108-2024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45586</v>
      </c>
      <c r="E604" s="1" t="n">
        <v>46280</v>
      </c>
      <c r="F604" t="inlineStr">
        <is>
          <t>GÄVLEBORGS LÄN</t>
        </is>
      </c>
      <c r="G604" t="inlineStr">
        <is>
          <t>GÄVLE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45440</v>
      </c>
      <c r="E605" s="1" t="n">
        <v>46280</v>
      </c>
      <c r="F605" t="inlineStr">
        <is>
          <t>GÄVLEBORGS LÄN</t>
        </is>
      </c>
      <c r="G605" t="inlineStr">
        <is>
          <t>GÄVLE</t>
        </is>
      </c>
      <c r="I605" t="n">
        <v>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47746-2023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45203</v>
      </c>
      <c r="E606" s="1" t="n">
        <v>46280</v>
      </c>
      <c r="F606" t="inlineStr">
        <is>
          <t>GÄVLEBORGS LÄN</t>
        </is>
      </c>
      <c r="G606" t="inlineStr">
        <is>
          <t>GÄVLE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45632</v>
      </c>
      <c r="E607" s="1" t="n">
        <v>46280</v>
      </c>
      <c r="F607" t="inlineStr">
        <is>
          <t>GÄVLEBORGS LÄN</t>
        </is>
      </c>
      <c r="G607" t="inlineStr">
        <is>
          <t>GÄVLE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46280</v>
      </c>
      <c r="F608" t="inlineStr">
        <is>
          <t>GÄVLEBORGS LÄN</t>
        </is>
      </c>
      <c r="G608" t="inlineStr">
        <is>
          <t>GÄVLE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52495-2021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44466</v>
      </c>
      <c r="E609" s="1" t="n">
        <v>46280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45526</v>
      </c>
      <c r="E610" s="1" t="n">
        <v>46280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45666</v>
      </c>
      <c r="E611" s="1" t="n">
        <v>46280</v>
      </c>
      <c r="F611" t="inlineStr">
        <is>
          <t>GÄVLEBORGS LÄN</t>
        </is>
      </c>
      <c r="G611" t="inlineStr">
        <is>
          <t>GÄVLE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22053-2026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46280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20689-2024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45436</v>
      </c>
      <c r="E613" s="1" t="n">
        <v>46280</v>
      </c>
      <c r="F613" t="inlineStr">
        <is>
          <t>GÄVLEBORGS LÄN</t>
        </is>
      </c>
      <c r="G613" t="inlineStr">
        <is>
          <t>GÄVLE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46280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45120</v>
      </c>
      <c r="E615" s="1" t="n">
        <v>46280</v>
      </c>
      <c r="F615" t="inlineStr">
        <is>
          <t>GÄVLEBORGS LÄN</t>
        </is>
      </c>
      <c r="G615" t="inlineStr">
        <is>
          <t>GÄVLE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46280</v>
      </c>
      <c r="F616" t="inlineStr">
        <is>
          <t>GÄVLEBORGS LÄN</t>
        </is>
      </c>
      <c r="G616" t="inlineStr">
        <is>
          <t>GÄVLE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46280</v>
      </c>
      <c r="F617" t="inlineStr">
        <is>
          <t>GÄVLEBORGS LÄN</t>
        </is>
      </c>
      <c r="G617" t="inlineStr">
        <is>
          <t>GÄVLE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15158-2026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46105</v>
      </c>
      <c r="E618" s="1" t="n">
        <v>46280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46280</v>
      </c>
      <c r="F619" t="inlineStr">
        <is>
          <t>GÄVLEBORGS LÄN</t>
        </is>
      </c>
      <c r="G619" t="inlineStr">
        <is>
          <t>GÄVLE</t>
        </is>
      </c>
      <c r="H619" t="inlineStr">
        <is>
          <t>Kyrkan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46280</v>
      </c>
      <c r="F620" t="inlineStr">
        <is>
          <t>GÄVLEBORGS LÄN</t>
        </is>
      </c>
      <c r="G620" t="inlineStr">
        <is>
          <t>GÄVLE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46280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14666-2026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46280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46154</v>
      </c>
      <c r="E623" s="1" t="n">
        <v>46280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46280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46280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45312</v>
      </c>
      <c r="E626" s="1" t="n">
        <v>46280</v>
      </c>
      <c r="F626" t="inlineStr">
        <is>
          <t>GÄVLEBORGS LÄN</t>
        </is>
      </c>
      <c r="G626" t="inlineStr">
        <is>
          <t>GÄVLE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46280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46280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46280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46280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61301-2024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45645</v>
      </c>
      <c r="E632" s="1" t="n">
        <v>46280</v>
      </c>
      <c r="F632" t="inlineStr">
        <is>
          <t>GÄVLEBORGS LÄN</t>
        </is>
      </c>
      <c r="G632" t="inlineStr">
        <is>
          <t>GÄVLE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23591-2026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46163</v>
      </c>
      <c r="E633" s="1" t="n">
        <v>46280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23956-2026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46280</v>
      </c>
      <c r="F634" t="inlineStr">
        <is>
          <t>GÄVLEBORGS LÄN</t>
        </is>
      </c>
      <c r="G634" t="inlineStr">
        <is>
          <t>GÄVLE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46280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46280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46169</v>
      </c>
      <c r="E637" s="1" t="n">
        <v>46280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64868-2023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45282</v>
      </c>
      <c r="E638" s="1" t="n">
        <v>46280</v>
      </c>
      <c r="F638" t="inlineStr">
        <is>
          <t>GÄVLEBORGS LÄN</t>
        </is>
      </c>
      <c r="G638" t="inlineStr">
        <is>
          <t>GÄVLE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46280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46280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46280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46280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24090-2026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46280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46280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46280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46280</v>
      </c>
      <c r="F646" t="inlineStr">
        <is>
          <t>GÄVLEBORGS LÄN</t>
        </is>
      </c>
      <c r="G646" t="inlineStr">
        <is>
          <t>GÄVLE</t>
        </is>
      </c>
      <c r="H646" t="inlineStr">
        <is>
          <t>Kyrkan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46170</v>
      </c>
      <c r="E647" s="1" t="n">
        <v>46280</v>
      </c>
      <c r="F647" t="inlineStr">
        <is>
          <t>GÄVLEBORGS LÄN</t>
        </is>
      </c>
      <c r="G647" t="inlineStr">
        <is>
          <t>GÄVLE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24810-2026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46173</v>
      </c>
      <c r="E648" s="1" t="n">
        <v>46280</v>
      </c>
      <c r="F648" t="inlineStr">
        <is>
          <t>GÄVLEBORGS LÄN</t>
        </is>
      </c>
      <c r="G648" t="inlineStr">
        <is>
          <t>GÄVLE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46171</v>
      </c>
      <c r="E649" s="1" t="n">
        <v>46280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21.4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46280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25384-2026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46176</v>
      </c>
      <c r="E651" s="1" t="n">
        <v>46280</v>
      </c>
      <c r="F651" t="inlineStr">
        <is>
          <t>GÄVLEBORGS LÄN</t>
        </is>
      </c>
      <c r="G651" t="inlineStr">
        <is>
          <t>GÄVLE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46280</v>
      </c>
      <c r="F652" t="inlineStr">
        <is>
          <t>GÄVLEBORGS LÄN</t>
        </is>
      </c>
      <c r="G652" t="inlineStr">
        <is>
          <t>GÄVLE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25808-2026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46280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46280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25500-2026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46280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20676-2026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46280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46280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46280</v>
      </c>
      <c r="F658" t="inlineStr">
        <is>
          <t>GÄVLEBORGS LÄN</t>
        </is>
      </c>
      <c r="G658" t="inlineStr">
        <is>
          <t>GÄVLE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25829-2026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46178</v>
      </c>
      <c r="E659" s="1" t="n">
        <v>46280</v>
      </c>
      <c r="F659" t="inlineStr">
        <is>
          <t>GÄVLEBORGS LÄN</t>
        </is>
      </c>
      <c r="G659" t="inlineStr">
        <is>
          <t>GÄVLE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25623-2026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46280</v>
      </c>
      <c r="F660" t="inlineStr">
        <is>
          <t>GÄVLEBORGS LÄN</t>
        </is>
      </c>
      <c r="G660" t="inlineStr">
        <is>
          <t>GÄVLE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26016-2026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46181</v>
      </c>
      <c r="E661" s="1" t="n">
        <v>46280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46280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26599-2026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46183</v>
      </c>
      <c r="E663" s="1" t="n">
        <v>46280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46280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46280</v>
      </c>
      <c r="F665" t="inlineStr">
        <is>
          <t>GÄVLEBORGS LÄN</t>
        </is>
      </c>
      <c r="G665" t="inlineStr">
        <is>
          <t>GÄVLE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46280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46280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46280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46280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46280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46280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61016-2024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46280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46280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46280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46188</v>
      </c>
      <c r="E675" s="1" t="n">
        <v>46280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46280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46280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18361-2024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45422</v>
      </c>
      <c r="E678" s="1" t="n">
        <v>46280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46280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46280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46280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46280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46280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46280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46280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26942-2026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46280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46280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46280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46280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46280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46280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19164-2026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46280</v>
      </c>
      <c r="F692" t="inlineStr">
        <is>
          <t>GÄVLEBORGS LÄN</t>
        </is>
      </c>
      <c r="G692" t="inlineStr">
        <is>
          <t>GÄVLE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46280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46280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46280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46280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32437-2026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46239</v>
      </c>
      <c r="E697" s="1" t="n">
        <v>46280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46280</v>
      </c>
      <c r="F698" t="inlineStr">
        <is>
          <t>GÄVLEBORGS LÄN</t>
        </is>
      </c>
      <c r="G698" t="inlineStr">
        <is>
          <t>GÄVLE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38495-2023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45162</v>
      </c>
      <c r="E699" s="1" t="n">
        <v>46280</v>
      </c>
      <c r="F699" t="inlineStr">
        <is>
          <t>GÄVLEBORGS LÄN</t>
        </is>
      </c>
      <c r="G699" t="inlineStr">
        <is>
          <t>GÄVLE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46239</v>
      </c>
      <c r="E700" s="1" t="n">
        <v>46280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46160</v>
      </c>
      <c r="E701" s="1" t="n">
        <v>46280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29494-2026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46280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46280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52.7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20682-2023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45058</v>
      </c>
      <c r="E704" s="1" t="n">
        <v>46280</v>
      </c>
      <c r="F704" t="inlineStr">
        <is>
          <t>GÄVLEBORGS LÄN</t>
        </is>
      </c>
      <c r="G704" t="inlineStr">
        <is>
          <t>GÄVLE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28654-2026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46280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46197</v>
      </c>
      <c r="E706" s="1" t="n">
        <v>46280</v>
      </c>
      <c r="F706" t="inlineStr">
        <is>
          <t>GÄVLEBORGS LÄN</t>
        </is>
      </c>
      <c r="G706" t="inlineStr">
        <is>
          <t>GÄVLE</t>
        </is>
      </c>
      <c r="H706" t="inlineStr">
        <is>
          <t>BillerudKorsnäs AB</t>
        </is>
      </c>
      <c r="I706" t="n">
        <v>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46280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46280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44586</v>
      </c>
      <c r="E709" s="1" t="n">
        <v>46280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28655-2026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46280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46280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28658-2026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46280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45658</v>
      </c>
      <c r="E713" s="1" t="n">
        <v>46280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32890-2026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46280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66351-2021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44518</v>
      </c>
      <c r="E715" s="1" t="n">
        <v>46280</v>
      </c>
      <c r="F715" t="inlineStr">
        <is>
          <t>GÄVLEBORGS LÄN</t>
        </is>
      </c>
      <c r="G715" t="inlineStr">
        <is>
          <t>GÄVLE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46280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24724-2023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45084</v>
      </c>
      <c r="E717" s="1" t="n">
        <v>46280</v>
      </c>
      <c r="F717" t="inlineStr">
        <is>
          <t>GÄVLEBORGS LÄN</t>
        </is>
      </c>
      <c r="G717" t="inlineStr">
        <is>
          <t>GÄVLE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29333-2026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46280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46280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32888-2026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46280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46246</v>
      </c>
      <c r="E721" s="1" t="n">
        <v>46280</v>
      </c>
      <c r="F721" t="inlineStr">
        <is>
          <t>GÄVLEBORGS LÄN</t>
        </is>
      </c>
      <c r="G721" t="inlineStr">
        <is>
          <t>GÄVLE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46280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46246</v>
      </c>
      <c r="E723" s="1" t="n">
        <v>46280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33350-2026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46246</v>
      </c>
      <c r="E724" s="1" t="n">
        <v>46280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33349-2026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46246</v>
      </c>
      <c r="E725" s="1" t="n">
        <v>46280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33231-2026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46246</v>
      </c>
      <c r="E726" s="1" t="n">
        <v>46280</v>
      </c>
      <c r="F726" t="inlineStr">
        <is>
          <t>GÄVLEBORGS LÄN</t>
        </is>
      </c>
      <c r="G726" t="inlineStr">
        <is>
          <t>GÄVLE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46246</v>
      </c>
      <c r="E727" s="1" t="n">
        <v>46280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33348-2026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46280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46251</v>
      </c>
      <c r="E729" s="1" t="n">
        <v>46280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15456-2026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46106</v>
      </c>
      <c r="E730" s="1" t="n">
        <v>46280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51758-2025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45950</v>
      </c>
      <c r="E731" s="1" t="n">
        <v>46280</v>
      </c>
      <c r="F731" t="inlineStr">
        <is>
          <t>GÄVLEBORGS LÄN</t>
        </is>
      </c>
      <c r="G731" t="inlineStr">
        <is>
          <t>GÄVLE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46248</v>
      </c>
      <c r="E732" s="1" t="n">
        <v>46280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46280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46207</v>
      </c>
      <c r="E734" s="1" t="n">
        <v>46280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46280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33664-2026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46248</v>
      </c>
      <c r="E736" s="1" t="n">
        <v>46280</v>
      </c>
      <c r="F736" t="inlineStr">
        <is>
          <t>GÄVLEBORGS LÄN</t>
        </is>
      </c>
      <c r="G736" t="inlineStr">
        <is>
          <t>GÄVLE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46248</v>
      </c>
      <c r="E737" s="1" t="n">
        <v>46280</v>
      </c>
      <c r="F737" t="inlineStr">
        <is>
          <t>GÄVLEBORGS LÄN</t>
        </is>
      </c>
      <c r="G737" t="inlineStr">
        <is>
          <t>GÄVLE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33585-2026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46248</v>
      </c>
      <c r="E738" s="1" t="n">
        <v>46280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9.5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29929-2022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44756</v>
      </c>
      <c r="E739" s="1" t="n">
        <v>46280</v>
      </c>
      <c r="F739" t="inlineStr">
        <is>
          <t>GÄVLEBORGS LÄN</t>
        </is>
      </c>
      <c r="G739" t="inlineStr">
        <is>
          <t>GÄVLE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38673-2024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45547</v>
      </c>
      <c r="E740" s="1" t="n">
        <v>46280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24367-2026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46169</v>
      </c>
      <c r="E741" s="1" t="n">
        <v>46280</v>
      </c>
      <c r="F741" t="inlineStr">
        <is>
          <t>GÄVLEBORGS LÄN</t>
        </is>
      </c>
      <c r="G741" t="inlineStr">
        <is>
          <t>GÄVLE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44936</v>
      </c>
      <c r="E742" s="1" t="n">
        <v>46280</v>
      </c>
      <c r="F742" t="inlineStr">
        <is>
          <t>GÄVLEBORGS LÄN</t>
        </is>
      </c>
      <c r="G742" t="inlineStr">
        <is>
          <t>GÄVLE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34033-2026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46252</v>
      </c>
      <c r="E743" s="1" t="n">
        <v>46280</v>
      </c>
      <c r="F743" t="inlineStr">
        <is>
          <t>GÄVLEBORGS LÄN</t>
        </is>
      </c>
      <c r="G743" t="inlineStr">
        <is>
          <t>GÄVLE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60442-2022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44911</v>
      </c>
      <c r="E744" s="1" t="n">
        <v>46280</v>
      </c>
      <c r="F744" t="inlineStr">
        <is>
          <t>GÄVLEBORGS LÄN</t>
        </is>
      </c>
      <c r="G744" t="inlineStr">
        <is>
          <t>GÄVLE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50314-2024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45600</v>
      </c>
      <c r="E745" s="1" t="n">
        <v>46280</v>
      </c>
      <c r="F745" t="inlineStr">
        <is>
          <t>GÄVLEBORGS LÄN</t>
        </is>
      </c>
      <c r="G745" t="inlineStr">
        <is>
          <t>GÄVLE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30600-2026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46210</v>
      </c>
      <c r="E746" s="1" t="n">
        <v>46280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46210</v>
      </c>
      <c r="E747" s="1" t="n">
        <v>46280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61786-2024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45649</v>
      </c>
      <c r="E748" s="1" t="n">
        <v>46280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46254</v>
      </c>
      <c r="E749" s="1" t="n">
        <v>46280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46280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34591-2026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46280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45320</v>
      </c>
      <c r="E752" s="1" t="n">
        <v>46280</v>
      </c>
      <c r="F752" t="inlineStr">
        <is>
          <t>GÄVLEBORGS LÄN</t>
        </is>
      </c>
      <c r="G752" t="inlineStr">
        <is>
          <t>GÄVLE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34593-2026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46255</v>
      </c>
      <c r="E753" s="1" t="n">
        <v>46280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46280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46213</v>
      </c>
      <c r="E755" s="1" t="n">
        <v>46280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34733-2026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46258</v>
      </c>
      <c r="E756" s="1" t="n">
        <v>46280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11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34822-2026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46280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31445-2026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46217</v>
      </c>
      <c r="E758" s="1" t="n">
        <v>46280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46280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34686-2026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46280</v>
      </c>
      <c r="F760" t="inlineStr">
        <is>
          <t>GÄVLEBORGS LÄN</t>
        </is>
      </c>
      <c r="G760" t="inlineStr">
        <is>
          <t>GÄVLE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30969-2026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46213</v>
      </c>
      <c r="E761" s="1" t="n">
        <v>46280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30951-2026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46213</v>
      </c>
      <c r="E762" s="1" t="n">
        <v>46280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31234-2026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46217</v>
      </c>
      <c r="E763" s="1" t="n">
        <v>46280</v>
      </c>
      <c r="F763" t="inlineStr">
        <is>
          <t>GÄVLEBORGS LÄN</t>
        </is>
      </c>
      <c r="G763" t="inlineStr">
        <is>
          <t>GÄVLE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35388-2026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46280</v>
      </c>
      <c r="F765" t="inlineStr">
        <is>
          <t>GÄVLEBORGS LÄN</t>
        </is>
      </c>
      <c r="G765" t="inlineStr">
        <is>
          <t>GÄVLE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46280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46280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46280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35780-2026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46265</v>
      </c>
      <c r="E769" s="1" t="n">
        <v>46280</v>
      </c>
      <c r="F769" t="inlineStr">
        <is>
          <t>GÄVLEBORGS LÄN</t>
        </is>
      </c>
      <c r="G769" t="inlineStr">
        <is>
          <t>GÄVLE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46280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46220</v>
      </c>
      <c r="E771" s="1" t="n">
        <v>46280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11.4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32255-2023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45120</v>
      </c>
      <c r="E772" s="1" t="n">
        <v>46280</v>
      </c>
      <c r="F772" t="inlineStr">
        <is>
          <t>GÄVLEBORGS LÄN</t>
        </is>
      </c>
      <c r="G772" t="inlineStr">
        <is>
          <t>GÄVLE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35495-2026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46262</v>
      </c>
      <c r="E773" s="1" t="n">
        <v>46280</v>
      </c>
      <c r="F773" t="inlineStr">
        <is>
          <t>GÄVLEBORGS LÄN</t>
        </is>
      </c>
      <c r="G773" t="inlineStr">
        <is>
          <t>GÄVLE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46265</v>
      </c>
      <c r="E774" s="1" t="n">
        <v>46280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31566-2026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46223</v>
      </c>
      <c r="E775" s="1" t="n">
        <v>46280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35577-2026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46280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44800-2024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45574</v>
      </c>
      <c r="E777" s="1" t="n">
        <v>46280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35561-2026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46262</v>
      </c>
      <c r="E778" s="1" t="n">
        <v>46280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46280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46280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46280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45312</v>
      </c>
      <c r="E782" s="1" t="n">
        <v>46280</v>
      </c>
      <c r="F782" t="inlineStr">
        <is>
          <t>GÄVLEBORGS LÄN</t>
        </is>
      </c>
      <c r="G782" t="inlineStr">
        <is>
          <t>GÄVLE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36093-2026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46280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59817-2023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45257</v>
      </c>
      <c r="E784" s="1" t="n">
        <v>46280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36086-2026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46280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36512-2026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46280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36522-2026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46280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14173-2022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44651</v>
      </c>
      <c r="E788" s="1" t="n">
        <v>46280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36558-2026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46280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42876-2023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45182</v>
      </c>
      <c r="E790" s="1" t="n">
        <v>46280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22.7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36530-2026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46280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46280</v>
      </c>
      <c r="F792" t="inlineStr">
        <is>
          <t>GÄVLEBORGS LÄN</t>
        </is>
      </c>
      <c r="G792" t="inlineStr">
        <is>
          <t>GÄVLE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36909-2026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46273</v>
      </c>
      <c r="E793" s="1" t="n">
        <v>46280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46273</v>
      </c>
      <c r="E794" s="1" t="n">
        <v>46280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46273</v>
      </c>
      <c r="E795" s="1" t="n">
        <v>46280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17404-2025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45757</v>
      </c>
      <c r="E796" s="1" t="n">
        <v>46280</v>
      </c>
      <c r="F796" t="inlineStr">
        <is>
          <t>GÄVLEBORGS LÄN</t>
        </is>
      </c>
      <c r="G796" t="inlineStr">
        <is>
          <t>GÄVLE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46273</v>
      </c>
      <c r="E797" s="1" t="n">
        <v>46280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36920-2026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46280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46280</v>
      </c>
      <c r="F799" t="inlineStr">
        <is>
          <t>GÄVLEBORGS LÄN</t>
        </is>
      </c>
      <c r="G799" t="inlineStr">
        <is>
          <t>GÄVLE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37146-2024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45539</v>
      </c>
      <c r="E800" s="1" t="n">
        <v>46280</v>
      </c>
      <c r="F800" t="inlineStr">
        <is>
          <t>GÄVLEBORGS LÄN</t>
        </is>
      </c>
      <c r="G800" t="inlineStr">
        <is>
          <t>GÄVLE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45660</v>
      </c>
      <c r="E801" s="1" t="n">
        <v>46280</v>
      </c>
      <c r="F801" t="inlineStr">
        <is>
          <t>GÄVLEBORGS LÄN</t>
        </is>
      </c>
      <c r="G801" t="inlineStr">
        <is>
          <t>GÄVLE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46272</v>
      </c>
      <c r="E802" s="1" t="n">
        <v>46280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46280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46280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37223-2026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46280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37391-2026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46275</v>
      </c>
      <c r="E806" s="1" t="n">
        <v>46280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37401-2026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46280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19.1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2373-2025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46280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2374-2025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46280</v>
      </c>
      <c r="F809" t="inlineStr">
        <is>
          <t>GÄVLEBORGS LÄN</t>
        </is>
      </c>
      <c r="G809" t="inlineStr">
        <is>
          <t>GÄVLE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46280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37150-2026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46274</v>
      </c>
      <c r="E811" s="1" t="n">
        <v>46280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37611-2026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46276</v>
      </c>
      <c r="E812" s="1" t="n">
        <v>46280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61501-2024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45646</v>
      </c>
      <c r="E813" s="1" t="n">
        <v>46280</v>
      </c>
      <c r="F813" t="inlineStr">
        <is>
          <t>GÄVLEBORGS LÄN</t>
        </is>
      </c>
      <c r="G813" t="inlineStr">
        <is>
          <t>GÄVLE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46276</v>
      </c>
      <c r="E814" s="1" t="n">
        <v>46280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47458-2022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44853</v>
      </c>
      <c r="E815" s="1" t="n">
        <v>46280</v>
      </c>
      <c r="F815" t="inlineStr">
        <is>
          <t>GÄVLEBORGS LÄN</t>
        </is>
      </c>
      <c r="G815" t="inlineStr">
        <is>
          <t>GÄVLE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44938-2022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44841</v>
      </c>
      <c r="E816" s="1" t="n">
        <v>46280</v>
      </c>
      <c r="F816" t="inlineStr">
        <is>
          <t>GÄVLEBORGS LÄN</t>
        </is>
      </c>
      <c r="G816" t="inlineStr">
        <is>
          <t>GÄVLE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37573-2026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46276</v>
      </c>
      <c r="E817" s="1" t="n">
        <v>46280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5241-2024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45330</v>
      </c>
      <c r="E818" s="1" t="n">
        <v>46280</v>
      </c>
      <c r="F818" t="inlineStr">
        <is>
          <t>GÄVLEBORGS LÄN</t>
        </is>
      </c>
      <c r="G818" t="inlineStr">
        <is>
          <t>GÄVLE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37759-2026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46279</v>
      </c>
      <c r="E819" s="1" t="n">
        <v>46280</v>
      </c>
      <c r="F819" t="inlineStr">
        <is>
          <t>GÄVLEBORGS LÄN</t>
        </is>
      </c>
      <c r="G819" t="inlineStr">
        <is>
          <t>GÄVLE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46276</v>
      </c>
      <c r="E820" s="1" t="n">
        <v>46280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46279</v>
      </c>
      <c r="E821" s="1" t="n">
        <v>46280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50582-2023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45217</v>
      </c>
      <c r="E822" s="1" t="n">
        <v>46280</v>
      </c>
      <c r="F822" t="inlineStr">
        <is>
          <t>GÄVLEBORGS LÄN</t>
        </is>
      </c>
      <c r="G822" t="inlineStr">
        <is>
          <t>GÄVLE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9235-2022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44616</v>
      </c>
      <c r="E823" s="1" t="n">
        <v>46280</v>
      </c>
      <c r="F823" t="inlineStr">
        <is>
          <t>GÄVLEBORGS LÄN</t>
        </is>
      </c>
      <c r="G823" t="inlineStr">
        <is>
          <t>GÄVLE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53082-2022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44876</v>
      </c>
      <c r="E824" s="1" t="n">
        <v>46280</v>
      </c>
      <c r="F824" t="inlineStr">
        <is>
          <t>GÄVLEBORGS LÄN</t>
        </is>
      </c>
      <c r="G824" t="inlineStr">
        <is>
          <t>GÄVLE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72734-2021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44546</v>
      </c>
      <c r="E825" s="1" t="n">
        <v>46280</v>
      </c>
      <c r="F825" t="inlineStr">
        <is>
          <t>GÄVLEBORGS LÄN</t>
        </is>
      </c>
      <c r="G825" t="inlineStr">
        <is>
          <t>GÄVLE</t>
        </is>
      </c>
      <c r="H825" t="inlineStr">
        <is>
          <t>Kommuner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53432-2021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44468</v>
      </c>
      <c r="E826" s="1" t="n">
        <v>46280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58445-2021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44488</v>
      </c>
      <c r="E827" s="1" t="n">
        <v>46280</v>
      </c>
      <c r="F827" t="inlineStr">
        <is>
          <t>GÄVLEBORGS LÄN</t>
        </is>
      </c>
      <c r="G827" t="inlineStr">
        <is>
          <t>GÄVLE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66493-2021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44519</v>
      </c>
      <c r="E828" s="1" t="n">
        <v>46280</v>
      </c>
      <c r="F828" t="inlineStr">
        <is>
          <t>GÄVLEBORGS LÄN</t>
        </is>
      </c>
      <c r="G828" t="inlineStr">
        <is>
          <t>GÄVLE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25812-2023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45090</v>
      </c>
      <c r="E829" s="1" t="n">
        <v>46280</v>
      </c>
      <c r="F829" t="inlineStr">
        <is>
          <t>GÄVLEBORGS LÄN</t>
        </is>
      </c>
      <c r="G829" t="inlineStr">
        <is>
          <t>GÄVLE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1238-2023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44936</v>
      </c>
      <c r="E830" s="1" t="n">
        <v>46280</v>
      </c>
      <c r="F830" t="inlineStr">
        <is>
          <t>GÄVLEBORGS LÄN</t>
        </is>
      </c>
      <c r="G830" t="inlineStr">
        <is>
          <t>GÄVLE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45312</v>
      </c>
      <c r="E831" s="1" t="n">
        <v>46280</v>
      </c>
      <c r="F831" t="inlineStr">
        <is>
          <t>GÄVLEBORGS LÄN</t>
        </is>
      </c>
      <c r="G831" t="inlineStr">
        <is>
          <t>GÄVLE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51071-2023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45218</v>
      </c>
      <c r="E832" s="1" t="n">
        <v>46280</v>
      </c>
      <c r="F832" t="inlineStr">
        <is>
          <t>GÄVLEBORGS LÄN</t>
        </is>
      </c>
      <c r="G832" t="inlineStr">
        <is>
          <t>GÄVLE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17113-2024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45412</v>
      </c>
      <c r="E833" s="1" t="n">
        <v>46280</v>
      </c>
      <c r="F833" t="inlineStr">
        <is>
          <t>GÄVLEBORGS LÄN</t>
        </is>
      </c>
      <c r="G833" t="inlineStr">
        <is>
          <t>GÄVLE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49401-2024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45595</v>
      </c>
      <c r="E834" s="1" t="n">
        <v>46280</v>
      </c>
      <c r="F834" t="inlineStr">
        <is>
          <t>GÄVLEBORGS LÄN</t>
        </is>
      </c>
      <c r="G834" t="inlineStr">
        <is>
          <t>GÄVLE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64871-2023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45282</v>
      </c>
      <c r="E835" s="1" t="n">
        <v>46280</v>
      </c>
      <c r="F835" t="inlineStr">
        <is>
          <t>GÄVLEBORGS LÄN</t>
        </is>
      </c>
      <c r="G835" t="inlineStr">
        <is>
          <t>GÄVLE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64875-2023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45282</v>
      </c>
      <c r="E836" s="1" t="n">
        <v>46280</v>
      </c>
      <c r="F836" t="inlineStr">
        <is>
          <t>GÄVLEBORGS LÄN</t>
        </is>
      </c>
      <c r="G836" t="inlineStr">
        <is>
          <t>GÄVLE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64878-2023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45282</v>
      </c>
      <c r="E837" s="1" t="n">
        <v>46280</v>
      </c>
      <c r="F837" t="inlineStr">
        <is>
          <t>GÄVLEBORGS LÄN</t>
        </is>
      </c>
      <c r="G837" t="inlineStr">
        <is>
          <t>GÄVLE</t>
        </is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42934-2023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45182</v>
      </c>
      <c r="E838" s="1" t="n">
        <v>46280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36638-2022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44804</v>
      </c>
      <c r="E839" s="1" t="n">
        <v>46280</v>
      </c>
      <c r="F839" t="inlineStr">
        <is>
          <t>GÄVLEBORGS LÄN</t>
        </is>
      </c>
      <c r="G839" t="inlineStr">
        <is>
          <t>GÄVLE</t>
        </is>
      </c>
      <c r="I839" t="n">
        <v>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45628-2022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44845</v>
      </c>
      <c r="E840" s="1" t="n">
        <v>46280</v>
      </c>
      <c r="F840" t="inlineStr">
        <is>
          <t>GÄVLEBORGS LÄN</t>
        </is>
      </c>
      <c r="G840" t="inlineStr">
        <is>
          <t>GÄVLE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60792-2024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45644</v>
      </c>
      <c r="E841" s="1" t="n">
        <v>46280</v>
      </c>
      <c r="F841" t="inlineStr">
        <is>
          <t>GÄVLEBORGS LÄN</t>
        </is>
      </c>
      <c r="G841" t="inlineStr">
        <is>
          <t>GÄVLE</t>
        </is>
      </c>
      <c r="H841" t="inlineStr">
        <is>
          <t>Kyrkan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60801-2024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45644</v>
      </c>
      <c r="E842" s="1" t="n">
        <v>46280</v>
      </c>
      <c r="F842" t="inlineStr">
        <is>
          <t>GÄVLEBORGS LÄN</t>
        </is>
      </c>
      <c r="G842" t="inlineStr">
        <is>
          <t>GÄVLE</t>
        </is>
      </c>
      <c r="H842" t="inlineStr">
        <is>
          <t>Kyrkan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22577-2022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44713</v>
      </c>
      <c r="E843" s="1" t="n">
        <v>46280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57168-2023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45245</v>
      </c>
      <c r="E844" s="1" t="n">
        <v>46280</v>
      </c>
      <c r="F844" t="inlineStr">
        <is>
          <t>GÄVLEBORGS LÄN</t>
        </is>
      </c>
      <c r="G844" t="inlineStr">
        <is>
          <t>GÄVLE</t>
        </is>
      </c>
      <c r="H844" t="inlineStr">
        <is>
          <t>Kyrkan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15207-2024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45400</v>
      </c>
      <c r="E845" s="1" t="n">
        <v>46280</v>
      </c>
      <c r="F845" t="inlineStr">
        <is>
          <t>GÄVLEBORGS LÄN</t>
        </is>
      </c>
      <c r="G845" t="inlineStr">
        <is>
          <t>GÄVLE</t>
        </is>
      </c>
      <c r="I845" t="n">
        <v>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29016-2023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45104</v>
      </c>
      <c r="E846" s="1" t="n">
        <v>46280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6.8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60396-2022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44910</v>
      </c>
      <c r="E847" s="1" t="n">
        <v>46280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25276-2024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45462</v>
      </c>
      <c r="E848" s="1" t="n">
        <v>46280</v>
      </c>
      <c r="F848" t="inlineStr">
        <is>
          <t>GÄVLEBORGS LÄN</t>
        </is>
      </c>
      <c r="G848" t="inlineStr">
        <is>
          <t>GÄVLE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45660</v>
      </c>
      <c r="E849" s="1" t="n">
        <v>46280</v>
      </c>
      <c r="F849" t="inlineStr">
        <is>
          <t>GÄVLEBORGS LÄN</t>
        </is>
      </c>
      <c r="G849" t="inlineStr">
        <is>
          <t>GÄVLE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45660</v>
      </c>
      <c r="E850" s="1" t="n">
        <v>46280</v>
      </c>
      <c r="F850" t="inlineStr">
        <is>
          <t>GÄVLEBORGS LÄN</t>
        </is>
      </c>
      <c r="G850" t="inlineStr">
        <is>
          <t>GÄVLE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27182-2022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44741</v>
      </c>
      <c r="E851" s="1" t="n">
        <v>46280</v>
      </c>
      <c r="F851" t="inlineStr">
        <is>
          <t>GÄVLEBORGS LÄN</t>
        </is>
      </c>
      <c r="G851" t="inlineStr">
        <is>
          <t>GÄVLE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8031-2024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45350</v>
      </c>
      <c r="E852" s="1" t="n">
        <v>46280</v>
      </c>
      <c r="F852" t="inlineStr">
        <is>
          <t>GÄVLEBORGS LÄN</t>
        </is>
      </c>
      <c r="G852" t="inlineStr">
        <is>
          <t>GÄVLE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61351-2021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44498</v>
      </c>
      <c r="E853" s="1" t="n">
        <v>46280</v>
      </c>
      <c r="F853" t="inlineStr">
        <is>
          <t>GÄVLEBORGS LÄN</t>
        </is>
      </c>
      <c r="G853" t="inlineStr">
        <is>
          <t>GÄVLE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53281-2024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45614</v>
      </c>
      <c r="E854" s="1" t="n">
        <v>46280</v>
      </c>
      <c r="F854" t="inlineStr">
        <is>
          <t>GÄVLEBORGS LÄN</t>
        </is>
      </c>
      <c r="G854" t="inlineStr">
        <is>
          <t>GÄVLE</t>
        </is>
      </c>
      <c r="I854" t="n">
        <v>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60879-2023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45261</v>
      </c>
      <c r="E855" s="1" t="n">
        <v>46280</v>
      </c>
      <c r="F855" t="inlineStr">
        <is>
          <t>GÄVLEBORGS LÄN</t>
        </is>
      </c>
      <c r="G855" t="inlineStr">
        <is>
          <t>GÄVLE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15312-2023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45019</v>
      </c>
      <c r="E856" s="1" t="n">
        <v>46280</v>
      </c>
      <c r="F856" t="inlineStr">
        <is>
          <t>GÄVLEBORGS LÄN</t>
        </is>
      </c>
      <c r="G856" t="inlineStr">
        <is>
          <t>GÄVLE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52387-2022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44874</v>
      </c>
      <c r="E857" s="1" t="n">
        <v>46280</v>
      </c>
      <c r="F857" t="inlineStr">
        <is>
          <t>GÄVLEBORGS LÄN</t>
        </is>
      </c>
      <c r="G857" t="inlineStr">
        <is>
          <t>GÄVLE</t>
        </is>
      </c>
      <c r="H857" t="inlineStr">
        <is>
          <t>Kommuner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31011-2023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45113</v>
      </c>
      <c r="E858" s="1" t="n">
        <v>46280</v>
      </c>
      <c r="F858" t="inlineStr">
        <is>
          <t>GÄVLEBORGS LÄN</t>
        </is>
      </c>
      <c r="G858" t="inlineStr">
        <is>
          <t>GÄVLE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22466-2023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45070</v>
      </c>
      <c r="E859" s="1" t="n">
        <v>46280</v>
      </c>
      <c r="F859" t="inlineStr">
        <is>
          <t>GÄVLEBORGS LÄN</t>
        </is>
      </c>
      <c r="G859" t="inlineStr">
        <is>
          <t>GÄVLE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16023-2023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45026</v>
      </c>
      <c r="E860" s="1" t="n">
        <v>46280</v>
      </c>
      <c r="F860" t="inlineStr">
        <is>
          <t>GÄVLEBORGS LÄN</t>
        </is>
      </c>
      <c r="G860" t="inlineStr">
        <is>
          <t>GÄVLE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25829-2024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45467</v>
      </c>
      <c r="E861" s="1" t="n">
        <v>46280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7235-2025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45702</v>
      </c>
      <c r="E862" s="1" t="n">
        <v>46280</v>
      </c>
      <c r="F862" t="inlineStr">
        <is>
          <t>GÄVLEBORGS LÄN</t>
        </is>
      </c>
      <c r="G862" t="inlineStr">
        <is>
          <t>GÄVLE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71215-2021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44539</v>
      </c>
      <c r="E863" s="1" t="n">
        <v>46280</v>
      </c>
      <c r="F863" t="inlineStr">
        <is>
          <t>GÄVLEBORGS LÄN</t>
        </is>
      </c>
      <c r="G863" t="inlineStr">
        <is>
          <t>GÄVLE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61879-2024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45652</v>
      </c>
      <c r="E864" s="1" t="n">
        <v>46280</v>
      </c>
      <c r="F864" t="inlineStr">
        <is>
          <t>GÄVLEBORGS LÄN</t>
        </is>
      </c>
      <c r="G864" t="inlineStr">
        <is>
          <t>GÄVLE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19712-2022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44694</v>
      </c>
      <c r="E865" s="1" t="n">
        <v>46280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39509-2022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44818</v>
      </c>
      <c r="E866" s="1" t="n">
        <v>46280</v>
      </c>
      <c r="F866" t="inlineStr">
        <is>
          <t>GÄVLEBORGS LÄN</t>
        </is>
      </c>
      <c r="G866" t="inlineStr">
        <is>
          <t>GÄVLE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30662-2022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44763</v>
      </c>
      <c r="E867" s="1" t="n">
        <v>46280</v>
      </c>
      <c r="F867" t="inlineStr">
        <is>
          <t>GÄVLEBORGS LÄN</t>
        </is>
      </c>
      <c r="G867" t="inlineStr">
        <is>
          <t>GÄVLE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61004-2024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45645</v>
      </c>
      <c r="E868" s="1" t="n">
        <v>46280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37352-2024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45540</v>
      </c>
      <c r="E869" s="1" t="n">
        <v>46280</v>
      </c>
      <c r="F869" t="inlineStr">
        <is>
          <t>GÄVLEBORGS LÄN</t>
        </is>
      </c>
      <c r="G869" t="inlineStr">
        <is>
          <t>GÄVLE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17605-2025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45757</v>
      </c>
      <c r="E870" s="1" t="n">
        <v>46280</v>
      </c>
      <c r="F870" t="inlineStr">
        <is>
          <t>GÄVLEBORGS LÄN</t>
        </is>
      </c>
      <c r="G870" t="inlineStr">
        <is>
          <t>GÄVLE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17607-2025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45757</v>
      </c>
      <c r="E871" s="1" t="n">
        <v>46280</v>
      </c>
      <c r="F871" t="inlineStr">
        <is>
          <t>GÄVLEBORGS LÄN</t>
        </is>
      </c>
      <c r="G871" t="inlineStr">
        <is>
          <t>GÄVLE</t>
        </is>
      </c>
      <c r="I871" t="n">
        <v>7.6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56487-2023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45243</v>
      </c>
      <c r="E872" s="1" t="n">
        <v>46280</v>
      </c>
      <c r="F872" t="inlineStr">
        <is>
          <t>GÄVLEBORGS LÄN</t>
        </is>
      </c>
      <c r="G872" t="inlineStr">
        <is>
          <t>GÄVLE</t>
        </is>
      </c>
      <c r="I872" t="n">
        <v>8.699999999999999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9307-2022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44616</v>
      </c>
      <c r="E873" s="1" t="n">
        <v>46280</v>
      </c>
      <c r="F873" t="inlineStr">
        <is>
          <t>GÄVLEBORGS LÄN</t>
        </is>
      </c>
      <c r="G873" t="inlineStr">
        <is>
          <t>GÄVLE</t>
        </is>
      </c>
      <c r="I873" t="n">
        <v>4.8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45735</v>
      </c>
      <c r="E874" s="1" t="n">
        <v>46280</v>
      </c>
      <c r="F874" t="inlineStr">
        <is>
          <t>GÄVLEBORGS LÄN</t>
        </is>
      </c>
      <c r="G874" t="inlineStr">
        <is>
          <t>GÄVLE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31866-2023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45106</v>
      </c>
      <c r="E875" s="1" t="n">
        <v>46280</v>
      </c>
      <c r="F875" t="inlineStr">
        <is>
          <t>GÄVLEBORGS LÄN</t>
        </is>
      </c>
      <c r="G875" t="inlineStr">
        <is>
          <t>GÄVLE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14807-2023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45014</v>
      </c>
      <c r="E876" s="1" t="n">
        <v>46280</v>
      </c>
      <c r="F876" t="inlineStr">
        <is>
          <t>GÄVLEBORGS LÄN</t>
        </is>
      </c>
      <c r="G876" t="inlineStr">
        <is>
          <t>GÄVLE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33880-2022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44790</v>
      </c>
      <c r="E877" s="1" t="n">
        <v>46280</v>
      </c>
      <c r="F877" t="inlineStr">
        <is>
          <t>GÄVLEBORGS LÄN</t>
        </is>
      </c>
      <c r="G877" t="inlineStr">
        <is>
          <t>GÄVLE</t>
        </is>
      </c>
      <c r="I877" t="n">
        <v>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6370-2025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45699</v>
      </c>
      <c r="E878" s="1" t="n">
        <v>46280</v>
      </c>
      <c r="F878" t="inlineStr">
        <is>
          <t>GÄVLEBORGS LÄN</t>
        </is>
      </c>
      <c r="G878" t="inlineStr">
        <is>
          <t>GÄVLE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11691-2024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45373</v>
      </c>
      <c r="E879" s="1" t="n">
        <v>46280</v>
      </c>
      <c r="F879" t="inlineStr">
        <is>
          <t>GÄVLEBORGS LÄN</t>
        </is>
      </c>
      <c r="G879" t="inlineStr">
        <is>
          <t>GÄVLE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62766-2022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44885</v>
      </c>
      <c r="E880" s="1" t="n">
        <v>46280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64873-2023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45282</v>
      </c>
      <c r="E881" s="1" t="n">
        <v>46280</v>
      </c>
      <c r="F881" t="inlineStr">
        <is>
          <t>GÄVLEBORGS LÄN</t>
        </is>
      </c>
      <c r="G881" t="inlineStr">
        <is>
          <t>GÄVLE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29862-2023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45107</v>
      </c>
      <c r="E882" s="1" t="n">
        <v>46280</v>
      </c>
      <c r="F882" t="inlineStr">
        <is>
          <t>GÄVLEBORGS LÄN</t>
        </is>
      </c>
      <c r="G882" t="inlineStr">
        <is>
          <t>GÄVLE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24478-2023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45082</v>
      </c>
      <c r="E883" s="1" t="n">
        <v>46280</v>
      </c>
      <c r="F883" t="inlineStr">
        <is>
          <t>GÄVLEBORGS LÄN</t>
        </is>
      </c>
      <c r="G883" t="inlineStr">
        <is>
          <t>GÄVLE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17088-2023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45034</v>
      </c>
      <c r="E884" s="1" t="n">
        <v>46280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7792-2023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44973</v>
      </c>
      <c r="E885" s="1" t="n">
        <v>46280</v>
      </c>
      <c r="F885" t="inlineStr">
        <is>
          <t>GÄVLEBORGS LÄN</t>
        </is>
      </c>
      <c r="G885" t="inlineStr">
        <is>
          <t>GÄVLE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14735-2024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45397</v>
      </c>
      <c r="E886" s="1" t="n">
        <v>46280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35761-2022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44800</v>
      </c>
      <c r="E887" s="1" t="n">
        <v>46280</v>
      </c>
      <c r="F887" t="inlineStr">
        <is>
          <t>GÄVLEBORGS LÄN</t>
        </is>
      </c>
      <c r="G887" t="inlineStr">
        <is>
          <t>GÄVLE</t>
        </is>
      </c>
      <c r="I887" t="n">
        <v>8.199999999999999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61918-2023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45266</v>
      </c>
      <c r="E888" s="1" t="n">
        <v>46280</v>
      </c>
      <c r="F888" t="inlineStr">
        <is>
          <t>GÄVLEBORGS LÄN</t>
        </is>
      </c>
      <c r="G888" t="inlineStr">
        <is>
          <t>GÄVLE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17245-2024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45414</v>
      </c>
      <c r="E889" s="1" t="n">
        <v>46280</v>
      </c>
      <c r="F889" t="inlineStr">
        <is>
          <t>GÄVLEBORGS LÄN</t>
        </is>
      </c>
      <c r="G889" t="inlineStr">
        <is>
          <t>GÄVLE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62255-2022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44922</v>
      </c>
      <c r="E890" s="1" t="n">
        <v>46280</v>
      </c>
      <c r="F890" t="inlineStr">
        <is>
          <t>GÄVLEBORGS LÄN</t>
        </is>
      </c>
      <c r="G890" t="inlineStr">
        <is>
          <t>GÄVLE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57928-2024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45631</v>
      </c>
      <c r="E891" s="1" t="n">
        <v>46280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9422-2025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45715</v>
      </c>
      <c r="E892" s="1" t="n">
        <v>46280</v>
      </c>
      <c r="F892" t="inlineStr">
        <is>
          <t>GÄVLEBORGS LÄN</t>
        </is>
      </c>
      <c r="G892" t="inlineStr">
        <is>
          <t>GÄVLE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61843-2023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45266</v>
      </c>
      <c r="E893" s="1" t="n">
        <v>46280</v>
      </c>
      <c r="F893" t="inlineStr">
        <is>
          <t>GÄVLEBORGS LÄN</t>
        </is>
      </c>
      <c r="G893" t="inlineStr">
        <is>
          <t>GÄVLE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45660</v>
      </c>
      <c r="E894" s="1" t="n">
        <v>46280</v>
      </c>
      <c r="F894" t="inlineStr">
        <is>
          <t>GÄVLEBORGS LÄN</t>
        </is>
      </c>
      <c r="G894" t="inlineStr">
        <is>
          <t>GÄVLE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33449-2024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45519</v>
      </c>
      <c r="E895" s="1" t="n">
        <v>46280</v>
      </c>
      <c r="F895" t="inlineStr">
        <is>
          <t>GÄVLEBORGS LÄN</t>
        </is>
      </c>
      <c r="G895" t="inlineStr">
        <is>
          <t>GÄVLE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35440-2023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45146</v>
      </c>
      <c r="E896" s="1" t="n">
        <v>46280</v>
      </c>
      <c r="F896" t="inlineStr">
        <is>
          <t>GÄVLEBORGS LÄN</t>
        </is>
      </c>
      <c r="G896" t="inlineStr">
        <is>
          <t>GÄVLE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3662-2022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44586</v>
      </c>
      <c r="E897" s="1" t="n">
        <v>46280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7410-2025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45705</v>
      </c>
      <c r="E898" s="1" t="n">
        <v>46280</v>
      </c>
      <c r="F898" t="inlineStr">
        <is>
          <t>GÄVLEBORGS LÄN</t>
        </is>
      </c>
      <c r="G898" t="inlineStr">
        <is>
          <t>GÄVLE</t>
        </is>
      </c>
      <c r="I898" t="n">
        <v>4.7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35331-2024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45530</v>
      </c>
      <c r="E899" s="1" t="n">
        <v>46280</v>
      </c>
      <c r="F899" t="inlineStr">
        <is>
          <t>GÄVLEBORGS LÄN</t>
        </is>
      </c>
      <c r="G899" t="inlineStr">
        <is>
          <t>GÄVLE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44927</v>
      </c>
      <c r="E900" s="1" t="n">
        <v>46280</v>
      </c>
      <c r="F900" t="inlineStr">
        <is>
          <t>GÄVLEBORGS LÄN</t>
        </is>
      </c>
      <c r="G900" t="inlineStr">
        <is>
          <t>GÄVLE</t>
        </is>
      </c>
      <c r="I900" t="n">
        <v>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44806-2024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45574</v>
      </c>
      <c r="E901" s="1" t="n">
        <v>46280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52250-2024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45608</v>
      </c>
      <c r="E902" s="1" t="n">
        <v>46280</v>
      </c>
      <c r="F902" t="inlineStr">
        <is>
          <t>GÄVLEBORGS LÄN</t>
        </is>
      </c>
      <c r="G902" t="inlineStr">
        <is>
          <t>GÄVLE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30875-2022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44767</v>
      </c>
      <c r="E903" s="1" t="n">
        <v>46280</v>
      </c>
      <c r="F903" t="inlineStr">
        <is>
          <t>GÄVLEBORGS LÄN</t>
        </is>
      </c>
      <c r="G903" t="inlineStr">
        <is>
          <t>GÄVLE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60349-2022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44910</v>
      </c>
      <c r="E904" s="1" t="n">
        <v>46280</v>
      </c>
      <c r="F904" t="inlineStr">
        <is>
          <t>GÄVLEBORGS LÄN</t>
        </is>
      </c>
      <c r="G904" t="inlineStr">
        <is>
          <t>GÄVLE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41100-2024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45559</v>
      </c>
      <c r="E905" s="1" t="n">
        <v>46280</v>
      </c>
      <c r="F905" t="inlineStr">
        <is>
          <t>GÄVLEBORGS LÄN</t>
        </is>
      </c>
      <c r="G905" t="inlineStr">
        <is>
          <t>GÄVLE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35205-2024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45530</v>
      </c>
      <c r="E906" s="1" t="n">
        <v>46280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16401-2025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45751</v>
      </c>
      <c r="E907" s="1" t="n">
        <v>46280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5633-2024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45334</v>
      </c>
      <c r="E908" s="1" t="n">
        <v>46280</v>
      </c>
      <c r="F908" t="inlineStr">
        <is>
          <t>GÄVLEBORGS LÄN</t>
        </is>
      </c>
      <c r="G908" t="inlineStr">
        <is>
          <t>GÄVLE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13961-2024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45392</v>
      </c>
      <c r="E909" s="1" t="n">
        <v>46280</v>
      </c>
      <c r="F909" t="inlineStr">
        <is>
          <t>GÄVLEBORGS LÄN</t>
        </is>
      </c>
      <c r="G909" t="inlineStr">
        <is>
          <t>GÄVLE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25466-2023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45089</v>
      </c>
      <c r="E910" s="1" t="n">
        <v>46280</v>
      </c>
      <c r="F910" t="inlineStr">
        <is>
          <t>GÄVLEBORGS LÄN</t>
        </is>
      </c>
      <c r="G910" t="inlineStr">
        <is>
          <t>GÄVLE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7060-2022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44603</v>
      </c>
      <c r="E911" s="1" t="n">
        <v>46280</v>
      </c>
      <c r="F911" t="inlineStr">
        <is>
          <t>GÄVLEBORGS LÄN</t>
        </is>
      </c>
      <c r="G911" t="inlineStr">
        <is>
          <t>GÄVLE</t>
        </is>
      </c>
      <c r="I911" t="n">
        <v>10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41708-2023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45176</v>
      </c>
      <c r="E912" s="1" t="n">
        <v>46280</v>
      </c>
      <c r="F912" t="inlineStr">
        <is>
          <t>GÄVLEBORGS LÄN</t>
        </is>
      </c>
      <c r="G912" t="inlineStr">
        <is>
          <t>GÄVLE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41712-2023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45176</v>
      </c>
      <c r="E913" s="1" t="n">
        <v>46280</v>
      </c>
      <c r="F913" t="inlineStr">
        <is>
          <t>GÄVLEBORGS LÄN</t>
        </is>
      </c>
      <c r="G913" t="inlineStr">
        <is>
          <t>GÄVLE</t>
        </is>
      </c>
      <c r="I913" t="n">
        <v>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5413-2023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44959</v>
      </c>
      <c r="E914" s="1" t="n">
        <v>46280</v>
      </c>
      <c r="F914" t="inlineStr">
        <is>
          <t>GÄVLEBORGS LÄN</t>
        </is>
      </c>
      <c r="G914" t="inlineStr">
        <is>
          <t>GÄVLE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4235-2025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45685</v>
      </c>
      <c r="E915" s="1" t="n">
        <v>46280</v>
      </c>
      <c r="F915" t="inlineStr">
        <is>
          <t>GÄVLEBORGS LÄN</t>
        </is>
      </c>
      <c r="G915" t="inlineStr">
        <is>
          <t>GÄVLE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45660</v>
      </c>
      <c r="E916" s="1" t="n">
        <v>46280</v>
      </c>
      <c r="F916" t="inlineStr">
        <is>
          <t>GÄVLEBORGS LÄN</t>
        </is>
      </c>
      <c r="G916" t="inlineStr">
        <is>
          <t>GÄVLE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56138-2023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45240</v>
      </c>
      <c r="E917" s="1" t="n">
        <v>46280</v>
      </c>
      <c r="F917" t="inlineStr">
        <is>
          <t>GÄVLEBORGS LÄN</t>
        </is>
      </c>
      <c r="G917" t="inlineStr">
        <is>
          <t>GÄVLE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33635-2024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45520</v>
      </c>
      <c r="E918" s="1" t="n">
        <v>46280</v>
      </c>
      <c r="F918" t="inlineStr">
        <is>
          <t>GÄVLEBORGS LÄN</t>
        </is>
      </c>
      <c r="G918" t="inlineStr">
        <is>
          <t>GÄVLE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33637-2024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45520</v>
      </c>
      <c r="E919" s="1" t="n">
        <v>46280</v>
      </c>
      <c r="F919" t="inlineStr">
        <is>
          <t>GÄVLEBORGS LÄN</t>
        </is>
      </c>
      <c r="G919" t="inlineStr">
        <is>
          <t>GÄVLE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25645-2023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45089</v>
      </c>
      <c r="E920" s="1" t="n">
        <v>46280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7998-2023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44973</v>
      </c>
      <c r="E921" s="1" t="n">
        <v>46280</v>
      </c>
      <c r="F921" t="inlineStr">
        <is>
          <t>GÄVLEBORGS LÄN</t>
        </is>
      </c>
      <c r="G921" t="inlineStr">
        <is>
          <t>GÄVLE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54207-2023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45232</v>
      </c>
      <c r="E922" s="1" t="n">
        <v>46280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15935-2025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45749</v>
      </c>
      <c r="E923" s="1" t="n">
        <v>46280</v>
      </c>
      <c r="F923" t="inlineStr">
        <is>
          <t>GÄVLEBORGS LÄN</t>
        </is>
      </c>
      <c r="G923" t="inlineStr">
        <is>
          <t>GÄVLE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25814-2023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45090</v>
      </c>
      <c r="E924" s="1" t="n">
        <v>46280</v>
      </c>
      <c r="F924" t="inlineStr">
        <is>
          <t>GÄVLEBORGS LÄN</t>
        </is>
      </c>
      <c r="G924" t="inlineStr">
        <is>
          <t>GÄVLE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14792-2023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45014</v>
      </c>
      <c r="E925" s="1" t="n">
        <v>46280</v>
      </c>
      <c r="F925" t="inlineStr">
        <is>
          <t>GÄVLEBORGS LÄN</t>
        </is>
      </c>
      <c r="G925" t="inlineStr">
        <is>
          <t>GÄVLE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12079-2025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45728</v>
      </c>
      <c r="E926" s="1" t="n">
        <v>46280</v>
      </c>
      <c r="F926" t="inlineStr">
        <is>
          <t>GÄVLEBORGS LÄN</t>
        </is>
      </c>
      <c r="G926" t="inlineStr">
        <is>
          <t>GÄVLE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1594-2024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45306</v>
      </c>
      <c r="E927" s="1" t="n">
        <v>46280</v>
      </c>
      <c r="F927" t="inlineStr">
        <is>
          <t>GÄVLEBORGS LÄN</t>
        </is>
      </c>
      <c r="G927" t="inlineStr">
        <is>
          <t>GÄVLE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62983-2023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45272</v>
      </c>
      <c r="E928" s="1" t="n">
        <v>46280</v>
      </c>
      <c r="F928" t="inlineStr">
        <is>
          <t>GÄVLEBORGS LÄN</t>
        </is>
      </c>
      <c r="G928" t="inlineStr">
        <is>
          <t>GÄVLE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33901-2024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45523</v>
      </c>
      <c r="E929" s="1" t="n">
        <v>46280</v>
      </c>
      <c r="F929" t="inlineStr">
        <is>
          <t>GÄVLEBORGS LÄN</t>
        </is>
      </c>
      <c r="G929" t="inlineStr">
        <is>
          <t>GÄVLE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20621-2025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45776</v>
      </c>
      <c r="E930" s="1" t="n">
        <v>46280</v>
      </c>
      <c r="F930" t="inlineStr">
        <is>
          <t>GÄVLEBORGS LÄN</t>
        </is>
      </c>
      <c r="G930" t="inlineStr">
        <is>
          <t>GÄVLE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45938-2024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45580</v>
      </c>
      <c r="E931" s="1" t="n">
        <v>46280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5.3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21431-2025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45782</v>
      </c>
      <c r="E932" s="1" t="n">
        <v>46280</v>
      </c>
      <c r="F932" t="inlineStr">
        <is>
          <t>GÄVLEBORGS LÄN</t>
        </is>
      </c>
      <c r="G932" t="inlineStr">
        <is>
          <t>GÄVLE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7202-2025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45702</v>
      </c>
      <c r="E933" s="1" t="n">
        <v>46280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59044-2023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45252</v>
      </c>
      <c r="E934" s="1" t="n">
        <v>46280</v>
      </c>
      <c r="F934" t="inlineStr">
        <is>
          <t>GÄVLEBORGS LÄN</t>
        </is>
      </c>
      <c r="G934" t="inlineStr">
        <is>
          <t>GÄVLE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45322</v>
      </c>
      <c r="E935" s="1" t="n">
        <v>46280</v>
      </c>
      <c r="F935" t="inlineStr">
        <is>
          <t>GÄVLEBORGS LÄN</t>
        </is>
      </c>
      <c r="G935" t="inlineStr">
        <is>
          <t>GÄVLE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7451-2025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45705</v>
      </c>
      <c r="E936" s="1" t="n">
        <v>46280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23291-2025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45791</v>
      </c>
      <c r="E937" s="1" t="n">
        <v>46280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väst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23232-2025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45791</v>
      </c>
      <c r="E938" s="1" t="n">
        <v>46280</v>
      </c>
      <c r="F938" t="inlineStr">
        <is>
          <t>GÄVLEBORGS LÄN</t>
        </is>
      </c>
      <c r="G938" t="inlineStr">
        <is>
          <t>GÄVLE</t>
        </is>
      </c>
      <c r="I938" t="n">
        <v>10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22879-2025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45790</v>
      </c>
      <c r="E939" s="1" t="n">
        <v>46280</v>
      </c>
      <c r="F939" t="inlineStr">
        <is>
          <t>GÄVLEBORGS LÄN</t>
        </is>
      </c>
      <c r="G939" t="inlineStr">
        <is>
          <t>GÄVLE</t>
        </is>
      </c>
      <c r="I939" t="n">
        <v>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23324-2025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45791</v>
      </c>
      <c r="E940" s="1" t="n">
        <v>46280</v>
      </c>
      <c r="F940" t="inlineStr">
        <is>
          <t>GÄVLEBORGS LÄN</t>
        </is>
      </c>
      <c r="G940" t="inlineStr">
        <is>
          <t>GÄVLE</t>
        </is>
      </c>
      <c r="I940" t="n">
        <v>6.2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3425-2023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45205</v>
      </c>
      <c r="E941" s="1" t="n">
        <v>46280</v>
      </c>
      <c r="F941" t="inlineStr">
        <is>
          <t>GÄVLEBORGS LÄN</t>
        </is>
      </c>
      <c r="G941" t="inlineStr">
        <is>
          <t>GÄVLE</t>
        </is>
      </c>
      <c r="I941" t="n">
        <v>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  <c r="Z941">
        <f>HYPERLINK("https://klasma.github.io/Logging_2180/knärot/S 3425-2023 karta knärot.png", "S 3425-2023")</f>
        <v/>
      </c>
      <c r="AA941">
        <f>HYPERLINK("https://klasma.github.io/Logging_2180/klagomål/S 3425-2023 FSC-klagomål.docx", "S 3425-2023")</f>
        <v/>
      </c>
      <c r="AB941">
        <f>HYPERLINK("https://klasma.github.io/Logging_2180/klagomålsmail/S 3425-2023 FSC-klagomål mail.docx", "S 3425-2023")</f>
        <v/>
      </c>
      <c r="AC941">
        <f>HYPERLINK("https://klasma.github.io/Logging_2180/tillsyn/S 3425-2023 tillsynsbegäran.docx", "S 3425-2023")</f>
        <v/>
      </c>
      <c r="AD941">
        <f>HYPERLINK("https://klasma.github.io/Logging_2180/tillsynsmail/S 3425-2023 tillsynsbegäran mail.docx", "S 3425-2023")</f>
        <v/>
      </c>
    </row>
    <row r="942" ht="15" customHeight="1">
      <c r="A942" t="inlineStr">
        <is>
          <t>S 889-2023</t>
        </is>
      </c>
      <c r="B942" t="inlineStr">
        <is>
          <t>samrådsanmälan</t>
        </is>
      </c>
      <c r="C942" t="inlineStr">
        <is>
          <t>Skogsgödsling</t>
        </is>
      </c>
      <c r="D942" s="1" t="n">
        <v>44995</v>
      </c>
      <c r="E942" s="1" t="n">
        <v>46280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13.3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S 886-2024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45376</v>
      </c>
      <c r="E943" s="1" t="n">
        <v>46280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S 2464-2024</t>
        </is>
      </c>
      <c r="B944" t="inlineStr">
        <is>
          <t>samrådsanmälan</t>
        </is>
      </c>
      <c r="C944" t="inlineStr">
        <is>
          <t>Skogsbilväg</t>
        </is>
      </c>
      <c r="D944" s="1" t="n">
        <v>45470</v>
      </c>
      <c r="E944" s="1" t="n">
        <v>46280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>
      <c r="A945" t="inlineStr">
        <is>
          <t>S 644-2026</t>
        </is>
      </c>
      <c r="B945" t="inlineStr">
        <is>
          <t>samrådsanmälan</t>
        </is>
      </c>
      <c r="C945" t="inlineStr">
        <is>
          <t>Skogsgödsling</t>
        </is>
      </c>
      <c r="D945" s="1" t="n">
        <v>46089</v>
      </c>
      <c r="E945" s="1" t="n">
        <v>46280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29.2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2026-09-15T08:10:37Z</dcterms:created>
  <dcterms:modified xmlns:dcterms="http://purl.org/dc/terms/" xmlns:xsi="http://www.w3.org/2001/XMLSchema-instance" xsi:type="dcterms:W3CDTF">2026-09-15T08:10:38Z</dcterms:modified>
</cp:coreProperties>
</file>