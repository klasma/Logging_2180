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46239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46239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46239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46239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46239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46239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46239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46239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1100-2024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46239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3.9</v>
      </c>
      <c r="J26" t="n">
        <v>0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Tallticka
Vedskivlav
Vågbandad barkbock</t>
        </is>
      </c>
      <c r="W26">
        <f>HYPERLINK("https://klasma.github.io/Logging_2180/artfynd/A 1100-2024 artfynd.xlsx", "A 1100-2024")</f>
        <v/>
      </c>
      <c r="X26">
        <f>HYPERLINK("https://klasma.github.io/Logging_2180/kartor/A 1100-2024 karta.png", "A 1100-2024")</f>
        <v/>
      </c>
      <c r="Y26">
        <f>HYPERLINK("https://klasma.github.io/Logging_2180/kartor_geotiff/A 1100-2024 georefererad karta.tif", "A 1100-2024")</f>
        <v/>
      </c>
      <c r="AA26">
        <f>HYPERLINK("https://klasma.github.io/Logging_2180/klagomål/A 1100-2024 FSC-klagomål.docx", "A 1100-2024")</f>
        <v/>
      </c>
      <c r="AB26">
        <f>HYPERLINK("https://klasma.github.io/Logging_2180/klagomålsmail/A 1100-2024 FSC-klagomål mail.docx", "A 1100-2024")</f>
        <v/>
      </c>
      <c r="AC26">
        <f>HYPERLINK("https://klasma.github.io/Logging_2180/tillsyn/A 1100-2024 tillsynsbegäran.docx", "A 1100-2024")</f>
        <v/>
      </c>
      <c r="AD26">
        <f>HYPERLINK("https://klasma.github.io/Logging_2180/tillsynsmail/A 1100-2024 tillsynsbegäran mail.docx", "A 1100-2024")</f>
        <v/>
      </c>
    </row>
    <row r="27" ht="15" customHeight="1">
      <c r="A27" t="inlineStr">
        <is>
          <t>A 64567-2023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46239</v>
      </c>
      <c r="F27" t="inlineStr">
        <is>
          <t>GÄVLEBORGS LÄN</t>
        </is>
      </c>
      <c r="G27" t="inlineStr">
        <is>
          <t>GÄVLE</t>
        </is>
      </c>
      <c r="I27" t="n">
        <v>2.6</v>
      </c>
      <c r="J27" t="n">
        <v>0</v>
      </c>
      <c r="K27" t="n">
        <v>2</v>
      </c>
      <c r="L27" t="n">
        <v>0</v>
      </c>
      <c r="M27" t="n">
        <v>1</v>
      </c>
      <c r="N27" t="n">
        <v>1</v>
      </c>
      <c r="O27" t="n">
        <v>0</v>
      </c>
      <c r="P27" t="n">
        <v>0</v>
      </c>
      <c r="Q27" t="n">
        <v>2</v>
      </c>
      <c r="R27" t="n">
        <v>2</v>
      </c>
      <c r="S27" t="n">
        <v>4</v>
      </c>
      <c r="T27" t="n">
        <v>4</v>
      </c>
      <c r="U27" t="n">
        <v>1</v>
      </c>
      <c r="V27" s="2" t="inlineStr">
        <is>
          <t>Ask
Brunfläckig pärlemorfjäril
Jättesvampmal
Strimspindling</t>
        </is>
      </c>
      <c r="W27">
        <f>HYPERLINK("https://klasma.github.io/Logging_2180/artfynd/A 64567-2023 artfynd.xlsx", "A 64567-2023")</f>
        <v/>
      </c>
      <c r="X27">
        <f>HYPERLINK("https://klasma.github.io/Logging_2180/kartor/A 64567-2023 karta.png", "A 64567-2023")</f>
        <v/>
      </c>
      <c r="Y27">
        <f>HYPERLINK("https://klasma.github.io/Logging_2180/kartor_geotiff/A 64567-2023 georefererad karta.tif", "A 64567-2023")</f>
        <v/>
      </c>
      <c r="AA27">
        <f>HYPERLINK("https://klasma.github.io/Logging_2180/klagomål/A 64567-2023 FSC-klagomål.docx", "A 64567-2023")</f>
        <v/>
      </c>
      <c r="AB27">
        <f>HYPERLINK("https://klasma.github.io/Logging_2180/klagomålsmail/A 64567-2023 FSC-klagomål mail.docx", "A 64567-2023")</f>
        <v/>
      </c>
      <c r="AC27">
        <f>HYPERLINK("https://klasma.github.io/Logging_2180/tillsyn/A 64567-2023 tillsynsbegäran.docx", "A 64567-2023")</f>
        <v/>
      </c>
      <c r="AD27">
        <f>HYPERLINK("https://klasma.github.io/Logging_2180/tillsynsmail/A 64567-2023 tillsynsbegäran mail.docx", "A 64567-2023")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46239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46239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46239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46239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46239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46239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46239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46239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4287-2024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46239</v>
      </c>
      <c r="F36" t="inlineStr">
        <is>
          <t>GÄVLEBORGS LÄN</t>
        </is>
      </c>
      <c r="G36" t="inlineStr">
        <is>
          <t>GÄVLE</t>
        </is>
      </c>
      <c r="I36" t="n">
        <v>1.6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Järnsparv
Rödvingetrast
Talltita
Grönsiska</t>
        </is>
      </c>
      <c r="W36">
        <f>HYPERLINK("https://klasma.github.io/Logging_2180/artfynd/A 4287-2024 artfynd.xlsx", "A 4287-2024")</f>
        <v/>
      </c>
      <c r="X36">
        <f>HYPERLINK("https://klasma.github.io/Logging_2180/kartor/A 4287-2024 karta.png", "A 4287-2024")</f>
        <v/>
      </c>
      <c r="Y36">
        <f>HYPERLINK("https://klasma.github.io/Logging_2180/kartor_geotiff/A 4287-2024 georefererad karta.tif", "A 4287-2024")</f>
        <v/>
      </c>
      <c r="AA36">
        <f>HYPERLINK("https://klasma.github.io/Logging_2180/klagomål/A 4287-2024 FSC-klagomål.docx", "A 4287-2024")</f>
        <v/>
      </c>
      <c r="AB36">
        <f>HYPERLINK("https://klasma.github.io/Logging_2180/klagomålsmail/A 4287-2024 FSC-klagomål mail.docx", "A 4287-2024")</f>
        <v/>
      </c>
      <c r="AC36">
        <f>HYPERLINK("https://klasma.github.io/Logging_2180/tillsyn/A 4287-2024 tillsynsbegäran.docx", "A 4287-2024")</f>
        <v/>
      </c>
      <c r="AD36">
        <f>HYPERLINK("https://klasma.github.io/Logging_2180/tillsynsmail/A 4287-2024 tillsynsbegäran mail.docx", "A 4287-2024")</f>
        <v/>
      </c>
      <c r="AE36">
        <f>HYPERLINK("https://klasma.github.io/Logging_2180/fåglar/A 4287-2024 prioriterade fågelarter.docx", "A 4287-2024")</f>
        <v/>
      </c>
    </row>
    <row r="37" ht="15" customHeight="1">
      <c r="A37" t="inlineStr">
        <is>
          <t>A 29626-2025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45825</v>
      </c>
      <c r="E37" s="1" t="n">
        <v>46239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22.2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Brunklöver
Höstlåsbräken
Mattlummer</t>
        </is>
      </c>
      <c r="W37">
        <f>HYPERLINK("https://klasma.github.io/Logging_2180/artfynd/A 29626-2025 artfynd.xlsx", "A 29626-2025")</f>
        <v/>
      </c>
      <c r="X37">
        <f>HYPERLINK("https://klasma.github.io/Logging_2180/kartor/A 29626-2025 karta.png", "A 29626-2025")</f>
        <v/>
      </c>
      <c r="Y37">
        <f>HYPERLINK("https://klasma.github.io/Logging_2180/kartor_geotiff/A 29626-2025 georefererad karta.tif", "A 29626-2025")</f>
        <v/>
      </c>
      <c r="AA37">
        <f>HYPERLINK("https://klasma.github.io/Logging_2180/klagomål/A 29626-2025 FSC-klagomål.docx", "A 29626-2025")</f>
        <v/>
      </c>
      <c r="AB37">
        <f>HYPERLINK("https://klasma.github.io/Logging_2180/klagomålsmail/A 29626-2025 FSC-klagomål mail.docx", "A 29626-2025")</f>
        <v/>
      </c>
      <c r="AC37">
        <f>HYPERLINK("https://klasma.github.io/Logging_2180/tillsyn/A 29626-2025 tillsynsbegäran.docx", "A 29626-2025")</f>
        <v/>
      </c>
      <c r="AD37">
        <f>HYPERLINK("https://klasma.github.io/Logging_2180/tillsynsmail/A 29626-2025 tillsynsbegäran mail.docx", "A 29626-2025")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46239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46239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46239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46239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46239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46239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46239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46239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13727-2025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46239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öst AB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Ullticka
Järpe</t>
        </is>
      </c>
      <c r="W48">
        <f>HYPERLINK("https://klasma.github.io/Logging_2180/artfynd/A 13727-2025 artfynd.xlsx", "A 13727-2025")</f>
        <v/>
      </c>
      <c r="X48">
        <f>HYPERLINK("https://klasma.github.io/Logging_2180/kartor/A 13727-2025 karta.png", "A 13727-2025")</f>
        <v/>
      </c>
      <c r="Y48">
        <f>HYPERLINK("https://klasma.github.io/Logging_2180/kartor_geotiff/A 13727-2025 georefererad karta.tif", "A 13727-2025")</f>
        <v/>
      </c>
      <c r="AA48">
        <f>HYPERLINK("https://klasma.github.io/Logging_2180/klagomål/A 13727-2025 FSC-klagomål.docx", "A 13727-2025")</f>
        <v/>
      </c>
      <c r="AB48">
        <f>HYPERLINK("https://klasma.github.io/Logging_2180/klagomålsmail/A 13727-2025 FSC-klagomål mail.docx", "A 13727-2025")</f>
        <v/>
      </c>
      <c r="AC48">
        <f>HYPERLINK("https://klasma.github.io/Logging_2180/tillsyn/A 13727-2025 tillsynsbegäran.docx", "A 13727-2025")</f>
        <v/>
      </c>
      <c r="AD48">
        <f>HYPERLINK("https://klasma.github.io/Logging_2180/tillsynsmail/A 13727-2025 tillsynsbegäran mail.docx", "A 13727-2025")</f>
        <v/>
      </c>
      <c r="AE48">
        <f>HYPERLINK("https://klasma.github.io/Logging_2180/fåglar/A 13727-2025 prioriterade fågelarter.docx", "A 13727-2025")</f>
        <v/>
      </c>
    </row>
    <row r="49" ht="15" customHeight="1">
      <c r="A49" t="inlineStr">
        <is>
          <t>A 35989-2024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45533</v>
      </c>
      <c r="E49" s="1" t="n">
        <v>46239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3.1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Jättesvampmal</t>
        </is>
      </c>
      <c r="W49">
        <f>HYPERLINK("https://klasma.github.io/Logging_2180/artfynd/A 35989-2024 artfynd.xlsx", "A 35989-2024")</f>
        <v/>
      </c>
      <c r="X49">
        <f>HYPERLINK("https://klasma.github.io/Logging_2180/kartor/A 35989-2024 karta.png", "A 35989-2024")</f>
        <v/>
      </c>
      <c r="Y49">
        <f>HYPERLINK("https://klasma.github.io/Logging_2180/kartor_geotiff/A 35989-2024 georefererad karta.tif", "A 35989-2024")</f>
        <v/>
      </c>
      <c r="Z49">
        <f>HYPERLINK("https://klasma.github.io/Logging_2180/knärot/A 35989-2024 karta knärot.png", "A 35989-2024")</f>
        <v/>
      </c>
      <c r="AA49">
        <f>HYPERLINK("https://klasma.github.io/Logging_2180/klagomål/A 35989-2024 FSC-klagomål.docx", "A 35989-2024")</f>
        <v/>
      </c>
      <c r="AB49">
        <f>HYPERLINK("https://klasma.github.io/Logging_2180/klagomålsmail/A 35989-2024 FSC-klagomål mail.docx", "A 35989-2024")</f>
        <v/>
      </c>
      <c r="AC49">
        <f>HYPERLINK("https://klasma.github.io/Logging_2180/tillsyn/A 35989-2024 tillsynsbegäran.docx", "A 35989-2024")</f>
        <v/>
      </c>
      <c r="AD49">
        <f>HYPERLINK("https://klasma.github.io/Logging_2180/tillsynsmail/A 35989-2024 tillsynsbegäran mail.docx", "A 35989-2024")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46239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46239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46239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29821-2023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46239</v>
      </c>
      <c r="F53" t="inlineStr">
        <is>
          <t>GÄVLEBORGS LÄN</t>
        </is>
      </c>
      <c r="G53" t="inlineStr">
        <is>
          <t>GÄVLE</t>
        </is>
      </c>
      <c r="I53" t="n">
        <v>5.3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Järnsparv
Svartvit flugsnappare</t>
        </is>
      </c>
      <c r="W53">
        <f>HYPERLINK("https://klasma.github.io/Logging_2180/artfynd/A 29821-2023 artfynd.xlsx", "A 29821-2023")</f>
        <v/>
      </c>
      <c r="X53">
        <f>HYPERLINK("https://klasma.github.io/Logging_2180/kartor/A 29821-2023 karta.png", "A 29821-2023")</f>
        <v/>
      </c>
      <c r="Y53">
        <f>HYPERLINK("https://klasma.github.io/Logging_2180/kartor_geotiff/A 29821-2023 georefererad karta.tif", "A 29821-2023")</f>
        <v/>
      </c>
      <c r="AA53">
        <f>HYPERLINK("https://klasma.github.io/Logging_2180/klagomål/A 29821-2023 FSC-klagomål.docx", "A 29821-2023")</f>
        <v/>
      </c>
      <c r="AB53">
        <f>HYPERLINK("https://klasma.github.io/Logging_2180/klagomålsmail/A 29821-2023 FSC-klagomål mail.docx", "A 29821-2023")</f>
        <v/>
      </c>
      <c r="AC53">
        <f>HYPERLINK("https://klasma.github.io/Logging_2180/tillsyn/A 29821-2023 tillsynsbegäran.docx", "A 29821-2023")</f>
        <v/>
      </c>
      <c r="AD53">
        <f>HYPERLINK("https://klasma.github.io/Logging_2180/tillsynsmail/A 29821-2023 tillsynsbegäran mail.docx", "A 29821-2023")</f>
        <v/>
      </c>
      <c r="AE53">
        <f>HYPERLINK("https://klasma.github.io/Logging_2180/fåglar/A 29821-2023 prioriterade fågelarter.docx", "A 29821-2023")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46239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46239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64533-2023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46239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Aspvedgnagare
Jättesvampmal</t>
        </is>
      </c>
      <c r="W56">
        <f>HYPERLINK("https://klasma.github.io/Logging_2180/artfynd/A 64533-2023 artfynd.xlsx", "A 64533-2023")</f>
        <v/>
      </c>
      <c r="X56">
        <f>HYPERLINK("https://klasma.github.io/Logging_2180/kartor/A 64533-2023 karta.png", "A 64533-2023")</f>
        <v/>
      </c>
      <c r="Y56">
        <f>HYPERLINK("https://klasma.github.io/Logging_2180/kartor_geotiff/A 64533-2023 georefererad karta.tif", "A 64533-2023")</f>
        <v/>
      </c>
      <c r="AA56">
        <f>HYPERLINK("https://klasma.github.io/Logging_2180/klagomål/A 64533-2023 FSC-klagomål.docx", "A 64533-2023")</f>
        <v/>
      </c>
      <c r="AB56">
        <f>HYPERLINK("https://klasma.github.io/Logging_2180/klagomålsmail/A 64533-2023 FSC-klagomål mail.docx", "A 64533-2023")</f>
        <v/>
      </c>
      <c r="AC56">
        <f>HYPERLINK("https://klasma.github.io/Logging_2180/tillsyn/A 64533-2023 tillsynsbegäran.docx", "A 64533-2023")</f>
        <v/>
      </c>
      <c r="AD56">
        <f>HYPERLINK("https://klasma.github.io/Logging_2180/tillsynsmail/A 64533-2023 tillsynsbegäran mail.docx", "A 64533-2023")</f>
        <v/>
      </c>
    </row>
    <row r="57" ht="15" customHeight="1">
      <c r="A57" t="inlineStr">
        <is>
          <t>A 14701-2026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46239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Fläcknycklar</t>
        </is>
      </c>
      <c r="W57">
        <f>HYPERLINK("https://klasma.github.io/Logging_2180/artfynd/A 14701-2026 artfynd.xlsx", "A 14701-2026")</f>
        <v/>
      </c>
      <c r="X57">
        <f>HYPERLINK("https://klasma.github.io/Logging_2180/kartor/A 14701-2026 karta.png", "A 14701-2026")</f>
        <v/>
      </c>
      <c r="Y57">
        <f>HYPERLINK("https://klasma.github.io/Logging_2180/kartor_geotiff/A 14701-2026 georefererad karta.tif", "A 14701-2026")</f>
        <v/>
      </c>
      <c r="AA57">
        <f>HYPERLINK("https://klasma.github.io/Logging_2180/klagomål/A 14701-2026 FSC-klagomål.docx", "A 14701-2026")</f>
        <v/>
      </c>
      <c r="AB57">
        <f>HYPERLINK("https://klasma.github.io/Logging_2180/klagomålsmail/A 14701-2026 FSC-klagomål mail.docx", "A 14701-2026")</f>
        <v/>
      </c>
      <c r="AC57">
        <f>HYPERLINK("https://klasma.github.io/Logging_2180/tillsyn/A 14701-2026 tillsynsbegäran.docx", "A 14701-2026")</f>
        <v/>
      </c>
      <c r="AD57">
        <f>HYPERLINK("https://klasma.github.io/Logging_2180/tillsynsmail/A 14701-2026 tillsynsbegäran mail.docx", "A 14701-2026")</f>
        <v/>
      </c>
      <c r="AE57">
        <f>HYPERLINK("https://klasma.github.io/Logging_2180/fåglar/A 14701-2026 prioriterade fågelarter.docx", "A 14701-2026")</f>
        <v/>
      </c>
    </row>
    <row r="58" ht="15" customHeight="1">
      <c r="A58" t="inlineStr">
        <is>
          <t>A 50049-2025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46239</v>
      </c>
      <c r="F58" t="inlineStr">
        <is>
          <t>GÄVLEBORGS LÄN</t>
        </is>
      </c>
      <c r="G58" t="inlineStr">
        <is>
          <t>GÄVLE</t>
        </is>
      </c>
      <c r="H58" t="inlineStr">
        <is>
          <t>Kyrkan</t>
        </is>
      </c>
      <c r="I58" t="n">
        <v>10.3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Vårärt
Blåsippa</t>
        </is>
      </c>
      <c r="W58">
        <f>HYPERLINK("https://klasma.github.io/Logging_2180/artfynd/A 50049-2025 artfynd.xlsx", "A 50049-2025")</f>
        <v/>
      </c>
      <c r="X58">
        <f>HYPERLINK("https://klasma.github.io/Logging_2180/kartor/A 50049-2025 karta.png", "A 50049-2025")</f>
        <v/>
      </c>
      <c r="Y58">
        <f>HYPERLINK("https://klasma.github.io/Logging_2180/kartor_geotiff/A 50049-2025 georefererad karta.tif", "A 50049-2025")</f>
        <v/>
      </c>
      <c r="AA58">
        <f>HYPERLINK("https://klasma.github.io/Logging_2180/klagomål/A 50049-2025 FSC-klagomål.docx", "A 50049-2025")</f>
        <v/>
      </c>
      <c r="AB58">
        <f>HYPERLINK("https://klasma.github.io/Logging_2180/klagomålsmail/A 50049-2025 FSC-klagomål mail.docx", "A 50049-2025")</f>
        <v/>
      </c>
      <c r="AC58">
        <f>HYPERLINK("https://klasma.github.io/Logging_2180/tillsyn/A 50049-2025 tillsynsbegäran.docx", "A 50049-2025")</f>
        <v/>
      </c>
      <c r="AD58">
        <f>HYPERLINK("https://klasma.github.io/Logging_2180/tillsynsmail/A 50049-2025 tillsynsbegäran mail.docx", "A 50049-2025")</f>
        <v/>
      </c>
    </row>
    <row r="59" ht="15" customHeight="1">
      <c r="A59" t="inlineStr">
        <is>
          <t>A 22149-2026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46239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Vedtrappmossa
Rödgul trumpetsvamp</t>
        </is>
      </c>
      <c r="W59">
        <f>HYPERLINK("https://klasma.github.io/Logging_2180/artfynd/A 22149-2026 artfynd.xlsx", "A 22149-2026")</f>
        <v/>
      </c>
      <c r="X59">
        <f>HYPERLINK("https://klasma.github.io/Logging_2180/kartor/A 22149-2026 karta.png", "A 22149-2026")</f>
        <v/>
      </c>
      <c r="Y59">
        <f>HYPERLINK("https://klasma.github.io/Logging_2180/kartor_geotiff/A 22149-2026 georefererad karta.tif", "A 22149-2026")</f>
        <v/>
      </c>
      <c r="AA59">
        <f>HYPERLINK("https://klasma.github.io/Logging_2180/klagomål/A 22149-2026 FSC-klagomål.docx", "A 22149-2026")</f>
        <v/>
      </c>
      <c r="AB59">
        <f>HYPERLINK("https://klasma.github.io/Logging_2180/klagomålsmail/A 22149-2026 FSC-klagomål mail.docx", "A 22149-2026")</f>
        <v/>
      </c>
      <c r="AC59">
        <f>HYPERLINK("https://klasma.github.io/Logging_2180/tillsyn/A 22149-2026 tillsynsbegäran.docx", "A 22149-2026")</f>
        <v/>
      </c>
      <c r="AD59">
        <f>HYPERLINK("https://klasma.github.io/Logging_2180/tillsynsmail/A 22149-2026 tillsynsbegäran mail.docx", "A 22149-2026")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46239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23447-2025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46239</v>
      </c>
      <c r="F61" t="inlineStr">
        <is>
          <t>GÄVLEBORGS LÄN</t>
        </is>
      </c>
      <c r="G61" t="inlineStr">
        <is>
          <t>GÄVLE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Kopparödla
Fläcknycklar</t>
        </is>
      </c>
      <c r="W61">
        <f>HYPERLINK("https://klasma.github.io/Logging_2180/artfynd/A 23447-2025 artfynd.xlsx", "A 23447-2025")</f>
        <v/>
      </c>
      <c r="X61">
        <f>HYPERLINK("https://klasma.github.io/Logging_2180/kartor/A 23447-2025 karta.png", "A 23447-2025")</f>
        <v/>
      </c>
      <c r="Y61">
        <f>HYPERLINK("https://klasma.github.io/Logging_2180/kartor_geotiff/A 23447-2025 georefererad karta.tif", "A 23447-2025")</f>
        <v/>
      </c>
      <c r="AA61">
        <f>HYPERLINK("https://klasma.github.io/Logging_2180/klagomål/A 23447-2025 FSC-klagomål.docx", "A 23447-2025")</f>
        <v/>
      </c>
      <c r="AB61">
        <f>HYPERLINK("https://klasma.github.io/Logging_2180/klagomålsmail/A 23447-2025 FSC-klagomål mail.docx", "A 23447-2025")</f>
        <v/>
      </c>
      <c r="AC61">
        <f>HYPERLINK("https://klasma.github.io/Logging_2180/tillsyn/A 23447-2025 tillsynsbegäran.docx", "A 23447-2025")</f>
        <v/>
      </c>
      <c r="AD61">
        <f>HYPERLINK("https://klasma.github.io/Logging_2180/tillsynsmail/A 23447-2025 tillsynsbegäran mail.docx", "A 23447-2025")</f>
        <v/>
      </c>
    </row>
    <row r="62" ht="15" customHeight="1">
      <c r="A62" t="inlineStr">
        <is>
          <t>A 29634-2026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46199</v>
      </c>
      <c r="E62" s="1" t="n">
        <v>46239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6.3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Brunag
Strandlummer</t>
        </is>
      </c>
      <c r="W62">
        <f>HYPERLINK("https://klasma.github.io/Logging_2180/artfynd/A 29634-2026 artfynd.xlsx", "A 29634-2026")</f>
        <v/>
      </c>
      <c r="X62">
        <f>HYPERLINK("https://klasma.github.io/Logging_2180/kartor/A 29634-2026 karta.png", "A 29634-2026")</f>
        <v/>
      </c>
      <c r="Y62">
        <f>HYPERLINK("https://klasma.github.io/Logging_2180/kartor_geotiff/A 29634-2026 georefererad karta.tif", "A 29634-2026")</f>
        <v/>
      </c>
      <c r="AA62">
        <f>HYPERLINK("https://klasma.github.io/Logging_2180/klagomål/A 29634-2026 FSC-klagomål.docx", "A 29634-2026")</f>
        <v/>
      </c>
      <c r="AB62">
        <f>HYPERLINK("https://klasma.github.io/Logging_2180/klagomålsmail/A 29634-2026 FSC-klagomål mail.docx", "A 29634-2026")</f>
        <v/>
      </c>
      <c r="AC62">
        <f>HYPERLINK("https://klasma.github.io/Logging_2180/tillsyn/A 29634-2026 tillsynsbegäran.docx", "A 29634-2026")</f>
        <v/>
      </c>
      <c r="AD62">
        <f>HYPERLINK("https://klasma.github.io/Logging_2180/tillsynsmail/A 29634-2026 tillsynsbegäran mail.docx", "A 29634-2026")</f>
        <v/>
      </c>
    </row>
    <row r="63" ht="15" customHeight="1">
      <c r="A63" t="inlineStr">
        <is>
          <t>A 23257-2026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46239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42.1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Havsörn</t>
        </is>
      </c>
      <c r="W63">
        <f>HYPERLINK("https://klasma.github.io/Logging_2180/artfynd/A 23257-2026 artfynd.xlsx", "A 23257-2026")</f>
        <v/>
      </c>
      <c r="X63">
        <f>HYPERLINK("https://klasma.github.io/Logging_2180/kartor/A 23257-2026 karta.png", "A 23257-2026")</f>
        <v/>
      </c>
      <c r="Y63">
        <f>HYPERLINK("https://klasma.github.io/Logging_2180/kartor_geotiff/A 23257-2026 georefererad karta.tif", "A 23257-2026")</f>
        <v/>
      </c>
      <c r="AA63">
        <f>HYPERLINK("https://klasma.github.io/Logging_2180/klagomål/A 23257-2026 FSC-klagomål.docx", "A 23257-2026")</f>
        <v/>
      </c>
      <c r="AB63">
        <f>HYPERLINK("https://klasma.github.io/Logging_2180/klagomålsmail/A 23257-2026 FSC-klagomål mail.docx", "A 23257-2026")</f>
        <v/>
      </c>
      <c r="AC63">
        <f>HYPERLINK("https://klasma.github.io/Logging_2180/tillsyn/A 23257-2026 tillsynsbegäran.docx", "A 23257-2026")</f>
        <v/>
      </c>
      <c r="AD63">
        <f>HYPERLINK("https://klasma.github.io/Logging_2180/tillsynsmail/A 23257-2026 tillsynsbegäran mail.docx", "A 23257-2026")</f>
        <v/>
      </c>
      <c r="AE63">
        <f>HYPERLINK("https://klasma.github.io/Logging_2180/fåglar/A 23257-2026 prioriterade fågelarter.docx", "A 23257-2026")</f>
        <v/>
      </c>
    </row>
    <row r="64" ht="15" customHeight="1">
      <c r="A64" t="inlineStr">
        <is>
          <t>A 60202-2025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46239</v>
      </c>
      <c r="F64" t="inlineStr">
        <is>
          <t>GÄVLEBORGS LÄN</t>
        </is>
      </c>
      <c r="G64" t="inlineStr">
        <is>
          <t>GÄVLE</t>
        </is>
      </c>
      <c r="I64" t="n">
        <v>4.3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Spillkråka</t>
        </is>
      </c>
      <c r="W64">
        <f>HYPERLINK("https://klasma.github.io/Logging_2180/artfynd/A 60202-2025 artfynd.xlsx", "A 60202-2025")</f>
        <v/>
      </c>
      <c r="X64">
        <f>HYPERLINK("https://klasma.github.io/Logging_2180/kartor/A 60202-2025 karta.png", "A 60202-2025")</f>
        <v/>
      </c>
      <c r="Y64">
        <f>HYPERLINK("https://klasma.github.io/Logging_2180/kartor_geotiff/A 60202-2025 georefererad karta.tif", "A 60202-2025")</f>
        <v/>
      </c>
      <c r="AA64">
        <f>HYPERLINK("https://klasma.github.io/Logging_2180/klagomål/A 60202-2025 FSC-klagomål.docx", "A 60202-2025")</f>
        <v/>
      </c>
      <c r="AB64">
        <f>HYPERLINK("https://klasma.github.io/Logging_2180/klagomålsmail/A 60202-2025 FSC-klagomål mail.docx", "A 60202-2025")</f>
        <v/>
      </c>
      <c r="AC64">
        <f>HYPERLINK("https://klasma.github.io/Logging_2180/tillsyn/A 60202-2025 tillsynsbegäran.docx", "A 60202-2025")</f>
        <v/>
      </c>
      <c r="AD64">
        <f>HYPERLINK("https://klasma.github.io/Logging_2180/tillsynsmail/A 60202-2025 tillsynsbegäran mail.docx", "A 60202-2025")</f>
        <v/>
      </c>
      <c r="AE64">
        <f>HYPERLINK("https://klasma.github.io/Logging_2180/fåglar/A 60202-2025 prioriterade fågelarter.docx", "A 60202-2025")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46239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46239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46239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46239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14554-2026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46239</v>
      </c>
      <c r="F69" t="inlineStr">
        <is>
          <t>GÄVLEBORGS LÄN</t>
        </is>
      </c>
      <c r="G69" t="inlineStr">
        <is>
          <t>GÄVLE</t>
        </is>
      </c>
      <c r="H69" t="inlineStr">
        <is>
          <t>Övriga statliga verk och myndigheter</t>
        </is>
      </c>
      <c r="I69" t="n">
        <v>6.6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121</v>
      </c>
      <c r="U69" t="n">
        <v>0</v>
      </c>
      <c r="V69" s="2" t="inlineStr">
        <is>
          <t>Väddnätfjäril
Sotnätfjäril</t>
        </is>
      </c>
      <c r="W69">
        <f>HYPERLINK("https://klasma.github.io/Logging_2180/artfynd/A 14554-2026 artfynd.xlsx", "A 14554-2026")</f>
        <v/>
      </c>
      <c r="X69">
        <f>HYPERLINK("https://klasma.github.io/Logging_2180/kartor/A 14554-2026 karta.png", "A 14554-2026")</f>
        <v/>
      </c>
      <c r="Y69">
        <f>HYPERLINK("https://klasma.github.io/Logging_2180/kartor_geotiff/A 14554-2026 georefererad karta.tif", "A 14554-2026")</f>
        <v/>
      </c>
      <c r="AA69">
        <f>HYPERLINK("https://klasma.github.io/Logging_2180/klagomål/A 14554-2026 FSC-klagomål.docx", "A 14554-2026")</f>
        <v/>
      </c>
      <c r="AB69">
        <f>HYPERLINK("https://klasma.github.io/Logging_2180/klagomålsmail/A 14554-2026 FSC-klagomål mail.docx", "A 14554-2026")</f>
        <v/>
      </c>
      <c r="AC69">
        <f>HYPERLINK("https://klasma.github.io/Logging_2180/tillsyn/A 14554-2026 tillsynsbegäran.docx", "A 14554-2026")</f>
        <v/>
      </c>
      <c r="AD69">
        <f>HYPERLINK("https://klasma.github.io/Logging_2180/tillsynsmail/A 14554-2026 tillsynsbegäran mail.docx", "A 14554-2026")</f>
        <v/>
      </c>
    </row>
    <row r="70" ht="15" customHeight="1">
      <c r="A70" t="inlineStr">
        <is>
          <t>A 56538-2022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44887</v>
      </c>
      <c r="E70" s="1" t="n">
        <v>46239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Dropptaggsvamp
Blåsippa</t>
        </is>
      </c>
      <c r="W70">
        <f>HYPERLINK("https://klasma.github.io/Logging_2180/artfynd/A 56538-2022 artfynd.xlsx", "A 56538-2022")</f>
        <v/>
      </c>
      <c r="X70">
        <f>HYPERLINK("https://klasma.github.io/Logging_2180/kartor/A 56538-2022 karta.png", "A 56538-2022")</f>
        <v/>
      </c>
      <c r="Y70">
        <f>HYPERLINK("https://klasma.github.io/Logging_2180/kartor_geotiff/A 56538-2022 georefererad karta.tif", "A 56538-2022")</f>
        <v/>
      </c>
      <c r="AA70">
        <f>HYPERLINK("https://klasma.github.io/Logging_2180/klagomål/A 56538-2022 FSC-klagomål.docx", "A 56538-2022")</f>
        <v/>
      </c>
      <c r="AB70">
        <f>HYPERLINK("https://klasma.github.io/Logging_2180/klagomålsmail/A 56538-2022 FSC-klagomål mail.docx", "A 56538-2022")</f>
        <v/>
      </c>
      <c r="AC70">
        <f>HYPERLINK("https://klasma.github.io/Logging_2180/tillsyn/A 56538-2022 tillsynsbegäran.docx", "A 56538-2022")</f>
        <v/>
      </c>
      <c r="AD70">
        <f>HYPERLINK("https://klasma.github.io/Logging_2180/tillsynsmail/A 56538-2022 tillsynsbegäran mail.docx", "A 56538-2022")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46239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Pärluggla
Sparvuggla</t>
        </is>
      </c>
      <c r="W71">
        <f>HYPERLINK("https://klasma.github.io/Logging_2180/artfynd/A 13487-2026 artfynd.xlsx", "A 13487-2026")</f>
        <v/>
      </c>
      <c r="X71">
        <f>HYPERLINK("https://klasma.github.io/Logging_2180/kartor/A 13487-2026 karta.png", "A 13487-2026")</f>
        <v/>
      </c>
      <c r="Y71">
        <f>HYPERLINK("https://klasma.github.io/Logging_2180/kartor_geotiff/A 13487-2026 georefererad karta.tif", "A 13487-2026")</f>
        <v/>
      </c>
      <c r="AA71">
        <f>HYPERLINK("https://klasma.github.io/Logging_2180/klagomål/A 13487-2026 FSC-klagomål.docx", "A 13487-2026")</f>
        <v/>
      </c>
      <c r="AB71">
        <f>HYPERLINK("https://klasma.github.io/Logging_2180/klagomålsmail/A 13487-2026 FSC-klagomål mail.docx", "A 13487-2026")</f>
        <v/>
      </c>
      <c r="AC71">
        <f>HYPERLINK("https://klasma.github.io/Logging_2180/tillsyn/A 13487-2026 tillsynsbegäran.docx", "A 13487-2026")</f>
        <v/>
      </c>
      <c r="AD71">
        <f>HYPERLINK("https://klasma.github.io/Logging_2180/tillsynsmail/A 13487-2026 tillsynsbegäran mail.docx", "A 13487-2026")</f>
        <v/>
      </c>
      <c r="AE71">
        <f>HYPERLINK("https://klasma.github.io/Logging_2180/fåglar/A 13487-2026 prioriterade fågelarter.docx", "A 13487-2026")</f>
        <v/>
      </c>
    </row>
    <row r="72" ht="15" customHeight="1">
      <c r="A72" t="inlineStr">
        <is>
          <t>A 13248-2026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46239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Kattfotslav
Fläcknycklar</t>
        </is>
      </c>
      <c r="W72">
        <f>HYPERLINK("https://klasma.github.io/Logging_2180/artfynd/A 13248-2026 artfynd.xlsx", "A 13248-2026")</f>
        <v/>
      </c>
      <c r="X72">
        <f>HYPERLINK("https://klasma.github.io/Logging_2180/kartor/A 13248-2026 karta.png", "A 13248-2026")</f>
        <v/>
      </c>
      <c r="Y72">
        <f>HYPERLINK("https://klasma.github.io/Logging_2180/kartor_geotiff/A 13248-2026 georefererad karta.tif", "A 13248-2026")</f>
        <v/>
      </c>
      <c r="AA72">
        <f>HYPERLINK("https://klasma.github.io/Logging_2180/klagomål/A 13248-2026 FSC-klagomål.docx", "A 13248-2026")</f>
        <v/>
      </c>
      <c r="AB72">
        <f>HYPERLINK("https://klasma.github.io/Logging_2180/klagomålsmail/A 13248-2026 FSC-klagomål mail.docx", "A 13248-2026")</f>
        <v/>
      </c>
      <c r="AC72">
        <f>HYPERLINK("https://klasma.github.io/Logging_2180/tillsyn/A 13248-2026 tillsynsbegäran.docx", "A 13248-2026")</f>
        <v/>
      </c>
      <c r="AD72">
        <f>HYPERLINK("https://klasma.github.io/Logging_2180/tillsynsmail/A 13248-2026 tillsynsbegäran mail.docx", "A 13248-2026")</f>
        <v/>
      </c>
    </row>
    <row r="73" ht="15" customHeight="1">
      <c r="A73" t="inlineStr">
        <is>
          <t>A 19718-2026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46239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10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Rödvingetrast
Nattskärra</t>
        </is>
      </c>
      <c r="W73">
        <f>HYPERLINK("https://klasma.github.io/Logging_2180/artfynd/A 19718-2026 artfynd.xlsx", "A 19718-2026")</f>
        <v/>
      </c>
      <c r="X73">
        <f>HYPERLINK("https://klasma.github.io/Logging_2180/kartor/A 19718-2026 karta.png", "A 19718-2026")</f>
        <v/>
      </c>
      <c r="Y73">
        <f>HYPERLINK("https://klasma.github.io/Logging_2180/kartor_geotiff/A 19718-2026 georefererad karta.tif", "A 19718-2026")</f>
        <v/>
      </c>
      <c r="AA73">
        <f>HYPERLINK("https://klasma.github.io/Logging_2180/klagomål/A 19718-2026 FSC-klagomål.docx", "A 19718-2026")</f>
        <v/>
      </c>
      <c r="AB73">
        <f>HYPERLINK("https://klasma.github.io/Logging_2180/klagomålsmail/A 19718-2026 FSC-klagomål mail.docx", "A 19718-2026")</f>
        <v/>
      </c>
      <c r="AC73">
        <f>HYPERLINK("https://klasma.github.io/Logging_2180/tillsyn/A 19718-2026 tillsynsbegäran.docx", "A 19718-2026")</f>
        <v/>
      </c>
      <c r="AD73">
        <f>HYPERLINK("https://klasma.github.io/Logging_2180/tillsynsmail/A 19718-2026 tillsynsbegäran mail.docx", "A 19718-2026")</f>
        <v/>
      </c>
      <c r="AE73">
        <f>HYPERLINK("https://klasma.github.io/Logging_2180/fåglar/A 19718-2026 prioriterade fågelarter.docx", "A 19718-2026")</f>
        <v/>
      </c>
    </row>
    <row r="74" ht="15" customHeight="1">
      <c r="A74" t="inlineStr">
        <is>
          <t>A 20323-2026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46239</v>
      </c>
      <c r="F74" t="inlineStr">
        <is>
          <t>GÄVLEBORGS LÄN</t>
        </is>
      </c>
      <c r="G74" t="inlineStr">
        <is>
          <t>GÄVLE</t>
        </is>
      </c>
      <c r="I74" t="n">
        <v>1.4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Grön sköldmossa
Tjäder</t>
        </is>
      </c>
      <c r="W74">
        <f>HYPERLINK("https://klasma.github.io/Logging_2180/artfynd/A 20323-2026 artfynd.xlsx", "A 20323-2026")</f>
        <v/>
      </c>
      <c r="X74">
        <f>HYPERLINK("https://klasma.github.io/Logging_2180/kartor/A 20323-2026 karta.png", "A 20323-2026")</f>
        <v/>
      </c>
      <c r="Y74">
        <f>HYPERLINK("https://klasma.github.io/Logging_2180/kartor_geotiff/A 20323-2026 georefererad karta.tif", "A 20323-2026")</f>
        <v/>
      </c>
      <c r="AA74">
        <f>HYPERLINK("https://klasma.github.io/Logging_2180/klagomål/A 20323-2026 FSC-klagomål.docx", "A 20323-2026")</f>
        <v/>
      </c>
      <c r="AB74">
        <f>HYPERLINK("https://klasma.github.io/Logging_2180/klagomålsmail/A 20323-2026 FSC-klagomål mail.docx", "A 20323-2026")</f>
        <v/>
      </c>
      <c r="AC74">
        <f>HYPERLINK("https://klasma.github.io/Logging_2180/tillsyn/A 20323-2026 tillsynsbegäran.docx", "A 20323-2026")</f>
        <v/>
      </c>
      <c r="AD74">
        <f>HYPERLINK("https://klasma.github.io/Logging_2180/tillsynsmail/A 20323-2026 tillsynsbegäran mail.docx", "A 20323-2026")</f>
        <v/>
      </c>
      <c r="AE74">
        <f>HYPERLINK("https://klasma.github.io/Logging_2180/fåglar/A 20323-2026 prioriterade fågelarter.docx", "A 20323-2026")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12338-2025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45730</v>
      </c>
      <c r="E77" s="1" t="n">
        <v>46239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6.8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Skogsklocka</t>
        </is>
      </c>
      <c r="W77">
        <f>HYPERLINK("https://klasma.github.io/Logging_2180/artfynd/A 12338-2025 artfynd.xlsx", "A 12338-2025")</f>
        <v/>
      </c>
      <c r="X77">
        <f>HYPERLINK("https://klasma.github.io/Logging_2180/kartor/A 12338-2025 karta.png", "A 12338-2025")</f>
        <v/>
      </c>
      <c r="Y77">
        <f>HYPERLINK("https://klasma.github.io/Logging_2180/kartor_geotiff/A 12338-2025 georefererad karta.tif", "A 12338-2025")</f>
        <v/>
      </c>
      <c r="AA77">
        <f>HYPERLINK("https://klasma.github.io/Logging_2180/klagomål/A 12338-2025 FSC-klagomål.docx", "A 12338-2025")</f>
        <v/>
      </c>
      <c r="AB77">
        <f>HYPERLINK("https://klasma.github.io/Logging_2180/klagomålsmail/A 12338-2025 FSC-klagomål mail.docx", "A 12338-2025")</f>
        <v/>
      </c>
      <c r="AC77">
        <f>HYPERLINK("https://klasma.github.io/Logging_2180/tillsyn/A 12338-2025 tillsynsbegäran.docx", "A 12338-2025")</f>
        <v/>
      </c>
      <c r="AD77">
        <f>HYPERLINK("https://klasma.github.io/Logging_2180/tillsynsmail/A 12338-2025 tillsynsbegäran mail.docx", "A 12338-2025")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46239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30302-2025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46239</v>
      </c>
      <c r="F79" t="inlineStr">
        <is>
          <t>GÄVLEBORGS LÄN</t>
        </is>
      </c>
      <c r="G79" t="inlineStr">
        <is>
          <t>GÄVLE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Fläcknycklar</t>
        </is>
      </c>
      <c r="W79">
        <f>HYPERLINK("https://klasma.github.io/Logging_2180/artfynd/A 30302-2025 artfynd.xlsx", "A 30302-2025")</f>
        <v/>
      </c>
      <c r="X79">
        <f>HYPERLINK("https://klasma.github.io/Logging_2180/kartor/A 30302-2025 karta.png", "A 30302-2025")</f>
        <v/>
      </c>
      <c r="Y79">
        <f>HYPERLINK("https://klasma.github.io/Logging_2180/kartor_geotiff/A 30302-2025 georefererad karta.tif", "A 30302-2025")</f>
        <v/>
      </c>
      <c r="AA79">
        <f>HYPERLINK("https://klasma.github.io/Logging_2180/klagomål/A 30302-2025 FSC-klagomål.docx", "A 30302-2025")</f>
        <v/>
      </c>
      <c r="AB79">
        <f>HYPERLINK("https://klasma.github.io/Logging_2180/klagomålsmail/A 30302-2025 FSC-klagomål mail.docx", "A 30302-2025")</f>
        <v/>
      </c>
      <c r="AC79">
        <f>HYPERLINK("https://klasma.github.io/Logging_2180/tillsyn/A 30302-2025 tillsynsbegäran.docx", "A 30302-2025")</f>
        <v/>
      </c>
      <c r="AD79">
        <f>HYPERLINK("https://klasma.github.io/Logging_2180/tillsynsmail/A 30302-2025 tillsynsbegäran mail.docx", "A 30302-2025")</f>
        <v/>
      </c>
    </row>
    <row r="80" ht="15" customHeight="1">
      <c r="A80" t="inlineStr">
        <is>
          <t>A 37927-2022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46239</v>
      </c>
      <c r="F80" t="inlineStr">
        <is>
          <t>GÄVLEBORGS LÄN</t>
        </is>
      </c>
      <c r="G80" t="inlineStr">
        <is>
          <t>GÄVLE</t>
        </is>
      </c>
      <c r="I80" t="n">
        <v>1.6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10</v>
      </c>
      <c r="U80" t="n">
        <v>10</v>
      </c>
      <c r="V80" s="2" t="inlineStr">
        <is>
          <t>Knärot</t>
        </is>
      </c>
      <c r="W80">
        <f>HYPERLINK("https://klasma.github.io/Logging_2180/artfynd/A 37927-2022 artfynd.xlsx", "A 37927-2022")</f>
        <v/>
      </c>
      <c r="X80">
        <f>HYPERLINK("https://klasma.github.io/Logging_2180/kartor/A 37927-2022 karta.png", "A 37927-2022")</f>
        <v/>
      </c>
      <c r="Y80">
        <f>HYPERLINK("https://klasma.github.io/Logging_2180/kartor_geotiff/A 37927-2022 georefererad karta.tif", "A 37927-2022")</f>
        <v/>
      </c>
      <c r="Z80">
        <f>HYPERLINK("https://klasma.github.io/Logging_2180/knärot/A 37927-2022 karta knärot.png", "A 37927-2022")</f>
        <v/>
      </c>
      <c r="AA80">
        <f>HYPERLINK("https://klasma.github.io/Logging_2180/klagomål/A 37927-2022 FSC-klagomål.docx", "A 37927-2022")</f>
        <v/>
      </c>
      <c r="AB80">
        <f>HYPERLINK("https://klasma.github.io/Logging_2180/klagomålsmail/A 37927-2022 FSC-klagomål mail.docx", "A 37927-2022")</f>
        <v/>
      </c>
      <c r="AC80">
        <f>HYPERLINK("https://klasma.github.io/Logging_2180/tillsyn/A 37927-2022 tillsynsbegäran.docx", "A 37927-2022")</f>
        <v/>
      </c>
      <c r="AD80">
        <f>HYPERLINK("https://klasma.github.io/Logging_2180/tillsynsmail/A 37927-2022 tillsynsbegäran mail.docx", "A 37927-2022")</f>
        <v/>
      </c>
    </row>
    <row r="81" ht="15" customHeight="1">
      <c r="A81" t="inlineStr">
        <is>
          <t>A 11411-2025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46239</v>
      </c>
      <c r="F81" t="inlineStr">
        <is>
          <t>GÄVLEBORGS LÄN</t>
        </is>
      </c>
      <c r="G81" t="inlineStr">
        <is>
          <t>GÄVLE</t>
        </is>
      </c>
      <c r="I81" t="n">
        <v>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11411-2025 artfynd.xlsx", "A 11411-2025")</f>
        <v/>
      </c>
      <c r="X81">
        <f>HYPERLINK("https://klasma.github.io/Logging_2180/kartor/A 11411-2025 karta.png", "A 11411-2025")</f>
        <v/>
      </c>
      <c r="Y81">
        <f>HYPERLINK("https://klasma.github.io/Logging_2180/kartor_geotiff/A 11411-2025 georefererad karta.tif", "A 11411-2025")</f>
        <v/>
      </c>
      <c r="AA81">
        <f>HYPERLINK("https://klasma.github.io/Logging_2180/klagomål/A 11411-2025 FSC-klagomål.docx", "A 11411-2025")</f>
        <v/>
      </c>
      <c r="AB81">
        <f>HYPERLINK("https://klasma.github.io/Logging_2180/klagomålsmail/A 11411-2025 FSC-klagomål mail.docx", "A 11411-2025")</f>
        <v/>
      </c>
      <c r="AC81">
        <f>HYPERLINK("https://klasma.github.io/Logging_2180/tillsyn/A 11411-2025 tillsynsbegäran.docx", "A 11411-2025")</f>
        <v/>
      </c>
      <c r="AD81">
        <f>HYPERLINK("https://klasma.github.io/Logging_2180/tillsynsmail/A 11411-2025 tillsynsbegäran mail.docx", "A 11411-2025")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46239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46239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38550-2025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46239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0.5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HYPERLINK("https://klasma.github.io/Logging_2180/artfynd/A 38550-2025 artfynd.xlsx", "A 38550-2025")</f>
        <v/>
      </c>
      <c r="X84">
        <f>HYPERLINK("https://klasma.github.io/Logging_2180/kartor/A 38550-2025 karta.png", "A 38550-2025")</f>
        <v/>
      </c>
      <c r="Y84">
        <f>HYPERLINK("https://klasma.github.io/Logging_2180/kartor_geotiff/A 38550-2025 georefererad karta.tif", "A 38550-2025")</f>
        <v/>
      </c>
      <c r="AA84">
        <f>HYPERLINK("https://klasma.github.io/Logging_2180/klagomål/A 38550-2025 FSC-klagomål.docx", "A 38550-2025")</f>
        <v/>
      </c>
      <c r="AB84">
        <f>HYPERLINK("https://klasma.github.io/Logging_2180/klagomålsmail/A 38550-2025 FSC-klagomål mail.docx", "A 38550-2025")</f>
        <v/>
      </c>
      <c r="AC84">
        <f>HYPERLINK("https://klasma.github.io/Logging_2180/tillsyn/A 38550-2025 tillsynsbegäran.docx", "A 38550-2025")</f>
        <v/>
      </c>
      <c r="AD84">
        <f>HYPERLINK("https://klasma.github.io/Logging_2180/tillsynsmail/A 38550-2025 tillsynsbegäran mail.docx", "A 38550-2025")</f>
        <v/>
      </c>
    </row>
    <row r="85" ht="15" customHeight="1">
      <c r="A85" t="inlineStr">
        <is>
          <t>A 12437-2024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45379</v>
      </c>
      <c r="E85" s="1" t="n">
        <v>46239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7.4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Mindre bastardsvärmare</t>
        </is>
      </c>
      <c r="W85">
        <f>HYPERLINK("https://klasma.github.io/Logging_2180/artfynd/A 12437-2024 artfynd.xlsx", "A 12437-2024")</f>
        <v/>
      </c>
      <c r="X85">
        <f>HYPERLINK("https://klasma.github.io/Logging_2180/kartor/A 12437-2024 karta.png", "A 12437-2024")</f>
        <v/>
      </c>
      <c r="Y85">
        <f>HYPERLINK("https://klasma.github.io/Logging_2180/kartor_geotiff/A 12437-2024 georefererad karta.tif", "A 12437-2024")</f>
        <v/>
      </c>
      <c r="AA85">
        <f>HYPERLINK("https://klasma.github.io/Logging_2180/klagomål/A 12437-2024 FSC-klagomål.docx", "A 12437-2024")</f>
        <v/>
      </c>
      <c r="AB85">
        <f>HYPERLINK("https://klasma.github.io/Logging_2180/klagomålsmail/A 12437-2024 FSC-klagomål mail.docx", "A 12437-2024")</f>
        <v/>
      </c>
      <c r="AC85">
        <f>HYPERLINK("https://klasma.github.io/Logging_2180/tillsyn/A 12437-2024 tillsynsbegäran.docx", "A 12437-2024")</f>
        <v/>
      </c>
      <c r="AD85">
        <f>HYPERLINK("https://klasma.github.io/Logging_2180/tillsynsmail/A 12437-2024 tillsynsbegäran mail.docx", "A 12437-2024")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46239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46239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51508-2024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46239</v>
      </c>
      <c r="F88" t="inlineStr">
        <is>
          <t>GÄVLEBORGS LÄN</t>
        </is>
      </c>
      <c r="G88" t="inlineStr">
        <is>
          <t>GÄVLE</t>
        </is>
      </c>
      <c r="I88" t="n">
        <v>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Tibast</t>
        </is>
      </c>
      <c r="W88">
        <f>HYPERLINK("https://klasma.github.io/Logging_2180/artfynd/A 51508-2024 artfynd.xlsx", "A 51508-2024")</f>
        <v/>
      </c>
      <c r="X88">
        <f>HYPERLINK("https://klasma.github.io/Logging_2180/kartor/A 51508-2024 karta.png", "A 51508-2024")</f>
        <v/>
      </c>
      <c r="Y88">
        <f>HYPERLINK("https://klasma.github.io/Logging_2180/kartor_geotiff/A 51508-2024 georefererad karta.tif", "A 51508-2024")</f>
        <v/>
      </c>
      <c r="AA88">
        <f>HYPERLINK("https://klasma.github.io/Logging_2180/klagomål/A 51508-2024 FSC-klagomål.docx", "A 51508-2024")</f>
        <v/>
      </c>
      <c r="AB88">
        <f>HYPERLINK("https://klasma.github.io/Logging_2180/klagomålsmail/A 51508-2024 FSC-klagomål mail.docx", "A 51508-2024")</f>
        <v/>
      </c>
      <c r="AC88">
        <f>HYPERLINK("https://klasma.github.io/Logging_2180/tillsyn/A 51508-2024 tillsynsbegäran.docx", "A 51508-2024")</f>
        <v/>
      </c>
      <c r="AD88">
        <f>HYPERLINK("https://klasma.github.io/Logging_2180/tillsynsmail/A 51508-2024 tillsynsbegäran mail.docx", "A 51508-2024")</f>
        <v/>
      </c>
    </row>
    <row r="89" ht="15" customHeight="1">
      <c r="A89" t="inlineStr">
        <is>
          <t>A 35225-2024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46239</v>
      </c>
      <c r="F89" t="inlineStr">
        <is>
          <t>GÄVLEBORGS LÄN</t>
        </is>
      </c>
      <c r="G89" t="inlineStr">
        <is>
          <t>GÄVLE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35225-2024 artfynd.xlsx", "A 35225-2024")</f>
        <v/>
      </c>
      <c r="X89">
        <f>HYPERLINK("https://klasma.github.io/Logging_2180/kartor/A 35225-2024 karta.png", "A 35225-2024")</f>
        <v/>
      </c>
      <c r="Y89">
        <f>HYPERLINK("https://klasma.github.io/Logging_2180/kartor_geotiff/A 35225-2024 georefererad karta.tif", "A 35225-2024")</f>
        <v/>
      </c>
      <c r="AA89">
        <f>HYPERLINK("https://klasma.github.io/Logging_2180/klagomål/A 35225-2024 FSC-klagomål.docx", "A 35225-2024")</f>
        <v/>
      </c>
      <c r="AB89">
        <f>HYPERLINK("https://klasma.github.io/Logging_2180/klagomålsmail/A 35225-2024 FSC-klagomål mail.docx", "A 35225-2024")</f>
        <v/>
      </c>
      <c r="AC89">
        <f>HYPERLINK("https://klasma.github.io/Logging_2180/tillsyn/A 35225-2024 tillsynsbegäran.docx", "A 35225-2024")</f>
        <v/>
      </c>
      <c r="AD89">
        <f>HYPERLINK("https://klasma.github.io/Logging_2180/tillsynsmail/A 35225-2024 tillsynsbegäran mail.docx", "A 35225-2024")</f>
        <v/>
      </c>
    </row>
    <row r="90" ht="15" customHeight="1">
      <c r="A90" t="inlineStr">
        <is>
          <t>A 12083-2025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46239</v>
      </c>
      <c r="F90" t="inlineStr">
        <is>
          <t>GÄVLEBORGS LÄN</t>
        </is>
      </c>
      <c r="G90" t="inlineStr">
        <is>
          <t>GÄVLE</t>
        </is>
      </c>
      <c r="I90" t="n">
        <v>6.3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Grönsiska</t>
        </is>
      </c>
      <c r="W90">
        <f>HYPERLINK("https://klasma.github.io/Logging_2180/artfynd/A 12083-2025 artfynd.xlsx", "A 12083-2025")</f>
        <v/>
      </c>
      <c r="X90">
        <f>HYPERLINK("https://klasma.github.io/Logging_2180/kartor/A 12083-2025 karta.png", "A 12083-2025")</f>
        <v/>
      </c>
      <c r="Y90">
        <f>HYPERLINK("https://klasma.github.io/Logging_2180/kartor_geotiff/A 12083-2025 georefererad karta.tif", "A 12083-2025")</f>
        <v/>
      </c>
      <c r="AA90">
        <f>HYPERLINK("https://klasma.github.io/Logging_2180/klagomål/A 12083-2025 FSC-klagomål.docx", "A 12083-2025")</f>
        <v/>
      </c>
      <c r="AB90">
        <f>HYPERLINK("https://klasma.github.io/Logging_2180/klagomålsmail/A 12083-2025 FSC-klagomål mail.docx", "A 12083-2025")</f>
        <v/>
      </c>
      <c r="AC90">
        <f>HYPERLINK("https://klasma.github.io/Logging_2180/tillsyn/A 12083-2025 tillsynsbegäran.docx", "A 12083-2025")</f>
        <v/>
      </c>
      <c r="AD90">
        <f>HYPERLINK("https://klasma.github.io/Logging_2180/tillsynsmail/A 12083-2025 tillsynsbegäran mail.docx", "A 12083-2025")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46239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13269-2026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46239</v>
      </c>
      <c r="F92" t="inlineStr">
        <is>
          <t>GÄVLEBORGS LÄN</t>
        </is>
      </c>
      <c r="G92" t="inlineStr">
        <is>
          <t>GÄVLE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Havsörn</t>
        </is>
      </c>
      <c r="W92">
        <f>HYPERLINK("https://klasma.github.io/Logging_2180/artfynd/A 13269-2026 artfynd.xlsx", "A 13269-2026")</f>
        <v/>
      </c>
      <c r="X92">
        <f>HYPERLINK("https://klasma.github.io/Logging_2180/kartor/A 13269-2026 karta.png", "A 13269-2026")</f>
        <v/>
      </c>
      <c r="Y92">
        <f>HYPERLINK("https://klasma.github.io/Logging_2180/kartor_geotiff/A 13269-2026 georefererad karta.tif", "A 13269-2026")</f>
        <v/>
      </c>
      <c r="AA92">
        <f>HYPERLINK("https://klasma.github.io/Logging_2180/klagomål/A 13269-2026 FSC-klagomål.docx", "A 13269-2026")</f>
        <v/>
      </c>
      <c r="AB92">
        <f>HYPERLINK("https://klasma.github.io/Logging_2180/klagomålsmail/A 13269-2026 FSC-klagomål mail.docx", "A 13269-2026")</f>
        <v/>
      </c>
      <c r="AC92">
        <f>HYPERLINK("https://klasma.github.io/Logging_2180/tillsyn/A 13269-2026 tillsynsbegäran.docx", "A 13269-2026")</f>
        <v/>
      </c>
      <c r="AD92">
        <f>HYPERLINK("https://klasma.github.io/Logging_2180/tillsynsmail/A 13269-2026 tillsynsbegäran mail.docx", "A 13269-2026")</f>
        <v/>
      </c>
      <c r="AE92">
        <f>HYPERLINK("https://klasma.github.io/Logging_2180/fåglar/A 13269-2026 prioriterade fågelarter.docx", "A 13269-2026")</f>
        <v/>
      </c>
    </row>
    <row r="93" ht="15" customHeight="1">
      <c r="A93" t="inlineStr">
        <is>
          <t>A 14703-2026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46239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HYPERLINK("https://klasma.github.io/Logging_2180/artfynd/A 14703-2026 artfynd.xlsx", "A 14703-2026")</f>
        <v/>
      </c>
      <c r="X93">
        <f>HYPERLINK("https://klasma.github.io/Logging_2180/kartor/A 14703-2026 karta.png", "A 14703-2026")</f>
        <v/>
      </c>
      <c r="Y93">
        <f>HYPERLINK("https://klasma.github.io/Logging_2180/kartor_geotiff/A 14703-2026 georefererad karta.tif", "A 14703-2026")</f>
        <v/>
      </c>
      <c r="AA93">
        <f>HYPERLINK("https://klasma.github.io/Logging_2180/klagomål/A 14703-2026 FSC-klagomål.docx", "A 14703-2026")</f>
        <v/>
      </c>
      <c r="AB93">
        <f>HYPERLINK("https://klasma.github.io/Logging_2180/klagomålsmail/A 14703-2026 FSC-klagomål mail.docx", "A 14703-2026")</f>
        <v/>
      </c>
      <c r="AC93">
        <f>HYPERLINK("https://klasma.github.io/Logging_2180/tillsyn/A 14703-2026 tillsynsbegäran.docx", "A 14703-2026")</f>
        <v/>
      </c>
      <c r="AD93">
        <f>HYPERLINK("https://klasma.github.io/Logging_2180/tillsynsmail/A 14703-2026 tillsynsbegäran mail.docx", "A 14703-2026")</f>
        <v/>
      </c>
      <c r="AE93">
        <f>HYPERLINK("https://klasma.github.io/Logging_2180/fåglar/A 14703-2026 prioriterade fågelarter.docx", "A 14703-2026")</f>
        <v/>
      </c>
    </row>
    <row r="94" ht="15" customHeight="1">
      <c r="A94" t="inlineStr">
        <is>
          <t>A 11407-2025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46239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Myskmadra</t>
        </is>
      </c>
      <c r="W94">
        <f>HYPERLINK("https://klasma.github.io/Logging_2180/artfynd/A 11407-2025 artfynd.xlsx", "A 11407-2025")</f>
        <v/>
      </c>
      <c r="X94">
        <f>HYPERLINK("https://klasma.github.io/Logging_2180/kartor/A 11407-2025 karta.png", "A 11407-2025")</f>
        <v/>
      </c>
      <c r="Y94">
        <f>HYPERLINK("https://klasma.github.io/Logging_2180/kartor_geotiff/A 11407-2025 georefererad karta.tif", "A 11407-2025")</f>
        <v/>
      </c>
      <c r="AA94">
        <f>HYPERLINK("https://klasma.github.io/Logging_2180/klagomål/A 11407-2025 FSC-klagomål.docx", "A 11407-2025")</f>
        <v/>
      </c>
      <c r="AB94">
        <f>HYPERLINK("https://klasma.github.io/Logging_2180/klagomålsmail/A 11407-2025 FSC-klagomål mail.docx", "A 11407-2025")</f>
        <v/>
      </c>
      <c r="AC94">
        <f>HYPERLINK("https://klasma.github.io/Logging_2180/tillsyn/A 11407-2025 tillsynsbegäran.docx", "A 11407-2025")</f>
        <v/>
      </c>
      <c r="AD94">
        <f>HYPERLINK("https://klasma.github.io/Logging_2180/tillsynsmail/A 11407-2025 tillsynsbegäran mail.docx", "A 11407-2025")</f>
        <v/>
      </c>
    </row>
    <row r="95" ht="15" customHeight="1">
      <c r="A95" t="inlineStr">
        <is>
          <t>A 49393-2025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46239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49393-2025 artfynd.xlsx", "A 49393-2025")</f>
        <v/>
      </c>
      <c r="X95">
        <f>HYPERLINK("https://klasma.github.io/Logging_2180/kartor/A 49393-2025 karta.png", "A 49393-2025")</f>
        <v/>
      </c>
      <c r="Y95">
        <f>HYPERLINK("https://klasma.github.io/Logging_2180/kartor_geotiff/A 49393-2025 georefererad karta.tif", "A 49393-2025")</f>
        <v/>
      </c>
      <c r="AA95">
        <f>HYPERLINK("https://klasma.github.io/Logging_2180/klagomål/A 49393-2025 FSC-klagomål.docx", "A 49393-2025")</f>
        <v/>
      </c>
      <c r="AB95">
        <f>HYPERLINK("https://klasma.github.io/Logging_2180/klagomålsmail/A 49393-2025 FSC-klagomål mail.docx", "A 49393-2025")</f>
        <v/>
      </c>
      <c r="AC95">
        <f>HYPERLINK("https://klasma.github.io/Logging_2180/tillsyn/A 49393-2025 tillsynsbegäran.docx", "A 49393-2025")</f>
        <v/>
      </c>
      <c r="AD95">
        <f>HYPERLINK("https://klasma.github.io/Logging_2180/tillsynsmail/A 49393-2025 tillsynsbegäran mail.docx", "A 49393-2025")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46239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63036-2023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46239</v>
      </c>
      <c r="F97" t="inlineStr">
        <is>
          <t>GÄVLEBORGS LÄN</t>
        </is>
      </c>
      <c r="G97" t="inlineStr">
        <is>
          <t>GÄVLE</t>
        </is>
      </c>
      <c r="I97" t="n">
        <v>12.7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HYPERLINK("https://klasma.github.io/Logging_2180/artfynd/A 63036-2023 artfynd.xlsx", "A 63036-2023")</f>
        <v/>
      </c>
      <c r="X97">
        <f>HYPERLINK("https://klasma.github.io/Logging_2180/kartor/A 63036-2023 karta.png", "A 63036-2023")</f>
        <v/>
      </c>
      <c r="Y97">
        <f>HYPERLINK("https://klasma.github.io/Logging_2180/kartor_geotiff/A 63036-2023 georefererad karta.tif", "A 63036-2023")</f>
        <v/>
      </c>
      <c r="AA97">
        <f>HYPERLINK("https://klasma.github.io/Logging_2180/klagomål/A 63036-2023 FSC-klagomål.docx", "A 63036-2023")</f>
        <v/>
      </c>
      <c r="AB97">
        <f>HYPERLINK("https://klasma.github.io/Logging_2180/klagomålsmail/A 63036-2023 FSC-klagomål mail.docx", "A 63036-2023")</f>
        <v/>
      </c>
      <c r="AC97">
        <f>HYPERLINK("https://klasma.github.io/Logging_2180/tillsyn/A 63036-2023 tillsynsbegäran.docx", "A 63036-2023")</f>
        <v/>
      </c>
      <c r="AD97">
        <f>HYPERLINK("https://klasma.github.io/Logging_2180/tillsynsmail/A 63036-2023 tillsynsbegäran mail.docx", "A 63036-2023")</f>
        <v/>
      </c>
    </row>
    <row r="98" ht="15" customHeight="1">
      <c r="A98" t="inlineStr">
        <is>
          <t>A 12381-2023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46239</v>
      </c>
      <c r="F98" t="inlineStr">
        <is>
          <t>GÄVLEBORGS LÄN</t>
        </is>
      </c>
      <c r="G98" t="inlineStr">
        <is>
          <t>GÄVLE</t>
        </is>
      </c>
      <c r="I98" t="n">
        <v>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Brunlångöra</t>
        </is>
      </c>
      <c r="W98">
        <f>HYPERLINK("https://klasma.github.io/Logging_2180/artfynd/A 12381-2023 artfynd.xlsx", "A 12381-2023")</f>
        <v/>
      </c>
      <c r="X98">
        <f>HYPERLINK("https://klasma.github.io/Logging_2180/kartor/A 12381-2023 karta.png", "A 12381-2023")</f>
        <v/>
      </c>
      <c r="Y98">
        <f>HYPERLINK("https://klasma.github.io/Logging_2180/kartor_geotiff/A 12381-2023 georefererad karta.tif", "A 12381-2023")</f>
        <v/>
      </c>
      <c r="AA98">
        <f>HYPERLINK("https://klasma.github.io/Logging_2180/klagomål/A 12381-2023 FSC-klagomål.docx", "A 12381-2023")</f>
        <v/>
      </c>
      <c r="AB98">
        <f>HYPERLINK("https://klasma.github.io/Logging_2180/klagomålsmail/A 12381-2023 FSC-klagomål mail.docx", "A 12381-2023")</f>
        <v/>
      </c>
      <c r="AC98">
        <f>HYPERLINK("https://klasma.github.io/Logging_2180/tillsyn/A 12381-2023 tillsynsbegäran.docx", "A 12381-2023")</f>
        <v/>
      </c>
      <c r="AD98">
        <f>HYPERLINK("https://klasma.github.io/Logging_2180/tillsynsmail/A 12381-2023 tillsynsbegäran mail.docx", "A 12381-2023")</f>
        <v/>
      </c>
    </row>
    <row r="99" ht="15" customHeight="1">
      <c r="A99" t="inlineStr">
        <is>
          <t>A 22052-2026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46239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Gullpudra</t>
        </is>
      </c>
      <c r="W99">
        <f>HYPERLINK("https://klasma.github.io/Logging_2180/artfynd/A 22052-2026 artfynd.xlsx", "A 22052-2026")</f>
        <v/>
      </c>
      <c r="X99">
        <f>HYPERLINK("https://klasma.github.io/Logging_2180/kartor/A 22052-2026 karta.png", "A 22052-2026")</f>
        <v/>
      </c>
      <c r="Y99">
        <f>HYPERLINK("https://klasma.github.io/Logging_2180/kartor_geotiff/A 22052-2026 georefererad karta.tif", "A 22052-2026")</f>
        <v/>
      </c>
      <c r="AA99">
        <f>HYPERLINK("https://klasma.github.io/Logging_2180/klagomål/A 22052-2026 FSC-klagomål.docx", "A 22052-2026")</f>
        <v/>
      </c>
      <c r="AB99">
        <f>HYPERLINK("https://klasma.github.io/Logging_2180/klagomålsmail/A 22052-2026 FSC-klagomål mail.docx", "A 22052-2026")</f>
        <v/>
      </c>
      <c r="AC99">
        <f>HYPERLINK("https://klasma.github.io/Logging_2180/tillsyn/A 22052-2026 tillsynsbegäran.docx", "A 22052-2026")</f>
        <v/>
      </c>
      <c r="AD99">
        <f>HYPERLINK("https://klasma.github.io/Logging_2180/tillsynsmail/A 22052-2026 tillsynsbegäran mail.docx", "A 22052-2026")</f>
        <v/>
      </c>
    </row>
    <row r="100" ht="15" customHeight="1">
      <c r="A100" t="inlineStr">
        <is>
          <t>A 28546-2026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46197</v>
      </c>
      <c r="E100" s="1" t="n">
        <v>46239</v>
      </c>
      <c r="F100" t="inlineStr">
        <is>
          <t>GÄVLEBORGS LÄN</t>
        </is>
      </c>
      <c r="G100" t="inlineStr">
        <is>
          <t>GÄVLE</t>
        </is>
      </c>
      <c r="H100" t="inlineStr">
        <is>
          <t>BillerudKorsnäs AB</t>
        </is>
      </c>
      <c r="I100" t="n">
        <v>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Fiskgjuse</t>
        </is>
      </c>
      <c r="W100">
        <f>HYPERLINK("https://klasma.github.io/Logging_2180/artfynd/A 28546-2026 artfynd.xlsx", "A 28546-2026")</f>
        <v/>
      </c>
      <c r="X100">
        <f>HYPERLINK("https://klasma.github.io/Logging_2180/kartor/A 28546-2026 karta.png", "A 28546-2026")</f>
        <v/>
      </c>
      <c r="Y100">
        <f>HYPERLINK("https://klasma.github.io/Logging_2180/kartor_geotiff/A 28546-2026 georefererad karta.tif", "A 28546-2026")</f>
        <v/>
      </c>
      <c r="AA100">
        <f>HYPERLINK("https://klasma.github.io/Logging_2180/klagomål/A 28546-2026 FSC-klagomål.docx", "A 28546-2026")</f>
        <v/>
      </c>
      <c r="AB100">
        <f>HYPERLINK("https://klasma.github.io/Logging_2180/klagomålsmail/A 28546-2026 FSC-klagomål mail.docx", "A 28546-2026")</f>
        <v/>
      </c>
      <c r="AC100">
        <f>HYPERLINK("https://klasma.github.io/Logging_2180/tillsyn/A 28546-2026 tillsynsbegäran.docx", "A 28546-2026")</f>
        <v/>
      </c>
      <c r="AD100">
        <f>HYPERLINK("https://klasma.github.io/Logging_2180/tillsynsmail/A 28546-2026 tillsynsbegäran mail.docx", "A 28546-2026")</f>
        <v/>
      </c>
      <c r="AE100">
        <f>HYPERLINK("https://klasma.github.io/Logging_2180/fåglar/A 28546-2026 prioriterade fågelarter.docx", "A 28546-2026")</f>
        <v/>
      </c>
    </row>
    <row r="101" ht="15" customHeight="1">
      <c r="A101" t="inlineStr">
        <is>
          <t>A 54252-2025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46239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HYPERLINK("https://klasma.github.io/Logging_2180/artfynd/A 54252-2025 artfynd.xlsx", "A 54252-2025")</f>
        <v/>
      </c>
      <c r="X101">
        <f>HYPERLINK("https://klasma.github.io/Logging_2180/kartor/A 54252-2025 karta.png", "A 54252-2025")</f>
        <v/>
      </c>
      <c r="Y101">
        <f>HYPERLINK("https://klasma.github.io/Logging_2180/kartor_geotiff/A 54252-2025 georefererad karta.tif", "A 54252-2025")</f>
        <v/>
      </c>
      <c r="AA101">
        <f>HYPERLINK("https://klasma.github.io/Logging_2180/klagomål/A 54252-2025 FSC-klagomål.docx", "A 54252-2025")</f>
        <v/>
      </c>
      <c r="AB101">
        <f>HYPERLINK("https://klasma.github.io/Logging_2180/klagomålsmail/A 54252-2025 FSC-klagomål mail.docx", "A 54252-2025")</f>
        <v/>
      </c>
      <c r="AC101">
        <f>HYPERLINK("https://klasma.github.io/Logging_2180/tillsyn/A 54252-2025 tillsynsbegäran.docx", "A 54252-2025")</f>
        <v/>
      </c>
      <c r="AD101">
        <f>HYPERLINK("https://klasma.github.io/Logging_2180/tillsynsmail/A 54252-2025 tillsynsbegäran mail.docx", "A 54252-2025")</f>
        <v/>
      </c>
    </row>
    <row r="102" ht="15" customHeight="1">
      <c r="A102" t="inlineStr">
        <is>
          <t>A 23003-2026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46160</v>
      </c>
      <c r="E102" s="1" t="n">
        <v>46239</v>
      </c>
      <c r="F102" t="inlineStr">
        <is>
          <t>GÄVLEBORGS LÄN</t>
        </is>
      </c>
      <c r="G102" t="inlineStr">
        <is>
          <t>GÄVLE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Tjäder</t>
        </is>
      </c>
      <c r="W102">
        <f>HYPERLINK("https://klasma.github.io/Logging_2180/artfynd/A 23003-2026 artfynd.xlsx", "A 23003-2026")</f>
        <v/>
      </c>
      <c r="X102">
        <f>HYPERLINK("https://klasma.github.io/Logging_2180/kartor/A 23003-2026 karta.png", "A 23003-2026")</f>
        <v/>
      </c>
      <c r="Y102">
        <f>HYPERLINK("https://klasma.github.io/Logging_2180/kartor_geotiff/A 23003-2026 georefererad karta.tif", "A 23003-2026")</f>
        <v/>
      </c>
      <c r="AA102">
        <f>HYPERLINK("https://klasma.github.io/Logging_2180/klagomål/A 23003-2026 FSC-klagomål.docx", "A 23003-2026")</f>
        <v/>
      </c>
      <c r="AB102">
        <f>HYPERLINK("https://klasma.github.io/Logging_2180/klagomålsmail/A 23003-2026 FSC-klagomål mail.docx", "A 23003-2026")</f>
        <v/>
      </c>
      <c r="AC102">
        <f>HYPERLINK("https://klasma.github.io/Logging_2180/tillsyn/A 23003-2026 tillsynsbegäran.docx", "A 23003-2026")</f>
        <v/>
      </c>
      <c r="AD102">
        <f>HYPERLINK("https://klasma.github.io/Logging_2180/tillsynsmail/A 23003-2026 tillsynsbegäran mail.docx", "A 23003-2026")</f>
        <v/>
      </c>
      <c r="AE102">
        <f>HYPERLINK("https://klasma.github.io/Logging_2180/fåglar/A 23003-2026 prioriterade fågelarter.docx", "A 23003-2026")</f>
        <v/>
      </c>
    </row>
    <row r="103" ht="15" customHeight="1">
      <c r="A103" t="inlineStr">
        <is>
          <t>A 22892-2026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46239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22892-2026 artfynd.xlsx", "A 22892-2026")</f>
        <v/>
      </c>
      <c r="X103">
        <f>HYPERLINK("https://klasma.github.io/Logging_2180/kartor/A 22892-2026 karta.png", "A 22892-2026")</f>
        <v/>
      </c>
      <c r="Y103">
        <f>HYPERLINK("https://klasma.github.io/Logging_2180/kartor_geotiff/A 22892-2026 georefererad karta.tif", "A 22892-2026")</f>
        <v/>
      </c>
      <c r="AA103">
        <f>HYPERLINK("https://klasma.github.io/Logging_2180/klagomål/A 22892-2026 FSC-klagomål.docx", "A 22892-2026")</f>
        <v/>
      </c>
      <c r="AB103">
        <f>HYPERLINK("https://klasma.github.io/Logging_2180/klagomålsmail/A 22892-2026 FSC-klagomål mail.docx", "A 22892-2026")</f>
        <v/>
      </c>
      <c r="AC103">
        <f>HYPERLINK("https://klasma.github.io/Logging_2180/tillsyn/A 22892-2026 tillsynsbegäran.docx", "A 22892-2026")</f>
        <v/>
      </c>
      <c r="AD103">
        <f>HYPERLINK("https://klasma.github.io/Logging_2180/tillsynsmail/A 22892-2026 tillsynsbegäran mail.docx", "A 22892-2026")</f>
        <v/>
      </c>
      <c r="AE103">
        <f>HYPERLINK("https://klasma.github.io/Logging_2180/fåglar/A 22892-2026 prioriterade fågelarter.docx", "A 22892-2026")</f>
        <v/>
      </c>
    </row>
    <row r="104" ht="15" customHeight="1">
      <c r="A104" t="inlineStr">
        <is>
          <t>A 54963-2025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46239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7.9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HYPERLINK("https://klasma.github.io/Logging_2180/artfynd/A 54963-2025 artfynd.xlsx", "A 54963-2025")</f>
        <v/>
      </c>
      <c r="X104">
        <f>HYPERLINK("https://klasma.github.io/Logging_2180/kartor/A 54963-2025 karta.png", "A 54963-2025")</f>
        <v/>
      </c>
      <c r="Y104">
        <f>HYPERLINK("https://klasma.github.io/Logging_2180/kartor_geotiff/A 54963-2025 georefererad karta.tif", "A 54963-2025")</f>
        <v/>
      </c>
      <c r="AA104">
        <f>HYPERLINK("https://klasma.github.io/Logging_2180/klagomål/A 54963-2025 FSC-klagomål.docx", "A 54963-2025")</f>
        <v/>
      </c>
      <c r="AB104">
        <f>HYPERLINK("https://klasma.github.io/Logging_2180/klagomålsmail/A 54963-2025 FSC-klagomål mail.docx", "A 54963-2025")</f>
        <v/>
      </c>
      <c r="AC104">
        <f>HYPERLINK("https://klasma.github.io/Logging_2180/tillsyn/A 54963-2025 tillsynsbegäran.docx", "A 54963-2025")</f>
        <v/>
      </c>
      <c r="AD104">
        <f>HYPERLINK("https://klasma.github.io/Logging_2180/tillsynsmail/A 54963-2025 tillsynsbegäran mail.docx", "A 54963-2025")</f>
        <v/>
      </c>
    </row>
    <row r="105" ht="15" customHeight="1">
      <c r="A105" t="inlineStr">
        <is>
          <t>A 10333-2025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45720</v>
      </c>
      <c r="E105" s="1" t="n">
        <v>46239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Tjäder</t>
        </is>
      </c>
      <c r="W105">
        <f>HYPERLINK("https://klasma.github.io/Logging_2180/artfynd/A 10333-2025 artfynd.xlsx", "A 10333-2025")</f>
        <v/>
      </c>
      <c r="X105">
        <f>HYPERLINK("https://klasma.github.io/Logging_2180/kartor/A 10333-2025 karta.png", "A 10333-2025")</f>
        <v/>
      </c>
      <c r="Y105">
        <f>HYPERLINK("https://klasma.github.io/Logging_2180/kartor_geotiff/A 10333-2025 georefererad karta.tif", "A 10333-2025")</f>
        <v/>
      </c>
      <c r="AA105">
        <f>HYPERLINK("https://klasma.github.io/Logging_2180/klagomål/A 10333-2025 FSC-klagomål.docx", "A 10333-2025")</f>
        <v/>
      </c>
      <c r="AB105">
        <f>HYPERLINK("https://klasma.github.io/Logging_2180/klagomålsmail/A 10333-2025 FSC-klagomål mail.docx", "A 10333-2025")</f>
        <v/>
      </c>
      <c r="AC105">
        <f>HYPERLINK("https://klasma.github.io/Logging_2180/tillsyn/A 10333-2025 tillsynsbegäran.docx", "A 10333-2025")</f>
        <v/>
      </c>
      <c r="AD105">
        <f>HYPERLINK("https://klasma.github.io/Logging_2180/tillsynsmail/A 10333-2025 tillsynsbegäran mail.docx", "A 10333-2025")</f>
        <v/>
      </c>
      <c r="AE105">
        <f>HYPERLINK("https://klasma.github.io/Logging_2180/fåglar/A 10333-2025 prioriterade fågelarter.docx", "A 10333-2025")</f>
        <v/>
      </c>
    </row>
    <row r="106" ht="15" customHeight="1">
      <c r="A106" t="inlineStr">
        <is>
          <t>A 47642-2024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46239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Orre</t>
        </is>
      </c>
      <c r="W106">
        <f>HYPERLINK("https://klasma.github.io/Logging_2180/artfynd/A 47642-2024 artfynd.xlsx", "A 47642-2024")</f>
        <v/>
      </c>
      <c r="X106">
        <f>HYPERLINK("https://klasma.github.io/Logging_2180/kartor/A 47642-2024 karta.png", "A 47642-2024")</f>
        <v/>
      </c>
      <c r="Y106">
        <f>HYPERLINK("https://klasma.github.io/Logging_2180/kartor_geotiff/A 47642-2024 georefererad karta.tif", "A 47642-2024")</f>
        <v/>
      </c>
      <c r="AA106">
        <f>HYPERLINK("https://klasma.github.io/Logging_2180/klagomål/A 47642-2024 FSC-klagomål.docx", "A 47642-2024")</f>
        <v/>
      </c>
      <c r="AB106">
        <f>HYPERLINK("https://klasma.github.io/Logging_2180/klagomålsmail/A 47642-2024 FSC-klagomål mail.docx", "A 47642-2024")</f>
        <v/>
      </c>
      <c r="AC106">
        <f>HYPERLINK("https://klasma.github.io/Logging_2180/tillsyn/A 47642-2024 tillsynsbegäran.docx", "A 47642-2024")</f>
        <v/>
      </c>
      <c r="AD106">
        <f>HYPERLINK("https://klasma.github.io/Logging_2180/tillsynsmail/A 47642-2024 tillsynsbegäran mail.docx", "A 47642-2024")</f>
        <v/>
      </c>
      <c r="AE106">
        <f>HYPERLINK("https://klasma.github.io/Logging_2180/fåglar/A 47642-2024 prioriterade fågelarter.docx", "A 47642-2024")</f>
        <v/>
      </c>
    </row>
    <row r="107" ht="15" customHeight="1">
      <c r="A107" t="inlineStr">
        <is>
          <t>A 58204-2025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45984</v>
      </c>
      <c r="E107" s="1" t="n">
        <v>46239</v>
      </c>
      <c r="F107" t="inlineStr">
        <is>
          <t>GÄVLEBORGS LÄN</t>
        </is>
      </c>
      <c r="G107" t="inlineStr">
        <is>
          <t>GÄVLE</t>
        </is>
      </c>
      <c r="I107" t="n">
        <v>4.4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Spillkråka</t>
        </is>
      </c>
      <c r="W107">
        <f>HYPERLINK("https://klasma.github.io/Logging_2180/artfynd/A 58204-2025 artfynd.xlsx", "A 58204-2025")</f>
        <v/>
      </c>
      <c r="X107">
        <f>HYPERLINK("https://klasma.github.io/Logging_2180/kartor/A 58204-2025 karta.png", "A 58204-2025")</f>
        <v/>
      </c>
      <c r="Y107">
        <f>HYPERLINK("https://klasma.github.io/Logging_2180/kartor_geotiff/A 58204-2025 georefererad karta.tif", "A 58204-2025")</f>
        <v/>
      </c>
      <c r="AA107">
        <f>HYPERLINK("https://klasma.github.io/Logging_2180/klagomål/A 58204-2025 FSC-klagomål.docx", "A 58204-2025")</f>
        <v/>
      </c>
      <c r="AB107">
        <f>HYPERLINK("https://klasma.github.io/Logging_2180/klagomålsmail/A 58204-2025 FSC-klagomål mail.docx", "A 58204-2025")</f>
        <v/>
      </c>
      <c r="AC107">
        <f>HYPERLINK("https://klasma.github.io/Logging_2180/tillsyn/A 58204-2025 tillsynsbegäran.docx", "A 58204-2025")</f>
        <v/>
      </c>
      <c r="AD107">
        <f>HYPERLINK("https://klasma.github.io/Logging_2180/tillsynsmail/A 58204-2025 tillsynsbegäran mail.docx", "A 58204-2025")</f>
        <v/>
      </c>
      <c r="AE107">
        <f>HYPERLINK("https://klasma.github.io/Logging_2180/fåglar/A 58204-2025 prioriterade fågelarter.docx", "A 58204-2025")</f>
        <v/>
      </c>
    </row>
    <row r="108" ht="15" customHeight="1">
      <c r="A108" t="inlineStr">
        <is>
          <t>A 31448-2026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46239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6.8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tåtelsmygare</t>
        </is>
      </c>
      <c r="W108">
        <f>HYPERLINK("https://klasma.github.io/Logging_2180/artfynd/A 31448-2026 artfynd.xlsx", "A 31448-2026")</f>
        <v/>
      </c>
      <c r="X108">
        <f>HYPERLINK("https://klasma.github.io/Logging_2180/kartor/A 31448-2026 karta.png", "A 31448-2026")</f>
        <v/>
      </c>
      <c r="Y108">
        <f>HYPERLINK("https://klasma.github.io/Logging_2180/kartor_geotiff/A 31448-2026 georefererad karta.tif", "A 31448-2026")</f>
        <v/>
      </c>
      <c r="AA108">
        <f>HYPERLINK("https://klasma.github.io/Logging_2180/klagomål/A 31448-2026 FSC-klagomål.docx", "A 31448-2026")</f>
        <v/>
      </c>
      <c r="AB108">
        <f>HYPERLINK("https://klasma.github.io/Logging_2180/klagomålsmail/A 31448-2026 FSC-klagomål mail.docx", "A 31448-2026")</f>
        <v/>
      </c>
      <c r="AC108">
        <f>HYPERLINK("https://klasma.github.io/Logging_2180/tillsyn/A 31448-2026 tillsynsbegäran.docx", "A 31448-2026")</f>
        <v/>
      </c>
      <c r="AD108">
        <f>HYPERLINK("https://klasma.github.io/Logging_2180/tillsynsmail/A 31448-2026 tillsynsbegäran mail.docx", "A 31448-2026")</f>
        <v/>
      </c>
    </row>
    <row r="109" ht="15" customHeight="1">
      <c r="A109" t="inlineStr">
        <is>
          <t>A 63288-2025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46010</v>
      </c>
      <c r="E109" s="1" t="n">
        <v>46239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5.3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Scharlakansskål</t>
        </is>
      </c>
      <c r="W109">
        <f>HYPERLINK("https://klasma.github.io/Logging_2180/artfynd/A 63288-2025 artfynd.xlsx", "A 63288-2025")</f>
        <v/>
      </c>
      <c r="X109">
        <f>HYPERLINK("https://klasma.github.io/Logging_2180/kartor/A 63288-2025 karta.png", "A 63288-2025")</f>
        <v/>
      </c>
      <c r="Y109">
        <f>HYPERLINK("https://klasma.github.io/Logging_2180/kartor_geotiff/A 63288-2025 georefererad karta.tif", "A 63288-2025")</f>
        <v/>
      </c>
      <c r="AA109">
        <f>HYPERLINK("https://klasma.github.io/Logging_2180/klagomål/A 63288-2025 FSC-klagomål.docx", "A 63288-2025")</f>
        <v/>
      </c>
      <c r="AB109">
        <f>HYPERLINK("https://klasma.github.io/Logging_2180/klagomålsmail/A 63288-2025 FSC-klagomål mail.docx", "A 63288-2025")</f>
        <v/>
      </c>
      <c r="AC109">
        <f>HYPERLINK("https://klasma.github.io/Logging_2180/tillsyn/A 63288-2025 tillsynsbegäran.docx", "A 63288-2025")</f>
        <v/>
      </c>
      <c r="AD109">
        <f>HYPERLINK("https://klasma.github.io/Logging_2180/tillsynsmail/A 63288-2025 tillsynsbegäran mail.docx", "A 63288-2025")</f>
        <v/>
      </c>
    </row>
    <row r="110" ht="15" customHeight="1">
      <c r="A110" t="inlineStr">
        <is>
          <t>A 27043-2026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46239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27043-2026 artfynd.xlsx", "A 27043-2026")</f>
        <v/>
      </c>
      <c r="X110">
        <f>HYPERLINK("https://klasma.github.io/Logging_2180/kartor/A 27043-2026 karta.png", "A 27043-2026")</f>
        <v/>
      </c>
      <c r="Y110">
        <f>HYPERLINK("https://klasma.github.io/Logging_2180/kartor_geotiff/A 27043-2026 georefererad karta.tif", "A 27043-2026")</f>
        <v/>
      </c>
      <c r="AA110">
        <f>HYPERLINK("https://klasma.github.io/Logging_2180/klagomål/A 27043-2026 FSC-klagomål.docx", "A 27043-2026")</f>
        <v/>
      </c>
      <c r="AB110">
        <f>HYPERLINK("https://klasma.github.io/Logging_2180/klagomålsmail/A 27043-2026 FSC-klagomål mail.docx", "A 27043-2026")</f>
        <v/>
      </c>
      <c r="AC110">
        <f>HYPERLINK("https://klasma.github.io/Logging_2180/tillsyn/A 27043-2026 tillsynsbegäran.docx", "A 27043-2026")</f>
        <v/>
      </c>
      <c r="AD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26871-2026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46239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HYPERLINK("https://klasma.github.io/Logging_2180/artfynd/A 26871-2026 artfynd.xlsx", "A 26871-2026")</f>
        <v/>
      </c>
      <c r="X111">
        <f>HYPERLINK("https://klasma.github.io/Logging_2180/kartor/A 26871-2026 karta.png", "A 26871-2026")</f>
        <v/>
      </c>
      <c r="Y111">
        <f>HYPERLINK("https://klasma.github.io/Logging_2180/kartor_geotiff/A 26871-2026 georefererad karta.tif", "A 26871-2026")</f>
        <v/>
      </c>
      <c r="AA111">
        <f>HYPERLINK("https://klasma.github.io/Logging_2180/klagomål/A 26871-2026 FSC-klagomål.docx", "A 26871-2026")</f>
        <v/>
      </c>
      <c r="AB111">
        <f>HYPERLINK("https://klasma.github.io/Logging_2180/klagomålsmail/A 26871-2026 FSC-klagomål mail.docx", "A 26871-2026")</f>
        <v/>
      </c>
      <c r="AC111">
        <f>HYPERLINK("https://klasma.github.io/Logging_2180/tillsyn/A 26871-2026 tillsynsbegäran.docx", "A 26871-2026")</f>
        <v/>
      </c>
      <c r="AD111">
        <f>HYPERLINK("https://klasma.github.io/Logging_2180/tillsynsmail/A 26871-2026 tillsynsbegäran mail.docx", "A 26871-2026")</f>
        <v/>
      </c>
    </row>
    <row r="112" ht="15" customHeight="1">
      <c r="A112" t="inlineStr">
        <is>
          <t>A 27058-2026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46239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27058-2026 artfynd.xlsx", "A 27058-2026")</f>
        <v/>
      </c>
      <c r="X112">
        <f>HYPERLINK("https://klasma.github.io/Logging_2180/kartor/A 27058-2026 karta.png", "A 27058-2026")</f>
        <v/>
      </c>
      <c r="Y112">
        <f>HYPERLINK("https://klasma.github.io/Logging_2180/kartor_geotiff/A 27058-2026 georefererad karta.tif", "A 27058-2026")</f>
        <v/>
      </c>
      <c r="AA112">
        <f>HYPERLINK("https://klasma.github.io/Logging_2180/klagomål/A 27058-2026 FSC-klagomål.docx", "A 27058-2026")</f>
        <v/>
      </c>
      <c r="AB112">
        <f>HYPERLINK("https://klasma.github.io/Logging_2180/klagomålsmail/A 27058-2026 FSC-klagomål mail.docx", "A 27058-2026")</f>
        <v/>
      </c>
      <c r="AC112">
        <f>HYPERLINK("https://klasma.github.io/Logging_2180/tillsyn/A 27058-2026 tillsynsbegäran.docx", "A 27058-2026")</f>
        <v/>
      </c>
      <c r="AD112">
        <f>HYPERLINK("https://klasma.github.io/Logging_2180/tillsynsmail/A 27058-2026 tillsynsbegäran mail.docx", "A 27058-2026")</f>
        <v/>
      </c>
    </row>
    <row r="113" ht="15" customHeight="1">
      <c r="A113" t="inlineStr">
        <is>
          <t>A 27063-2026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46239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27063-2026 artfynd.xlsx", "A 27063-2026")</f>
        <v/>
      </c>
      <c r="X113">
        <f>HYPERLINK("https://klasma.github.io/Logging_2180/kartor/A 27063-2026 karta.png", "A 27063-2026")</f>
        <v/>
      </c>
      <c r="Y113">
        <f>HYPERLINK("https://klasma.github.io/Logging_2180/kartor_geotiff/A 27063-2026 georefererad karta.tif", "A 27063-2026")</f>
        <v/>
      </c>
      <c r="AA113">
        <f>HYPERLINK("https://klasma.github.io/Logging_2180/klagomål/A 27063-2026 FSC-klagomål.docx", "A 27063-2026")</f>
        <v/>
      </c>
      <c r="AB113">
        <f>HYPERLINK("https://klasma.github.io/Logging_2180/klagomålsmail/A 27063-2026 FSC-klagomål mail.docx", "A 27063-2026")</f>
        <v/>
      </c>
      <c r="AC113">
        <f>HYPERLINK("https://klasma.github.io/Logging_2180/tillsyn/A 27063-2026 tillsynsbegäran.docx", "A 27063-2026")</f>
        <v/>
      </c>
      <c r="AD113">
        <f>HYPERLINK("https://klasma.github.io/Logging_2180/tillsynsmail/A 27063-2026 tillsynsbegäran mail.docx", "A 27063-2026")</f>
        <v/>
      </c>
    </row>
    <row r="114" ht="15" customHeight="1">
      <c r="A114" t="inlineStr">
        <is>
          <t>A 50052-2025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46239</v>
      </c>
      <c r="F114" t="inlineStr">
        <is>
          <t>GÄVLEBORGS LÄN</t>
        </is>
      </c>
      <c r="G114" t="inlineStr">
        <is>
          <t>GÄVLE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0</v>
      </c>
      <c r="V114" s="2" t="inlineStr">
        <is>
          <t>Mosippa</t>
        </is>
      </c>
      <c r="W114">
        <f>HYPERLINK("https://klasma.github.io/Logging_2180/artfynd/A 50052-2025 artfynd.xlsx", "A 50052-2025")</f>
        <v/>
      </c>
      <c r="X114">
        <f>HYPERLINK("https://klasma.github.io/Logging_2180/kartor/A 50052-2025 karta.png", "A 50052-2025")</f>
        <v/>
      </c>
      <c r="Y114">
        <f>HYPERLINK("https://klasma.github.io/Logging_2180/kartor_geotiff/A 50052-2025 georefererad karta.tif", "A 50052-2025")</f>
        <v/>
      </c>
      <c r="AA114">
        <f>HYPERLINK("https://klasma.github.io/Logging_2180/klagomål/A 50052-2025 FSC-klagomål.docx", "A 50052-2025")</f>
        <v/>
      </c>
      <c r="AB114">
        <f>HYPERLINK("https://klasma.github.io/Logging_2180/klagomålsmail/A 50052-2025 FSC-klagomål mail.docx", "A 50052-2025")</f>
        <v/>
      </c>
      <c r="AC114">
        <f>HYPERLINK("https://klasma.github.io/Logging_2180/tillsyn/A 50052-2025 tillsynsbegäran.docx", "A 50052-2025")</f>
        <v/>
      </c>
      <c r="AD114">
        <f>HYPERLINK("https://klasma.github.io/Logging_2180/tillsynsmail/A 50052-2025 tillsynsbegäran mail.docx", "A 50052-2025")</f>
        <v/>
      </c>
    </row>
    <row r="115" ht="15" customHeight="1">
      <c r="A115" t="inlineStr">
        <is>
          <t>A 13684-2026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46239</v>
      </c>
      <c r="F115" t="inlineStr">
        <is>
          <t>GÄVLEBORGS LÄN</t>
        </is>
      </c>
      <c r="G115" t="inlineStr">
        <is>
          <t>GÄVLE</t>
        </is>
      </c>
      <c r="I115" t="n">
        <v>21.3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Igelkott</t>
        </is>
      </c>
      <c r="W115">
        <f>HYPERLINK("https://klasma.github.io/Logging_2180/artfynd/A 13684-2026 artfynd.xlsx", "A 13684-2026")</f>
        <v/>
      </c>
      <c r="X115">
        <f>HYPERLINK("https://klasma.github.io/Logging_2180/kartor/A 13684-2026 karta.png", "A 13684-2026")</f>
        <v/>
      </c>
      <c r="Y115">
        <f>HYPERLINK("https://klasma.github.io/Logging_2180/kartor_geotiff/A 13684-2026 georefererad karta.tif", "A 13684-2026")</f>
        <v/>
      </c>
      <c r="AA115">
        <f>HYPERLINK("https://klasma.github.io/Logging_2180/klagomål/A 13684-2026 FSC-klagomål.docx", "A 13684-2026")</f>
        <v/>
      </c>
      <c r="AB115">
        <f>HYPERLINK("https://klasma.github.io/Logging_2180/klagomålsmail/A 13684-2026 FSC-klagomål mail.docx", "A 13684-2026")</f>
        <v/>
      </c>
      <c r="AC115">
        <f>HYPERLINK("https://klasma.github.io/Logging_2180/tillsyn/A 13684-2026 tillsynsbegäran.docx", "A 13684-2026")</f>
        <v/>
      </c>
      <c r="AD115">
        <f>HYPERLINK("https://klasma.github.io/Logging_2180/tillsynsmail/A 13684-2026 tillsynsbegäran mail.docx", "A 13684-2026")</f>
        <v/>
      </c>
    </row>
    <row r="116" ht="15" customHeight="1">
      <c r="A116" t="inlineStr">
        <is>
          <t>A 5409-2023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46239</v>
      </c>
      <c r="F116" t="inlineStr">
        <is>
          <t>GÄVLEBORGS LÄN</t>
        </is>
      </c>
      <c r="G116" t="inlineStr">
        <is>
          <t>GÄVLE</t>
        </is>
      </c>
      <c r="I116" t="n">
        <v>0.3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HYPERLINK("https://klasma.github.io/Logging_2180/artfynd/A 5409-2023 artfynd.xlsx", "A 5409-2023")</f>
        <v/>
      </c>
      <c r="X116">
        <f>HYPERLINK("https://klasma.github.io/Logging_2180/kartor/A 5409-2023 karta.png", "A 5409-2023")</f>
        <v/>
      </c>
      <c r="Y116">
        <f>HYPERLINK("https://klasma.github.io/Logging_2180/kartor_geotiff/A 5409-2023 georefererad karta.tif", "A 5409-2023")</f>
        <v/>
      </c>
      <c r="AA116">
        <f>HYPERLINK("https://klasma.github.io/Logging_2180/klagomål/A 5409-2023 FSC-klagomål.docx", "A 5409-2023")</f>
        <v/>
      </c>
      <c r="AB116">
        <f>HYPERLINK("https://klasma.github.io/Logging_2180/klagomålsmail/A 5409-2023 FSC-klagomål mail.docx", "A 5409-2023")</f>
        <v/>
      </c>
      <c r="AC116">
        <f>HYPERLINK("https://klasma.github.io/Logging_2180/tillsyn/A 5409-2023 tillsynsbegäran.docx", "A 5409-2023")</f>
        <v/>
      </c>
      <c r="AD116">
        <f>HYPERLINK("https://klasma.github.io/Logging_2180/tillsynsmail/A 5409-2023 tillsynsbegäran mail.docx", "A 5409-2023")</f>
        <v/>
      </c>
    </row>
    <row r="117" ht="15" customHeight="1">
      <c r="A117" t="inlineStr">
        <is>
          <t>A 5415-2023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46239</v>
      </c>
      <c r="F117" t="inlineStr">
        <is>
          <t>GÄVLEBORGS LÄN</t>
        </is>
      </c>
      <c r="G117" t="inlineStr">
        <is>
          <t>GÄVLE</t>
        </is>
      </c>
      <c r="I117" t="n">
        <v>0.1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HYPERLINK("https://klasma.github.io/Logging_2180/artfynd/A 5415-2023 artfynd.xlsx", "A 5415-2023")</f>
        <v/>
      </c>
      <c r="X117">
        <f>HYPERLINK("https://klasma.github.io/Logging_2180/kartor/A 5415-2023 karta.png", "A 5415-2023")</f>
        <v/>
      </c>
      <c r="Y117">
        <f>HYPERLINK("https://klasma.github.io/Logging_2180/kartor_geotiff/A 5415-2023 georefererad karta.tif", "A 5415-2023")</f>
        <v/>
      </c>
      <c r="AA117">
        <f>HYPERLINK("https://klasma.github.io/Logging_2180/klagomål/A 5415-2023 FSC-klagomål.docx", "A 5415-2023")</f>
        <v/>
      </c>
      <c r="AB117">
        <f>HYPERLINK("https://klasma.github.io/Logging_2180/klagomålsmail/A 5415-2023 FSC-klagomål mail.docx", "A 5415-2023")</f>
        <v/>
      </c>
      <c r="AC117">
        <f>HYPERLINK("https://klasma.github.io/Logging_2180/tillsyn/A 5415-2023 tillsynsbegäran.docx", "A 5415-2023")</f>
        <v/>
      </c>
      <c r="AD117">
        <f>HYPERLINK("https://klasma.github.io/Logging_2180/tillsynsmail/A 5415-2023 tillsynsbegäran mail.docx", "A 5415-2023")</f>
        <v/>
      </c>
    </row>
    <row r="118" ht="15" customHeight="1">
      <c r="A118" t="inlineStr">
        <is>
          <t>A 17251-2026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46239</v>
      </c>
      <c r="F118" t="inlineStr">
        <is>
          <t>GÄVLEBORGS LÄN</t>
        </is>
      </c>
      <c r="G118" t="inlineStr">
        <is>
          <t>GÄVLE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17251-2026 artfynd.xlsx", "A 17251-2026")</f>
        <v/>
      </c>
      <c r="X118">
        <f>HYPERLINK("https://klasma.github.io/Logging_2180/kartor/A 17251-2026 karta.png", "A 17251-2026")</f>
        <v/>
      </c>
      <c r="Y118">
        <f>HYPERLINK("https://klasma.github.io/Logging_2180/kartor_geotiff/A 17251-2026 georefererad karta.tif", "A 17251-2026")</f>
        <v/>
      </c>
      <c r="AA118">
        <f>HYPERLINK("https://klasma.github.io/Logging_2180/klagomål/A 17251-2026 FSC-klagomål.docx", "A 17251-2026")</f>
        <v/>
      </c>
      <c r="AB118">
        <f>HYPERLINK("https://klasma.github.io/Logging_2180/klagomålsmail/A 17251-2026 FSC-klagomål mail.docx", "A 17251-2026")</f>
        <v/>
      </c>
      <c r="AC118">
        <f>HYPERLINK("https://klasma.github.io/Logging_2180/tillsyn/A 17251-2026 tillsynsbegäran.docx", "A 17251-2026")</f>
        <v/>
      </c>
      <c r="AD118">
        <f>HYPERLINK("https://klasma.github.io/Logging_2180/tillsynsmail/A 17251-2026 tillsynsbegäran mail.docx", "A 17251-2026")</f>
        <v/>
      </c>
    </row>
    <row r="119" ht="15" customHeight="1">
      <c r="A119" t="inlineStr">
        <is>
          <t>A 18060-2026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46239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24.4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Fläcknycklar</t>
        </is>
      </c>
      <c r="W119">
        <f>HYPERLINK("https://klasma.github.io/Logging_2180/artfynd/A 18060-2026 artfynd.xlsx", "A 18060-2026")</f>
        <v/>
      </c>
      <c r="X119">
        <f>HYPERLINK("https://klasma.github.io/Logging_2180/kartor/A 18060-2026 karta.png", "A 18060-2026")</f>
        <v/>
      </c>
      <c r="Y119">
        <f>HYPERLINK("https://klasma.github.io/Logging_2180/kartor_geotiff/A 18060-2026 georefererad karta.tif", "A 18060-2026")</f>
        <v/>
      </c>
      <c r="AA119">
        <f>HYPERLINK("https://klasma.github.io/Logging_2180/klagomål/A 18060-2026 FSC-klagomål.docx", "A 18060-2026")</f>
        <v/>
      </c>
      <c r="AB119">
        <f>HYPERLINK("https://klasma.github.io/Logging_2180/klagomålsmail/A 18060-2026 FSC-klagomål mail.docx", "A 18060-2026")</f>
        <v/>
      </c>
      <c r="AC119">
        <f>HYPERLINK("https://klasma.github.io/Logging_2180/tillsyn/A 18060-2026 tillsynsbegäran.docx", "A 18060-2026")</f>
        <v/>
      </c>
      <c r="AD119">
        <f>HYPERLINK("https://klasma.github.io/Logging_2180/tillsynsmail/A 18060-2026 tillsynsbegäran mail.docx", "A 18060-2026")</f>
        <v/>
      </c>
    </row>
    <row r="120" ht="15" customHeight="1">
      <c r="A120" t="inlineStr">
        <is>
          <t>A 21282-2024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45440</v>
      </c>
      <c r="E120" s="1" t="n">
        <v>46239</v>
      </c>
      <c r="F120" t="inlineStr">
        <is>
          <t>GÄVLEBORGS LÄN</t>
        </is>
      </c>
      <c r="G120" t="inlineStr">
        <is>
          <t>GÄVLE</t>
        </is>
      </c>
      <c r="I120" t="n">
        <v>7.4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Skogsklocka</t>
        </is>
      </c>
      <c r="W120">
        <f>HYPERLINK("https://klasma.github.io/Logging_2180/artfynd/A 21282-2024 artfynd.xlsx", "A 21282-2024")</f>
        <v/>
      </c>
      <c r="X120">
        <f>HYPERLINK("https://klasma.github.io/Logging_2180/kartor/A 21282-2024 karta.png", "A 21282-2024")</f>
        <v/>
      </c>
      <c r="Y120">
        <f>HYPERLINK("https://klasma.github.io/Logging_2180/kartor_geotiff/A 21282-2024 georefererad karta.tif", "A 21282-2024")</f>
        <v/>
      </c>
      <c r="AA120">
        <f>HYPERLINK("https://klasma.github.io/Logging_2180/klagomål/A 21282-2024 FSC-klagomål.docx", "A 21282-2024")</f>
        <v/>
      </c>
      <c r="AB120">
        <f>HYPERLINK("https://klasma.github.io/Logging_2180/klagomålsmail/A 21282-2024 FSC-klagomål mail.docx", "A 21282-2024")</f>
        <v/>
      </c>
      <c r="AC120">
        <f>HYPERLINK("https://klasma.github.io/Logging_2180/tillsyn/A 21282-2024 tillsynsbegäran.docx", "A 21282-2024")</f>
        <v/>
      </c>
      <c r="AD120">
        <f>HYPERLINK("https://klasma.github.io/Logging_2180/tillsynsmail/A 21282-2024 tillsynsbegäran mail.docx", "A 21282-2024")</f>
        <v/>
      </c>
    </row>
    <row r="121" ht="15" customHeight="1">
      <c r="A121" t="inlineStr">
        <is>
          <t>A 19635-2026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46239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1.6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Skinnlav</t>
        </is>
      </c>
      <c r="W121">
        <f>HYPERLINK("https://klasma.github.io/Logging_2180/artfynd/A 19635-2026 artfynd.xlsx", "A 19635-2026")</f>
        <v/>
      </c>
      <c r="X121">
        <f>HYPERLINK("https://klasma.github.io/Logging_2180/kartor/A 19635-2026 karta.png", "A 19635-2026")</f>
        <v/>
      </c>
      <c r="Y121">
        <f>HYPERLINK("https://klasma.github.io/Logging_2180/kartor_geotiff/A 19635-2026 georefererad karta.tif", "A 19635-2026")</f>
        <v/>
      </c>
      <c r="AA121">
        <f>HYPERLINK("https://klasma.github.io/Logging_2180/klagomål/A 19635-2026 FSC-klagomål.docx", "A 19635-2026")</f>
        <v/>
      </c>
      <c r="AB121">
        <f>HYPERLINK("https://klasma.github.io/Logging_2180/klagomålsmail/A 19635-2026 FSC-klagomål mail.docx", "A 19635-2026")</f>
        <v/>
      </c>
      <c r="AC121">
        <f>HYPERLINK("https://klasma.github.io/Logging_2180/tillsyn/A 19635-2026 tillsynsbegäran.docx", "A 19635-2026")</f>
        <v/>
      </c>
      <c r="AD121">
        <f>HYPERLINK("https://klasma.github.io/Logging_2180/tillsynsmail/A 19635-2026 tillsynsbegäran mail.docx", "A 19635-2026")</f>
        <v/>
      </c>
    </row>
    <row r="122" ht="15" customHeight="1">
      <c r="A122" t="inlineStr">
        <is>
          <t>A 13396-2026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46094</v>
      </c>
      <c r="E122" s="1" t="n">
        <v>46239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13396-2026 artfynd.xlsx", "A 13396-2026")</f>
        <v/>
      </c>
      <c r="X122">
        <f>HYPERLINK("https://klasma.github.io/Logging_2180/kartor/A 13396-2026 karta.png", "A 13396-2026")</f>
        <v/>
      </c>
      <c r="Y122">
        <f>HYPERLINK("https://klasma.github.io/Logging_2180/kartor_geotiff/A 13396-2026 georefererad karta.tif", "A 13396-2026")</f>
        <v/>
      </c>
      <c r="AA122">
        <f>HYPERLINK("https://klasma.github.io/Logging_2180/klagomål/A 13396-2026 FSC-klagomål.docx", "A 13396-2026")</f>
        <v/>
      </c>
      <c r="AB122">
        <f>HYPERLINK("https://klasma.github.io/Logging_2180/klagomålsmail/A 13396-2026 FSC-klagomål mail.docx", "A 13396-2026")</f>
        <v/>
      </c>
      <c r="AC122">
        <f>HYPERLINK("https://klasma.github.io/Logging_2180/tillsyn/A 13396-2026 tillsynsbegäran.docx", "A 13396-2026")</f>
        <v/>
      </c>
      <c r="AD122">
        <f>HYPERLINK("https://klasma.github.io/Logging_2180/tillsynsmail/A 13396-2026 tillsynsbegäran mail.docx", "A 13396-2026")</f>
        <v/>
      </c>
    </row>
    <row r="123" ht="15" customHeight="1">
      <c r="A123" t="inlineStr">
        <is>
          <t>A 57932-2024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45631</v>
      </c>
      <c r="E123" s="1" t="n">
        <v>46239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48.7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Tjäder</t>
        </is>
      </c>
      <c r="W123">
        <f>HYPERLINK("https://klasma.github.io/Logging_2180/artfynd/A 57932-2024 artfynd.xlsx", "A 57932-2024")</f>
        <v/>
      </c>
      <c r="X123">
        <f>HYPERLINK("https://klasma.github.io/Logging_2180/kartor/A 57932-2024 karta.png", "A 57932-2024")</f>
        <v/>
      </c>
      <c r="Y123">
        <f>HYPERLINK("https://klasma.github.io/Logging_2180/kartor_geotiff/A 57932-2024 georefererad karta.tif", "A 57932-2024")</f>
        <v/>
      </c>
      <c r="AA123">
        <f>HYPERLINK("https://klasma.github.io/Logging_2180/klagomål/A 57932-2024 FSC-klagomål.docx", "A 57932-2024")</f>
        <v/>
      </c>
      <c r="AB123">
        <f>HYPERLINK("https://klasma.github.io/Logging_2180/klagomålsmail/A 57932-2024 FSC-klagomål mail.docx", "A 57932-2024")</f>
        <v/>
      </c>
      <c r="AC123">
        <f>HYPERLINK("https://klasma.github.io/Logging_2180/tillsyn/A 57932-2024 tillsynsbegäran.docx", "A 57932-2024")</f>
        <v/>
      </c>
      <c r="AD123">
        <f>HYPERLINK("https://klasma.github.io/Logging_2180/tillsynsmail/A 57932-2024 tillsynsbegäran mail.docx", "A 57932-2024")</f>
        <v/>
      </c>
      <c r="AE123">
        <f>HYPERLINK("https://klasma.github.io/Logging_2180/fåglar/A 57932-2024 prioriterade fågelarter.docx", "A 57932-2024")</f>
        <v/>
      </c>
    </row>
    <row r="124" ht="15" customHeight="1">
      <c r="A124" t="inlineStr">
        <is>
          <t>A 14730-2026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46239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8.199999999999999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14730-2026 artfynd.xlsx", "A 14730-2026")</f>
        <v/>
      </c>
      <c r="X124">
        <f>HYPERLINK("https://klasma.github.io/Logging_2180/kartor/A 14730-2026 karta.png", "A 14730-2026")</f>
        <v/>
      </c>
      <c r="Y124">
        <f>HYPERLINK("https://klasma.github.io/Logging_2180/kartor_geotiff/A 14730-2026 georefererad karta.tif", "A 14730-2026")</f>
        <v/>
      </c>
      <c r="AA124">
        <f>HYPERLINK("https://klasma.github.io/Logging_2180/klagomål/A 14730-2026 FSC-klagomål.docx", "A 14730-2026")</f>
        <v/>
      </c>
      <c r="AB124">
        <f>HYPERLINK("https://klasma.github.io/Logging_2180/klagomålsmail/A 14730-2026 FSC-klagomål mail.docx", "A 14730-2026")</f>
        <v/>
      </c>
      <c r="AC124">
        <f>HYPERLINK("https://klasma.github.io/Logging_2180/tillsyn/A 14730-2026 tillsynsbegäran.docx", "A 14730-2026")</f>
        <v/>
      </c>
      <c r="AD124">
        <f>HYPERLINK("https://klasma.github.io/Logging_2180/tillsynsmail/A 14730-2026 tillsynsbegäran mail.docx", "A 14730-2026")</f>
        <v/>
      </c>
      <c r="AE124">
        <f>HYPERLINK("https://klasma.github.io/Logging_2180/fåglar/A 14730-2026 prioriterade fågelarter.docx", "A 14730-2026")</f>
        <v/>
      </c>
    </row>
    <row r="125" ht="15" customHeight="1">
      <c r="A125" t="inlineStr">
        <is>
          <t>A 14711-2026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46239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Blanksvart spiklav</t>
        </is>
      </c>
      <c r="W125">
        <f>HYPERLINK("https://klasma.github.io/Logging_2180/artfynd/A 14711-2026 artfynd.xlsx", "A 14711-2026")</f>
        <v/>
      </c>
      <c r="X125">
        <f>HYPERLINK("https://klasma.github.io/Logging_2180/kartor/A 14711-2026 karta.png", "A 14711-2026")</f>
        <v/>
      </c>
      <c r="Y125">
        <f>HYPERLINK("https://klasma.github.io/Logging_2180/kartor_geotiff/A 14711-2026 georefererad karta.tif", "A 14711-2026")</f>
        <v/>
      </c>
      <c r="AA125">
        <f>HYPERLINK("https://klasma.github.io/Logging_2180/klagomål/A 14711-2026 FSC-klagomål.docx", "A 14711-2026")</f>
        <v/>
      </c>
      <c r="AB125">
        <f>HYPERLINK("https://klasma.github.io/Logging_2180/klagomålsmail/A 14711-2026 FSC-klagomål mail.docx", "A 14711-2026")</f>
        <v/>
      </c>
      <c r="AC125">
        <f>HYPERLINK("https://klasma.github.io/Logging_2180/tillsyn/A 14711-2026 tillsynsbegäran.docx", "A 14711-2026")</f>
        <v/>
      </c>
      <c r="AD125">
        <f>HYPERLINK("https://klasma.github.io/Logging_2180/tillsynsmail/A 14711-2026 tillsynsbegäran mail.docx", "A 14711-2026")</f>
        <v/>
      </c>
    </row>
    <row r="126" ht="15" customHeight="1">
      <c r="A126" t="inlineStr">
        <is>
          <t>A 14714-2026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46239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Tjäder</t>
        </is>
      </c>
      <c r="W126">
        <f>HYPERLINK("https://klasma.github.io/Logging_2180/artfynd/A 14714-2026 artfynd.xlsx", "A 14714-2026")</f>
        <v/>
      </c>
      <c r="X126">
        <f>HYPERLINK("https://klasma.github.io/Logging_2180/kartor/A 14714-2026 karta.png", "A 14714-2026")</f>
        <v/>
      </c>
      <c r="Y126">
        <f>HYPERLINK("https://klasma.github.io/Logging_2180/kartor_geotiff/A 14714-2026 georefererad karta.tif", "A 14714-2026")</f>
        <v/>
      </c>
      <c r="AA126">
        <f>HYPERLINK("https://klasma.github.io/Logging_2180/klagomål/A 14714-2026 FSC-klagomål.docx", "A 14714-2026")</f>
        <v/>
      </c>
      <c r="AB126">
        <f>HYPERLINK("https://klasma.github.io/Logging_2180/klagomålsmail/A 14714-2026 FSC-klagomål mail.docx", "A 14714-2026")</f>
        <v/>
      </c>
      <c r="AC126">
        <f>HYPERLINK("https://klasma.github.io/Logging_2180/tillsyn/A 14714-2026 tillsynsbegäran.docx", "A 14714-2026")</f>
        <v/>
      </c>
      <c r="AD126">
        <f>HYPERLINK("https://klasma.github.io/Logging_2180/tillsynsmail/A 14714-2026 tillsynsbegäran mail.docx", "A 14714-2026")</f>
        <v/>
      </c>
      <c r="AE126">
        <f>HYPERLINK("https://klasma.github.io/Logging_2180/fåglar/A 14714-2026 prioriterade fågelarter.docx", "A 14714-2026")</f>
        <v/>
      </c>
    </row>
    <row r="127" ht="15" customHeight="1">
      <c r="A127" t="inlineStr">
        <is>
          <t>A 10064-2025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46239</v>
      </c>
      <c r="F127" t="inlineStr">
        <is>
          <t>GÄVLEBORGS LÄN</t>
        </is>
      </c>
      <c r="G127" t="inlineStr">
        <is>
          <t>GÄVLE</t>
        </is>
      </c>
      <c r="I127" t="n">
        <v>4.6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HYPERLINK("https://klasma.github.io/Logging_2180/artfynd/A 10064-2025 artfynd.xlsx", "A 10064-2025")</f>
        <v/>
      </c>
      <c r="X127">
        <f>HYPERLINK("https://klasma.github.io/Logging_2180/kartor/A 10064-2025 karta.png", "A 10064-2025")</f>
        <v/>
      </c>
      <c r="Y127">
        <f>HYPERLINK("https://klasma.github.io/Logging_2180/kartor_geotiff/A 10064-2025 georefererad karta.tif", "A 10064-2025")</f>
        <v/>
      </c>
      <c r="AA127">
        <f>HYPERLINK("https://klasma.github.io/Logging_2180/klagomål/A 10064-2025 FSC-klagomål.docx", "A 10064-2025")</f>
        <v/>
      </c>
      <c r="AB127">
        <f>HYPERLINK("https://klasma.github.io/Logging_2180/klagomålsmail/A 10064-2025 FSC-klagomål mail.docx", "A 10064-2025")</f>
        <v/>
      </c>
      <c r="AC127">
        <f>HYPERLINK("https://klasma.github.io/Logging_2180/tillsyn/A 10064-2025 tillsynsbegäran.docx", "A 10064-2025")</f>
        <v/>
      </c>
      <c r="AD127">
        <f>HYPERLINK("https://klasma.github.io/Logging_2180/tillsynsmail/A 10064-2025 tillsynsbegäran mail.docx", "A 10064-2025")</f>
        <v/>
      </c>
    </row>
    <row r="128" ht="15" customHeight="1">
      <c r="A128" t="inlineStr">
        <is>
          <t>A 20734-2026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46239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HYPERLINK("https://klasma.github.io/Logging_2180/artfynd/A 20734-2026 artfynd.xlsx", "A 20734-2026")</f>
        <v/>
      </c>
      <c r="X128">
        <f>HYPERLINK("https://klasma.github.io/Logging_2180/kartor/A 20734-2026 karta.png", "A 20734-2026")</f>
        <v/>
      </c>
      <c r="Y128">
        <f>HYPERLINK("https://klasma.github.io/Logging_2180/kartor_geotiff/A 20734-2026 georefererad karta.tif", "A 20734-2026")</f>
        <v/>
      </c>
      <c r="AA128">
        <f>HYPERLINK("https://klasma.github.io/Logging_2180/klagomål/A 20734-2026 FSC-klagomål.docx", "A 20734-2026")</f>
        <v/>
      </c>
      <c r="AB128">
        <f>HYPERLINK("https://klasma.github.io/Logging_2180/klagomålsmail/A 20734-2026 FSC-klagomål mail.docx", "A 20734-2026")</f>
        <v/>
      </c>
      <c r="AC128">
        <f>HYPERLINK("https://klasma.github.io/Logging_2180/tillsyn/A 20734-2026 tillsynsbegäran.docx", "A 20734-2026")</f>
        <v/>
      </c>
      <c r="AD128">
        <f>HYPERLINK("https://klasma.github.io/Logging_2180/tillsynsmail/A 20734-2026 tillsynsbegäran mail.docx", "A 20734-2026")</f>
        <v/>
      </c>
    </row>
    <row r="129" ht="15" customHeight="1">
      <c r="A129" t="inlineStr">
        <is>
          <t>A 18216-2024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45420</v>
      </c>
      <c r="E129" s="1" t="n">
        <v>46239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Dofttaggsvamp</t>
        </is>
      </c>
      <c r="W129">
        <f>HYPERLINK("https://klasma.github.io/Logging_2180/artfynd/A 18216-2024 artfynd.xlsx", "A 18216-2024")</f>
        <v/>
      </c>
      <c r="X129">
        <f>HYPERLINK("https://klasma.github.io/Logging_2180/kartor/A 18216-2024 karta.png", "A 18216-2024")</f>
        <v/>
      </c>
      <c r="Y129">
        <f>HYPERLINK("https://klasma.github.io/Logging_2180/kartor_geotiff/A 18216-2024 georefererad karta.tif", "A 18216-2024")</f>
        <v/>
      </c>
      <c r="AA129">
        <f>HYPERLINK("https://klasma.github.io/Logging_2180/klagomål/A 18216-2024 FSC-klagomål.docx", "A 18216-2024")</f>
        <v/>
      </c>
      <c r="AB129">
        <f>HYPERLINK("https://klasma.github.io/Logging_2180/klagomålsmail/A 18216-2024 FSC-klagomål mail.docx", "A 18216-2024")</f>
        <v/>
      </c>
      <c r="AC129">
        <f>HYPERLINK("https://klasma.github.io/Logging_2180/tillsyn/A 18216-2024 tillsynsbegäran.docx", "A 18216-2024")</f>
        <v/>
      </c>
      <c r="AD129">
        <f>HYPERLINK("https://klasma.github.io/Logging_2180/tillsynsmail/A 18216-2024 tillsynsbegäran mail.docx", "A 18216-2024")</f>
        <v/>
      </c>
    </row>
    <row r="130" ht="15" customHeight="1">
      <c r="A130" t="inlineStr">
        <is>
          <t>A 33812-2022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46239</v>
      </c>
      <c r="F130" t="inlineStr">
        <is>
          <t>GÄVLEBORGS LÄN</t>
        </is>
      </c>
      <c r="G130" t="inlineStr">
        <is>
          <t>GÄVLE</t>
        </is>
      </c>
      <c r="I130" t="n">
        <v>2.1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Myskmadra</t>
        </is>
      </c>
      <c r="W130">
        <f>HYPERLINK("https://klasma.github.io/Logging_2180/artfynd/A 33812-2022 artfynd.xlsx", "A 33812-2022")</f>
        <v/>
      </c>
      <c r="X130">
        <f>HYPERLINK("https://klasma.github.io/Logging_2180/kartor/A 33812-2022 karta.png", "A 33812-2022")</f>
        <v/>
      </c>
      <c r="Y130">
        <f>HYPERLINK("https://klasma.github.io/Logging_2180/kartor_geotiff/A 33812-2022 georefererad karta.tif", "A 33812-2022")</f>
        <v/>
      </c>
      <c r="AA130">
        <f>HYPERLINK("https://klasma.github.io/Logging_2180/klagomål/A 33812-2022 FSC-klagomål.docx", "A 33812-2022")</f>
        <v/>
      </c>
      <c r="AB130">
        <f>HYPERLINK("https://klasma.github.io/Logging_2180/klagomålsmail/A 33812-2022 FSC-klagomål mail.docx", "A 33812-2022")</f>
        <v/>
      </c>
      <c r="AC130">
        <f>HYPERLINK("https://klasma.github.io/Logging_2180/tillsyn/A 33812-2022 tillsynsbegäran.docx", "A 33812-2022")</f>
        <v/>
      </c>
      <c r="AD130">
        <f>HYPERLINK("https://klasma.github.io/Logging_2180/tillsynsmail/A 33812-2022 tillsynsbegäran mail.docx", "A 33812-2022")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46239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46239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46239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46239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46239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46239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66494-2021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46239</v>
      </c>
      <c r="F138" t="inlineStr">
        <is>
          <t>GÄVLEBORGS LÄN</t>
        </is>
      </c>
      <c r="G138" t="inlineStr">
        <is>
          <t>GÄVLE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46239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46239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46239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46239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46239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46239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46239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46239</v>
      </c>
      <c r="F146" t="inlineStr">
        <is>
          <t>GÄVLEBORGS LÄN</t>
        </is>
      </c>
      <c r="G146" t="inlineStr">
        <is>
          <t>GÄVLE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46239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46239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46239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46239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46239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46239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46239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44788</v>
      </c>
      <c r="E154" s="1" t="n">
        <v>46239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39374-2021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44414</v>
      </c>
      <c r="E155" s="1" t="n">
        <v>46239</v>
      </c>
      <c r="F155" t="inlineStr">
        <is>
          <t>GÄVLEBORGS LÄN</t>
        </is>
      </c>
      <c r="G155" t="inlineStr">
        <is>
          <t>GÄVLE</t>
        </is>
      </c>
      <c r="H155" t="inlineStr">
        <is>
          <t>Kyrkan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46239</v>
      </c>
      <c r="F156" t="inlineStr">
        <is>
          <t>GÄVLEBORGS LÄN</t>
        </is>
      </c>
      <c r="G156" t="inlineStr">
        <is>
          <t>GÄVLE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46239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44599</v>
      </c>
      <c r="E158" s="1" t="n">
        <v>46239</v>
      </c>
      <c r="F158" t="inlineStr">
        <is>
          <t>GÄVLEBORGS LÄN</t>
        </is>
      </c>
      <c r="G158" t="inlineStr">
        <is>
          <t>GÄVLE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46239</v>
      </c>
      <c r="F159" t="inlineStr">
        <is>
          <t>GÄVLEBORGS LÄN</t>
        </is>
      </c>
      <c r="G159" t="inlineStr">
        <is>
          <t>GÄVLE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51249-2021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44461</v>
      </c>
      <c r="E160" s="1" t="n">
        <v>46239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46239</v>
      </c>
      <c r="F161" t="inlineStr">
        <is>
          <t>GÄVLEBORGS LÄN</t>
        </is>
      </c>
      <c r="G161" t="inlineStr">
        <is>
          <t>GÄVLE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44785</v>
      </c>
      <c r="E162" s="1" t="n">
        <v>46239</v>
      </c>
      <c r="F162" t="inlineStr">
        <is>
          <t>GÄVLEBORGS LÄN</t>
        </is>
      </c>
      <c r="G162" t="inlineStr">
        <is>
          <t>GÄVLE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46239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44448</v>
      </c>
      <c r="E164" s="1" t="n">
        <v>46239</v>
      </c>
      <c r="F164" t="inlineStr">
        <is>
          <t>GÄVLEBORGS LÄN</t>
        </is>
      </c>
      <c r="G164" t="inlineStr">
        <is>
          <t>GÄVLE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46239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46239</v>
      </c>
      <c r="F166" t="inlineStr">
        <is>
          <t>GÄVLEBORGS LÄN</t>
        </is>
      </c>
      <c r="G166" t="inlineStr">
        <is>
          <t>GÄVLE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44734</v>
      </c>
      <c r="E167" s="1" t="n">
        <v>46239</v>
      </c>
      <c r="F167" t="inlineStr">
        <is>
          <t>GÄVLEBORGS LÄN</t>
        </is>
      </c>
      <c r="G167" t="inlineStr">
        <is>
          <t>GÄVLE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44735</v>
      </c>
      <c r="E168" s="1" t="n">
        <v>46239</v>
      </c>
      <c r="F168" t="inlineStr">
        <is>
          <t>GÄVLEBORGS LÄN</t>
        </is>
      </c>
      <c r="G168" t="inlineStr">
        <is>
          <t>GÄVLE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46239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46239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46239</v>
      </c>
      <c r="F171" t="inlineStr">
        <is>
          <t>GÄVLEBORGS LÄN</t>
        </is>
      </c>
      <c r="G171" t="inlineStr">
        <is>
          <t>GÄVLE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44776</v>
      </c>
      <c r="E172" s="1" t="n">
        <v>46239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väst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46239</v>
      </c>
      <c r="F173" t="inlineStr">
        <is>
          <t>GÄVLEBORGS LÄN</t>
        </is>
      </c>
      <c r="G173" t="inlineStr">
        <is>
          <t>GÄVLE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46239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44571</v>
      </c>
      <c r="E175" s="1" t="n">
        <v>46239</v>
      </c>
      <c r="F175" t="inlineStr">
        <is>
          <t>GÄVLEBORGS LÄN</t>
        </is>
      </c>
      <c r="G175" t="inlineStr">
        <is>
          <t>GÄVLE</t>
        </is>
      </c>
      <c r="I175" t="n">
        <v>12.2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45462</v>
      </c>
      <c r="E176" s="1" t="n">
        <v>46239</v>
      </c>
      <c r="F176" t="inlineStr">
        <is>
          <t>GÄVLEBORGS LÄN</t>
        </is>
      </c>
      <c r="G176" t="inlineStr">
        <is>
          <t>GÄVLE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46239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46239</v>
      </c>
      <c r="F178" t="inlineStr">
        <is>
          <t>GÄVLEBORGS LÄN</t>
        </is>
      </c>
      <c r="G178" t="inlineStr">
        <is>
          <t>GÄVLE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46239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45312</v>
      </c>
      <c r="E180" s="1" t="n">
        <v>46239</v>
      </c>
      <c r="F180" t="inlineStr">
        <is>
          <t>GÄVLEBORGS LÄN</t>
        </is>
      </c>
      <c r="G180" t="inlineStr">
        <is>
          <t>GÄVLE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46239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46239</v>
      </c>
      <c r="F182" t="inlineStr">
        <is>
          <t>GÄVLEBORGS LÄN</t>
        </is>
      </c>
      <c r="G182" t="inlineStr">
        <is>
          <t>GÄVLE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46239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46239</v>
      </c>
      <c r="F184" t="inlineStr">
        <is>
          <t>GÄVLEBORGS LÄN</t>
        </is>
      </c>
      <c r="G184" t="inlineStr">
        <is>
          <t>GÄVLE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64868-2023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45282</v>
      </c>
      <c r="E185" s="1" t="n">
        <v>46239</v>
      </c>
      <c r="F185" t="inlineStr">
        <is>
          <t>GÄVLEBORGS LÄN</t>
        </is>
      </c>
      <c r="G185" t="inlineStr">
        <is>
          <t>GÄVLE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64873-2023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45282</v>
      </c>
      <c r="E186" s="1" t="n">
        <v>46239</v>
      </c>
      <c r="F186" t="inlineStr">
        <is>
          <t>GÄVLEBORGS LÄN</t>
        </is>
      </c>
      <c r="G186" t="inlineStr">
        <is>
          <t>GÄVLE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46239</v>
      </c>
      <c r="F187" t="inlineStr">
        <is>
          <t>GÄVLEBORGS LÄN</t>
        </is>
      </c>
      <c r="G187" t="inlineStr">
        <is>
          <t>GÄVLE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46239</v>
      </c>
      <c r="F188" t="inlineStr">
        <is>
          <t>GÄVLEBORGS LÄN</t>
        </is>
      </c>
      <c r="G188" t="inlineStr">
        <is>
          <t>GÄVLE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46239</v>
      </c>
      <c r="F189" t="inlineStr">
        <is>
          <t>GÄVLEBORGS LÄN</t>
        </is>
      </c>
      <c r="G189" t="inlineStr">
        <is>
          <t>GÄVLE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45467</v>
      </c>
      <c r="E190" s="1" t="n">
        <v>46239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46239</v>
      </c>
      <c r="F191" t="inlineStr">
        <is>
          <t>GÄVLEBORGS LÄN</t>
        </is>
      </c>
      <c r="G191" t="inlineStr">
        <is>
          <t>GÄVLE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46239</v>
      </c>
      <c r="F192" t="inlineStr">
        <is>
          <t>GÄVLEBORGS LÄN</t>
        </is>
      </c>
      <c r="G192" t="inlineStr">
        <is>
          <t>GÄVLE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45401</v>
      </c>
      <c r="E193" s="1" t="n">
        <v>46239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46239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46239</v>
      </c>
      <c r="F195" t="inlineStr">
        <is>
          <t>GÄVLEBORGS LÄN</t>
        </is>
      </c>
      <c r="G195" t="inlineStr">
        <is>
          <t>GÄVLE</t>
        </is>
      </c>
      <c r="I195" t="n">
        <v>13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46239</v>
      </c>
      <c r="F196" t="inlineStr">
        <is>
          <t>GÄVLEBORGS LÄN</t>
        </is>
      </c>
      <c r="G196" t="inlineStr">
        <is>
          <t>GÄVLE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46239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46239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46239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46239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44445</v>
      </c>
      <c r="E201" s="1" t="n">
        <v>46239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46239</v>
      </c>
      <c r="F202" t="inlineStr">
        <is>
          <t>GÄVLEBORGS LÄN</t>
        </is>
      </c>
      <c r="G202" t="inlineStr">
        <is>
          <t>GÄVLE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46239</v>
      </c>
      <c r="F203" t="inlineStr">
        <is>
          <t>GÄVLEBORGS LÄN</t>
        </is>
      </c>
      <c r="G203" t="inlineStr">
        <is>
          <t>GÄVLE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46239</v>
      </c>
      <c r="F204" t="inlineStr">
        <is>
          <t>GÄVLEBORGS LÄN</t>
        </is>
      </c>
      <c r="G204" t="inlineStr">
        <is>
          <t>GÄVLE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46239</v>
      </c>
      <c r="F205" t="inlineStr">
        <is>
          <t>GÄVLEBORGS LÄN</t>
        </is>
      </c>
      <c r="G205" t="inlineStr">
        <is>
          <t>GÄVLE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45520</v>
      </c>
      <c r="E206" s="1" t="n">
        <v>46239</v>
      </c>
      <c r="F206" t="inlineStr">
        <is>
          <t>GÄVLEBORGS LÄN</t>
        </is>
      </c>
      <c r="G206" t="inlineStr">
        <is>
          <t>GÄVLE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46239</v>
      </c>
      <c r="F207" t="inlineStr">
        <is>
          <t>GÄVLEBORGS LÄN</t>
        </is>
      </c>
      <c r="G207" t="inlineStr">
        <is>
          <t>GÄVLE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46239</v>
      </c>
      <c r="F208" t="inlineStr">
        <is>
          <t>GÄVLEBORGS LÄN</t>
        </is>
      </c>
      <c r="G208" t="inlineStr">
        <is>
          <t>GÄVLE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46239</v>
      </c>
      <c r="F209" t="inlineStr">
        <is>
          <t>GÄVLEBORGS LÄN</t>
        </is>
      </c>
      <c r="G209" t="inlineStr">
        <is>
          <t>GÄVLE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30202-2025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45827</v>
      </c>
      <c r="E210" s="1" t="n">
        <v>46239</v>
      </c>
      <c r="F210" t="inlineStr">
        <is>
          <t>GÄVLEBORGS LÄN</t>
        </is>
      </c>
      <c r="G210" t="inlineStr">
        <is>
          <t>GÄVLE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45138</v>
      </c>
      <c r="E211" s="1" t="n">
        <v>46239</v>
      </c>
      <c r="F211" t="inlineStr">
        <is>
          <t>GÄVLEBORGS LÄN</t>
        </is>
      </c>
      <c r="G211" t="inlineStr">
        <is>
          <t>GÄVLE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46239</v>
      </c>
      <c r="F212" t="inlineStr">
        <is>
          <t>GÄVLEBORGS LÄN</t>
        </is>
      </c>
      <c r="G212" t="inlineStr">
        <is>
          <t>GÄVLE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46239</v>
      </c>
      <c r="F213" t="inlineStr">
        <is>
          <t>GÄVLEBORGS LÄN</t>
        </is>
      </c>
      <c r="G213" t="inlineStr">
        <is>
          <t>GÄVLE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46239</v>
      </c>
      <c r="F214" t="inlineStr">
        <is>
          <t>GÄVLEBORGS LÄN</t>
        </is>
      </c>
      <c r="G214" t="inlineStr">
        <is>
          <t>GÄVLE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46239</v>
      </c>
      <c r="F215" t="inlineStr">
        <is>
          <t>GÄVLEBORGS LÄN</t>
        </is>
      </c>
      <c r="G215" t="inlineStr">
        <is>
          <t>GÄVLE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45400</v>
      </c>
      <c r="E216" s="1" t="n">
        <v>46239</v>
      </c>
      <c r="F216" t="inlineStr">
        <is>
          <t>GÄVLEBORGS LÄN</t>
        </is>
      </c>
      <c r="G216" t="inlineStr">
        <is>
          <t>GÄVLE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46239</v>
      </c>
      <c r="F217" t="inlineStr">
        <is>
          <t>GÄVLEBORGS LÄN</t>
        </is>
      </c>
      <c r="G217" t="inlineStr">
        <is>
          <t>GÄVLE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20689-2024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45436</v>
      </c>
      <c r="E218" s="1" t="n">
        <v>46239</v>
      </c>
      <c r="F218" t="inlineStr">
        <is>
          <t>GÄVLEBORGS LÄN</t>
        </is>
      </c>
      <c r="G218" t="inlineStr">
        <is>
          <t>GÄVLE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46239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66493-2021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44519</v>
      </c>
      <c r="E220" s="1" t="n">
        <v>46239</v>
      </c>
      <c r="F220" t="inlineStr">
        <is>
          <t>GÄVLEBORGS LÄN</t>
        </is>
      </c>
      <c r="G220" t="inlineStr">
        <is>
          <t>GÄVLE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46239</v>
      </c>
      <c r="F221" t="inlineStr">
        <is>
          <t>GÄVLEBORGS LÄN</t>
        </is>
      </c>
      <c r="G221" t="inlineStr">
        <is>
          <t>GÄVLE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44603</v>
      </c>
      <c r="E222" s="1" t="n">
        <v>46239</v>
      </c>
      <c r="F222" t="inlineStr">
        <is>
          <t>GÄVLEBORGS LÄN</t>
        </is>
      </c>
      <c r="G222" t="inlineStr">
        <is>
          <t>GÄVLE</t>
        </is>
      </c>
      <c r="I222" t="n">
        <v>10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46239</v>
      </c>
      <c r="F223" t="inlineStr">
        <is>
          <t>GÄVLEBORGS LÄN</t>
        </is>
      </c>
      <c r="G223" t="inlineStr">
        <is>
          <t>GÄVLE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44876</v>
      </c>
      <c r="E224" s="1" t="n">
        <v>46239</v>
      </c>
      <c r="F224" t="inlineStr">
        <is>
          <t>GÄVLEBORGS LÄN</t>
        </is>
      </c>
      <c r="G224" t="inlineStr">
        <is>
          <t>GÄVLE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46239</v>
      </c>
      <c r="F225" t="inlineStr">
        <is>
          <t>GÄVLEBORGS LÄN</t>
        </is>
      </c>
      <c r="G225" t="inlineStr">
        <is>
          <t>GÄVLE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46239</v>
      </c>
      <c r="F226" t="inlineStr">
        <is>
          <t>GÄVLEBORGS LÄN</t>
        </is>
      </c>
      <c r="G226" t="inlineStr">
        <is>
          <t>GÄVLE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46239</v>
      </c>
      <c r="F227" t="inlineStr">
        <is>
          <t>GÄVLEBORGS LÄN</t>
        </is>
      </c>
      <c r="G227" t="inlineStr">
        <is>
          <t>GÄVLE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46239</v>
      </c>
      <c r="F228" t="inlineStr">
        <is>
          <t>GÄVLEBORGS LÄN</t>
        </is>
      </c>
      <c r="G228" t="inlineStr">
        <is>
          <t>GÄVLE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44735</v>
      </c>
      <c r="E229" s="1" t="n">
        <v>46239</v>
      </c>
      <c r="F229" t="inlineStr">
        <is>
          <t>GÄVLEBORGS LÄN</t>
        </is>
      </c>
      <c r="G229" t="inlineStr">
        <is>
          <t>GÄVLE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46239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46239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46239</v>
      </c>
      <c r="F232" t="inlineStr">
        <is>
          <t>GÄVLEBORGS LÄN</t>
        </is>
      </c>
      <c r="G232" t="inlineStr">
        <is>
          <t>GÄVLE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46239</v>
      </c>
      <c r="F233" t="inlineStr">
        <is>
          <t>GÄVLEBORGS LÄN</t>
        </is>
      </c>
      <c r="G233" t="inlineStr">
        <is>
          <t>GÄVLE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45454</v>
      </c>
      <c r="E234" s="1" t="n">
        <v>46239</v>
      </c>
      <c r="F234" t="inlineStr">
        <is>
          <t>GÄVLEBORGS LÄN</t>
        </is>
      </c>
      <c r="G234" t="inlineStr">
        <is>
          <t>GÄVLE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45848</v>
      </c>
      <c r="E235" s="1" t="n">
        <v>46239</v>
      </c>
      <c r="F235" t="inlineStr">
        <is>
          <t>GÄVLEBORGS LÄN</t>
        </is>
      </c>
      <c r="G235" t="inlineStr">
        <is>
          <t>GÄVLE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46239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öst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46239</v>
      </c>
      <c r="F237" t="inlineStr">
        <is>
          <t>GÄVLEBORGS LÄN</t>
        </is>
      </c>
      <c r="G237" t="inlineStr">
        <is>
          <t>GÄVLE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46239</v>
      </c>
      <c r="F238" t="inlineStr">
        <is>
          <t>GÄVLEBORGS LÄN</t>
        </is>
      </c>
      <c r="G238" t="inlineStr">
        <is>
          <t>GÄVLE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44693</v>
      </c>
      <c r="E239" s="1" t="n">
        <v>46239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45454</v>
      </c>
      <c r="E240" s="1" t="n">
        <v>46239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35337-2025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46239</v>
      </c>
      <c r="F241" t="inlineStr">
        <is>
          <t>GÄVLEBORGS LÄN</t>
        </is>
      </c>
      <c r="G241" t="inlineStr">
        <is>
          <t>GÄVLE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46239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45859</v>
      </c>
      <c r="E243" s="1" t="n">
        <v>46239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61351-2021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44498</v>
      </c>
      <c r="E244" s="1" t="n">
        <v>46239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45862</v>
      </c>
      <c r="E245" s="1" t="n">
        <v>46239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45862</v>
      </c>
      <c r="E246" s="1" t="n">
        <v>46239</v>
      </c>
      <c r="F246" t="inlineStr">
        <is>
          <t>GÄVLEBORGS LÄN</t>
        </is>
      </c>
      <c r="G246" t="inlineStr">
        <is>
          <t>GÄVLE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35919-2025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45862</v>
      </c>
      <c r="E247" s="1" t="n">
        <v>46239</v>
      </c>
      <c r="F247" t="inlineStr">
        <is>
          <t>GÄVLEBORGS LÄN</t>
        </is>
      </c>
      <c r="G247" t="inlineStr">
        <is>
          <t>GÄVLE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45158</v>
      </c>
      <c r="E248" s="1" t="n">
        <v>46239</v>
      </c>
      <c r="F248" t="inlineStr">
        <is>
          <t>GÄVLEBORGS LÄN</t>
        </is>
      </c>
      <c r="G248" t="inlineStr">
        <is>
          <t>GÄVLE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45158</v>
      </c>
      <c r="E249" s="1" t="n">
        <v>46239</v>
      </c>
      <c r="F249" t="inlineStr">
        <is>
          <t>GÄVLEBORGS LÄN</t>
        </is>
      </c>
      <c r="G249" t="inlineStr">
        <is>
          <t>GÄVLE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14750-2022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44656</v>
      </c>
      <c r="E250" s="1" t="n">
        <v>46239</v>
      </c>
      <c r="F250" t="inlineStr">
        <is>
          <t>GÄVLEBORGS LÄN</t>
        </is>
      </c>
      <c r="G250" t="inlineStr">
        <is>
          <t>GÄVLE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44468</v>
      </c>
      <c r="E251" s="1" t="n">
        <v>46239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46239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46239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46239</v>
      </c>
      <c r="F254" t="inlineStr">
        <is>
          <t>GÄVLEBORGS LÄN</t>
        </is>
      </c>
      <c r="G254" t="inlineStr">
        <is>
          <t>GÄVLE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19712-2022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44694</v>
      </c>
      <c r="E255" s="1" t="n">
        <v>46239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45869</v>
      </c>
      <c r="E256" s="1" t="n">
        <v>46239</v>
      </c>
      <c r="F256" t="inlineStr">
        <is>
          <t>GÄVLEBORGS LÄN</t>
        </is>
      </c>
      <c r="G256" t="inlineStr">
        <is>
          <t>GÄVLE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46239</v>
      </c>
      <c r="F257" t="inlineStr">
        <is>
          <t>GÄVLEBORGS LÄN</t>
        </is>
      </c>
      <c r="G257" t="inlineStr">
        <is>
          <t>GÄVLE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45869</v>
      </c>
      <c r="E258" s="1" t="n">
        <v>46239</v>
      </c>
      <c r="F258" t="inlineStr">
        <is>
          <t>GÄVLEBORGS LÄN</t>
        </is>
      </c>
      <c r="G258" t="inlineStr">
        <is>
          <t>GÄVLE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45468</v>
      </c>
      <c r="E259" s="1" t="n">
        <v>46239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44651</v>
      </c>
      <c r="E260" s="1" t="n">
        <v>46239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9307-2022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46239</v>
      </c>
      <c r="F261" t="inlineStr">
        <is>
          <t>GÄVLEBORGS LÄN</t>
        </is>
      </c>
      <c r="G261" t="inlineStr">
        <is>
          <t>GÄVLE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44962</v>
      </c>
      <c r="E262" s="1" t="n">
        <v>46239</v>
      </c>
      <c r="F262" t="inlineStr">
        <is>
          <t>GÄVLEBORGS LÄN</t>
        </is>
      </c>
      <c r="G262" t="inlineStr">
        <is>
          <t>GÄVLE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46239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45545</v>
      </c>
      <c r="E264" s="1" t="n">
        <v>46239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45422</v>
      </c>
      <c r="E265" s="1" t="n">
        <v>46239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70043-2021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44533</v>
      </c>
      <c r="E266" s="1" t="n">
        <v>46239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46239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44927</v>
      </c>
      <c r="E268" s="1" t="n">
        <v>46239</v>
      </c>
      <c r="F268" t="inlineStr">
        <is>
          <t>GÄVLEBORGS LÄN</t>
        </is>
      </c>
      <c r="G268" t="inlineStr">
        <is>
          <t>GÄVLE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45125</v>
      </c>
      <c r="E269" s="1" t="n">
        <v>46239</v>
      </c>
      <c r="F269" t="inlineStr">
        <is>
          <t>GÄVLEBORGS LÄN</t>
        </is>
      </c>
      <c r="G269" t="inlineStr">
        <is>
          <t>GÄVLE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64878-2023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45282</v>
      </c>
      <c r="E270" s="1" t="n">
        <v>46239</v>
      </c>
      <c r="F270" t="inlineStr">
        <is>
          <t>GÄVLEBORGS LÄN</t>
        </is>
      </c>
      <c r="G270" t="inlineStr">
        <is>
          <t>GÄVLE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46239</v>
      </c>
      <c r="F271" t="inlineStr">
        <is>
          <t>GÄVLEBORGS LÄN</t>
        </is>
      </c>
      <c r="G271" t="inlineStr">
        <is>
          <t>GÄVLE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2400-2023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44942</v>
      </c>
      <c r="E272" s="1" t="n">
        <v>46239</v>
      </c>
      <c r="F272" t="inlineStr">
        <is>
          <t>GÄVLEBORGS LÄN</t>
        </is>
      </c>
      <c r="G272" t="inlineStr">
        <is>
          <t>GÄVLE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46239</v>
      </c>
      <c r="F273" t="inlineStr">
        <is>
          <t>GÄVLEBORGS LÄN</t>
        </is>
      </c>
      <c r="G273" t="inlineStr">
        <is>
          <t>GÄVLE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44616</v>
      </c>
      <c r="E274" s="1" t="n">
        <v>46239</v>
      </c>
      <c r="F274" t="inlineStr">
        <is>
          <t>GÄVLEBORGS LÄN</t>
        </is>
      </c>
      <c r="G274" t="inlineStr">
        <is>
          <t>GÄVLE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46239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46239</v>
      </c>
      <c r="F276" t="inlineStr">
        <is>
          <t>GÄVLEBORGS LÄN</t>
        </is>
      </c>
      <c r="G276" t="inlineStr">
        <is>
          <t>GÄVLE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46239</v>
      </c>
      <c r="F277" t="inlineStr">
        <is>
          <t>GÄVLEBORGS LÄN</t>
        </is>
      </c>
      <c r="G277" t="inlineStr">
        <is>
          <t>GÄVLE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44466</v>
      </c>
      <c r="E278" s="1" t="n">
        <v>46239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46239</v>
      </c>
      <c r="F279" t="inlineStr">
        <is>
          <t>GÄVLEBORGS LÄN</t>
        </is>
      </c>
      <c r="G279" t="inlineStr">
        <is>
          <t>GÄVLE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46239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45628-2022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44845</v>
      </c>
      <c r="E281" s="1" t="n">
        <v>46239</v>
      </c>
      <c r="F281" t="inlineStr">
        <is>
          <t>GÄVLEBORGS LÄN</t>
        </is>
      </c>
      <c r="G281" t="inlineStr">
        <is>
          <t>GÄVLE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45120</v>
      </c>
      <c r="E282" s="1" t="n">
        <v>46239</v>
      </c>
      <c r="F282" t="inlineStr">
        <is>
          <t>GÄVLEBORGS LÄN</t>
        </is>
      </c>
      <c r="G282" t="inlineStr">
        <is>
          <t>GÄVLE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32143-2024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45511</v>
      </c>
      <c r="E283" s="1" t="n">
        <v>46239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45658</v>
      </c>
      <c r="E284" s="1" t="n">
        <v>46239</v>
      </c>
      <c r="F284" t="inlineStr">
        <is>
          <t>GÄVLEBORGS LÄN</t>
        </is>
      </c>
      <c r="G284" t="inlineStr">
        <is>
          <t>GÄVLE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46239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46239</v>
      </c>
      <c r="F286" t="inlineStr">
        <is>
          <t>GÄVLEBORGS LÄN</t>
        </is>
      </c>
      <c r="G286" t="inlineStr">
        <is>
          <t>GÄVLE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45089</v>
      </c>
      <c r="E287" s="1" t="n">
        <v>46239</v>
      </c>
      <c r="F287" t="inlineStr">
        <is>
          <t>GÄVLEBORGS LÄN</t>
        </is>
      </c>
      <c r="G287" t="inlineStr">
        <is>
          <t>GÄVLE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46239</v>
      </c>
      <c r="F288" t="inlineStr">
        <is>
          <t>GÄVLEBORGS LÄN</t>
        </is>
      </c>
      <c r="G288" t="inlineStr">
        <is>
          <t>GÄVLE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46239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46239</v>
      </c>
      <c r="F290" t="inlineStr">
        <is>
          <t>GÄVLEBORGS LÄN</t>
        </is>
      </c>
      <c r="G290" t="inlineStr">
        <is>
          <t>GÄVLE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46239</v>
      </c>
      <c r="F291" t="inlineStr">
        <is>
          <t>GÄVLEBORGS LÄN</t>
        </is>
      </c>
      <c r="G291" t="inlineStr">
        <is>
          <t>GÄVLE</t>
        </is>
      </c>
      <c r="H291" t="inlineStr">
        <is>
          <t>Kyrkan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52250-2024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45608</v>
      </c>
      <c r="E292" s="1" t="n">
        <v>46239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45475</v>
      </c>
      <c r="E293" s="1" t="n">
        <v>46239</v>
      </c>
      <c r="F293" t="inlineStr">
        <is>
          <t>GÄVLEBORGS LÄN</t>
        </is>
      </c>
      <c r="G293" t="inlineStr">
        <is>
          <t>GÄVLE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46239</v>
      </c>
      <c r="F294" t="inlineStr">
        <is>
          <t>GÄVLEBORGS LÄN</t>
        </is>
      </c>
      <c r="G294" t="inlineStr">
        <is>
          <t>GÄVLE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44951</v>
      </c>
      <c r="E295" s="1" t="n">
        <v>46239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46239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44936</v>
      </c>
      <c r="E297" s="1" t="n">
        <v>46239</v>
      </c>
      <c r="F297" t="inlineStr">
        <is>
          <t>GÄVLEBORGS LÄN</t>
        </is>
      </c>
      <c r="G297" t="inlineStr">
        <is>
          <t>GÄVLE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66351-2021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46239</v>
      </c>
      <c r="F298" t="inlineStr">
        <is>
          <t>GÄVLEBORGS LÄN</t>
        </is>
      </c>
      <c r="G298" t="inlineStr">
        <is>
          <t>GÄVLE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45468</v>
      </c>
      <c r="E299" s="1" t="n">
        <v>46239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46239</v>
      </c>
      <c r="F300" t="inlineStr">
        <is>
          <t>GÄVLEBORGS LÄN</t>
        </is>
      </c>
      <c r="G300" t="inlineStr">
        <is>
          <t>GÄVLE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46239</v>
      </c>
      <c r="F301" t="inlineStr">
        <is>
          <t>GÄVLEBORGS LÄN</t>
        </is>
      </c>
      <c r="G301" t="inlineStr">
        <is>
          <t>GÄVLE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44889</v>
      </c>
      <c r="E302" s="1" t="n">
        <v>46239</v>
      </c>
      <c r="F302" t="inlineStr">
        <is>
          <t>GÄVLEBORGS LÄN</t>
        </is>
      </c>
      <c r="G302" t="inlineStr">
        <is>
          <t>GÄVLE</t>
        </is>
      </c>
      <c r="H302" t="inlineStr">
        <is>
          <t>Kyrkan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45278-2022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44840</v>
      </c>
      <c r="E303" s="1" t="n">
        <v>46239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46239</v>
      </c>
      <c r="F304" t="inlineStr">
        <is>
          <t>GÄVLEBORGS LÄN</t>
        </is>
      </c>
      <c r="G304" t="inlineStr">
        <is>
          <t>GÄVLE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65879-2021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44517</v>
      </c>
      <c r="E305" s="1" t="n">
        <v>46239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46239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46239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10.9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71215-2021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46239</v>
      </c>
      <c r="F308" t="inlineStr">
        <is>
          <t>GÄVLEBORGS LÄN</t>
        </is>
      </c>
      <c r="G308" t="inlineStr">
        <is>
          <t>GÄVLE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44585</v>
      </c>
      <c r="E309" s="1" t="n">
        <v>46239</v>
      </c>
      <c r="F309" t="inlineStr">
        <is>
          <t>GÄVLEBORGS LÄN</t>
        </is>
      </c>
      <c r="G309" t="inlineStr">
        <is>
          <t>GÄVLE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46239</v>
      </c>
      <c r="F310" t="inlineStr">
        <is>
          <t>GÄVLEBORGS LÄN</t>
        </is>
      </c>
      <c r="G310" t="inlineStr">
        <is>
          <t>GÄVLE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45665</v>
      </c>
      <c r="E311" s="1" t="n">
        <v>46239</v>
      </c>
      <c r="F311" t="inlineStr">
        <is>
          <t>GÄVLEBORGS LÄN</t>
        </is>
      </c>
      <c r="G311" t="inlineStr">
        <is>
          <t>GÄVLE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46239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46239</v>
      </c>
      <c r="F313" t="inlineStr">
        <is>
          <t>GÄVLEBORGS LÄN</t>
        </is>
      </c>
      <c r="G313" t="inlineStr">
        <is>
          <t>GÄVLE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46239</v>
      </c>
      <c r="F314" t="inlineStr">
        <is>
          <t>GÄVLEBORGS LÄN</t>
        </is>
      </c>
      <c r="G314" t="inlineStr">
        <is>
          <t>GÄVLE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25768-2022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44733</v>
      </c>
      <c r="E315" s="1" t="n">
        <v>46239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45742</v>
      </c>
      <c r="E316" s="1" t="n">
        <v>46239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46239</v>
      </c>
      <c r="F317" t="inlineStr">
        <is>
          <t>GÄVLEBORGS LÄN</t>
        </is>
      </c>
      <c r="G317" t="inlineStr">
        <is>
          <t>GÄVLE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46239</v>
      </c>
      <c r="F318" t="inlineStr">
        <is>
          <t>GÄVLEBORGS LÄN</t>
        </is>
      </c>
      <c r="G318" t="inlineStr">
        <is>
          <t>GÄVLE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45547</v>
      </c>
      <c r="E319" s="1" t="n">
        <v>46239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45217</v>
      </c>
      <c r="E320" s="1" t="n">
        <v>46239</v>
      </c>
      <c r="F320" t="inlineStr">
        <is>
          <t>GÄVLEBORGS LÄN</t>
        </is>
      </c>
      <c r="G320" t="inlineStr">
        <is>
          <t>GÄVLE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40297-2025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45895</v>
      </c>
      <c r="E321" s="1" t="n">
        <v>46239</v>
      </c>
      <c r="F321" t="inlineStr">
        <is>
          <t>GÄVLEBORGS LÄN</t>
        </is>
      </c>
      <c r="G321" t="inlineStr">
        <is>
          <t>GÄVLE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46239</v>
      </c>
      <c r="F322" t="inlineStr">
        <is>
          <t>GÄVLEBORGS LÄN</t>
        </is>
      </c>
      <c r="G322" t="inlineStr">
        <is>
          <t>GÄVLE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48834-2024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46239</v>
      </c>
      <c r="F323" t="inlineStr">
        <is>
          <t>GÄVLEBORGS LÄN</t>
        </is>
      </c>
      <c r="G323" t="inlineStr">
        <is>
          <t>GÄVLE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46239</v>
      </c>
      <c r="F324" t="inlineStr">
        <is>
          <t>GÄVLEBORGS LÄN</t>
        </is>
      </c>
      <c r="G324" t="inlineStr">
        <is>
          <t>GÄVLE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46239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9.699999999999999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45898</v>
      </c>
      <c r="E326" s="1" t="n">
        <v>46239</v>
      </c>
      <c r="F326" t="inlineStr">
        <is>
          <t>GÄVLEBORGS LÄN</t>
        </is>
      </c>
      <c r="G326" t="inlineStr">
        <is>
          <t>GÄVLE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46239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46239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46239</v>
      </c>
      <c r="F329" t="inlineStr">
        <is>
          <t>GÄVLEBORGS LÄN</t>
        </is>
      </c>
      <c r="G329" t="inlineStr">
        <is>
          <t>GÄVLE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46239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22.7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45898</v>
      </c>
      <c r="E331" s="1" t="n">
        <v>46239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46239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46239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44959</v>
      </c>
      <c r="E334" s="1" t="n">
        <v>46239</v>
      </c>
      <c r="F334" t="inlineStr">
        <is>
          <t>GÄVLEBORGS LÄN</t>
        </is>
      </c>
      <c r="G334" t="inlineStr">
        <is>
          <t>GÄVLE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46239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46239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19555-2022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44693</v>
      </c>
      <c r="E337" s="1" t="n">
        <v>46239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46239</v>
      </c>
      <c r="F338" t="inlineStr">
        <is>
          <t>GÄVLEBORGS LÄN</t>
        </is>
      </c>
      <c r="G338" t="inlineStr">
        <is>
          <t>GÄVLE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45485</v>
      </c>
      <c r="E339" s="1" t="n">
        <v>46239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45749</v>
      </c>
      <c r="E340" s="1" t="n">
        <v>46239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46239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45014</v>
      </c>
      <c r="E342" s="1" t="n">
        <v>46239</v>
      </c>
      <c r="F342" t="inlineStr">
        <is>
          <t>GÄVLEBORGS LÄN</t>
        </is>
      </c>
      <c r="G342" t="inlineStr">
        <is>
          <t>GÄVLE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45030</v>
      </c>
      <c r="E343" s="1" t="n">
        <v>46239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45019</v>
      </c>
      <c r="E344" s="1" t="n">
        <v>46239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46239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46239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45652</v>
      </c>
      <c r="E347" s="1" t="n">
        <v>46239</v>
      </c>
      <c r="F347" t="inlineStr">
        <is>
          <t>GÄVLEBORGS LÄN</t>
        </is>
      </c>
      <c r="G347" t="inlineStr">
        <is>
          <t>GÄVLE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46239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19095-2022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44691</v>
      </c>
      <c r="E349" s="1" t="n">
        <v>46239</v>
      </c>
      <c r="F349" t="inlineStr">
        <is>
          <t>GÄVLEBORGS LÄN</t>
        </is>
      </c>
      <c r="G349" t="inlineStr">
        <is>
          <t>GÄVLE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46239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46239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61786-2024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45649</v>
      </c>
      <c r="E352" s="1" t="n">
        <v>46239</v>
      </c>
      <c r="F352" t="inlineStr">
        <is>
          <t>GÄVLEBORGS LÄN</t>
        </is>
      </c>
      <c r="G352" t="inlineStr">
        <is>
          <t>GÄVLE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46239</v>
      </c>
      <c r="F353" t="inlineStr">
        <is>
          <t>GÄVLEBORGS LÄN</t>
        </is>
      </c>
      <c r="G353" t="inlineStr">
        <is>
          <t>GÄVLE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46239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61300-2024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46239</v>
      </c>
      <c r="F355" t="inlineStr">
        <is>
          <t>GÄVLEBORGS LÄN</t>
        </is>
      </c>
      <c r="G355" t="inlineStr">
        <is>
          <t>GÄVLE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31062-2023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45113</v>
      </c>
      <c r="E356" s="1" t="n">
        <v>46239</v>
      </c>
      <c r="F356" t="inlineStr">
        <is>
          <t>GÄVLEBORGS LÄN</t>
        </is>
      </c>
      <c r="G356" t="inlineStr">
        <is>
          <t>GÄVLE</t>
        </is>
      </c>
      <c r="H356" t="inlineStr">
        <is>
          <t>Kommuner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45595</v>
      </c>
      <c r="E357" s="1" t="n">
        <v>46239</v>
      </c>
      <c r="F357" t="inlineStr">
        <is>
          <t>GÄVLEBORGS LÄN</t>
        </is>
      </c>
      <c r="G357" t="inlineStr">
        <is>
          <t>GÄVLE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46239</v>
      </c>
      <c r="F358" t="inlineStr">
        <is>
          <t>GÄVLEBORGS LÄN</t>
        </is>
      </c>
      <c r="G358" t="inlineStr">
        <is>
          <t>GÄVLE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44818</v>
      </c>
      <c r="E359" s="1" t="n">
        <v>46239</v>
      </c>
      <c r="F359" t="inlineStr">
        <is>
          <t>GÄVLEBORGS LÄN</t>
        </is>
      </c>
      <c r="G359" t="inlineStr">
        <is>
          <t>GÄVLE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46239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46239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45630</v>
      </c>
      <c r="E362" s="1" t="n">
        <v>46239</v>
      </c>
      <c r="F362" t="inlineStr">
        <is>
          <t>GÄVLEBORGS LÄN</t>
        </is>
      </c>
      <c r="G362" t="inlineStr">
        <is>
          <t>GÄVLE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46239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46239</v>
      </c>
      <c r="F364" t="inlineStr">
        <is>
          <t>GÄVLEBORGS LÄN</t>
        </is>
      </c>
      <c r="G364" t="inlineStr">
        <is>
          <t>GÄVLE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45184</v>
      </c>
      <c r="E365" s="1" t="n">
        <v>46239</v>
      </c>
      <c r="F365" t="inlineStr">
        <is>
          <t>GÄVLEBORGS LÄN</t>
        </is>
      </c>
      <c r="G365" t="inlineStr">
        <is>
          <t>GÄVLE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64871-2023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45282</v>
      </c>
      <c r="E366" s="1" t="n">
        <v>46239</v>
      </c>
      <c r="F366" t="inlineStr">
        <is>
          <t>GÄVLEBORGS LÄN</t>
        </is>
      </c>
      <c r="G366" t="inlineStr">
        <is>
          <t>GÄVLE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45282</v>
      </c>
      <c r="E367" s="1" t="n">
        <v>46239</v>
      </c>
      <c r="F367" t="inlineStr">
        <is>
          <t>GÄVLEBORGS LÄN</t>
        </is>
      </c>
      <c r="G367" t="inlineStr">
        <is>
          <t>GÄVLE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46239</v>
      </c>
      <c r="F368" t="inlineStr">
        <is>
          <t>GÄVLEBORGS LÄN</t>
        </is>
      </c>
      <c r="G368" t="inlineStr">
        <is>
          <t>GÄVLE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19730-2022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44694</v>
      </c>
      <c r="E369" s="1" t="n">
        <v>46239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46239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45850-2025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45923</v>
      </c>
      <c r="E371" s="1" t="n">
        <v>46239</v>
      </c>
      <c r="F371" t="inlineStr">
        <is>
          <t>GÄVLEBORGS LÄN</t>
        </is>
      </c>
      <c r="G371" t="inlineStr">
        <is>
          <t>GÄVLE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45699</v>
      </c>
      <c r="E372" s="1" t="n">
        <v>46239</v>
      </c>
      <c r="F372" t="inlineStr">
        <is>
          <t>GÄVLEBORGS LÄN</t>
        </is>
      </c>
      <c r="G372" t="inlineStr">
        <is>
          <t>GÄVLE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46239</v>
      </c>
      <c r="F373" t="inlineStr">
        <is>
          <t>GÄVLEBORGS LÄN</t>
        </is>
      </c>
      <c r="G373" t="inlineStr">
        <is>
          <t>GÄVLE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22577-2022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46239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46239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45330</v>
      </c>
      <c r="E376" s="1" t="n">
        <v>46239</v>
      </c>
      <c r="F376" t="inlineStr">
        <is>
          <t>GÄVLEBORGS LÄN</t>
        </is>
      </c>
      <c r="G376" t="inlineStr">
        <is>
          <t>GÄVLE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46239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45749</v>
      </c>
      <c r="E378" s="1" t="n">
        <v>46239</v>
      </c>
      <c r="F378" t="inlineStr">
        <is>
          <t>GÄVLEBORGS LÄN</t>
        </is>
      </c>
      <c r="G378" t="inlineStr">
        <is>
          <t>GÄVLE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46239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46790-2025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46239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46239</v>
      </c>
      <c r="F381" t="inlineStr">
        <is>
          <t>GÄVLEBORGS LÄN</t>
        </is>
      </c>
      <c r="G381" t="inlineStr">
        <is>
          <t>GÄVLE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46239</v>
      </c>
      <c r="F382" t="inlineStr">
        <is>
          <t>GÄVLEBORGS LÄN</t>
        </is>
      </c>
      <c r="G382" t="inlineStr">
        <is>
          <t>GÄVLE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29929-2022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44756</v>
      </c>
      <c r="E383" s="1" t="n">
        <v>46239</v>
      </c>
      <c r="F383" t="inlineStr">
        <is>
          <t>GÄVLEBORGS LÄN</t>
        </is>
      </c>
      <c r="G383" t="inlineStr">
        <is>
          <t>GÄVLE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46239</v>
      </c>
      <c r="F384" t="inlineStr">
        <is>
          <t>GÄVLEBORGS LÄN</t>
        </is>
      </c>
      <c r="G384" t="inlineStr">
        <is>
          <t>GÄVLE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46239</v>
      </c>
      <c r="F385" t="inlineStr">
        <is>
          <t>GÄVLEBORGS LÄN</t>
        </is>
      </c>
      <c r="G385" t="inlineStr">
        <is>
          <t>GÄVLE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46239</v>
      </c>
      <c r="F386" t="inlineStr">
        <is>
          <t>GÄVLEBORGS LÄN</t>
        </is>
      </c>
      <c r="G386" t="inlineStr">
        <is>
          <t>GÄVLE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44708</v>
      </c>
      <c r="E387" s="1" t="n">
        <v>46239</v>
      </c>
      <c r="F387" t="inlineStr">
        <is>
          <t>GÄVLEBORGS LÄN</t>
        </is>
      </c>
      <c r="G387" t="inlineStr">
        <is>
          <t>GÄVLE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45699</v>
      </c>
      <c r="E388" s="1" t="n">
        <v>46239</v>
      </c>
      <c r="F388" t="inlineStr">
        <is>
          <t>GÄVLEBORGS LÄN</t>
        </is>
      </c>
      <c r="G388" t="inlineStr">
        <is>
          <t>GÄVLE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47612-2025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46239</v>
      </c>
      <c r="F389" t="inlineStr">
        <is>
          <t>GÄVLEBORGS LÄN</t>
        </is>
      </c>
      <c r="G389" t="inlineStr">
        <is>
          <t>GÄVLE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46239</v>
      </c>
      <c r="F390" t="inlineStr">
        <is>
          <t>GÄVLEBORGS LÄN</t>
        </is>
      </c>
      <c r="G390" t="inlineStr">
        <is>
          <t>GÄVLE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45932</v>
      </c>
      <c r="E391" s="1" t="n">
        <v>46239</v>
      </c>
      <c r="F391" t="inlineStr">
        <is>
          <t>GÄVLEBORGS LÄN</t>
        </is>
      </c>
      <c r="G391" t="inlineStr">
        <is>
          <t>GÄVLE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46239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48251-2025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46239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45660</v>
      </c>
      <c r="E394" s="1" t="n">
        <v>46239</v>
      </c>
      <c r="F394" t="inlineStr">
        <is>
          <t>GÄVLEBORGS LÄN</t>
        </is>
      </c>
      <c r="G394" t="inlineStr">
        <is>
          <t>GÄVLE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46239</v>
      </c>
      <c r="F395" t="inlineStr">
        <is>
          <t>GÄVLEBORGS LÄN</t>
        </is>
      </c>
      <c r="G395" t="inlineStr">
        <is>
          <t>GÄVLE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46239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10352-2025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45720</v>
      </c>
      <c r="E397" s="1" t="n">
        <v>46239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46239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48117-2025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46239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46239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46239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46239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29923-2022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44756</v>
      </c>
      <c r="E403" s="1" t="n">
        <v>46239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29927-2022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44756</v>
      </c>
      <c r="E404" s="1" t="n">
        <v>46239</v>
      </c>
      <c r="F404" t="inlineStr">
        <is>
          <t>GÄVLEBORGS LÄN</t>
        </is>
      </c>
      <c r="G404" t="inlineStr">
        <is>
          <t>GÄVLE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45937</v>
      </c>
      <c r="E405" s="1" t="n">
        <v>46239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45014</v>
      </c>
      <c r="E406" s="1" t="n">
        <v>46239</v>
      </c>
      <c r="F406" t="inlineStr">
        <is>
          <t>GÄVLEBORGS LÄN</t>
        </is>
      </c>
      <c r="G406" t="inlineStr">
        <is>
          <t>GÄVLE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58445-2021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44488</v>
      </c>
      <c r="E407" s="1" t="n">
        <v>46239</v>
      </c>
      <c r="F407" t="inlineStr">
        <is>
          <t>GÄVLEBORGS LÄN</t>
        </is>
      </c>
      <c r="G407" t="inlineStr">
        <is>
          <t>GÄVLE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45530</v>
      </c>
      <c r="E408" s="1" t="n">
        <v>46239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44369-2025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46239</v>
      </c>
      <c r="F409" t="inlineStr">
        <is>
          <t>GÄVLEBORGS LÄN</t>
        </is>
      </c>
      <c r="G409" t="inlineStr">
        <is>
          <t>GÄVLE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45266</v>
      </c>
      <c r="E410" s="1" t="n">
        <v>46239</v>
      </c>
      <c r="F410" t="inlineStr">
        <is>
          <t>GÄVLEBORGS LÄN</t>
        </is>
      </c>
      <c r="G410" t="inlineStr">
        <is>
          <t>GÄVLE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45312</v>
      </c>
      <c r="E411" s="1" t="n">
        <v>46239</v>
      </c>
      <c r="F411" t="inlineStr">
        <is>
          <t>GÄVLEBORGS LÄN</t>
        </is>
      </c>
      <c r="G411" t="inlineStr">
        <is>
          <t>GÄVLE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46239</v>
      </c>
      <c r="F412" t="inlineStr">
        <is>
          <t>GÄVLEBORGS LÄN</t>
        </is>
      </c>
      <c r="G412" t="inlineStr">
        <is>
          <t>GÄVLE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45940</v>
      </c>
      <c r="E413" s="1" t="n">
        <v>46239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45940</v>
      </c>
      <c r="E414" s="1" t="n">
        <v>46239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61879-2024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45652</v>
      </c>
      <c r="E415" s="1" t="n">
        <v>46239</v>
      </c>
      <c r="F415" t="inlineStr">
        <is>
          <t>GÄVLEBORGS LÄN</t>
        </is>
      </c>
      <c r="G415" t="inlineStr">
        <is>
          <t>GÄVLE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46239</v>
      </c>
      <c r="F416" t="inlineStr">
        <is>
          <t>GÄVLEBORGS LÄN</t>
        </is>
      </c>
      <c r="G416" t="inlineStr">
        <is>
          <t>GÄVLE</t>
        </is>
      </c>
      <c r="H416" t="inlineStr">
        <is>
          <t>Kyrkan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45440</v>
      </c>
      <c r="E417" s="1" t="n">
        <v>46239</v>
      </c>
      <c r="F417" t="inlineStr">
        <is>
          <t>GÄVLEBORGS LÄN</t>
        </is>
      </c>
      <c r="G417" t="inlineStr">
        <is>
          <t>GÄVLE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45266</v>
      </c>
      <c r="E418" s="1" t="n">
        <v>46239</v>
      </c>
      <c r="F418" t="inlineStr">
        <is>
          <t>GÄVLEBORGS LÄN</t>
        </is>
      </c>
      <c r="G418" t="inlineStr">
        <is>
          <t>GÄVLE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45943</v>
      </c>
      <c r="E419" s="1" t="n">
        <v>46239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46101</v>
      </c>
      <c r="E420" s="1" t="n">
        <v>46239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45660</v>
      </c>
      <c r="E421" s="1" t="n">
        <v>46239</v>
      </c>
      <c r="F421" t="inlineStr">
        <is>
          <t>GÄVLEBORGS LÄN</t>
        </is>
      </c>
      <c r="G421" t="inlineStr">
        <is>
          <t>GÄVLE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45944</v>
      </c>
      <c r="E422" s="1" t="n">
        <v>46239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22342-2026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46154</v>
      </c>
      <c r="E423" s="1" t="n">
        <v>46239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46239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45580</v>
      </c>
      <c r="E425" s="1" t="n">
        <v>46239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45944</v>
      </c>
      <c r="E426" s="1" t="n">
        <v>46239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45776</v>
      </c>
      <c r="E427" s="1" t="n">
        <v>46239</v>
      </c>
      <c r="F427" t="inlineStr">
        <is>
          <t>GÄVLEBORGS LÄN</t>
        </is>
      </c>
      <c r="G427" t="inlineStr">
        <is>
          <t>GÄVLE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45817</v>
      </c>
      <c r="E428" s="1" t="n">
        <v>46239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46154</v>
      </c>
      <c r="E429" s="1" t="n">
        <v>46239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46239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46239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45782</v>
      </c>
      <c r="E432" s="1" t="n">
        <v>46239</v>
      </c>
      <c r="F432" t="inlineStr">
        <is>
          <t>GÄVLEBORGS LÄN</t>
        </is>
      </c>
      <c r="G432" t="inlineStr">
        <is>
          <t>GÄVLE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51758-2025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46239</v>
      </c>
      <c r="F433" t="inlineStr">
        <is>
          <t>GÄVLEBORGS LÄN</t>
        </is>
      </c>
      <c r="G433" t="inlineStr">
        <is>
          <t>GÄVLE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46239</v>
      </c>
      <c r="F434" t="inlineStr">
        <is>
          <t>GÄVLEBORGS LÄN</t>
        </is>
      </c>
      <c r="G434" t="inlineStr">
        <is>
          <t>GÄVLE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46239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46239</v>
      </c>
      <c r="F436" t="inlineStr">
        <is>
          <t>GÄVLEBORGS LÄN</t>
        </is>
      </c>
      <c r="G436" t="inlineStr">
        <is>
          <t>GÄVLE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22354-2026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46154</v>
      </c>
      <c r="E437" s="1" t="n">
        <v>46239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22361-2026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46239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46239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46239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46239</v>
      </c>
      <c r="F441" t="inlineStr">
        <is>
          <t>GÄVLEBORGS LÄN</t>
        </is>
      </c>
      <c r="G441" t="inlineStr">
        <is>
          <t>GÄVLE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46239</v>
      </c>
      <c r="F442" t="inlineStr">
        <is>
          <t>GÄVLEBORGS LÄN</t>
        </is>
      </c>
      <c r="G442" t="inlineStr">
        <is>
          <t>GÄVLE</t>
        </is>
      </c>
      <c r="H442" t="inlineStr">
        <is>
          <t>BillerudKorsnäs AB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46239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46239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46239</v>
      </c>
      <c r="F445" t="inlineStr">
        <is>
          <t>GÄVLEBORGS LÄN</t>
        </is>
      </c>
      <c r="G445" t="inlineStr">
        <is>
          <t>GÄVLE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46239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46239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46239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45702</v>
      </c>
      <c r="E449" s="1" t="n">
        <v>46239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48247-2025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45933</v>
      </c>
      <c r="E450" s="1" t="n">
        <v>46239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46239</v>
      </c>
      <c r="F451" t="inlineStr">
        <is>
          <t>GÄVLEBORGS LÄN</t>
        </is>
      </c>
      <c r="G451" t="inlineStr">
        <is>
          <t>GÄVLE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46155</v>
      </c>
      <c r="E452" s="1" t="n">
        <v>46239</v>
      </c>
      <c r="F452" t="inlineStr">
        <is>
          <t>GÄVLEBORGS LÄN</t>
        </is>
      </c>
      <c r="G452" t="inlineStr">
        <is>
          <t>GÄVLE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45322</v>
      </c>
      <c r="E453" s="1" t="n">
        <v>46239</v>
      </c>
      <c r="F453" t="inlineStr">
        <is>
          <t>GÄVLEBORGS LÄN</t>
        </is>
      </c>
      <c r="G453" t="inlineStr">
        <is>
          <t>GÄVLE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52801-2025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45957</v>
      </c>
      <c r="E454" s="1" t="n">
        <v>46239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46239</v>
      </c>
      <c r="F455" t="inlineStr">
        <is>
          <t>GÄVLEBORGS LÄN</t>
        </is>
      </c>
      <c r="G455" t="inlineStr">
        <is>
          <t>GÄVLE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52897-2025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46239</v>
      </c>
      <c r="F456" t="inlineStr">
        <is>
          <t>GÄVLEBORGS LÄN</t>
        </is>
      </c>
      <c r="G456" t="inlineStr">
        <is>
          <t>GÄVLE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15152-2026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46105</v>
      </c>
      <c r="E457" s="1" t="n">
        <v>46239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52970-2025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45957</v>
      </c>
      <c r="E458" s="1" t="n">
        <v>46239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46239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46239</v>
      </c>
      <c r="F460" t="inlineStr">
        <is>
          <t>GÄVLEBORGS LÄN</t>
        </is>
      </c>
      <c r="G460" t="inlineStr">
        <is>
          <t>GÄVLE</t>
        </is>
      </c>
      <c r="H460" t="inlineStr">
        <is>
          <t>Kyrkan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15158-2026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46239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53541-2025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45960</v>
      </c>
      <c r="E462" s="1" t="n">
        <v>46239</v>
      </c>
      <c r="F462" t="inlineStr">
        <is>
          <t>GÄVLEBORGS LÄN</t>
        </is>
      </c>
      <c r="G462" t="inlineStr">
        <is>
          <t>GÄVLE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45530</v>
      </c>
      <c r="E463" s="1" t="n">
        <v>46239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46239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45790</v>
      </c>
      <c r="E465" s="1" t="n">
        <v>46239</v>
      </c>
      <c r="F465" t="inlineStr">
        <is>
          <t>GÄVLEBORGS LÄN</t>
        </is>
      </c>
      <c r="G465" t="inlineStr">
        <is>
          <t>GÄVLE</t>
        </is>
      </c>
      <c r="I465" t="n">
        <v>20.8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10095-2025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45719</v>
      </c>
      <c r="E466" s="1" t="n">
        <v>46239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45964</v>
      </c>
      <c r="E467" s="1" t="n">
        <v>46239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46239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46239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46239</v>
      </c>
      <c r="F470" t="inlineStr">
        <is>
          <t>GÄVLEBORGS LÄN</t>
        </is>
      </c>
      <c r="G470" t="inlineStr">
        <is>
          <t>GÄVLE</t>
        </is>
      </c>
      <c r="H470" t="inlineStr">
        <is>
          <t>Kyrkan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46239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45790</v>
      </c>
      <c r="E472" s="1" t="n">
        <v>46239</v>
      </c>
      <c r="F472" t="inlineStr">
        <is>
          <t>GÄVLEBORGS LÄN</t>
        </is>
      </c>
      <c r="G472" t="inlineStr">
        <is>
          <t>GÄVLE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45660</v>
      </c>
      <c r="E473" s="1" t="n">
        <v>46239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46105</v>
      </c>
      <c r="E474" s="1" t="n">
        <v>46239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46239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54480-2025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45965</v>
      </c>
      <c r="E476" s="1" t="n">
        <v>46239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46239</v>
      </c>
      <c r="F477" t="inlineStr">
        <is>
          <t>GÄVLEBORGS LÄN</t>
        </is>
      </c>
      <c r="G477" t="inlineStr">
        <is>
          <t>GÄVLE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46107</v>
      </c>
      <c r="E479" s="1" t="n">
        <v>46239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46239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45965</v>
      </c>
      <c r="E481" s="1" t="n">
        <v>46239</v>
      </c>
      <c r="F481" t="inlineStr">
        <is>
          <t>GÄVLEBORGS LÄN</t>
        </is>
      </c>
      <c r="G481" t="inlineStr">
        <is>
          <t>GÄVLE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46160</v>
      </c>
      <c r="E482" s="1" t="n">
        <v>46239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46160</v>
      </c>
      <c r="E483" s="1" t="n">
        <v>46239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46239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54958-2025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46239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45967</v>
      </c>
      <c r="E486" s="1" t="n">
        <v>46239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45967</v>
      </c>
      <c r="E487" s="1" t="n">
        <v>46239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45968</v>
      </c>
      <c r="E488" s="1" t="n">
        <v>46239</v>
      </c>
      <c r="F488" t="inlineStr">
        <is>
          <t>GÄVLEBORGS LÄN</t>
        </is>
      </c>
      <c r="G488" t="inlineStr">
        <is>
          <t>GÄVLE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54959-2025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45967</v>
      </c>
      <c r="E489" s="1" t="n">
        <v>46239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46239</v>
      </c>
      <c r="F490" t="inlineStr">
        <is>
          <t>GÄVLEBORGS LÄN</t>
        </is>
      </c>
      <c r="G490" t="inlineStr">
        <is>
          <t>GÄVLE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46239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48913-2024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45594</v>
      </c>
      <c r="E492" s="1" t="n">
        <v>46239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46239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46239</v>
      </c>
      <c r="F494" t="inlineStr">
        <is>
          <t>GÄVLEBORGS LÄN</t>
        </is>
      </c>
      <c r="G494" t="inlineStr">
        <is>
          <t>GÄVLE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45623</v>
      </c>
      <c r="E495" s="1" t="n">
        <v>46239</v>
      </c>
      <c r="F495" t="inlineStr">
        <is>
          <t>GÄVLEBORGS LÄN</t>
        </is>
      </c>
      <c r="G495" t="inlineStr">
        <is>
          <t>GÄVLE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56271-2025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45974</v>
      </c>
      <c r="E496" s="1" t="n">
        <v>46239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56277-2025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45974</v>
      </c>
      <c r="E497" s="1" t="n">
        <v>46239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46239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56268-2025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46239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45974</v>
      </c>
      <c r="E500" s="1" t="n">
        <v>46239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45974</v>
      </c>
      <c r="E501" s="1" t="n">
        <v>46239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56123-2025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45973</v>
      </c>
      <c r="E502" s="1" t="n">
        <v>46239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10.5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45312</v>
      </c>
      <c r="E503" s="1" t="n">
        <v>46239</v>
      </c>
      <c r="F503" t="inlineStr">
        <is>
          <t>GÄVLEBORGS LÄN</t>
        </is>
      </c>
      <c r="G503" t="inlineStr">
        <is>
          <t>GÄVLE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58373-2024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45632</v>
      </c>
      <c r="E504" s="1" t="n">
        <v>46239</v>
      </c>
      <c r="F504" t="inlineStr">
        <is>
          <t>GÄVLEBORGS LÄN</t>
        </is>
      </c>
      <c r="G504" t="inlineStr">
        <is>
          <t>GÄVLE</t>
        </is>
      </c>
      <c r="I504" t="n">
        <v>13.1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46239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56121-2025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46239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24225-2025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45797</v>
      </c>
      <c r="E507" s="1" t="n">
        <v>46239</v>
      </c>
      <c r="F507" t="inlineStr">
        <is>
          <t>GÄVLEBORGS LÄN</t>
        </is>
      </c>
      <c r="G507" t="inlineStr">
        <is>
          <t>GÄVLE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56267-2025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45974</v>
      </c>
      <c r="E508" s="1" t="n">
        <v>46239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46239</v>
      </c>
      <c r="F509" t="inlineStr">
        <is>
          <t>GÄVLEBORGS LÄN</t>
        </is>
      </c>
      <c r="G509" t="inlineStr">
        <is>
          <t>GÄVLE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56272-2025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45974</v>
      </c>
      <c r="E510" s="1" t="n">
        <v>46239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45974</v>
      </c>
      <c r="E511" s="1" t="n">
        <v>46239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56120-2025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46239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56122-2025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46239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24228-2025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46239</v>
      </c>
      <c r="F514" t="inlineStr">
        <is>
          <t>GÄVLEBORGS LÄN</t>
        </is>
      </c>
      <c r="G514" t="inlineStr">
        <is>
          <t>GÄVLE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31367-2024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45505</v>
      </c>
      <c r="E515" s="1" t="n">
        <v>46239</v>
      </c>
      <c r="F515" t="inlineStr">
        <is>
          <t>GÄVLEBORGS LÄN</t>
        </is>
      </c>
      <c r="G515" t="inlineStr">
        <is>
          <t>GÄVLE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46239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46239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46239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52.7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46239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14974-2026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46239</v>
      </c>
      <c r="F520" t="inlineStr">
        <is>
          <t>GÄVLEBORGS LÄN</t>
        </is>
      </c>
      <c r="G520" t="inlineStr">
        <is>
          <t>GÄVLE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46239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46239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26564-2022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44739</v>
      </c>
      <c r="E523" s="1" t="n">
        <v>46239</v>
      </c>
      <c r="F523" t="inlineStr">
        <is>
          <t>GÄVLEBORGS LÄN</t>
        </is>
      </c>
      <c r="G523" t="inlineStr">
        <is>
          <t>GÄVLE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45804</v>
      </c>
      <c r="E524" s="1" t="n">
        <v>46239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46239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25645-2023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45089</v>
      </c>
      <c r="E526" s="1" t="n">
        <v>46239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45448-2025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45922</v>
      </c>
      <c r="E527" s="1" t="n">
        <v>46239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45912</v>
      </c>
      <c r="E528" s="1" t="n">
        <v>46239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43774-2025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45912</v>
      </c>
      <c r="E529" s="1" t="n">
        <v>46239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45469-2025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45922</v>
      </c>
      <c r="E530" s="1" t="n">
        <v>46239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45548-2025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45922</v>
      </c>
      <c r="E531" s="1" t="n">
        <v>46239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23591-2026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46163</v>
      </c>
      <c r="E532" s="1" t="n">
        <v>46239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46239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45546-2025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45922</v>
      </c>
      <c r="E534" s="1" t="n">
        <v>46239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46239</v>
      </c>
      <c r="F535" t="inlineStr">
        <is>
          <t>GÄVLEBORGS LÄN</t>
        </is>
      </c>
      <c r="G535" t="inlineStr">
        <is>
          <t>GÄVLE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43771-2025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45912</v>
      </c>
      <c r="E536" s="1" t="n">
        <v>46239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43780-2025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45912</v>
      </c>
      <c r="E537" s="1" t="n">
        <v>46239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45415-2025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45922</v>
      </c>
      <c r="E538" s="1" t="n">
        <v>46239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45922</v>
      </c>
      <c r="E539" s="1" t="n">
        <v>46239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58925-2025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45987</v>
      </c>
      <c r="E540" s="1" t="n">
        <v>46239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45922</v>
      </c>
      <c r="E541" s="1" t="n">
        <v>46239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43764-2025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45912</v>
      </c>
      <c r="E542" s="1" t="n">
        <v>46239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45410-2025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45922</v>
      </c>
      <c r="E543" s="1" t="n">
        <v>46239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45922</v>
      </c>
      <c r="E544" s="1" t="n">
        <v>46239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45660</v>
      </c>
      <c r="E545" s="1" t="n">
        <v>46239</v>
      </c>
      <c r="F545" t="inlineStr">
        <is>
          <t>GÄVLEBORGS LÄN</t>
        </is>
      </c>
      <c r="G545" t="inlineStr">
        <is>
          <t>GÄVLE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45660</v>
      </c>
      <c r="E546" s="1" t="n">
        <v>46239</v>
      </c>
      <c r="F546" t="inlineStr">
        <is>
          <t>GÄVLEBORGS LÄN</t>
        </is>
      </c>
      <c r="G546" t="inlineStr">
        <is>
          <t>GÄVLE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45992</v>
      </c>
      <c r="E547" s="1" t="n">
        <v>46239</v>
      </c>
      <c r="F547" t="inlineStr">
        <is>
          <t>GÄVLEBORGS LÄN</t>
        </is>
      </c>
      <c r="G547" t="inlineStr">
        <is>
          <t>GÄVLE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30601-2026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46210</v>
      </c>
      <c r="E548" s="1" t="n">
        <v>46239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46239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46239</v>
      </c>
      <c r="F550" t="inlineStr">
        <is>
          <t>GÄVLEBORGS LÄN</t>
        </is>
      </c>
      <c r="G550" t="inlineStr">
        <is>
          <t>GÄVLE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46239</v>
      </c>
      <c r="F551" t="inlineStr">
        <is>
          <t>GÄVLEBORGS LÄN</t>
        </is>
      </c>
      <c r="G551" t="inlineStr">
        <is>
          <t>GÄVLE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46239</v>
      </c>
      <c r="F552" t="inlineStr">
        <is>
          <t>GÄVLEBORGS LÄN</t>
        </is>
      </c>
      <c r="G552" t="inlineStr">
        <is>
          <t>GÄVLE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45992</v>
      </c>
      <c r="E553" s="1" t="n">
        <v>46239</v>
      </c>
      <c r="F553" t="inlineStr">
        <is>
          <t>GÄVLEBORGS LÄN</t>
        </is>
      </c>
      <c r="G553" t="inlineStr">
        <is>
          <t>GÄVLE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46239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46168</v>
      </c>
      <c r="E555" s="1" t="n">
        <v>46239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46239</v>
      </c>
      <c r="F556" t="inlineStr">
        <is>
          <t>GÄVLEBORGS LÄN</t>
        </is>
      </c>
      <c r="G556" t="inlineStr">
        <is>
          <t>GÄVLE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45681</v>
      </c>
      <c r="E557" s="1" t="n">
        <v>46239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45350</v>
      </c>
      <c r="E558" s="1" t="n">
        <v>46239</v>
      </c>
      <c r="F558" t="inlineStr">
        <is>
          <t>GÄVLEBORGS LÄN</t>
        </is>
      </c>
      <c r="G558" t="inlineStr">
        <is>
          <t>GÄVLE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46207</v>
      </c>
      <c r="E559" s="1" t="n">
        <v>46239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44973</v>
      </c>
      <c r="E560" s="1" t="n">
        <v>46239</v>
      </c>
      <c r="F560" t="inlineStr">
        <is>
          <t>GÄVLEBORGS LÄN</t>
        </is>
      </c>
      <c r="G560" t="inlineStr">
        <is>
          <t>GÄVLE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45994</v>
      </c>
      <c r="E561" s="1" t="n">
        <v>46239</v>
      </c>
      <c r="F561" t="inlineStr">
        <is>
          <t>GÄVLEBORGS LÄN</t>
        </is>
      </c>
      <c r="G561" t="inlineStr">
        <is>
          <t>GÄVLE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60536-2025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45995</v>
      </c>
      <c r="E562" s="1" t="n">
        <v>46239</v>
      </c>
      <c r="F562" t="inlineStr">
        <is>
          <t>GÄVLEBORGS LÄN</t>
        </is>
      </c>
      <c r="G562" t="inlineStr">
        <is>
          <t>GÄVLE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44589</v>
      </c>
      <c r="E563" s="1" t="n">
        <v>46239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46239</v>
      </c>
      <c r="F564" t="inlineStr">
        <is>
          <t>GÄVLEBORGS LÄN</t>
        </is>
      </c>
      <c r="G564" t="inlineStr">
        <is>
          <t>GÄVLE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45995</v>
      </c>
      <c r="E565" s="1" t="n">
        <v>46239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45968</v>
      </c>
      <c r="E566" s="1" t="n">
        <v>46239</v>
      </c>
      <c r="F566" t="inlineStr">
        <is>
          <t>GÄVLEBORGS LÄN</t>
        </is>
      </c>
      <c r="G566" t="inlineStr">
        <is>
          <t>GÄVLE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45995</v>
      </c>
      <c r="E567" s="1" t="n">
        <v>46239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60922-2025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45999</v>
      </c>
      <c r="E568" s="1" t="n">
        <v>46239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46239</v>
      </c>
      <c r="F569" t="inlineStr">
        <is>
          <t>GÄVLEBORGS LÄN</t>
        </is>
      </c>
      <c r="G569" t="inlineStr">
        <is>
          <t>GÄVLE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56487-2023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45243</v>
      </c>
      <c r="E570" s="1" t="n">
        <v>46239</v>
      </c>
      <c r="F570" t="inlineStr">
        <is>
          <t>GÄVLEBORGS LÄN</t>
        </is>
      </c>
      <c r="G570" t="inlineStr">
        <is>
          <t>GÄVLE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46239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46210</v>
      </c>
      <c r="E572" s="1" t="n">
        <v>46239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46169</v>
      </c>
      <c r="E573" s="1" t="n">
        <v>46239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46169</v>
      </c>
      <c r="E574" s="1" t="n">
        <v>46239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46002</v>
      </c>
      <c r="E575" s="1" t="n">
        <v>46239</v>
      </c>
      <c r="F575" t="inlineStr">
        <is>
          <t>GÄVLEBORGS LÄN</t>
        </is>
      </c>
      <c r="G575" t="inlineStr">
        <is>
          <t>GÄVLE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61651-2025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46239</v>
      </c>
      <c r="F576" t="inlineStr">
        <is>
          <t>GÄVLEBORGS LÄN</t>
        </is>
      </c>
      <c r="G576" t="inlineStr">
        <is>
          <t>GÄVLE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46002</v>
      </c>
      <c r="E577" s="1" t="n">
        <v>46239</v>
      </c>
      <c r="F577" t="inlineStr">
        <is>
          <t>GÄVLEBORGS LÄN</t>
        </is>
      </c>
      <c r="G577" t="inlineStr">
        <is>
          <t>GÄVLE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24295-2026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46239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46239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46169</v>
      </c>
      <c r="E580" s="1" t="n">
        <v>46239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24373-2026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46169</v>
      </c>
      <c r="E581" s="1" t="n">
        <v>46239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46169</v>
      </c>
      <c r="E582" s="1" t="n">
        <v>46239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61449-2025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46001</v>
      </c>
      <c r="E583" s="1" t="n">
        <v>46239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9.300000000000001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24367-2026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46169</v>
      </c>
      <c r="E584" s="1" t="n">
        <v>46239</v>
      </c>
      <c r="F584" t="inlineStr">
        <is>
          <t>GÄVLEBORGS LÄN</t>
        </is>
      </c>
      <c r="G584" t="inlineStr">
        <is>
          <t>GÄVLE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46003</v>
      </c>
      <c r="E585" s="1" t="n">
        <v>46239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62226-2025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46006</v>
      </c>
      <c r="E586" s="1" t="n">
        <v>46239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61879-2025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46003</v>
      </c>
      <c r="E587" s="1" t="n">
        <v>46239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46213</v>
      </c>
      <c r="E588" s="1" t="n">
        <v>46239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46213</v>
      </c>
      <c r="E589" s="1" t="n">
        <v>46239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71249-2021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44539</v>
      </c>
      <c r="E590" s="1" t="n">
        <v>46239</v>
      </c>
      <c r="F590" t="inlineStr">
        <is>
          <t>GÄVLEBORGS LÄN</t>
        </is>
      </c>
      <c r="G590" t="inlineStr">
        <is>
          <t>GÄVLE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62742-2025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46239</v>
      </c>
      <c r="F591" t="inlineStr">
        <is>
          <t>GÄVLEBORGS LÄN</t>
        </is>
      </c>
      <c r="G591" t="inlineStr">
        <is>
          <t>GÄVLE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24669-2026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46171</v>
      </c>
      <c r="E592" s="1" t="n">
        <v>46239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21.4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31019-2026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46239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väst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24810-2026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46173</v>
      </c>
      <c r="E594" s="1" t="n">
        <v>46239</v>
      </c>
      <c r="F594" t="inlineStr">
        <is>
          <t>GÄVLEBORGS LÄN</t>
        </is>
      </c>
      <c r="G594" t="inlineStr">
        <is>
          <t>GÄVLE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46239</v>
      </c>
      <c r="F595" t="inlineStr">
        <is>
          <t>GÄVLEBORGS LÄN</t>
        </is>
      </c>
      <c r="G595" t="inlineStr">
        <is>
          <t>GÄVLE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46213</v>
      </c>
      <c r="E596" s="1" t="n">
        <v>46239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46213</v>
      </c>
      <c r="E597" s="1" t="n">
        <v>46239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46217</v>
      </c>
      <c r="E598" s="1" t="n">
        <v>46239</v>
      </c>
      <c r="F598" t="inlineStr">
        <is>
          <t>GÄVLEBORGS LÄN</t>
        </is>
      </c>
      <c r="G598" t="inlineStr">
        <is>
          <t>GÄVLE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63801-2025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46019</v>
      </c>
      <c r="E599" s="1" t="n">
        <v>46239</v>
      </c>
      <c r="F599" t="inlineStr">
        <is>
          <t>GÄVLEBORGS LÄN</t>
        </is>
      </c>
      <c r="G599" t="inlineStr">
        <is>
          <t>GÄVLE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54953-2025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45967</v>
      </c>
      <c r="E600" s="1" t="n">
        <v>46239</v>
      </c>
      <c r="F600" t="inlineStr">
        <is>
          <t>GÄVLEBORGS LÄN</t>
        </is>
      </c>
      <c r="G600" t="inlineStr">
        <is>
          <t>GÄVLE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45931</v>
      </c>
      <c r="E601" s="1" t="n">
        <v>46239</v>
      </c>
      <c r="F601" t="inlineStr">
        <is>
          <t>GÄVLEBORGS LÄN</t>
        </is>
      </c>
      <c r="G601" t="inlineStr">
        <is>
          <t>GÄVLE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48864-2025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45937</v>
      </c>
      <c r="E602" s="1" t="n">
        <v>46239</v>
      </c>
      <c r="F602" t="inlineStr">
        <is>
          <t>GÄVLEBORGS LÄN</t>
        </is>
      </c>
      <c r="G602" t="inlineStr">
        <is>
          <t>GÄVLE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45855</v>
      </c>
      <c r="E603" s="1" t="n">
        <v>46239</v>
      </c>
      <c r="F603" t="inlineStr">
        <is>
          <t>GÄVLEBORGS LÄN</t>
        </is>
      </c>
      <c r="G603" t="inlineStr">
        <is>
          <t>GÄVLE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46019</v>
      </c>
      <c r="E604" s="1" t="n">
        <v>46239</v>
      </c>
      <c r="F604" t="inlineStr">
        <is>
          <t>GÄVLEBORGS LÄN</t>
        </is>
      </c>
      <c r="G604" t="inlineStr">
        <is>
          <t>GÄVLE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42788-2025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45908</v>
      </c>
      <c r="E605" s="1" t="n">
        <v>46239</v>
      </c>
      <c r="F605" t="inlineStr">
        <is>
          <t>GÄVLEBORGS LÄN</t>
        </is>
      </c>
      <c r="G605" t="inlineStr">
        <is>
          <t>GÄVLE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47942-2025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45932</v>
      </c>
      <c r="E606" s="1" t="n">
        <v>46239</v>
      </c>
      <c r="F606" t="inlineStr">
        <is>
          <t>GÄVLEBORGS LÄN</t>
        </is>
      </c>
      <c r="G606" t="inlineStr">
        <is>
          <t>GÄVLE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47981-2025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45932</v>
      </c>
      <c r="E607" s="1" t="n">
        <v>46239</v>
      </c>
      <c r="F607" t="inlineStr">
        <is>
          <t>GÄVLEBORGS LÄN</t>
        </is>
      </c>
      <c r="G607" t="inlineStr">
        <is>
          <t>GÄVLE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48928-2025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45937</v>
      </c>
      <c r="E608" s="1" t="n">
        <v>46239</v>
      </c>
      <c r="F608" t="inlineStr">
        <is>
          <t>GÄVLEBORGS LÄN</t>
        </is>
      </c>
      <c r="G608" t="inlineStr">
        <is>
          <t>GÄVLE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42692-2025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45908</v>
      </c>
      <c r="E609" s="1" t="n">
        <v>46239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16023-2023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45026</v>
      </c>
      <c r="E610" s="1" t="n">
        <v>46239</v>
      </c>
      <c r="F610" t="inlineStr">
        <is>
          <t>GÄVLEBORGS LÄN</t>
        </is>
      </c>
      <c r="G610" t="inlineStr">
        <is>
          <t>GÄVLE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46239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64142-2025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46022</v>
      </c>
      <c r="E612" s="1" t="n">
        <v>46239</v>
      </c>
      <c r="F612" t="inlineStr">
        <is>
          <t>GÄVLEBORGS LÄN</t>
        </is>
      </c>
      <c r="G612" t="inlineStr">
        <is>
          <t>GÄVLE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25500-2026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46177</v>
      </c>
      <c r="E613" s="1" t="n">
        <v>46239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45932</v>
      </c>
      <c r="E614" s="1" t="n">
        <v>46239</v>
      </c>
      <c r="F614" t="inlineStr">
        <is>
          <t>GÄVLEBORGS LÄN</t>
        </is>
      </c>
      <c r="G614" t="inlineStr">
        <is>
          <t>GÄVLE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46239</v>
      </c>
      <c r="F615" t="inlineStr">
        <is>
          <t>GÄVLEBORGS LÄN</t>
        </is>
      </c>
      <c r="G615" t="inlineStr">
        <is>
          <t>GÄVLE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25513-2026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46239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25623-2026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46239</v>
      </c>
      <c r="F617" t="inlineStr">
        <is>
          <t>GÄVLEBORGS LÄN</t>
        </is>
      </c>
      <c r="G617" t="inlineStr">
        <is>
          <t>GÄVLE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20676-2026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46239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46239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46239</v>
      </c>
      <c r="F620" t="inlineStr">
        <is>
          <t>GÄVLEBORGS LÄN</t>
        </is>
      </c>
      <c r="G620" t="inlineStr">
        <is>
          <t>GÄVLE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46239</v>
      </c>
      <c r="F621" t="inlineStr">
        <is>
          <t>GÄVLEBORGS LÄN</t>
        </is>
      </c>
      <c r="G621" t="inlineStr">
        <is>
          <t>GÄVLE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46176</v>
      </c>
      <c r="E622" s="1" t="n">
        <v>46239</v>
      </c>
      <c r="F622" t="inlineStr">
        <is>
          <t>GÄVLEBORGS LÄN</t>
        </is>
      </c>
      <c r="G622" t="inlineStr">
        <is>
          <t>GÄVLE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46239</v>
      </c>
      <c r="F623" t="inlineStr">
        <is>
          <t>GÄVLEBORGS LÄN</t>
        </is>
      </c>
      <c r="G623" t="inlineStr">
        <is>
          <t>GÄVLE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46217</v>
      </c>
      <c r="E624" s="1" t="n">
        <v>46239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46223</v>
      </c>
      <c r="E625" s="1" t="n">
        <v>46239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10.2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46239</v>
      </c>
      <c r="F626" t="inlineStr">
        <is>
          <t>GÄVLEBORGS LÄN</t>
        </is>
      </c>
      <c r="G626" t="inlineStr">
        <is>
          <t>GÄVLE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61878-2025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46003</v>
      </c>
      <c r="E627" s="1" t="n">
        <v>46239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46239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57341-2023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45245</v>
      </c>
      <c r="E629" s="1" t="n">
        <v>46239</v>
      </c>
      <c r="F629" t="inlineStr">
        <is>
          <t>GÄVLEBORGS LÄN</t>
        </is>
      </c>
      <c r="G629" t="inlineStr">
        <is>
          <t>GÄVLE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46239</v>
      </c>
      <c r="F630" t="inlineStr">
        <is>
          <t>GÄVLEBORGS LÄN</t>
        </is>
      </c>
      <c r="G630" t="inlineStr">
        <is>
          <t>GÄVLE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3615-2024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45320</v>
      </c>
      <c r="E631" s="1" t="n">
        <v>46239</v>
      </c>
      <c r="F631" t="inlineStr">
        <is>
          <t>GÄVLEBORGS LÄN</t>
        </is>
      </c>
      <c r="G631" t="inlineStr">
        <is>
          <t>GÄVLE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14792-2023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45014</v>
      </c>
      <c r="E632" s="1" t="n">
        <v>46239</v>
      </c>
      <c r="F632" t="inlineStr">
        <is>
          <t>GÄVLEBORGS LÄN</t>
        </is>
      </c>
      <c r="G632" t="inlineStr">
        <is>
          <t>GÄVLE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46041</v>
      </c>
      <c r="E633" s="1" t="n">
        <v>46239</v>
      </c>
      <c r="F633" t="inlineStr">
        <is>
          <t>GÄVLEBORGS LÄN</t>
        </is>
      </c>
      <c r="G633" t="inlineStr">
        <is>
          <t>GÄVLE</t>
        </is>
      </c>
      <c r="I633" t="n">
        <v>9.699999999999999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46220</v>
      </c>
      <c r="E634" s="1" t="n">
        <v>46239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11.4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46181</v>
      </c>
      <c r="E635" s="1" t="n">
        <v>46239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46239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26599-2026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46239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46239</v>
      </c>
      <c r="F638" t="inlineStr">
        <is>
          <t>GÄVLEBORGS LÄN</t>
        </is>
      </c>
      <c r="G638" t="inlineStr">
        <is>
          <t>GÄVLE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46045</v>
      </c>
      <c r="E639" s="1" t="n">
        <v>46239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46045</v>
      </c>
      <c r="E640" s="1" t="n">
        <v>46239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26600-2026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46183</v>
      </c>
      <c r="E641" s="1" t="n">
        <v>46239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46239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46239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46239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46239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46239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46239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7743-2025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45706</v>
      </c>
      <c r="E650" s="1" t="n">
        <v>46239</v>
      </c>
      <c r="F650" t="inlineStr">
        <is>
          <t>GÄVLEBORGS LÄN</t>
        </is>
      </c>
      <c r="G650" t="inlineStr">
        <is>
          <t>GÄVLE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46051</v>
      </c>
      <c r="E651" s="1" t="n">
        <v>46239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46239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46239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46239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46239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27055-2026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46239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46239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46052</v>
      </c>
      <c r="E659" s="1" t="n">
        <v>46239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46239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46239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47746-2023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45203</v>
      </c>
      <c r="E663" s="1" t="n">
        <v>46239</v>
      </c>
      <c r="F663" t="inlineStr">
        <is>
          <t>GÄVLEBORGS LÄN</t>
        </is>
      </c>
      <c r="G663" t="inlineStr">
        <is>
          <t>GÄVLE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22466-2023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45070</v>
      </c>
      <c r="E664" s="1" t="n">
        <v>46239</v>
      </c>
      <c r="F664" t="inlineStr">
        <is>
          <t>GÄVLEBORGS LÄN</t>
        </is>
      </c>
      <c r="G664" t="inlineStr">
        <is>
          <t>GÄVLE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17605-2025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45757</v>
      </c>
      <c r="E665" s="1" t="n">
        <v>46239</v>
      </c>
      <c r="F665" t="inlineStr">
        <is>
          <t>GÄVLEBORGS LÄN</t>
        </is>
      </c>
      <c r="G665" t="inlineStr">
        <is>
          <t>GÄVLE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17607-2025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45757</v>
      </c>
      <c r="E666" s="1" t="n">
        <v>46239</v>
      </c>
      <c r="F666" t="inlineStr">
        <is>
          <t>GÄVLEBORGS LÄN</t>
        </is>
      </c>
      <c r="G666" t="inlineStr">
        <is>
          <t>GÄVLE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46239</v>
      </c>
      <c r="F667" t="inlineStr">
        <is>
          <t>GÄVLEBORGS LÄN</t>
        </is>
      </c>
      <c r="G667" t="inlineStr">
        <is>
          <t>GÄVLE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46239</v>
      </c>
      <c r="F668" t="inlineStr">
        <is>
          <t>GÄVLEBORGS LÄN</t>
        </is>
      </c>
      <c r="G668" t="inlineStr">
        <is>
          <t>GÄVLE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26942-2026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46239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46239</v>
      </c>
      <c r="F670" t="inlineStr">
        <is>
          <t>GÄVLEBORGS LÄN</t>
        </is>
      </c>
      <c r="G670" t="inlineStr">
        <is>
          <t>GÄVLE</t>
        </is>
      </c>
      <c r="I670" t="n">
        <v>6.6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46239</v>
      </c>
      <c r="F671" t="inlineStr">
        <is>
          <t>GÄVLEBORGS LÄN</t>
        </is>
      </c>
      <c r="G671" t="inlineStr">
        <is>
          <t>GÄVLE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6673-2026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46056</v>
      </c>
      <c r="E672" s="1" t="n">
        <v>46239</v>
      </c>
      <c r="F672" t="inlineStr">
        <is>
          <t>GÄVLEBORGS LÄN</t>
        </is>
      </c>
      <c r="G672" t="inlineStr">
        <is>
          <t>GÄVLE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46239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46239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46239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46239</v>
      </c>
      <c r="F676" t="inlineStr">
        <is>
          <t>GÄVLEBORGS LÄN</t>
        </is>
      </c>
      <c r="G676" t="inlineStr">
        <is>
          <t>GÄVLE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46239</v>
      </c>
      <c r="F677" t="inlineStr">
        <is>
          <t>GÄVLEBORGS LÄN</t>
        </is>
      </c>
      <c r="G677" t="inlineStr">
        <is>
          <t>GÄVLE</t>
        </is>
      </c>
      <c r="H677" t="inlineStr">
        <is>
          <t>Övriga statliga verk och myndigheter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7239-2026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46058</v>
      </c>
      <c r="E678" s="1" t="n">
        <v>46239</v>
      </c>
      <c r="F678" t="inlineStr">
        <is>
          <t>GÄVLEBORGS LÄN</t>
        </is>
      </c>
      <c r="G678" t="inlineStr">
        <is>
          <t>GÄVLE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17404-2025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45757</v>
      </c>
      <c r="E679" s="1" t="n">
        <v>46239</v>
      </c>
      <c r="F679" t="inlineStr">
        <is>
          <t>GÄVLEBORGS LÄN</t>
        </is>
      </c>
      <c r="G679" t="inlineStr">
        <is>
          <t>GÄVLE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46239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46239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62983-2023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45272</v>
      </c>
      <c r="E682" s="1" t="n">
        <v>46239</v>
      </c>
      <c r="F682" t="inlineStr">
        <is>
          <t>GÄVLEBORGS LÄN</t>
        </is>
      </c>
      <c r="G682" t="inlineStr">
        <is>
          <t>GÄVLE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52387-2022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44874</v>
      </c>
      <c r="E683" s="1" t="n">
        <v>46239</v>
      </c>
      <c r="F683" t="inlineStr">
        <is>
          <t>GÄVLEBORGS LÄN</t>
        </is>
      </c>
      <c r="G683" t="inlineStr">
        <is>
          <t>GÄVLE</t>
        </is>
      </c>
      <c r="H683" t="inlineStr">
        <is>
          <t>Kommuner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50871-2022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44867</v>
      </c>
      <c r="E684" s="1" t="n">
        <v>46239</v>
      </c>
      <c r="F684" t="inlineStr">
        <is>
          <t>GÄVLEBORGS LÄN</t>
        </is>
      </c>
      <c r="G684" t="inlineStr">
        <is>
          <t>GÄVLE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46239</v>
      </c>
      <c r="F685" t="inlineStr">
        <is>
          <t>GÄVLEBORGS LÄN</t>
        </is>
      </c>
      <c r="G685" t="inlineStr">
        <is>
          <t>GÄVLE</t>
        </is>
      </c>
      <c r="H685" t="inlineStr">
        <is>
          <t>Kyrkan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46239</v>
      </c>
      <c r="F686" t="inlineStr">
        <is>
          <t>GÄVLEBORGS LÄN</t>
        </is>
      </c>
      <c r="G686" t="inlineStr">
        <is>
          <t>GÄVLE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46239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11.6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46239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46239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46239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46239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46063</v>
      </c>
      <c r="E692" s="1" t="n">
        <v>46239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8558-2026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46239</v>
      </c>
      <c r="F693" t="inlineStr">
        <is>
          <t>GÄVLEBORGS LÄN</t>
        </is>
      </c>
      <c r="G693" t="inlineStr">
        <is>
          <t>GÄVLE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45334</v>
      </c>
      <c r="E694" s="1" t="n">
        <v>46239</v>
      </c>
      <c r="F694" t="inlineStr">
        <is>
          <t>GÄVLEBORGS LÄN</t>
        </is>
      </c>
      <c r="G694" t="inlineStr">
        <is>
          <t>GÄVLE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45107</v>
      </c>
      <c r="E695" s="1" t="n">
        <v>46239</v>
      </c>
      <c r="F695" t="inlineStr">
        <is>
          <t>GÄVLEBORGS LÄN</t>
        </is>
      </c>
      <c r="G695" t="inlineStr">
        <is>
          <t>GÄVLE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46239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9129-2026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46069</v>
      </c>
      <c r="E697" s="1" t="n">
        <v>46239</v>
      </c>
      <c r="F697" t="inlineStr">
        <is>
          <t>GÄVLEBORGS LÄN</t>
        </is>
      </c>
      <c r="G697" t="inlineStr">
        <is>
          <t>GÄVLE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46239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47143-2024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46239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46239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19164-2026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46239</v>
      </c>
      <c r="F701" t="inlineStr">
        <is>
          <t>GÄVLEBORGS LÄN</t>
        </is>
      </c>
      <c r="G701" t="inlineStr">
        <is>
          <t>GÄVLE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9779-2026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46239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9673-2026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46239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10273-2026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46239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45526</v>
      </c>
      <c r="E705" s="1" t="n">
        <v>46239</v>
      </c>
      <c r="F705" t="inlineStr">
        <is>
          <t>GÄVLEBORGS LÄN</t>
        </is>
      </c>
      <c r="G705" t="inlineStr">
        <is>
          <t>GÄVLE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46076</v>
      </c>
      <c r="E706" s="1" t="n">
        <v>46239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46239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46800-2021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44446</v>
      </c>
      <c r="E708" s="1" t="n">
        <v>46239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10504-2026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46077</v>
      </c>
      <c r="E709" s="1" t="n">
        <v>46239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61016-2024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45645</v>
      </c>
      <c r="E710" s="1" t="n">
        <v>46239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45672</v>
      </c>
      <c r="E711" s="1" t="n">
        <v>46239</v>
      </c>
      <c r="F711" t="inlineStr">
        <is>
          <t>GÄVLEBORGS LÄN</t>
        </is>
      </c>
      <c r="G711" t="inlineStr">
        <is>
          <t>GÄVLE</t>
        </is>
      </c>
      <c r="H711" t="inlineStr">
        <is>
          <t>Kyrkan</t>
        </is>
      </c>
      <c r="I711" t="n">
        <v>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45660</v>
      </c>
      <c r="E712" s="1" t="n">
        <v>46239</v>
      </c>
      <c r="F712" t="inlineStr">
        <is>
          <t>GÄVLEBORGS LÄN</t>
        </is>
      </c>
      <c r="G712" t="inlineStr">
        <is>
          <t>GÄVLE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45660</v>
      </c>
      <c r="E713" s="1" t="n">
        <v>46239</v>
      </c>
      <c r="F713" t="inlineStr">
        <is>
          <t>GÄVLEBORGS LÄN</t>
        </is>
      </c>
      <c r="G713" t="inlineStr">
        <is>
          <t>GÄVLE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11114-2026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46079</v>
      </c>
      <c r="E714" s="1" t="n">
        <v>46239</v>
      </c>
      <c r="F714" t="inlineStr">
        <is>
          <t>GÄVLEBORGS LÄN</t>
        </is>
      </c>
      <c r="G714" t="inlineStr">
        <is>
          <t>GÄVLE</t>
        </is>
      </c>
      <c r="H714" t="inlineStr">
        <is>
          <t>Kommuner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31544-2023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45117</v>
      </c>
      <c r="E715" s="1" t="n">
        <v>46239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11523-2026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46083</v>
      </c>
      <c r="E716" s="1" t="n">
        <v>46239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989-2023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44935</v>
      </c>
      <c r="E717" s="1" t="n">
        <v>46239</v>
      </c>
      <c r="F717" t="inlineStr">
        <is>
          <t>GÄVLEBORGS LÄN</t>
        </is>
      </c>
      <c r="G717" t="inlineStr">
        <is>
          <t>GÄVLE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45113</v>
      </c>
      <c r="E718" s="1" t="n">
        <v>46239</v>
      </c>
      <c r="F718" t="inlineStr">
        <is>
          <t>GÄVLEBORGS LÄN</t>
        </is>
      </c>
      <c r="G718" t="inlineStr">
        <is>
          <t>GÄVLE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11926-2026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46085</v>
      </c>
      <c r="E719" s="1" t="n">
        <v>46239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46085</v>
      </c>
      <c r="E720" s="1" t="n">
        <v>46239</v>
      </c>
      <c r="F720" t="inlineStr">
        <is>
          <t>GÄVLEBORGS LÄN</t>
        </is>
      </c>
      <c r="G720" t="inlineStr">
        <is>
          <t>GÄVLE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46239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46239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12738-2026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46091</v>
      </c>
      <c r="E723" s="1" t="n">
        <v>46239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38495-2023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45162</v>
      </c>
      <c r="E724" s="1" t="n">
        <v>46239</v>
      </c>
      <c r="F724" t="inlineStr">
        <is>
          <t>GÄVLEBORGS LÄN</t>
        </is>
      </c>
      <c r="G724" t="inlineStr">
        <is>
          <t>GÄVLE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13104-2026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46239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12990-2026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46239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12948-2026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46092</v>
      </c>
      <c r="E727" s="1" t="n">
        <v>46239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50314-2024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45600</v>
      </c>
      <c r="E728" s="1" t="n">
        <v>46239</v>
      </c>
      <c r="F728" t="inlineStr">
        <is>
          <t>GÄVLEBORGS LÄN</t>
        </is>
      </c>
      <c r="G728" t="inlineStr">
        <is>
          <t>GÄVLE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46092</v>
      </c>
      <c r="E729" s="1" t="n">
        <v>46239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46239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46239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13521-2026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46239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46239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28140-2026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46195</v>
      </c>
      <c r="E734" s="1" t="n">
        <v>46239</v>
      </c>
      <c r="F734" t="inlineStr">
        <is>
          <t>GÄVLEBORGS LÄN</t>
        </is>
      </c>
      <c r="G734" t="inlineStr">
        <is>
          <t>GÄVLE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46094</v>
      </c>
      <c r="E735" s="1" t="n">
        <v>46239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46095</v>
      </c>
      <c r="E736" s="1" t="n">
        <v>46239</v>
      </c>
      <c r="F736" t="inlineStr">
        <is>
          <t>GÄVLEBORGS LÄN</t>
        </is>
      </c>
      <c r="G736" t="inlineStr">
        <is>
          <t>GÄVLE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33449-2024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45519</v>
      </c>
      <c r="E737" s="1" t="n">
        <v>46239</v>
      </c>
      <c r="F737" t="inlineStr">
        <is>
          <t>GÄVLEBORGS LÄN</t>
        </is>
      </c>
      <c r="G737" t="inlineStr">
        <is>
          <t>GÄVLE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46239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13329-2026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46239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13389-2026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46239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13432-2026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46239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46239</v>
      </c>
      <c r="F742" t="inlineStr">
        <is>
          <t>GÄVLEBORGS LÄN</t>
        </is>
      </c>
      <c r="G742" t="inlineStr">
        <is>
          <t>GÄVLE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46239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7.5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46239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28379-2026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46239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46239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46239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13893-2026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46098</v>
      </c>
      <c r="E748" s="1" t="n">
        <v>46239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60349-2022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44910</v>
      </c>
      <c r="E749" s="1" t="n">
        <v>46239</v>
      </c>
      <c r="F749" t="inlineStr">
        <is>
          <t>GÄVLEBORGS LÄN</t>
        </is>
      </c>
      <c r="G749" t="inlineStr">
        <is>
          <t>GÄVLE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14280-2026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46239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60396-2022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44910</v>
      </c>
      <c r="E751" s="1" t="n">
        <v>46239</v>
      </c>
      <c r="F751" t="inlineStr">
        <is>
          <t>GÄVLEBORGS LÄN</t>
        </is>
      </c>
      <c r="G751" t="inlineStr">
        <is>
          <t>GÄVLE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14583-2026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46239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14401-2026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46100</v>
      </c>
      <c r="E753" s="1" t="n">
        <v>46239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62766-2022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44885</v>
      </c>
      <c r="E754" s="1" t="n">
        <v>46239</v>
      </c>
      <c r="F754" t="inlineStr">
        <is>
          <t>GÄVLEBORGS LÄN</t>
        </is>
      </c>
      <c r="G754" t="inlineStr">
        <is>
          <t>GÄVLE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46549-2021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44445</v>
      </c>
      <c r="E755" s="1" t="n">
        <v>46239</v>
      </c>
      <c r="F755" t="inlineStr">
        <is>
          <t>GÄVLEBORGS LÄN</t>
        </is>
      </c>
      <c r="G755" t="inlineStr">
        <is>
          <t>GÄVLE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14459-2026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46239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46104</v>
      </c>
      <c r="E757" s="1" t="n">
        <v>46239</v>
      </c>
      <c r="F757" t="inlineStr">
        <is>
          <t>GÄVLEBORGS LÄN</t>
        </is>
      </c>
      <c r="G757" t="inlineStr">
        <is>
          <t>GÄVLE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1594-2024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45306</v>
      </c>
      <c r="E758" s="1" t="n">
        <v>46239</v>
      </c>
      <c r="F758" t="inlineStr">
        <is>
          <t>GÄVLEBORGS LÄN</t>
        </is>
      </c>
      <c r="G758" t="inlineStr">
        <is>
          <t>GÄVLE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46105</v>
      </c>
      <c r="E759" s="1" t="n">
        <v>46239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14963-2026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46104</v>
      </c>
      <c r="E760" s="1" t="n">
        <v>46239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15669-2026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46239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46239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38255-2023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45161</v>
      </c>
      <c r="E763" s="1" t="n">
        <v>46239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72734-2021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44546</v>
      </c>
      <c r="E764" s="1" t="n">
        <v>46239</v>
      </c>
      <c r="F764" t="inlineStr">
        <is>
          <t>GÄVLEBORGS LÄN</t>
        </is>
      </c>
      <c r="G764" t="inlineStr">
        <is>
          <t>GÄVLE</t>
        </is>
      </c>
      <c r="H764" t="inlineStr">
        <is>
          <t>Kommuner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16430-2026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46111</v>
      </c>
      <c r="E765" s="1" t="n">
        <v>46239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15985-2026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46108</v>
      </c>
      <c r="E766" s="1" t="n">
        <v>46239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45104</v>
      </c>
      <c r="E767" s="1" t="n">
        <v>46239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17245-2024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45414</v>
      </c>
      <c r="E768" s="1" t="n">
        <v>46239</v>
      </c>
      <c r="F768" t="inlineStr">
        <is>
          <t>GÄVLEBORGS LÄN</t>
        </is>
      </c>
      <c r="G768" t="inlineStr">
        <is>
          <t>GÄVLE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17113-2024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45412</v>
      </c>
      <c r="E769" s="1" t="n">
        <v>46239</v>
      </c>
      <c r="F769" t="inlineStr">
        <is>
          <t>GÄVLEBORGS LÄN</t>
        </is>
      </c>
      <c r="G769" t="inlineStr">
        <is>
          <t>GÄVLE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32353-2023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45120</v>
      </c>
      <c r="E770" s="1" t="n">
        <v>46239</v>
      </c>
      <c r="F770" t="inlineStr">
        <is>
          <t>GÄVLEBORGS LÄN</t>
        </is>
      </c>
      <c r="G770" t="inlineStr">
        <is>
          <t>GÄVLE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12228-2022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44637</v>
      </c>
      <c r="E771" s="1" t="n">
        <v>46239</v>
      </c>
      <c r="F771" t="inlineStr">
        <is>
          <t>GÄVLEBORGS LÄN</t>
        </is>
      </c>
      <c r="G771" t="inlineStr">
        <is>
          <t>GÄVLE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10001-2025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45719</v>
      </c>
      <c r="E772" s="1" t="n">
        <v>46239</v>
      </c>
      <c r="F772" t="inlineStr">
        <is>
          <t>GÄVLEBORGS LÄN</t>
        </is>
      </c>
      <c r="G772" t="inlineStr">
        <is>
          <t>GÄVLE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10488-2026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46077</v>
      </c>
      <c r="E773" s="1" t="n">
        <v>46239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46121</v>
      </c>
      <c r="E774" s="1" t="n">
        <v>46239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46120</v>
      </c>
      <c r="E775" s="1" t="n">
        <v>46239</v>
      </c>
      <c r="F775" t="inlineStr">
        <is>
          <t>GÄVLEBORGS LÄN</t>
        </is>
      </c>
      <c r="G775" t="inlineStr">
        <is>
          <t>GÄVLE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17974-2026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46124</v>
      </c>
      <c r="E776" s="1" t="n">
        <v>46239</v>
      </c>
      <c r="F776" t="inlineStr">
        <is>
          <t>GÄVLEBORGS LÄN</t>
        </is>
      </c>
      <c r="G776" t="inlineStr">
        <is>
          <t>GÄVLE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17975-2026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46124</v>
      </c>
      <c r="E777" s="1" t="n">
        <v>46239</v>
      </c>
      <c r="F777" t="inlineStr">
        <is>
          <t>GÄVLEBORGS LÄN</t>
        </is>
      </c>
      <c r="G777" t="inlineStr">
        <is>
          <t>GÄVLE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17976-2026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46124</v>
      </c>
      <c r="E778" s="1" t="n">
        <v>46239</v>
      </c>
      <c r="F778" t="inlineStr">
        <is>
          <t>GÄVLEBORGS LÄN</t>
        </is>
      </c>
      <c r="G778" t="inlineStr">
        <is>
          <t>GÄVLE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17954-2026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46122</v>
      </c>
      <c r="E779" s="1" t="n">
        <v>46239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45324</v>
      </c>
      <c r="E780" s="1" t="n">
        <v>46239</v>
      </c>
      <c r="F780" t="inlineStr">
        <is>
          <t>GÄVLEBORGS LÄN</t>
        </is>
      </c>
      <c r="G780" t="inlineStr">
        <is>
          <t>GÄVLE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46122</v>
      </c>
      <c r="E781" s="1" t="n">
        <v>46239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17977-2026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46124</v>
      </c>
      <c r="E782" s="1" t="n">
        <v>46239</v>
      </c>
      <c r="F782" t="inlineStr">
        <is>
          <t>GÄVLEBORGS LÄN</t>
        </is>
      </c>
      <c r="G782" t="inlineStr">
        <is>
          <t>GÄVLE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18175-2026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46239</v>
      </c>
      <c r="F783" t="inlineStr">
        <is>
          <t>GÄVLEBORGS LÄN</t>
        </is>
      </c>
      <c r="G783" t="inlineStr">
        <is>
          <t>GÄVLE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42934-2023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45182</v>
      </c>
      <c r="E784" s="1" t="n">
        <v>46239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18173-2026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46125</v>
      </c>
      <c r="E785" s="1" t="n">
        <v>46239</v>
      </c>
      <c r="F785" t="inlineStr">
        <is>
          <t>GÄVLEBORGS LÄN</t>
        </is>
      </c>
      <c r="G785" t="inlineStr">
        <is>
          <t>GÄVLE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46093</v>
      </c>
      <c r="E786" s="1" t="n">
        <v>46239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15558-2026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46239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46106</v>
      </c>
      <c r="E788" s="1" t="n">
        <v>46239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11572-2026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46084</v>
      </c>
      <c r="E789" s="1" t="n">
        <v>46239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15634-2026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46106</v>
      </c>
      <c r="E790" s="1" t="n">
        <v>46239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36.3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46239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14966-2026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46239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3472-2022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44585</v>
      </c>
      <c r="E793" s="1" t="n">
        <v>46239</v>
      </c>
      <c r="F793" t="inlineStr">
        <is>
          <t>GÄVLEBORGS LÄN</t>
        </is>
      </c>
      <c r="G793" t="inlineStr">
        <is>
          <t>GÄVLE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19088-2026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46239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35440-2023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45146</v>
      </c>
      <c r="E795" s="1" t="n">
        <v>46239</v>
      </c>
      <c r="F795" t="inlineStr">
        <is>
          <t>GÄVLEBORGS LÄN</t>
        </is>
      </c>
      <c r="G795" t="inlineStr">
        <is>
          <t>GÄVLE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31866-2023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45106</v>
      </c>
      <c r="E796" s="1" t="n">
        <v>46239</v>
      </c>
      <c r="F796" t="inlineStr">
        <is>
          <t>GÄVLEBORGS LÄN</t>
        </is>
      </c>
      <c r="G796" t="inlineStr">
        <is>
          <t>GÄVLE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15635-2026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46106</v>
      </c>
      <c r="E797" s="1" t="n">
        <v>46239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18657-2026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46128</v>
      </c>
      <c r="E798" s="1" t="n">
        <v>46239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19122-2026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46132</v>
      </c>
      <c r="E799" s="1" t="n">
        <v>46239</v>
      </c>
      <c r="F799" t="inlineStr">
        <is>
          <t>GÄVLEBORGS LÄN</t>
        </is>
      </c>
      <c r="G799" t="inlineStr">
        <is>
          <t>GÄVLE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18659-2026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46239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46132</v>
      </c>
      <c r="E801" s="1" t="n">
        <v>46239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18817-2026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46128</v>
      </c>
      <c r="E802" s="1" t="n">
        <v>46239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33901-2024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45523</v>
      </c>
      <c r="E803" s="1" t="n">
        <v>46239</v>
      </c>
      <c r="F803" t="inlineStr">
        <is>
          <t>GÄVLEBORGS LÄN</t>
        </is>
      </c>
      <c r="G803" t="inlineStr">
        <is>
          <t>GÄVLE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45660</v>
      </c>
      <c r="E804" s="1" t="n">
        <v>46239</v>
      </c>
      <c r="F804" t="inlineStr">
        <is>
          <t>GÄVLEBORGS LÄN</t>
        </is>
      </c>
      <c r="G804" t="inlineStr">
        <is>
          <t>GÄVLE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19087-2026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46239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60792-2024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45644</v>
      </c>
      <c r="E806" s="1" t="n">
        <v>46239</v>
      </c>
      <c r="F806" t="inlineStr">
        <is>
          <t>GÄVLEBORGS LÄN</t>
        </is>
      </c>
      <c r="G806" t="inlineStr">
        <is>
          <t>GÄVLE</t>
        </is>
      </c>
      <c r="H806" t="inlineStr">
        <is>
          <t>Kyrkan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46239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46105</v>
      </c>
      <c r="E808" s="1" t="n">
        <v>46239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46239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19371-2026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46239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14365-2026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46100</v>
      </c>
      <c r="E811" s="1" t="n">
        <v>46239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19714-2026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46239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46239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46239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46239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46239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14355-2026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46100</v>
      </c>
      <c r="E817" s="1" t="n">
        <v>46239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44000-2025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45915</v>
      </c>
      <c r="E818" s="1" t="n">
        <v>46239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28905-2023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45104</v>
      </c>
      <c r="E819" s="1" t="n">
        <v>46239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46239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19716-2026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46239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12386-2026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46090</v>
      </c>
      <c r="E822" s="1" t="n">
        <v>46239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7235-2025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45702</v>
      </c>
      <c r="E823" s="1" t="n">
        <v>46239</v>
      </c>
      <c r="F823" t="inlineStr">
        <is>
          <t>GÄVLEBORGS LÄN</t>
        </is>
      </c>
      <c r="G823" t="inlineStr">
        <is>
          <t>GÄVLE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46107</v>
      </c>
      <c r="E824" s="1" t="n">
        <v>46239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36512-2025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45869</v>
      </c>
      <c r="E825" s="1" t="n">
        <v>46239</v>
      </c>
      <c r="F825" t="inlineStr">
        <is>
          <t>GÄVLEBORGS LÄN</t>
        </is>
      </c>
      <c r="G825" t="inlineStr">
        <is>
          <t>GÄVLE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35916-2025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45862</v>
      </c>
      <c r="E826" s="1" t="n">
        <v>46239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9378-2025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45715</v>
      </c>
      <c r="E827" s="1" t="n">
        <v>46239</v>
      </c>
      <c r="F827" t="inlineStr">
        <is>
          <t>GÄVLEBORGS LÄN</t>
        </is>
      </c>
      <c r="G827" t="inlineStr">
        <is>
          <t>GÄVLE</t>
        </is>
      </c>
      <c r="H827" t="inlineStr">
        <is>
          <t>Kyrkan</t>
        </is>
      </c>
      <c r="I827" t="n">
        <v>8.1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6331-2022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44600</v>
      </c>
      <c r="E828" s="1" t="n">
        <v>46239</v>
      </c>
      <c r="F828" t="inlineStr">
        <is>
          <t>GÄVLEBORGS LÄN</t>
        </is>
      </c>
      <c r="G828" t="inlineStr">
        <is>
          <t>GÄVLE</t>
        </is>
      </c>
      <c r="H828" t="inlineStr">
        <is>
          <t>Kyrkan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61004-2024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46239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30662-2022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44763</v>
      </c>
      <c r="E830" s="1" t="n">
        <v>46239</v>
      </c>
      <c r="F830" t="inlineStr">
        <is>
          <t>GÄVLEBORGS LÄN</t>
        </is>
      </c>
      <c r="G830" t="inlineStr">
        <is>
          <t>GÄVLE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10487-2026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46077</v>
      </c>
      <c r="E831" s="1" t="n">
        <v>46239</v>
      </c>
      <c r="F831" t="inlineStr">
        <is>
          <t>GÄVLEBORGS LÄN</t>
        </is>
      </c>
      <c r="G831" t="inlineStr">
        <is>
          <t>GÄVLE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15536-2026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46106</v>
      </c>
      <c r="E832" s="1" t="n">
        <v>46239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15647-2026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46106</v>
      </c>
      <c r="E833" s="1" t="n">
        <v>46239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16076-2026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46108</v>
      </c>
      <c r="E834" s="1" t="n">
        <v>46239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18217-2024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45420</v>
      </c>
      <c r="E835" s="1" t="n">
        <v>46239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15101-2025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45744</v>
      </c>
      <c r="E836" s="1" t="n">
        <v>46239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15801-2026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46107</v>
      </c>
      <c r="E837" s="1" t="n">
        <v>46239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20589-2026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46140</v>
      </c>
      <c r="E838" s="1" t="n">
        <v>46239</v>
      </c>
      <c r="F838" t="inlineStr">
        <is>
          <t>GÄVLEBORGS LÄN</t>
        </is>
      </c>
      <c r="G838" t="inlineStr">
        <is>
          <t>GÄVLE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20682-2023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45058</v>
      </c>
      <c r="E839" s="1" t="n">
        <v>46239</v>
      </c>
      <c r="F839" t="inlineStr">
        <is>
          <t>GÄVLEBORGS LÄN</t>
        </is>
      </c>
      <c r="G839" t="inlineStr">
        <is>
          <t>GÄVLE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8693-2024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45356</v>
      </c>
      <c r="E840" s="1" t="n">
        <v>46239</v>
      </c>
      <c r="F840" t="inlineStr">
        <is>
          <t>GÄVLEBORGS LÄN</t>
        </is>
      </c>
      <c r="G840" t="inlineStr">
        <is>
          <t>GÄVLE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26094-2025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45805</v>
      </c>
      <c r="E841" s="1" t="n">
        <v>46239</v>
      </c>
      <c r="F841" t="inlineStr">
        <is>
          <t>GÄVLEBORGS LÄN</t>
        </is>
      </c>
      <c r="G841" t="inlineStr">
        <is>
          <t>GÄVLE</t>
        </is>
      </c>
      <c r="I841" t="n">
        <v>12.4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15275-2026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46105</v>
      </c>
      <c r="E842" s="1" t="n">
        <v>46239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46105</v>
      </c>
      <c r="E843" s="1" t="n">
        <v>46239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15799-2026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46107</v>
      </c>
      <c r="E844" s="1" t="n">
        <v>46239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15835-2026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46107</v>
      </c>
      <c r="E845" s="1" t="n">
        <v>46239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9025-2026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46069</v>
      </c>
      <c r="E846" s="1" t="n">
        <v>46239</v>
      </c>
      <c r="F846" t="inlineStr">
        <is>
          <t>GÄVLEBORGS LÄN</t>
        </is>
      </c>
      <c r="G846" t="inlineStr">
        <is>
          <t>GÄVLE</t>
        </is>
      </c>
      <c r="I846" t="n">
        <v>12.7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3662-2022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44586</v>
      </c>
      <c r="E847" s="1" t="n">
        <v>46239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4402-2025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45686</v>
      </c>
      <c r="E848" s="1" t="n">
        <v>46239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61501-2024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45646</v>
      </c>
      <c r="E849" s="1" t="n">
        <v>46239</v>
      </c>
      <c r="F849" t="inlineStr">
        <is>
          <t>GÄVLEBORGS LÄN</t>
        </is>
      </c>
      <c r="G849" t="inlineStr">
        <is>
          <t>GÄVLE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7441-2025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45705</v>
      </c>
      <c r="E850" s="1" t="n">
        <v>46239</v>
      </c>
      <c r="F850" t="inlineStr">
        <is>
          <t>GÄVLEBORGS LÄN</t>
        </is>
      </c>
      <c r="G850" t="inlineStr">
        <is>
          <t>GÄVLE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21966-2025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45784</v>
      </c>
      <c r="E851" s="1" t="n">
        <v>46239</v>
      </c>
      <c r="F851" t="inlineStr">
        <is>
          <t>GÄVLEBORGS LÄN</t>
        </is>
      </c>
      <c r="G851" t="inlineStr">
        <is>
          <t>GÄVLE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13193-2025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45735</v>
      </c>
      <c r="E852" s="1" t="n">
        <v>46239</v>
      </c>
      <c r="F852" t="inlineStr">
        <is>
          <t>GÄVLEBORGS LÄN</t>
        </is>
      </c>
      <c r="G852" t="inlineStr">
        <is>
          <t>GÄVLE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9331-2026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46070</v>
      </c>
      <c r="E853" s="1" t="n">
        <v>46239</v>
      </c>
      <c r="F853" t="inlineStr">
        <is>
          <t>GÄVLEBORGS LÄN</t>
        </is>
      </c>
      <c r="G853" t="inlineStr">
        <is>
          <t>GÄVLE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10521-2026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46077</v>
      </c>
      <c r="E854" s="1" t="n">
        <v>46239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46239</v>
      </c>
      <c r="F855" t="inlineStr">
        <is>
          <t>GÄVLEBORGS LÄN</t>
        </is>
      </c>
      <c r="G855" t="inlineStr">
        <is>
          <t>GÄVLE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50537-2025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45945</v>
      </c>
      <c r="E856" s="1" t="n">
        <v>46239</v>
      </c>
      <c r="F856" t="inlineStr">
        <is>
          <t>GÄVLEBORGS LÄN</t>
        </is>
      </c>
      <c r="G856" t="inlineStr">
        <is>
          <t>GÄVLE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38793-2024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45547</v>
      </c>
      <c r="E857" s="1" t="n">
        <v>46239</v>
      </c>
      <c r="F857" t="inlineStr">
        <is>
          <t>GÄVLEBORGS LÄN</t>
        </is>
      </c>
      <c r="G857" t="inlineStr">
        <is>
          <t>GÄVLE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15092-2026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46105</v>
      </c>
      <c r="E858" s="1" t="n">
        <v>46239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42592-2025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45905</v>
      </c>
      <c r="E859" s="1" t="n">
        <v>46239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2373-2025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45673</v>
      </c>
      <c r="E860" s="1" t="n">
        <v>46239</v>
      </c>
      <c r="F860" t="inlineStr">
        <is>
          <t>GÄVLEBORGS LÄN</t>
        </is>
      </c>
      <c r="G860" t="inlineStr">
        <is>
          <t>GÄVLE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2374-2025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45673</v>
      </c>
      <c r="E861" s="1" t="n">
        <v>46239</v>
      </c>
      <c r="F861" t="inlineStr">
        <is>
          <t>GÄVLEBORGS LÄN</t>
        </is>
      </c>
      <c r="G861" t="inlineStr">
        <is>
          <t>GÄVLE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15105-2025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45744</v>
      </c>
      <c r="E862" s="1" t="n">
        <v>46239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18162-2022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44684</v>
      </c>
      <c r="E863" s="1" t="n">
        <v>46239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46239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24618-2023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45084</v>
      </c>
      <c r="E865" s="1" t="n">
        <v>46239</v>
      </c>
      <c r="F865" t="inlineStr">
        <is>
          <t>GÄVLEBORGS LÄN</t>
        </is>
      </c>
      <c r="G865" t="inlineStr">
        <is>
          <t>GÄVLE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1328-2026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46239</v>
      </c>
      <c r="F866" t="inlineStr">
        <is>
          <t>GÄVLEBORGS LÄN</t>
        </is>
      </c>
      <c r="G866" t="inlineStr">
        <is>
          <t>GÄVLE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7410-2025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45705</v>
      </c>
      <c r="E867" s="1" t="n">
        <v>46239</v>
      </c>
      <c r="F867" t="inlineStr">
        <is>
          <t>GÄVLEBORGS LÄN</t>
        </is>
      </c>
      <c r="G867" t="inlineStr">
        <is>
          <t>GÄVLE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46033</v>
      </c>
      <c r="E868" s="1" t="n">
        <v>46239</v>
      </c>
      <c r="F868" t="inlineStr">
        <is>
          <t>GÄVLEBORGS LÄN</t>
        </is>
      </c>
      <c r="G868" t="inlineStr">
        <is>
          <t>GÄVLE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25814-2023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45090</v>
      </c>
      <c r="E869" s="1" t="n">
        <v>46239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8568-2026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46065</v>
      </c>
      <c r="E870" s="1" t="n">
        <v>46239</v>
      </c>
      <c r="F870" t="inlineStr">
        <is>
          <t>GÄVLEBORGS LÄN</t>
        </is>
      </c>
      <c r="G870" t="inlineStr">
        <is>
          <t>GÄVLE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45666</v>
      </c>
      <c r="E871" s="1" t="n">
        <v>46239</v>
      </c>
      <c r="F871" t="inlineStr">
        <is>
          <t>GÄVLEBORGS LÄN</t>
        </is>
      </c>
      <c r="G871" t="inlineStr">
        <is>
          <t>GÄVLE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20685-2026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46141</v>
      </c>
      <c r="E872" s="1" t="n">
        <v>46239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20736-2026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46141</v>
      </c>
      <c r="E873" s="1" t="n">
        <v>46239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1096-2026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46239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18168-2022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44684</v>
      </c>
      <c r="E875" s="1" t="n">
        <v>46239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51071-2023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45218</v>
      </c>
      <c r="E876" s="1" t="n">
        <v>46239</v>
      </c>
      <c r="F876" t="inlineStr">
        <is>
          <t>GÄVLEBORGS LÄN</t>
        </is>
      </c>
      <c r="G876" t="inlineStr">
        <is>
          <t>GÄVLE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16190-2026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46111</v>
      </c>
      <c r="E877" s="1" t="n">
        <v>46239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16263-2026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46111</v>
      </c>
      <c r="E878" s="1" t="n">
        <v>46239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3639-2022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44586</v>
      </c>
      <c r="E879" s="1" t="n">
        <v>46239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20785-2026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46141</v>
      </c>
      <c r="E880" s="1" t="n">
        <v>46239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1062-2025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45666</v>
      </c>
      <c r="E881" s="1" t="n">
        <v>46239</v>
      </c>
      <c r="F881" t="inlineStr">
        <is>
          <t>GÄVLEBORGS LÄN</t>
        </is>
      </c>
      <c r="G881" t="inlineStr">
        <is>
          <t>GÄVLE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20905-2026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46142</v>
      </c>
      <c r="E882" s="1" t="n">
        <v>46239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20735-2026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46141</v>
      </c>
      <c r="E883" s="1" t="n">
        <v>46239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20906-2026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46142</v>
      </c>
      <c r="E884" s="1" t="n">
        <v>46239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57168-2023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45245</v>
      </c>
      <c r="E885" s="1" t="n">
        <v>46239</v>
      </c>
      <c r="F885" t="inlineStr">
        <is>
          <t>GÄVLEBORGS LÄN</t>
        </is>
      </c>
      <c r="G885" t="inlineStr">
        <is>
          <t>GÄVLE</t>
        </is>
      </c>
      <c r="H885" t="inlineStr">
        <is>
          <t>Kyrkan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15456-2026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46239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33880-2022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44790</v>
      </c>
      <c r="E887" s="1" t="n">
        <v>46239</v>
      </c>
      <c r="F887" t="inlineStr">
        <is>
          <t>GÄVLEBORGS LÄN</t>
        </is>
      </c>
      <c r="G887" t="inlineStr">
        <is>
          <t>GÄVLE</t>
        </is>
      </c>
      <c r="I887" t="n">
        <v>9.4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46045</v>
      </c>
      <c r="E888" s="1" t="n">
        <v>46239</v>
      </c>
      <c r="F888" t="inlineStr">
        <is>
          <t>GÄVLEBORGS LÄN</t>
        </is>
      </c>
      <c r="G888" t="inlineStr">
        <is>
          <t>GÄVLE</t>
        </is>
      </c>
      <c r="I888" t="n">
        <v>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21033-2026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46146</v>
      </c>
      <c r="E889" s="1" t="n">
        <v>46239</v>
      </c>
      <c r="F889" t="inlineStr">
        <is>
          <t>GÄVLEBORGS LÄN</t>
        </is>
      </c>
      <c r="G889" t="inlineStr">
        <is>
          <t>GÄVLE</t>
        </is>
      </c>
      <c r="H889" t="inlineStr">
        <is>
          <t>Kyrkan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26249-2022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44735</v>
      </c>
      <c r="E890" s="1" t="n">
        <v>46239</v>
      </c>
      <c r="F890" t="inlineStr">
        <is>
          <t>GÄVLEBORGS LÄN</t>
        </is>
      </c>
      <c r="G890" t="inlineStr">
        <is>
          <t>GÄVLE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20999-2022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44701</v>
      </c>
      <c r="E891" s="1" t="n">
        <v>46239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26.3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27182-2022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44741</v>
      </c>
      <c r="E892" s="1" t="n">
        <v>46239</v>
      </c>
      <c r="F892" t="inlineStr">
        <is>
          <t>GÄVLEBORGS LÄN</t>
        </is>
      </c>
      <c r="G892" t="inlineStr">
        <is>
          <t>GÄVLE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35761-2022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44800</v>
      </c>
      <c r="E893" s="1" t="n">
        <v>46239</v>
      </c>
      <c r="F893" t="inlineStr">
        <is>
          <t>GÄVLEBORGS LÄN</t>
        </is>
      </c>
      <c r="G893" t="inlineStr">
        <is>
          <t>GÄVLE</t>
        </is>
      </c>
      <c r="I893" t="n">
        <v>8.199999999999999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59322-2022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44904</v>
      </c>
      <c r="E894" s="1" t="n">
        <v>46239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61672-2023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45265</v>
      </c>
      <c r="E895" s="1" t="n">
        <v>46239</v>
      </c>
      <c r="F895" t="inlineStr">
        <is>
          <t>GÄVLEBORGS LÄN</t>
        </is>
      </c>
      <c r="G895" t="inlineStr">
        <is>
          <t>GÄVLE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3425-2023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45205</v>
      </c>
      <c r="E896" s="1" t="n">
        <v>46239</v>
      </c>
      <c r="F896" t="inlineStr">
        <is>
          <t>GÄVLEBORGS LÄN</t>
        </is>
      </c>
      <c r="G896" t="inlineStr">
        <is>
          <t>GÄVLE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  <c r="Z896">
        <f>HYPERLINK("https://klasma.github.io/Logging_2180/knärot/S 3425-2023 karta knärot.png", "S 3425-2023")</f>
        <v/>
      </c>
      <c r="AA896">
        <f>HYPERLINK("https://klasma.github.io/Logging_2180/klagomål/S 3425-2023 FSC-klagomål.docx", "S 3425-2023")</f>
        <v/>
      </c>
      <c r="AB896">
        <f>HYPERLINK("https://klasma.github.io/Logging_2180/klagomålsmail/S 3425-2023 FSC-klagomål mail.docx", "S 3425-2023")</f>
        <v/>
      </c>
      <c r="AC896">
        <f>HYPERLINK("https://klasma.github.io/Logging_2180/tillsyn/S 3425-2023 tillsynsbegäran.docx", "S 3425-2023")</f>
        <v/>
      </c>
      <c r="AD896">
        <f>HYPERLINK("https://klasma.github.io/Logging_2180/tillsynsmail/S 3425-2023 tillsynsbegäran mail.docx", "S 3425-2023")</f>
        <v/>
      </c>
    </row>
    <row r="897" ht="15" customHeight="1">
      <c r="A897" t="inlineStr">
        <is>
          <t>S 889-2023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44995</v>
      </c>
      <c r="E897" s="1" t="n">
        <v>46239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886-2024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45376</v>
      </c>
      <c r="E898" s="1" t="n">
        <v>46239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2464-2024</t>
        </is>
      </c>
      <c r="B899" t="inlineStr">
        <is>
          <t>samrådsanmälan</t>
        </is>
      </c>
      <c r="C899" t="inlineStr">
        <is>
          <t>Skogsbilväg</t>
        </is>
      </c>
      <c r="D899" s="1" t="n">
        <v>45470</v>
      </c>
      <c r="E899" s="1" t="n">
        <v>46239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>
      <c r="A900" t="inlineStr">
        <is>
          <t>S 644-2026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46089</v>
      </c>
      <c r="E900" s="1" t="n">
        <v>46239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29.2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2026-08-05T20:37:01Z</dcterms:created>
  <dcterms:modified xmlns:dcterms="http://purl.org/dc/terms/" xmlns:xsi="http://www.w3.org/2001/XMLSchema-instance" xsi:type="dcterms:W3CDTF">2026-08-05T20:37:02Z</dcterms:modified>
</cp:coreProperties>
</file>