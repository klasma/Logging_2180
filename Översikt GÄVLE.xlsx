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46266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46266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46266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46266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46266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46266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46266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46266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46266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46266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46266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46266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46266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46266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46266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46266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46266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46266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Tallticka
Vedskivlav
Vågbandad barkbock</t>
        </is>
      </c>
      <c r="W33">
        <f>HYPERLINK("https://klasma.github.io/Logging_2180/artfynd/A 1100-2024 artfynd.xlsx", "A 1100-2024")</f>
        <v/>
      </c>
      <c r="X33">
        <f>HYPERLINK("https://klasma.github.io/Logging_2180/kartor/A 1100-2024 karta.png", "A 1100-2024")</f>
        <v/>
      </c>
      <c r="Y33">
        <f>HYPERLINK("https://klasma.github.io/Logging_2180/kartor_geotiff/A 1100-2024 georefererad karta.tif", "A 1100-2024")</f>
        <v/>
      </c>
      <c r="AA33">
        <f>HYPERLINK("https://klasma.github.io/Logging_2180/klagomål/A 1100-2024 FSC-klagomål.docx", "A 1100-2024")</f>
        <v/>
      </c>
      <c r="AB33">
        <f>HYPERLINK("https://klasma.github.io/Logging_2180/klagomålsmail/A 1100-2024 FSC-klagomål mail.docx", "A 1100-2024")</f>
        <v/>
      </c>
      <c r="AC33">
        <f>HYPERLINK("https://klasma.github.io/Logging_2180/tillsyn/A 1100-2024 tillsynsbegäran.docx", "A 1100-2024")</f>
        <v/>
      </c>
      <c r="AD33">
        <f>HYPERLINK("https://klasma.github.io/Logging_2180/tillsynsmail/A 1100-2024 tillsynsbegäran mail.docx", "A 1100-2024")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46266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27044-2026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46266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27044-2026 artfynd.xlsx", "A 27044-2026")</f>
        <v/>
      </c>
      <c r="X35">
        <f>HYPERLINK("https://klasma.github.io/Logging_2180/kartor/A 27044-2026 karta.png", "A 27044-2026")</f>
        <v/>
      </c>
      <c r="Y35">
        <f>HYPERLINK("https://klasma.github.io/Logging_2180/kartor_geotiff/A 27044-2026 georefererad karta.tif", "A 27044-2026")</f>
        <v/>
      </c>
      <c r="AA35">
        <f>HYPERLINK("https://klasma.github.io/Logging_2180/klagomål/A 27044-2026 FSC-klagomål.docx", "A 27044-2026")</f>
        <v/>
      </c>
      <c r="AB35">
        <f>HYPERLINK("https://klasma.github.io/Logging_2180/klagomålsmail/A 27044-2026 FSC-klagomål mail.docx", "A 27044-2026")</f>
        <v/>
      </c>
      <c r="AC35">
        <f>HYPERLINK("https://klasma.github.io/Logging_2180/tillsyn/A 27044-2026 tillsynsbegäran.docx", "A 27044-2026")</f>
        <v/>
      </c>
      <c r="AD35">
        <f>HYPERLINK("https://klasma.github.io/Logging_2180/tillsynsmail/A 27044-2026 tillsynsbegäran mail.docx", "A 27044-2026")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46266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46266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46266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46266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46266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15093-2026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46105</v>
      </c>
      <c r="E41" s="1" t="n">
        <v>46266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0.8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Lunglav
Bårdlav</t>
        </is>
      </c>
      <c r="W41">
        <f>HYPERLINK("https://klasma.github.io/Logging_2180/artfynd/A 15093-2026 artfynd.xlsx", "A 15093-2026")</f>
        <v/>
      </c>
      <c r="X41">
        <f>HYPERLINK("https://klasma.github.io/Logging_2180/kartor/A 15093-2026 karta.png", "A 15093-2026")</f>
        <v/>
      </c>
      <c r="Y41">
        <f>HYPERLINK("https://klasma.github.io/Logging_2180/kartor_geotiff/A 15093-2026 georefererad karta.tif", "A 15093-2026")</f>
        <v/>
      </c>
      <c r="AA41">
        <f>HYPERLINK("https://klasma.github.io/Logging_2180/klagomål/A 15093-2026 FSC-klagomål.docx", "A 15093-2026")</f>
        <v/>
      </c>
      <c r="AB41">
        <f>HYPERLINK("https://klasma.github.io/Logging_2180/klagomålsmail/A 15093-2026 FSC-klagomål mail.docx", "A 15093-2026")</f>
        <v/>
      </c>
      <c r="AC41">
        <f>HYPERLINK("https://klasma.github.io/Logging_2180/tillsyn/A 15093-2026 tillsynsbegäran.docx", "A 15093-2026")</f>
        <v/>
      </c>
      <c r="AD41">
        <f>HYPERLINK("https://klasma.github.io/Logging_2180/tillsynsmail/A 15093-2026 tillsynsbegäran mail.docx", "A 15093-2026")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46266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46266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46266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25357-2026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46266</v>
      </c>
      <c r="F45" t="inlineStr">
        <is>
          <t>GÄVLEBORGS LÄN</t>
        </is>
      </c>
      <c r="G45" t="inlineStr">
        <is>
          <t>GÄVLE</t>
        </is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Pärluggla
Storspov
Sångsvan</t>
        </is>
      </c>
      <c r="W45">
        <f>HYPERLINK("https://klasma.github.io/Logging_2180/artfynd/A 25357-2026 artfynd.xlsx", "A 25357-2026")</f>
        <v/>
      </c>
      <c r="X45">
        <f>HYPERLINK("https://klasma.github.io/Logging_2180/kartor/A 25357-2026 karta.png", "A 25357-2026")</f>
        <v/>
      </c>
      <c r="Y45">
        <f>HYPERLINK("https://klasma.github.io/Logging_2180/kartor_geotiff/A 25357-2026 georefererad karta.tif", "A 25357-2026")</f>
        <v/>
      </c>
      <c r="AA45">
        <f>HYPERLINK("https://klasma.github.io/Logging_2180/klagomål/A 25357-2026 FSC-klagomål.docx", "A 25357-2026")</f>
        <v/>
      </c>
      <c r="AB45">
        <f>HYPERLINK("https://klasma.github.io/Logging_2180/klagomålsmail/A 25357-2026 FSC-klagomål mail.docx", "A 25357-2026")</f>
        <v/>
      </c>
      <c r="AC45">
        <f>HYPERLINK("https://klasma.github.io/Logging_2180/tillsyn/A 25357-2026 tillsynsbegäran.docx", "A 25357-2026")</f>
        <v/>
      </c>
      <c r="AD45">
        <f>HYPERLINK("https://klasma.github.io/Logging_2180/tillsynsmail/A 25357-2026 tillsynsbegäran mail.docx", "A 25357-2026")</f>
        <v/>
      </c>
      <c r="AE45">
        <f>HYPERLINK("https://klasma.github.io/Logging_2180/fåglar/A 25357-2026 prioriterade fågelarter.docx", "A 25357-2026")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46266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46266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46266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46266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23447-2025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46266</v>
      </c>
      <c r="F50" t="inlineStr">
        <is>
          <t>GÄVLEBORGS LÄN</t>
        </is>
      </c>
      <c r="G50" t="inlineStr">
        <is>
          <t>GÄVLE</t>
        </is>
      </c>
      <c r="I50" t="n">
        <v>1.1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Kopparödla
Fläcknycklar</t>
        </is>
      </c>
      <c r="W50">
        <f>HYPERLINK("https://klasma.github.io/Logging_2180/artfynd/A 23447-2025 artfynd.xlsx", "A 23447-2025")</f>
        <v/>
      </c>
      <c r="X50">
        <f>HYPERLINK("https://klasma.github.io/Logging_2180/kartor/A 23447-2025 karta.png", "A 23447-2025")</f>
        <v/>
      </c>
      <c r="Y50">
        <f>HYPERLINK("https://klasma.github.io/Logging_2180/kartor_geotiff/A 23447-2025 georefererad karta.tif", "A 23447-2025")</f>
        <v/>
      </c>
      <c r="AA50">
        <f>HYPERLINK("https://klasma.github.io/Logging_2180/klagomål/A 23447-2025 FSC-klagomål.docx", "A 23447-2025")</f>
        <v/>
      </c>
      <c r="AB50">
        <f>HYPERLINK("https://klasma.github.io/Logging_2180/klagomålsmail/A 23447-2025 FSC-klagomål mail.docx", "A 23447-2025")</f>
        <v/>
      </c>
      <c r="AC50">
        <f>HYPERLINK("https://klasma.github.io/Logging_2180/tillsyn/A 23447-2025 tillsynsbegäran.docx", "A 23447-2025")</f>
        <v/>
      </c>
      <c r="AD50">
        <f>HYPERLINK("https://klasma.github.io/Logging_2180/tillsynsmail/A 23447-2025 tillsynsbegäran mail.docx", "A 23447-2025")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46266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46266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46266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46266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32328-2024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46266</v>
      </c>
      <c r="F55" t="inlineStr">
        <is>
          <t>GÄVLEBORGS LÄN</t>
        </is>
      </c>
      <c r="G55" t="inlineStr">
        <is>
          <t>GÄVLE</t>
        </is>
      </c>
      <c r="I55" t="n">
        <v>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Spillkråka
Orre</t>
        </is>
      </c>
      <c r="W55">
        <f>HYPERLINK("https://klasma.github.io/Logging_2180/artfynd/A 32328-2024 artfynd.xlsx", "A 32328-2024")</f>
        <v/>
      </c>
      <c r="X55">
        <f>HYPERLINK("https://klasma.github.io/Logging_2180/kartor/A 32328-2024 karta.png", "A 32328-2024")</f>
        <v/>
      </c>
      <c r="Y55">
        <f>HYPERLINK("https://klasma.github.io/Logging_2180/kartor_geotiff/A 32328-2024 georefererad karta.tif", "A 32328-2024")</f>
        <v/>
      </c>
      <c r="AA55">
        <f>HYPERLINK("https://klasma.github.io/Logging_2180/klagomål/A 32328-2024 FSC-klagomål.docx", "A 32328-2024")</f>
        <v/>
      </c>
      <c r="AB55">
        <f>HYPERLINK("https://klasma.github.io/Logging_2180/klagomålsmail/A 32328-2024 FSC-klagomål mail.docx", "A 32328-2024")</f>
        <v/>
      </c>
      <c r="AC55">
        <f>HYPERLINK("https://klasma.github.io/Logging_2180/tillsyn/A 32328-2024 tillsynsbegäran.docx", "A 32328-2024")</f>
        <v/>
      </c>
      <c r="AD55">
        <f>HYPERLINK("https://klasma.github.io/Logging_2180/tillsynsmail/A 32328-2024 tillsynsbegäran mail.docx", "A 32328-2024")</f>
        <v/>
      </c>
      <c r="AE55">
        <f>HYPERLINK("https://klasma.github.io/Logging_2180/fåglar/A 32328-2024 prioriterade fågelarter.docx", "A 32328-2024")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46266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46266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18218-2024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46266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13.1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Blåsippa
Havsörn</t>
        </is>
      </c>
      <c r="W58">
        <f>HYPERLINK("https://klasma.github.io/Logging_2180/artfynd/A 18218-2024 artfynd.xlsx", "A 18218-2024")</f>
        <v/>
      </c>
      <c r="X58">
        <f>HYPERLINK("https://klasma.github.io/Logging_2180/kartor/A 18218-2024 karta.png", "A 18218-2024")</f>
        <v/>
      </c>
      <c r="Y58">
        <f>HYPERLINK("https://klasma.github.io/Logging_2180/kartor_geotiff/A 18218-2024 georefererad karta.tif", "A 18218-2024")</f>
        <v/>
      </c>
      <c r="AA58">
        <f>HYPERLINK("https://klasma.github.io/Logging_2180/klagomål/A 18218-2024 FSC-klagomål.docx", "A 18218-2024")</f>
        <v/>
      </c>
      <c r="AB58">
        <f>HYPERLINK("https://klasma.github.io/Logging_2180/klagomålsmail/A 18218-2024 FSC-klagomål mail.docx", "A 18218-2024")</f>
        <v/>
      </c>
      <c r="AC58">
        <f>HYPERLINK("https://klasma.github.io/Logging_2180/tillsyn/A 18218-2024 tillsynsbegäran.docx", "A 18218-2024")</f>
        <v/>
      </c>
      <c r="AD58">
        <f>HYPERLINK("https://klasma.github.io/Logging_2180/tillsynsmail/A 18218-2024 tillsynsbegäran mail.docx", "A 18218-2024")</f>
        <v/>
      </c>
      <c r="AE58">
        <f>HYPERLINK("https://klasma.github.io/Logging_2180/fåglar/A 18218-2024 prioriterade fågelarter.docx", "A 18218-2024")</f>
        <v/>
      </c>
    </row>
    <row r="59" ht="15" customHeight="1">
      <c r="A59" t="inlineStr">
        <is>
          <t>A 64533-2023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46266</v>
      </c>
      <c r="F59" t="inlineStr">
        <is>
          <t>GÄVLEBORGS LÄN</t>
        </is>
      </c>
      <c r="G59" t="inlineStr">
        <is>
          <t>GÄVLE</t>
        </is>
      </c>
      <c r="I59" t="n">
        <v>1.1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Aspvedgnagare
Jättesvampmal</t>
        </is>
      </c>
      <c r="W59">
        <f>HYPERLINK("https://klasma.github.io/Logging_2180/artfynd/A 64533-2023 artfynd.xlsx", "A 64533-2023")</f>
        <v/>
      </c>
      <c r="X59">
        <f>HYPERLINK("https://klasma.github.io/Logging_2180/kartor/A 64533-2023 karta.png", "A 64533-2023")</f>
        <v/>
      </c>
      <c r="Y59">
        <f>HYPERLINK("https://klasma.github.io/Logging_2180/kartor_geotiff/A 64533-2023 georefererad karta.tif", "A 64533-2023")</f>
        <v/>
      </c>
      <c r="AA59">
        <f>HYPERLINK("https://klasma.github.io/Logging_2180/klagomål/A 64533-2023 FSC-klagomål.docx", "A 64533-2023")</f>
        <v/>
      </c>
      <c r="AB59">
        <f>HYPERLINK("https://klasma.github.io/Logging_2180/klagomålsmail/A 64533-2023 FSC-klagomål mail.docx", "A 64533-2023")</f>
        <v/>
      </c>
      <c r="AC59">
        <f>HYPERLINK("https://klasma.github.io/Logging_2180/tillsyn/A 64533-2023 tillsynsbegäran.docx", "A 64533-2023")</f>
        <v/>
      </c>
      <c r="AD59">
        <f>HYPERLINK("https://klasma.github.io/Logging_2180/tillsynsmail/A 64533-2023 tillsynsbegäran mail.docx", "A 64533-2023")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46266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6473-2024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46266</v>
      </c>
      <c r="F61" t="inlineStr">
        <is>
          <t>GÄVLEBORGS LÄN</t>
        </is>
      </c>
      <c r="G61" t="inlineStr">
        <is>
          <t>GÄVLE</t>
        </is>
      </c>
      <c r="I61" t="n">
        <v>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Tibast
Nattviol</t>
        </is>
      </c>
      <c r="W61">
        <f>HYPERLINK("https://klasma.github.io/Logging_2180/artfynd/A 6473-2024 artfynd.xlsx", "A 6473-2024")</f>
        <v/>
      </c>
      <c r="X61">
        <f>HYPERLINK("https://klasma.github.io/Logging_2180/kartor/A 6473-2024 karta.png", "A 6473-2024")</f>
        <v/>
      </c>
      <c r="Y61">
        <f>HYPERLINK("https://klasma.github.io/Logging_2180/kartor_geotiff/A 6473-2024 georefererad karta.tif", "A 6473-2024")</f>
        <v/>
      </c>
      <c r="AA61">
        <f>HYPERLINK("https://klasma.github.io/Logging_2180/klagomål/A 6473-2024 FSC-klagomål.docx", "A 6473-2024")</f>
        <v/>
      </c>
      <c r="AB61">
        <f>HYPERLINK("https://klasma.github.io/Logging_2180/klagomålsmail/A 6473-2024 FSC-klagomål mail.docx", "A 6473-2024")</f>
        <v/>
      </c>
      <c r="AC61">
        <f>HYPERLINK("https://klasma.github.io/Logging_2180/tillsyn/A 6473-2024 tillsynsbegäran.docx", "A 6473-2024")</f>
        <v/>
      </c>
      <c r="AD61">
        <f>HYPERLINK("https://klasma.github.io/Logging_2180/tillsynsmail/A 6473-2024 tillsynsbegäran mail.docx", "A 6473-2024")</f>
        <v/>
      </c>
    </row>
    <row r="62" ht="15" customHeight="1">
      <c r="A62" t="inlineStr">
        <is>
          <t>A 13487-2026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46266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0.6</v>
      </c>
      <c r="J62" t="n">
        <v>2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Pärluggla
Sparvuggla</t>
        </is>
      </c>
      <c r="W62">
        <f>HYPERLINK("https://klasma.github.io/Logging_2180/artfynd/A 13487-2026 artfynd.xlsx", "A 13487-2026")</f>
        <v/>
      </c>
      <c r="X62">
        <f>HYPERLINK("https://klasma.github.io/Logging_2180/kartor/A 13487-2026 karta.png", "A 13487-2026")</f>
        <v/>
      </c>
      <c r="Y62">
        <f>HYPERLINK("https://klasma.github.io/Logging_2180/kartor_geotiff/A 13487-2026 georefererad karta.tif", "A 13487-2026")</f>
        <v/>
      </c>
      <c r="AA62">
        <f>HYPERLINK("https://klasma.github.io/Logging_2180/klagomål/A 13487-2026 FSC-klagomål.docx", "A 13487-2026")</f>
        <v/>
      </c>
      <c r="AB62">
        <f>HYPERLINK("https://klasma.github.io/Logging_2180/klagomålsmail/A 13487-2026 FSC-klagomål mail.docx", "A 13487-2026")</f>
        <v/>
      </c>
      <c r="AC62">
        <f>HYPERLINK("https://klasma.github.io/Logging_2180/tillsyn/A 13487-2026 tillsynsbegäran.docx", "A 13487-2026")</f>
        <v/>
      </c>
      <c r="AD62">
        <f>HYPERLINK("https://klasma.github.io/Logging_2180/tillsynsmail/A 13487-2026 tillsynsbegäran mail.docx", "A 13487-2026")</f>
        <v/>
      </c>
      <c r="AE62">
        <f>HYPERLINK("https://klasma.github.io/Logging_2180/fåglar/A 13487-2026 prioriterade fågelarter.docx", "A 13487-2026")</f>
        <v/>
      </c>
    </row>
    <row r="63" ht="15" customHeight="1">
      <c r="A63" t="inlineStr">
        <is>
          <t>A 13248-2026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46266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Fläcknycklar</t>
        </is>
      </c>
      <c r="W63">
        <f>HYPERLINK("https://klasma.github.io/Logging_2180/artfynd/A 13248-2026 artfynd.xlsx", "A 13248-2026")</f>
        <v/>
      </c>
      <c r="X63">
        <f>HYPERLINK("https://klasma.github.io/Logging_2180/kartor/A 13248-2026 karta.png", "A 13248-2026")</f>
        <v/>
      </c>
      <c r="Y63">
        <f>HYPERLINK("https://klasma.github.io/Logging_2180/kartor_geotiff/A 13248-2026 georefererad karta.tif", "A 13248-2026")</f>
        <v/>
      </c>
      <c r="AA63">
        <f>HYPERLINK("https://klasma.github.io/Logging_2180/klagomål/A 13248-2026 FSC-klagomål.docx", "A 13248-2026")</f>
        <v/>
      </c>
      <c r="AB63">
        <f>HYPERLINK("https://klasma.github.io/Logging_2180/klagomålsmail/A 13248-2026 FSC-klagomål mail.docx", "A 13248-2026")</f>
        <v/>
      </c>
      <c r="AC63">
        <f>HYPERLINK("https://klasma.github.io/Logging_2180/tillsyn/A 13248-2026 tillsynsbegäran.docx", "A 13248-2026")</f>
        <v/>
      </c>
      <c r="AD63">
        <f>HYPERLINK("https://klasma.github.io/Logging_2180/tillsynsmail/A 13248-2026 tillsynsbegäran mail.docx", "A 13248-2026")</f>
        <v/>
      </c>
    </row>
    <row r="64" ht="15" customHeight="1">
      <c r="A64" t="inlineStr">
        <is>
          <t>A 19718-2026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46134</v>
      </c>
      <c r="E64" s="1" t="n">
        <v>46266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10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Rödvingetrast
Nattskärra</t>
        </is>
      </c>
      <c r="W64">
        <f>HYPERLINK("https://klasma.github.io/Logging_2180/artfynd/A 19718-2026 artfynd.xlsx", "A 19718-2026")</f>
        <v/>
      </c>
      <c r="X64">
        <f>HYPERLINK("https://klasma.github.io/Logging_2180/kartor/A 19718-2026 karta.png", "A 19718-2026")</f>
        <v/>
      </c>
      <c r="Y64">
        <f>HYPERLINK("https://klasma.github.io/Logging_2180/kartor_geotiff/A 19718-2026 georefererad karta.tif", "A 19718-2026")</f>
        <v/>
      </c>
      <c r="AA64">
        <f>HYPERLINK("https://klasma.github.io/Logging_2180/klagomål/A 19718-2026 FSC-klagomål.docx", "A 19718-2026")</f>
        <v/>
      </c>
      <c r="AB64">
        <f>HYPERLINK("https://klasma.github.io/Logging_2180/klagomålsmail/A 19718-2026 FSC-klagomål mail.docx", "A 19718-2026")</f>
        <v/>
      </c>
      <c r="AC64">
        <f>HYPERLINK("https://klasma.github.io/Logging_2180/tillsyn/A 19718-2026 tillsynsbegäran.docx", "A 19718-2026")</f>
        <v/>
      </c>
      <c r="AD64">
        <f>HYPERLINK("https://klasma.github.io/Logging_2180/tillsynsmail/A 19718-2026 tillsynsbegäran mail.docx", "A 19718-2026")</f>
        <v/>
      </c>
      <c r="AE64">
        <f>HYPERLINK("https://klasma.github.io/Logging_2180/fåglar/A 19718-2026 prioriterade fågelarter.docx", "A 19718-2026")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46266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46266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46266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Blåsippa</t>
        </is>
      </c>
      <c r="W67">
        <f>HYPERLINK("https://klasma.github.io/Logging_2180/artfynd/A 17297-2026 artfynd.xlsx", "A 17297-2026")</f>
        <v/>
      </c>
      <c r="X67">
        <f>HYPERLINK("https://klasma.github.io/Logging_2180/kartor/A 17297-2026 karta.png", "A 17297-2026")</f>
        <v/>
      </c>
      <c r="Y67">
        <f>HYPERLINK("https://klasma.github.io/Logging_2180/kartor_geotiff/A 17297-2026 georefererad karta.tif", "A 17297-2026")</f>
        <v/>
      </c>
      <c r="AA67">
        <f>HYPERLINK("https://klasma.github.io/Logging_2180/klagomål/A 17297-2026 FSC-klagomål.docx", "A 17297-2026")</f>
        <v/>
      </c>
      <c r="AB67">
        <f>HYPERLINK("https://klasma.github.io/Logging_2180/klagomålsmail/A 17297-2026 FSC-klagomål mail.docx", "A 17297-2026")</f>
        <v/>
      </c>
      <c r="AC67">
        <f>HYPERLINK("https://klasma.github.io/Logging_2180/tillsyn/A 17297-2026 tillsynsbegäran.docx", "A 17297-2026")</f>
        <v/>
      </c>
      <c r="AD67">
        <f>HYPERLINK("https://klasma.github.io/Logging_2180/tillsynsmail/A 17297-2026 tillsynsbegäran mail.docx", "A 17297-2026")</f>
        <v/>
      </c>
    </row>
    <row r="68" ht="15" customHeight="1">
      <c r="A68" t="inlineStr">
        <is>
          <t>A 22149-2026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46266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Vedtrappmossa
Rödgul trumpetsvamp</t>
        </is>
      </c>
      <c r="W68">
        <f>HYPERLINK("https://klasma.github.io/Logging_2180/artfynd/A 22149-2026 artfynd.xlsx", "A 22149-2026")</f>
        <v/>
      </c>
      <c r="X68">
        <f>HYPERLINK("https://klasma.github.io/Logging_2180/kartor/A 22149-2026 karta.png", "A 22149-2026")</f>
        <v/>
      </c>
      <c r="Y68">
        <f>HYPERLINK("https://klasma.github.io/Logging_2180/kartor_geotiff/A 22149-2026 georefererad karta.tif", "A 22149-2026")</f>
        <v/>
      </c>
      <c r="AA68">
        <f>HYPERLINK("https://klasma.github.io/Logging_2180/klagomål/A 22149-2026 FSC-klagomål.docx", "A 22149-2026")</f>
        <v/>
      </c>
      <c r="AB68">
        <f>HYPERLINK("https://klasma.github.io/Logging_2180/klagomålsmail/A 22149-2026 FSC-klagomål mail.docx", "A 22149-2026")</f>
        <v/>
      </c>
      <c r="AC68">
        <f>HYPERLINK("https://klasma.github.io/Logging_2180/tillsyn/A 22149-2026 tillsynsbegäran.docx", "A 22149-2026")</f>
        <v/>
      </c>
      <c r="AD68">
        <f>HYPERLINK("https://klasma.github.io/Logging_2180/tillsynsmail/A 22149-2026 tillsynsbegäran mail.docx", "A 22149-2026")</f>
        <v/>
      </c>
    </row>
    <row r="69" ht="15" customHeight="1">
      <c r="A69" t="inlineStr">
        <is>
          <t>A 23257-2026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46266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42.1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Havsörn</t>
        </is>
      </c>
      <c r="W69">
        <f>HYPERLINK("https://klasma.github.io/Logging_2180/artfynd/A 23257-2026 artfynd.xlsx", "A 23257-2026")</f>
        <v/>
      </c>
      <c r="X69">
        <f>HYPERLINK("https://klasma.github.io/Logging_2180/kartor/A 23257-2026 karta.png", "A 23257-2026")</f>
        <v/>
      </c>
      <c r="Y69">
        <f>HYPERLINK("https://klasma.github.io/Logging_2180/kartor_geotiff/A 23257-2026 georefererad karta.tif", "A 23257-2026")</f>
        <v/>
      </c>
      <c r="AA69">
        <f>HYPERLINK("https://klasma.github.io/Logging_2180/klagomål/A 23257-2026 FSC-klagomål.docx", "A 23257-2026")</f>
        <v/>
      </c>
      <c r="AB69">
        <f>HYPERLINK("https://klasma.github.io/Logging_2180/klagomålsmail/A 23257-2026 FSC-klagomål mail.docx", "A 23257-2026")</f>
        <v/>
      </c>
      <c r="AC69">
        <f>HYPERLINK("https://klasma.github.io/Logging_2180/tillsyn/A 23257-2026 tillsynsbegäran.docx", "A 23257-2026")</f>
        <v/>
      </c>
      <c r="AD69">
        <f>HYPERLINK("https://klasma.github.io/Logging_2180/tillsynsmail/A 23257-2026 tillsynsbegäran mail.docx", "A 23257-2026")</f>
        <v/>
      </c>
      <c r="AE69">
        <f>HYPERLINK("https://klasma.github.io/Logging_2180/fåglar/A 23257-2026 prioriterade fågelarter.docx", "A 23257-2026")</f>
        <v/>
      </c>
    </row>
    <row r="70" ht="15" customHeight="1">
      <c r="A70" t="inlineStr">
        <is>
          <t>A 24310-2026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46266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24310-2026 artfynd.xlsx", "A 24310-2026")</f>
        <v/>
      </c>
      <c r="X70">
        <f>HYPERLINK("https://klasma.github.io/Logging_2180/kartor/A 24310-2026 karta.png", "A 24310-2026")</f>
        <v/>
      </c>
      <c r="Y70">
        <f>HYPERLINK("https://klasma.github.io/Logging_2180/kartor_geotiff/A 24310-2026 georefererad karta.tif", "A 24310-2026")</f>
        <v/>
      </c>
      <c r="AA70">
        <f>HYPERLINK("https://klasma.github.io/Logging_2180/klagomål/A 24310-2026 FSC-klagomål.docx", "A 24310-2026")</f>
        <v/>
      </c>
      <c r="AB70">
        <f>HYPERLINK("https://klasma.github.io/Logging_2180/klagomålsmail/A 24310-2026 FSC-klagomål mail.docx", "A 24310-2026")</f>
        <v/>
      </c>
      <c r="AC70">
        <f>HYPERLINK("https://klasma.github.io/Logging_2180/tillsyn/A 24310-2026 tillsynsbegäran.docx", "A 24310-2026")</f>
        <v/>
      </c>
      <c r="AD70">
        <f>HYPERLINK("https://klasma.github.io/Logging_2180/tillsynsmail/A 24310-2026 tillsynsbegäran mail.docx", "A 24310-2026")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46266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24915-2026 artfynd.xlsx", "A 24915-2026")</f>
        <v/>
      </c>
      <c r="X71">
        <f>HYPERLINK("https://klasma.github.io/Logging_2180/kartor/A 24915-2026 karta.png", "A 24915-2026")</f>
        <v/>
      </c>
      <c r="Y71">
        <f>HYPERLINK("https://klasma.github.io/Logging_2180/kartor_geotiff/A 24915-2026 georefererad karta.tif", "A 24915-2026")</f>
        <v/>
      </c>
      <c r="AA71">
        <f>HYPERLINK("https://klasma.github.io/Logging_2180/klagomål/A 24915-2026 FSC-klagomål.docx", "A 24915-2026")</f>
        <v/>
      </c>
      <c r="AB71">
        <f>HYPERLINK("https://klasma.github.io/Logging_2180/klagomålsmail/A 24915-2026 FSC-klagomål mail.docx", "A 24915-2026")</f>
        <v/>
      </c>
      <c r="AC71">
        <f>HYPERLINK("https://klasma.github.io/Logging_2180/tillsyn/A 24915-2026 tillsynsbegäran.docx", "A 24915-2026")</f>
        <v/>
      </c>
      <c r="AD71">
        <f>HYPERLINK("https://klasma.github.io/Logging_2180/tillsynsmail/A 24915-2026 tillsynsbegäran mail.docx", "A 24915-2026")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46266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46266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29634-2026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46266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6.3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Brunag
Strandlummer</t>
        </is>
      </c>
      <c r="W74">
        <f>HYPERLINK("https://klasma.github.io/Logging_2180/artfynd/A 29634-2026 artfynd.xlsx", "A 29634-2026")</f>
        <v/>
      </c>
      <c r="X74">
        <f>HYPERLINK("https://klasma.github.io/Logging_2180/kartor/A 29634-2026 karta.png", "A 29634-2026")</f>
        <v/>
      </c>
      <c r="Y74">
        <f>HYPERLINK("https://klasma.github.io/Logging_2180/kartor_geotiff/A 29634-2026 georefererad karta.tif", "A 29634-2026")</f>
        <v/>
      </c>
      <c r="AA74">
        <f>HYPERLINK("https://klasma.github.io/Logging_2180/klagomål/A 29634-2026 FSC-klagomål.docx", "A 29634-2026")</f>
        <v/>
      </c>
      <c r="AB74">
        <f>HYPERLINK("https://klasma.github.io/Logging_2180/klagomålsmail/A 29634-2026 FSC-klagomål mail.docx", "A 29634-2026")</f>
        <v/>
      </c>
      <c r="AC74">
        <f>HYPERLINK("https://klasma.github.io/Logging_2180/tillsyn/A 29634-2026 tillsynsbegäran.docx", "A 29634-2026")</f>
        <v/>
      </c>
      <c r="AD74">
        <f>HYPERLINK("https://klasma.github.io/Logging_2180/tillsynsmail/A 29634-2026 tillsynsbegäran mail.docx", "A 29634-2026")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46266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46266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46266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46266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46266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46266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28875-2025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46266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43.3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HYPERLINK("https://klasma.github.io/Logging_2180/artfynd/A 28875-2025 artfynd.xlsx", "A 28875-2025")</f>
        <v/>
      </c>
      <c r="X81">
        <f>HYPERLINK("https://klasma.github.io/Logging_2180/kartor/A 28875-2025 karta.png", "A 28875-2025")</f>
        <v/>
      </c>
      <c r="Y81">
        <f>HYPERLINK("https://klasma.github.io/Logging_2180/kartor_geotiff/A 28875-2025 georefererad karta.tif", "A 28875-2025")</f>
        <v/>
      </c>
      <c r="AA81">
        <f>HYPERLINK("https://klasma.github.io/Logging_2180/klagomål/A 28875-2025 FSC-klagomål.docx", "A 28875-2025")</f>
        <v/>
      </c>
      <c r="AB81">
        <f>HYPERLINK("https://klasma.github.io/Logging_2180/klagomålsmail/A 28875-2025 FSC-klagomål mail.docx", "A 28875-2025")</f>
        <v/>
      </c>
      <c r="AC81">
        <f>HYPERLINK("https://klasma.github.io/Logging_2180/tillsyn/A 28875-2025 tillsynsbegäran.docx", "A 28875-2025")</f>
        <v/>
      </c>
      <c r="AD81">
        <f>HYPERLINK("https://klasma.github.io/Logging_2180/tillsynsmail/A 28875-2025 tillsynsbegäran mail.docx", "A 28875-2025")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46266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38550-2025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46266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HYPERLINK("https://klasma.github.io/Logging_2180/artfynd/A 38550-2025 artfynd.xlsx", "A 38550-2025")</f>
        <v/>
      </c>
      <c r="X83">
        <f>HYPERLINK("https://klasma.github.io/Logging_2180/kartor/A 38550-2025 karta.png", "A 38550-2025")</f>
        <v/>
      </c>
      <c r="Y83">
        <f>HYPERLINK("https://klasma.github.io/Logging_2180/kartor_geotiff/A 38550-2025 georefererad karta.tif", "A 38550-2025")</f>
        <v/>
      </c>
      <c r="AA83">
        <f>HYPERLINK("https://klasma.github.io/Logging_2180/klagomål/A 38550-2025 FSC-klagomål.docx", "A 38550-2025")</f>
        <v/>
      </c>
      <c r="AB83">
        <f>HYPERLINK("https://klasma.github.io/Logging_2180/klagomålsmail/A 38550-2025 FSC-klagomål mail.docx", "A 38550-2025")</f>
        <v/>
      </c>
      <c r="AC83">
        <f>HYPERLINK("https://klasma.github.io/Logging_2180/tillsyn/A 38550-2025 tillsynsbegäran.docx", "A 38550-2025")</f>
        <v/>
      </c>
      <c r="AD83">
        <f>HYPERLINK("https://klasma.github.io/Logging_2180/tillsynsmail/A 38550-2025 tillsynsbegäran mail.docx", "A 38550-2025")</f>
        <v/>
      </c>
    </row>
    <row r="84" ht="15" customHeight="1">
      <c r="A84" t="inlineStr">
        <is>
          <t>A 49393-2025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46266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HYPERLINK("https://klasma.github.io/Logging_2180/artfynd/A 49393-2025 artfynd.xlsx", "A 49393-2025")</f>
        <v/>
      </c>
      <c r="X84">
        <f>HYPERLINK("https://klasma.github.io/Logging_2180/kartor/A 49393-2025 karta.png", "A 49393-2025")</f>
        <v/>
      </c>
      <c r="Y84">
        <f>HYPERLINK("https://klasma.github.io/Logging_2180/kartor_geotiff/A 49393-2025 georefererad karta.tif", "A 49393-2025")</f>
        <v/>
      </c>
      <c r="AA84">
        <f>HYPERLINK("https://klasma.github.io/Logging_2180/klagomål/A 49393-2025 FSC-klagomål.docx", "A 49393-2025")</f>
        <v/>
      </c>
      <c r="AB84">
        <f>HYPERLINK("https://klasma.github.io/Logging_2180/klagomålsmail/A 49393-2025 FSC-klagomål mail.docx", "A 49393-2025")</f>
        <v/>
      </c>
      <c r="AC84">
        <f>HYPERLINK("https://klasma.github.io/Logging_2180/tillsyn/A 49393-2025 tillsynsbegäran.docx", "A 49393-2025")</f>
        <v/>
      </c>
      <c r="AD84">
        <f>HYPERLINK("https://klasma.github.io/Logging_2180/tillsynsmail/A 49393-2025 tillsynsbegäran mail.docx", "A 49393-2025")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46266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Ängsblåvinge</t>
        </is>
      </c>
      <c r="W85">
        <f>HYPERLINK("https://klasma.github.io/Logging_2180/artfynd/A 15001-2023 artfynd.xlsx", "A 15001-2023")</f>
        <v/>
      </c>
      <c r="X85">
        <f>HYPERLINK("https://klasma.github.io/Logging_2180/kartor/A 15001-2023 karta.png", "A 15001-2023")</f>
        <v/>
      </c>
      <c r="Y85">
        <f>HYPERLINK("https://klasma.github.io/Logging_2180/kartor_geotiff/A 15001-2023 georefererad karta.tif", "A 15001-2023")</f>
        <v/>
      </c>
      <c r="AA85">
        <f>HYPERLINK("https://klasma.github.io/Logging_2180/klagomål/A 15001-2023 FSC-klagomål.docx", "A 15001-2023")</f>
        <v/>
      </c>
      <c r="AB85">
        <f>HYPERLINK("https://klasma.github.io/Logging_2180/klagomålsmail/A 15001-2023 FSC-klagomål mail.docx", "A 15001-2023")</f>
        <v/>
      </c>
      <c r="AC85">
        <f>HYPERLINK("https://klasma.github.io/Logging_2180/tillsyn/A 15001-2023 tillsynsbegäran.docx", "A 15001-2023")</f>
        <v/>
      </c>
      <c r="AD85">
        <f>HYPERLINK("https://klasma.github.io/Logging_2180/tillsynsmail/A 15001-2023 tillsynsbegäran mail.docx", "A 15001-2023")</f>
        <v/>
      </c>
    </row>
    <row r="86" ht="15" customHeight="1">
      <c r="A86" t="inlineStr">
        <is>
          <t>A 33812-2022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44790</v>
      </c>
      <c r="E86" s="1" t="n">
        <v>46266</v>
      </c>
      <c r="F86" t="inlineStr">
        <is>
          <t>GÄVLEBORGS LÄN</t>
        </is>
      </c>
      <c r="G86" t="inlineStr">
        <is>
          <t>GÄVLE</t>
        </is>
      </c>
      <c r="I86" t="n">
        <v>2.1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Myskmadra</t>
        </is>
      </c>
      <c r="W86">
        <f>HYPERLINK("https://klasma.github.io/Logging_2180/artfynd/A 33812-2022 artfynd.xlsx", "A 33812-2022")</f>
        <v/>
      </c>
      <c r="X86">
        <f>HYPERLINK("https://klasma.github.io/Logging_2180/kartor/A 33812-2022 karta.png", "A 33812-2022")</f>
        <v/>
      </c>
      <c r="Y86">
        <f>HYPERLINK("https://klasma.github.io/Logging_2180/kartor_geotiff/A 33812-2022 georefererad karta.tif", "A 33812-2022")</f>
        <v/>
      </c>
      <c r="AA86">
        <f>HYPERLINK("https://klasma.github.io/Logging_2180/klagomål/A 33812-2022 FSC-klagomål.docx", "A 33812-2022")</f>
        <v/>
      </c>
      <c r="AB86">
        <f>HYPERLINK("https://klasma.github.io/Logging_2180/klagomålsmail/A 33812-2022 FSC-klagomål mail.docx", "A 33812-2022")</f>
        <v/>
      </c>
      <c r="AC86">
        <f>HYPERLINK("https://klasma.github.io/Logging_2180/tillsyn/A 33812-2022 tillsynsbegäran.docx", "A 33812-2022")</f>
        <v/>
      </c>
      <c r="AD86">
        <f>HYPERLINK("https://klasma.github.io/Logging_2180/tillsynsmail/A 33812-2022 tillsynsbegäran mail.docx", "A 33812-2022")</f>
        <v/>
      </c>
    </row>
    <row r="87" ht="15" customHeight="1">
      <c r="A87" t="inlineStr">
        <is>
          <t>A 32254-2023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46266</v>
      </c>
      <c r="F87" t="inlineStr">
        <is>
          <t>GÄVLEBORGS LÄN</t>
        </is>
      </c>
      <c r="G87" t="inlineStr">
        <is>
          <t>GÄVLE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HYPERLINK("https://klasma.github.io/Logging_2180/artfynd/A 32254-2023 artfynd.xlsx", "A 32254-2023")</f>
        <v/>
      </c>
      <c r="X87">
        <f>HYPERLINK("https://klasma.github.io/Logging_2180/kartor/A 32254-2023 karta.png", "A 32254-2023")</f>
        <v/>
      </c>
      <c r="Y87">
        <f>HYPERLINK("https://klasma.github.io/Logging_2180/kartor_geotiff/A 32254-2023 georefererad karta.tif", "A 32254-2023")</f>
        <v/>
      </c>
      <c r="AA87">
        <f>HYPERLINK("https://klasma.github.io/Logging_2180/klagomål/A 32254-2023 FSC-klagomål.docx", "A 32254-2023")</f>
        <v/>
      </c>
      <c r="AB87">
        <f>HYPERLINK("https://klasma.github.io/Logging_2180/klagomålsmail/A 32254-2023 FSC-klagomål mail.docx", "A 32254-2023")</f>
        <v/>
      </c>
      <c r="AC87">
        <f>HYPERLINK("https://klasma.github.io/Logging_2180/tillsyn/A 32254-2023 tillsynsbegäran.docx", "A 32254-2023")</f>
        <v/>
      </c>
      <c r="AD87">
        <f>HYPERLINK("https://klasma.github.io/Logging_2180/tillsynsmail/A 32254-2023 tillsynsbegäran mail.docx", "A 32254-2023")</f>
        <v/>
      </c>
    </row>
    <row r="88" ht="15" customHeight="1">
      <c r="A88" t="inlineStr">
        <is>
          <t>A 61056-2024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46266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5.3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Myggblomster</t>
        </is>
      </c>
      <c r="W88">
        <f>HYPERLINK("https://klasma.github.io/Logging_2180/artfynd/A 61056-2024 artfynd.xlsx", "A 61056-2024")</f>
        <v/>
      </c>
      <c r="X88">
        <f>HYPERLINK("https://klasma.github.io/Logging_2180/kartor/A 61056-2024 karta.png", "A 61056-2024")</f>
        <v/>
      </c>
      <c r="Y88">
        <f>HYPERLINK("https://klasma.github.io/Logging_2180/kartor_geotiff/A 61056-2024 georefererad karta.tif", "A 61056-2024")</f>
        <v/>
      </c>
      <c r="AA88">
        <f>HYPERLINK("https://klasma.github.io/Logging_2180/klagomål/A 61056-2024 FSC-klagomål.docx", "A 61056-2024")</f>
        <v/>
      </c>
      <c r="AB88">
        <f>HYPERLINK("https://klasma.github.io/Logging_2180/klagomålsmail/A 61056-2024 FSC-klagomål mail.docx", "A 61056-2024")</f>
        <v/>
      </c>
      <c r="AC88">
        <f>HYPERLINK("https://klasma.github.io/Logging_2180/tillsyn/A 61056-2024 tillsynsbegäran.docx", "A 61056-2024")</f>
        <v/>
      </c>
      <c r="AD88">
        <f>HYPERLINK("https://klasma.github.io/Logging_2180/tillsynsmail/A 61056-2024 tillsynsbegäran mail.docx", "A 61056-2024")</f>
        <v/>
      </c>
    </row>
    <row r="89" ht="15" customHeight="1">
      <c r="A89" t="inlineStr">
        <is>
          <t>A 26157-2022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46266</v>
      </c>
      <c r="F89" t="inlineStr">
        <is>
          <t>GÄVLEBORGS LÄN</t>
        </is>
      </c>
      <c r="G89" t="inlineStr">
        <is>
          <t>GÄVLE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Mattlummer</t>
        </is>
      </c>
      <c r="W89">
        <f>HYPERLINK("https://klasma.github.io/Logging_2180/artfynd/A 26157-2022 artfynd.xlsx", "A 26157-2022")</f>
        <v/>
      </c>
      <c r="X89">
        <f>HYPERLINK("https://klasma.github.io/Logging_2180/kartor/A 26157-2022 karta.png", "A 26157-2022")</f>
        <v/>
      </c>
      <c r="Y89">
        <f>HYPERLINK("https://klasma.github.io/Logging_2180/kartor_geotiff/A 26157-2022 georefererad karta.tif", "A 26157-2022")</f>
        <v/>
      </c>
      <c r="AA89">
        <f>HYPERLINK("https://klasma.github.io/Logging_2180/klagomål/A 26157-2022 FSC-klagomål.docx", "A 26157-2022")</f>
        <v/>
      </c>
      <c r="AB89">
        <f>HYPERLINK("https://klasma.github.io/Logging_2180/klagomålsmail/A 26157-2022 FSC-klagomål mail.docx", "A 26157-2022")</f>
        <v/>
      </c>
      <c r="AC89">
        <f>HYPERLINK("https://klasma.github.io/Logging_2180/tillsyn/A 26157-2022 tillsynsbegäran.docx", "A 26157-2022")</f>
        <v/>
      </c>
      <c r="AD89">
        <f>HYPERLINK("https://klasma.github.io/Logging_2180/tillsynsmail/A 26157-2022 tillsynsbegäran mail.docx", "A 26157-2022")</f>
        <v/>
      </c>
    </row>
    <row r="90" ht="15" customHeight="1">
      <c r="A90" t="inlineStr">
        <is>
          <t>A 47642-2024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45588</v>
      </c>
      <c r="E90" s="1" t="n">
        <v>46266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8.199999999999999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Orre</t>
        </is>
      </c>
      <c r="W90">
        <f>HYPERLINK("https://klasma.github.io/Logging_2180/artfynd/A 47642-2024 artfynd.xlsx", "A 47642-2024")</f>
        <v/>
      </c>
      <c r="X90">
        <f>HYPERLINK("https://klasma.github.io/Logging_2180/kartor/A 47642-2024 karta.png", "A 47642-2024")</f>
        <v/>
      </c>
      <c r="Y90">
        <f>HYPERLINK("https://klasma.github.io/Logging_2180/kartor_geotiff/A 47642-2024 georefererad karta.tif", "A 47642-2024")</f>
        <v/>
      </c>
      <c r="AA90">
        <f>HYPERLINK("https://klasma.github.io/Logging_2180/klagomål/A 47642-2024 FSC-klagomål.docx", "A 47642-2024")</f>
        <v/>
      </c>
      <c r="AB90">
        <f>HYPERLINK("https://klasma.github.io/Logging_2180/klagomålsmail/A 47642-2024 FSC-klagomål mail.docx", "A 47642-2024")</f>
        <v/>
      </c>
      <c r="AC90">
        <f>HYPERLINK("https://klasma.github.io/Logging_2180/tillsyn/A 47642-2024 tillsynsbegäran.docx", "A 47642-2024")</f>
        <v/>
      </c>
      <c r="AD90">
        <f>HYPERLINK("https://klasma.github.io/Logging_2180/tillsynsmail/A 47642-2024 tillsynsbegäran mail.docx", "A 47642-2024")</f>
        <v/>
      </c>
      <c r="AE90">
        <f>HYPERLINK("https://klasma.github.io/Logging_2180/fåglar/A 47642-2024 prioriterade fågelarter.docx", "A 47642-2024")</f>
        <v/>
      </c>
    </row>
    <row r="91" ht="15" customHeight="1">
      <c r="A91" t="inlineStr">
        <is>
          <t>A 12338-2025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46266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6.8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1</v>
      </c>
      <c r="V91" s="2" t="inlineStr">
        <is>
          <t>Skogsklocka</t>
        </is>
      </c>
      <c r="W91">
        <f>HYPERLINK("https://klasma.github.io/Logging_2180/artfynd/A 12338-2025 artfynd.xlsx", "A 12338-2025")</f>
        <v/>
      </c>
      <c r="X91">
        <f>HYPERLINK("https://klasma.github.io/Logging_2180/kartor/A 12338-2025 karta.png", "A 12338-2025")</f>
        <v/>
      </c>
      <c r="Y91">
        <f>HYPERLINK("https://klasma.github.io/Logging_2180/kartor_geotiff/A 12338-2025 georefererad karta.tif", "A 12338-2025")</f>
        <v/>
      </c>
      <c r="AA91">
        <f>HYPERLINK("https://klasma.github.io/Logging_2180/klagomål/A 12338-2025 FSC-klagomål.docx", "A 12338-2025")</f>
        <v/>
      </c>
      <c r="AB91">
        <f>HYPERLINK("https://klasma.github.io/Logging_2180/klagomålsmail/A 12338-2025 FSC-klagomål mail.docx", "A 12338-2025")</f>
        <v/>
      </c>
      <c r="AC91">
        <f>HYPERLINK("https://klasma.github.io/Logging_2180/tillsyn/A 12338-2025 tillsynsbegäran.docx", "A 12338-2025")</f>
        <v/>
      </c>
      <c r="AD91">
        <f>HYPERLINK("https://klasma.github.io/Logging_2180/tillsynsmail/A 12338-2025 tillsynsbegäran mail.docx", "A 12338-2025")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46266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30302-2025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45827</v>
      </c>
      <c r="E93" s="1" t="n">
        <v>46266</v>
      </c>
      <c r="F93" t="inlineStr">
        <is>
          <t>GÄVLEBORGS LÄN</t>
        </is>
      </c>
      <c r="G93" t="inlineStr">
        <is>
          <t>GÄVLE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Fläcknycklar</t>
        </is>
      </c>
      <c r="W93">
        <f>HYPERLINK("https://klasma.github.io/Logging_2180/artfynd/A 30302-2025 artfynd.xlsx", "A 30302-2025")</f>
        <v/>
      </c>
      <c r="X93">
        <f>HYPERLINK("https://klasma.github.io/Logging_2180/kartor/A 30302-2025 karta.png", "A 30302-2025")</f>
        <v/>
      </c>
      <c r="Y93">
        <f>HYPERLINK("https://klasma.github.io/Logging_2180/kartor_geotiff/A 30302-2025 georefererad karta.tif", "A 30302-2025")</f>
        <v/>
      </c>
      <c r="AA93">
        <f>HYPERLINK("https://klasma.github.io/Logging_2180/klagomål/A 30302-2025 FSC-klagomål.docx", "A 30302-2025")</f>
        <v/>
      </c>
      <c r="AB93">
        <f>HYPERLINK("https://klasma.github.io/Logging_2180/klagomålsmail/A 30302-2025 FSC-klagomål mail.docx", "A 30302-2025")</f>
        <v/>
      </c>
      <c r="AC93">
        <f>HYPERLINK("https://klasma.github.io/Logging_2180/tillsyn/A 30302-2025 tillsynsbegäran.docx", "A 30302-2025")</f>
        <v/>
      </c>
      <c r="AD93">
        <f>HYPERLINK("https://klasma.github.io/Logging_2180/tillsynsmail/A 30302-2025 tillsynsbegäran mail.docx", "A 30302-2025")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46266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46266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46266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46266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46266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51508-2024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45604</v>
      </c>
      <c r="E99" s="1" t="n">
        <v>46266</v>
      </c>
      <c r="F99" t="inlineStr">
        <is>
          <t>GÄVLEBORGS LÄN</t>
        </is>
      </c>
      <c r="G99" t="inlineStr">
        <is>
          <t>GÄVLE</t>
        </is>
      </c>
      <c r="I99" t="n">
        <v>0.9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Tibast</t>
        </is>
      </c>
      <c r="W99">
        <f>HYPERLINK("https://klasma.github.io/Logging_2180/artfynd/A 51508-2024 artfynd.xlsx", "A 51508-2024")</f>
        <v/>
      </c>
      <c r="X99">
        <f>HYPERLINK("https://klasma.github.io/Logging_2180/kartor/A 51508-2024 karta.png", "A 51508-2024")</f>
        <v/>
      </c>
      <c r="Y99">
        <f>HYPERLINK("https://klasma.github.io/Logging_2180/kartor_geotiff/A 51508-2024 georefererad karta.tif", "A 51508-2024")</f>
        <v/>
      </c>
      <c r="AA99">
        <f>HYPERLINK("https://klasma.github.io/Logging_2180/klagomål/A 51508-2024 FSC-klagomål.docx", "A 51508-2024")</f>
        <v/>
      </c>
      <c r="AB99">
        <f>HYPERLINK("https://klasma.github.io/Logging_2180/klagomålsmail/A 51508-2024 FSC-klagomål mail.docx", "A 51508-2024")</f>
        <v/>
      </c>
      <c r="AC99">
        <f>HYPERLINK("https://klasma.github.io/Logging_2180/tillsyn/A 51508-2024 tillsynsbegäran.docx", "A 51508-2024")</f>
        <v/>
      </c>
      <c r="AD99">
        <f>HYPERLINK("https://klasma.github.io/Logging_2180/tillsynsmail/A 51508-2024 tillsynsbegäran mail.docx", "A 51508-2024")</f>
        <v/>
      </c>
    </row>
    <row r="100" ht="15" customHeight="1">
      <c r="A100" t="inlineStr">
        <is>
          <t>A 12437-2024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45379</v>
      </c>
      <c r="E100" s="1" t="n">
        <v>46266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Mindre bastardsvärmare</t>
        </is>
      </c>
      <c r="W100">
        <f>HYPERLINK("https://klasma.github.io/Logging_2180/artfynd/A 12437-2024 artfynd.xlsx", "A 12437-2024")</f>
        <v/>
      </c>
      <c r="X100">
        <f>HYPERLINK("https://klasma.github.io/Logging_2180/kartor/A 12437-2024 karta.png", "A 12437-2024")</f>
        <v/>
      </c>
      <c r="Y100">
        <f>HYPERLINK("https://klasma.github.io/Logging_2180/kartor_geotiff/A 12437-2024 georefererad karta.tif", "A 12437-2024")</f>
        <v/>
      </c>
      <c r="AA100">
        <f>HYPERLINK("https://klasma.github.io/Logging_2180/klagomål/A 12437-2024 FSC-klagomål.docx", "A 12437-2024")</f>
        <v/>
      </c>
      <c r="AB100">
        <f>HYPERLINK("https://klasma.github.io/Logging_2180/klagomålsmail/A 12437-2024 FSC-klagomål mail.docx", "A 12437-2024")</f>
        <v/>
      </c>
      <c r="AC100">
        <f>HYPERLINK("https://klasma.github.io/Logging_2180/tillsyn/A 12437-2024 tillsynsbegäran.docx", "A 12437-2024")</f>
        <v/>
      </c>
      <c r="AD100">
        <f>HYPERLINK("https://klasma.github.io/Logging_2180/tillsynsmail/A 12437-2024 tillsynsbegäran mail.docx", "A 12437-2024")</f>
        <v/>
      </c>
    </row>
    <row r="101" ht="15" customHeight="1">
      <c r="A101" t="inlineStr">
        <is>
          <t>A 50052-2025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45943</v>
      </c>
      <c r="E101" s="1" t="n">
        <v>46266</v>
      </c>
      <c r="F101" t="inlineStr">
        <is>
          <t>GÄVLEBORGS LÄN</t>
        </is>
      </c>
      <c r="G101" t="inlineStr">
        <is>
          <t>GÄVLE</t>
        </is>
      </c>
      <c r="I101" t="n">
        <v>1.9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3</v>
      </c>
      <c r="U101" t="n">
        <v>0</v>
      </c>
      <c r="V101" s="2" t="inlineStr">
        <is>
          <t>Mosippa</t>
        </is>
      </c>
      <c r="W101">
        <f>HYPERLINK("https://klasma.github.io/Logging_2180/artfynd/A 50052-2025 artfynd.xlsx", "A 50052-2025")</f>
        <v/>
      </c>
      <c r="X101">
        <f>HYPERLINK("https://klasma.github.io/Logging_2180/kartor/A 50052-2025 karta.png", "A 50052-2025")</f>
        <v/>
      </c>
      <c r="Y101">
        <f>HYPERLINK("https://klasma.github.io/Logging_2180/kartor_geotiff/A 50052-2025 georefererad karta.tif", "A 50052-2025")</f>
        <v/>
      </c>
      <c r="AA101">
        <f>HYPERLINK("https://klasma.github.io/Logging_2180/klagomål/A 50052-2025 FSC-klagomål.docx", "A 50052-2025")</f>
        <v/>
      </c>
      <c r="AB101">
        <f>HYPERLINK("https://klasma.github.io/Logging_2180/klagomålsmail/A 50052-2025 FSC-klagomål mail.docx", "A 50052-2025")</f>
        <v/>
      </c>
      <c r="AC101">
        <f>HYPERLINK("https://klasma.github.io/Logging_2180/tillsyn/A 50052-2025 tillsynsbegäran.docx", "A 50052-2025")</f>
        <v/>
      </c>
      <c r="AD101">
        <f>HYPERLINK("https://klasma.github.io/Logging_2180/tillsynsmail/A 50052-2025 tillsynsbegäran mail.docx", "A 50052-2025")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46266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13684-2026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46097</v>
      </c>
      <c r="E103" s="1" t="n">
        <v>46266</v>
      </c>
      <c r="F103" t="inlineStr">
        <is>
          <t>GÄVLEBORGS LÄN</t>
        </is>
      </c>
      <c r="G103" t="inlineStr">
        <is>
          <t>GÄVLE</t>
        </is>
      </c>
      <c r="I103" t="n">
        <v>21.3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HYPERLINK("https://klasma.github.io/Logging_2180/artfynd/A 13684-2026 artfynd.xlsx", "A 13684-2026")</f>
        <v/>
      </c>
      <c r="X103">
        <f>HYPERLINK("https://klasma.github.io/Logging_2180/kartor/A 13684-2026 karta.png", "A 13684-2026")</f>
        <v/>
      </c>
      <c r="Y103">
        <f>HYPERLINK("https://klasma.github.io/Logging_2180/kartor_geotiff/A 13684-2026 georefererad karta.tif", "A 13684-2026")</f>
        <v/>
      </c>
      <c r="AA103">
        <f>HYPERLINK("https://klasma.github.io/Logging_2180/klagomål/A 13684-2026 FSC-klagomål.docx", "A 13684-2026")</f>
        <v/>
      </c>
      <c r="AB103">
        <f>HYPERLINK("https://klasma.github.io/Logging_2180/klagomålsmail/A 13684-2026 FSC-klagomål mail.docx", "A 13684-2026")</f>
        <v/>
      </c>
      <c r="AC103">
        <f>HYPERLINK("https://klasma.github.io/Logging_2180/tillsyn/A 13684-2026 tillsynsbegäran.docx", "A 13684-2026")</f>
        <v/>
      </c>
      <c r="AD103">
        <f>HYPERLINK("https://klasma.github.io/Logging_2180/tillsynsmail/A 13684-2026 tillsynsbegäran mail.docx", "A 13684-2026")</f>
        <v/>
      </c>
    </row>
    <row r="104" ht="15" customHeight="1">
      <c r="A104" t="inlineStr">
        <is>
          <t>A 17251-2026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46119</v>
      </c>
      <c r="E104" s="1" t="n">
        <v>46266</v>
      </c>
      <c r="F104" t="inlineStr">
        <is>
          <t>GÄVLEBORGS LÄN</t>
        </is>
      </c>
      <c r="G104" t="inlineStr">
        <is>
          <t>GÄVLE</t>
        </is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17251-2026 artfynd.xlsx", "A 17251-2026")</f>
        <v/>
      </c>
      <c r="X104">
        <f>HYPERLINK("https://klasma.github.io/Logging_2180/kartor/A 17251-2026 karta.png", "A 17251-2026")</f>
        <v/>
      </c>
      <c r="Y104">
        <f>HYPERLINK("https://klasma.github.io/Logging_2180/kartor_geotiff/A 17251-2026 georefererad karta.tif", "A 17251-2026")</f>
        <v/>
      </c>
      <c r="AA104">
        <f>HYPERLINK("https://klasma.github.io/Logging_2180/klagomål/A 17251-2026 FSC-klagomål.docx", "A 17251-2026")</f>
        <v/>
      </c>
      <c r="AB104">
        <f>HYPERLINK("https://klasma.github.io/Logging_2180/klagomålsmail/A 17251-2026 FSC-klagomål mail.docx", "A 17251-2026")</f>
        <v/>
      </c>
      <c r="AC104">
        <f>HYPERLINK("https://klasma.github.io/Logging_2180/tillsyn/A 17251-2026 tillsynsbegäran.docx", "A 17251-2026")</f>
        <v/>
      </c>
      <c r="AD104">
        <f>HYPERLINK("https://klasma.github.io/Logging_2180/tillsynsmail/A 17251-2026 tillsynsbegäran mail.docx", "A 17251-2026")</f>
        <v/>
      </c>
    </row>
    <row r="105" ht="15" customHeight="1">
      <c r="A105" t="inlineStr">
        <is>
          <t>A 12381-2023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46266</v>
      </c>
      <c r="F105" t="inlineStr">
        <is>
          <t>GÄVLEBORGS LÄN</t>
        </is>
      </c>
      <c r="G105" t="inlineStr">
        <is>
          <t>GÄVLE</t>
        </is>
      </c>
      <c r="I105" t="n">
        <v>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Brunlångöra</t>
        </is>
      </c>
      <c r="W105">
        <f>HYPERLINK("https://klasma.github.io/Logging_2180/artfynd/A 12381-2023 artfynd.xlsx", "A 12381-2023")</f>
        <v/>
      </c>
      <c r="X105">
        <f>HYPERLINK("https://klasma.github.io/Logging_2180/kartor/A 12381-2023 karta.png", "A 12381-2023")</f>
        <v/>
      </c>
      <c r="Y105">
        <f>HYPERLINK("https://klasma.github.io/Logging_2180/kartor_geotiff/A 12381-2023 georefererad karta.tif", "A 12381-2023")</f>
        <v/>
      </c>
      <c r="AA105">
        <f>HYPERLINK("https://klasma.github.io/Logging_2180/klagomål/A 12381-2023 FSC-klagomål.docx", "A 12381-2023")</f>
        <v/>
      </c>
      <c r="AB105">
        <f>HYPERLINK("https://klasma.github.io/Logging_2180/klagomålsmail/A 12381-2023 FSC-klagomål mail.docx", "A 12381-2023")</f>
        <v/>
      </c>
      <c r="AC105">
        <f>HYPERLINK("https://klasma.github.io/Logging_2180/tillsyn/A 12381-2023 tillsynsbegäran.docx", "A 12381-2023")</f>
        <v/>
      </c>
      <c r="AD105">
        <f>HYPERLINK("https://klasma.github.io/Logging_2180/tillsynsmail/A 12381-2023 tillsynsbegäran mail.docx", "A 12381-2023")</f>
        <v/>
      </c>
    </row>
    <row r="106" ht="15" customHeight="1">
      <c r="A106" t="inlineStr">
        <is>
          <t>A 21282-2024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46266</v>
      </c>
      <c r="F106" t="inlineStr">
        <is>
          <t>GÄVLEBORGS LÄN</t>
        </is>
      </c>
      <c r="G106" t="inlineStr">
        <is>
          <t>GÄVLE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1</v>
      </c>
      <c r="V106" s="2" t="inlineStr">
        <is>
          <t>Skogsklocka</t>
        </is>
      </c>
      <c r="W106">
        <f>HYPERLINK("https://klasma.github.io/Logging_2180/artfynd/A 21282-2024 artfynd.xlsx", "A 21282-2024")</f>
        <v/>
      </c>
      <c r="X106">
        <f>HYPERLINK("https://klasma.github.io/Logging_2180/kartor/A 21282-2024 karta.png", "A 21282-2024")</f>
        <v/>
      </c>
      <c r="Y106">
        <f>HYPERLINK("https://klasma.github.io/Logging_2180/kartor_geotiff/A 21282-2024 georefererad karta.tif", "A 21282-2024")</f>
        <v/>
      </c>
      <c r="AA106">
        <f>HYPERLINK("https://klasma.github.io/Logging_2180/klagomål/A 21282-2024 FSC-klagomål.docx", "A 21282-2024")</f>
        <v/>
      </c>
      <c r="AB106">
        <f>HYPERLINK("https://klasma.github.io/Logging_2180/klagomålsmail/A 21282-2024 FSC-klagomål mail.docx", "A 21282-2024")</f>
        <v/>
      </c>
      <c r="AC106">
        <f>HYPERLINK("https://klasma.github.io/Logging_2180/tillsyn/A 21282-2024 tillsynsbegäran.docx", "A 21282-2024")</f>
        <v/>
      </c>
      <c r="AD106">
        <f>HYPERLINK("https://klasma.github.io/Logging_2180/tillsynsmail/A 21282-2024 tillsynsbegäran mail.docx", "A 21282-2024")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46266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HYPERLINK("https://klasma.github.io/Logging_2180/artfynd/A 57932-2024 artfynd.xlsx", "A 57932-2024")</f>
        <v/>
      </c>
      <c r="X107">
        <f>HYPERLINK("https://klasma.github.io/Logging_2180/kartor/A 57932-2024 karta.png", "A 57932-2024")</f>
        <v/>
      </c>
      <c r="Y107">
        <f>HYPERLINK("https://klasma.github.io/Logging_2180/kartor_geotiff/A 57932-2024 georefererad karta.tif", "A 57932-2024")</f>
        <v/>
      </c>
      <c r="AA107">
        <f>HYPERLINK("https://klasma.github.io/Logging_2180/klagomål/A 57932-2024 FSC-klagomål.docx", "A 57932-2024")</f>
        <v/>
      </c>
      <c r="AB107">
        <f>HYPERLINK("https://klasma.github.io/Logging_2180/klagomålsmail/A 57932-2024 FSC-klagomål mail.docx", "A 57932-2024")</f>
        <v/>
      </c>
      <c r="AC107">
        <f>HYPERLINK("https://klasma.github.io/Logging_2180/tillsyn/A 57932-2024 tillsynsbegäran.docx", "A 57932-2024")</f>
        <v/>
      </c>
      <c r="AD107">
        <f>HYPERLINK("https://klasma.github.io/Logging_2180/tillsynsmail/A 57932-2024 tillsynsbegäran mail.docx", "A 57932-2024")</f>
        <v/>
      </c>
      <c r="AE107">
        <f>HYPERLINK("https://klasma.github.io/Logging_2180/fåglar/A 57932-2024 prioriterade fågelarter.docx", "A 57932-2024")</f>
        <v/>
      </c>
    </row>
    <row r="108" ht="15" customHeight="1">
      <c r="A108" t="inlineStr">
        <is>
          <t>A 19635-2026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46266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1.6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Skinnlav</t>
        </is>
      </c>
      <c r="W108">
        <f>HYPERLINK("https://klasma.github.io/Logging_2180/artfynd/A 19635-2026 artfynd.xlsx", "A 19635-2026")</f>
        <v/>
      </c>
      <c r="X108">
        <f>HYPERLINK("https://klasma.github.io/Logging_2180/kartor/A 19635-2026 karta.png", "A 19635-2026")</f>
        <v/>
      </c>
      <c r="Y108">
        <f>HYPERLINK("https://klasma.github.io/Logging_2180/kartor_geotiff/A 19635-2026 georefererad karta.tif", "A 19635-2026")</f>
        <v/>
      </c>
      <c r="AA108">
        <f>HYPERLINK("https://klasma.github.io/Logging_2180/klagomål/A 19635-2026 FSC-klagomål.docx", "A 19635-2026")</f>
        <v/>
      </c>
      <c r="AB108">
        <f>HYPERLINK("https://klasma.github.io/Logging_2180/klagomålsmail/A 19635-2026 FSC-klagomål mail.docx", "A 19635-2026")</f>
        <v/>
      </c>
      <c r="AC108">
        <f>HYPERLINK("https://klasma.github.io/Logging_2180/tillsyn/A 19635-2026 tillsynsbegäran.docx", "A 19635-2026")</f>
        <v/>
      </c>
      <c r="AD108">
        <f>HYPERLINK("https://klasma.github.io/Logging_2180/tillsynsmail/A 19635-2026 tillsynsbegäran mail.docx", "A 19635-2026")</f>
        <v/>
      </c>
    </row>
    <row r="109" ht="15" customHeight="1">
      <c r="A109" t="inlineStr">
        <is>
          <t>A 13396-2026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46266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Fläcknycklar</t>
        </is>
      </c>
      <c r="W109">
        <f>HYPERLINK("https://klasma.github.io/Logging_2180/artfynd/A 13396-2026 artfynd.xlsx", "A 13396-2026")</f>
        <v/>
      </c>
      <c r="X109">
        <f>HYPERLINK("https://klasma.github.io/Logging_2180/kartor/A 13396-2026 karta.png", "A 13396-2026")</f>
        <v/>
      </c>
      <c r="Y109">
        <f>HYPERLINK("https://klasma.github.io/Logging_2180/kartor_geotiff/A 13396-2026 georefererad karta.tif", "A 13396-2026")</f>
        <v/>
      </c>
      <c r="AA109">
        <f>HYPERLINK("https://klasma.github.io/Logging_2180/klagomål/A 13396-2026 FSC-klagomål.docx", "A 13396-2026")</f>
        <v/>
      </c>
      <c r="AB109">
        <f>HYPERLINK("https://klasma.github.io/Logging_2180/klagomålsmail/A 13396-2026 FSC-klagomål mail.docx", "A 13396-2026")</f>
        <v/>
      </c>
      <c r="AC109">
        <f>HYPERLINK("https://klasma.github.io/Logging_2180/tillsyn/A 13396-2026 tillsynsbegäran.docx", "A 13396-2026")</f>
        <v/>
      </c>
      <c r="AD109">
        <f>HYPERLINK("https://klasma.github.io/Logging_2180/tillsynsmail/A 13396-2026 tillsynsbegäran mail.docx", "A 13396-2026")</f>
        <v/>
      </c>
    </row>
    <row r="110" ht="15" customHeight="1">
      <c r="A110" t="inlineStr">
        <is>
          <t>A 14730-2026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46266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8.199999999999999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14730-2026 artfynd.xlsx", "A 14730-2026")</f>
        <v/>
      </c>
      <c r="X110">
        <f>HYPERLINK("https://klasma.github.io/Logging_2180/kartor/A 14730-2026 karta.png", "A 14730-2026")</f>
        <v/>
      </c>
      <c r="Y110">
        <f>HYPERLINK("https://klasma.github.io/Logging_2180/kartor_geotiff/A 14730-2026 georefererad karta.tif", "A 14730-2026")</f>
        <v/>
      </c>
      <c r="AA110">
        <f>HYPERLINK("https://klasma.github.io/Logging_2180/klagomål/A 14730-2026 FSC-klagomål.docx", "A 14730-2026")</f>
        <v/>
      </c>
      <c r="AB110">
        <f>HYPERLINK("https://klasma.github.io/Logging_2180/klagomålsmail/A 14730-2026 FSC-klagomål mail.docx", "A 14730-2026")</f>
        <v/>
      </c>
      <c r="AC110">
        <f>HYPERLINK("https://klasma.github.io/Logging_2180/tillsyn/A 14730-2026 tillsynsbegäran.docx", "A 14730-2026")</f>
        <v/>
      </c>
      <c r="AD110">
        <f>HYPERLINK("https://klasma.github.io/Logging_2180/tillsynsmail/A 14730-2026 tillsynsbegäran mail.docx", "A 14730-2026")</f>
        <v/>
      </c>
      <c r="AE110">
        <f>HYPERLINK("https://klasma.github.io/Logging_2180/fåglar/A 14730-2026 prioriterade fågelarter.docx", "A 14730-2026")</f>
        <v/>
      </c>
    </row>
    <row r="111" ht="15" customHeight="1">
      <c r="A111" t="inlineStr">
        <is>
          <t>A 14714-2026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46266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Tjäder</t>
        </is>
      </c>
      <c r="W111">
        <f>HYPERLINK("https://klasma.github.io/Logging_2180/artfynd/A 14714-2026 artfynd.xlsx", "A 14714-2026")</f>
        <v/>
      </c>
      <c r="X111">
        <f>HYPERLINK("https://klasma.github.io/Logging_2180/kartor/A 14714-2026 karta.png", "A 14714-2026")</f>
        <v/>
      </c>
      <c r="Y111">
        <f>HYPERLINK("https://klasma.github.io/Logging_2180/kartor_geotiff/A 14714-2026 georefererad karta.tif", "A 14714-2026")</f>
        <v/>
      </c>
      <c r="AA111">
        <f>HYPERLINK("https://klasma.github.io/Logging_2180/klagomål/A 14714-2026 FSC-klagomål.docx", "A 14714-2026")</f>
        <v/>
      </c>
      <c r="AB111">
        <f>HYPERLINK("https://klasma.github.io/Logging_2180/klagomålsmail/A 14714-2026 FSC-klagomål mail.docx", "A 14714-2026")</f>
        <v/>
      </c>
      <c r="AC111">
        <f>HYPERLINK("https://klasma.github.io/Logging_2180/tillsyn/A 14714-2026 tillsynsbegäran.docx", "A 14714-2026")</f>
        <v/>
      </c>
      <c r="AD111">
        <f>HYPERLINK("https://klasma.github.io/Logging_2180/tillsynsmail/A 14714-2026 tillsynsbegäran mail.docx", "A 14714-2026")</f>
        <v/>
      </c>
      <c r="AE111">
        <f>HYPERLINK("https://klasma.github.io/Logging_2180/fåglar/A 14714-2026 prioriterade fågelarter.docx", "A 14714-2026")</f>
        <v/>
      </c>
    </row>
    <row r="112" ht="15" customHeight="1">
      <c r="A112" t="inlineStr">
        <is>
          <t>A 14711-2026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46266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Blanksvart spiklav</t>
        </is>
      </c>
      <c r="W112">
        <f>HYPERLINK("https://klasma.github.io/Logging_2180/artfynd/A 14711-2026 artfynd.xlsx", "A 14711-2026")</f>
        <v/>
      </c>
      <c r="X112">
        <f>HYPERLINK("https://klasma.github.io/Logging_2180/kartor/A 14711-2026 karta.png", "A 14711-2026")</f>
        <v/>
      </c>
      <c r="Y112">
        <f>HYPERLINK("https://klasma.github.io/Logging_2180/kartor_geotiff/A 14711-2026 georefererad karta.tif", "A 14711-2026")</f>
        <v/>
      </c>
      <c r="AA112">
        <f>HYPERLINK("https://klasma.github.io/Logging_2180/klagomål/A 14711-2026 FSC-klagomål.docx", "A 14711-2026")</f>
        <v/>
      </c>
      <c r="AB112">
        <f>HYPERLINK("https://klasma.github.io/Logging_2180/klagomålsmail/A 14711-2026 FSC-klagomål mail.docx", "A 14711-2026")</f>
        <v/>
      </c>
      <c r="AC112">
        <f>HYPERLINK("https://klasma.github.io/Logging_2180/tillsyn/A 14711-2026 tillsynsbegäran.docx", "A 14711-2026")</f>
        <v/>
      </c>
      <c r="AD112">
        <f>HYPERLINK("https://klasma.github.io/Logging_2180/tillsynsmail/A 14711-2026 tillsynsbegäran mail.docx", "A 14711-2026")</f>
        <v/>
      </c>
    </row>
    <row r="113" ht="15" customHeight="1">
      <c r="A113" t="inlineStr">
        <is>
          <t>A 10064-2025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46266</v>
      </c>
      <c r="F113" t="inlineStr">
        <is>
          <t>GÄVLEBORGS LÄN</t>
        </is>
      </c>
      <c r="G113" t="inlineStr">
        <is>
          <t>GÄVLE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HYPERLINK("https://klasma.github.io/Logging_2180/artfynd/A 10064-2025 artfynd.xlsx", "A 10064-2025")</f>
        <v/>
      </c>
      <c r="X113">
        <f>HYPERLINK("https://klasma.github.io/Logging_2180/kartor/A 10064-2025 karta.png", "A 10064-2025")</f>
        <v/>
      </c>
      <c r="Y113">
        <f>HYPERLINK("https://klasma.github.io/Logging_2180/kartor_geotiff/A 10064-2025 georefererad karta.tif", "A 10064-2025")</f>
        <v/>
      </c>
      <c r="AA113">
        <f>HYPERLINK("https://klasma.github.io/Logging_2180/klagomål/A 10064-2025 FSC-klagomål.docx", "A 10064-2025")</f>
        <v/>
      </c>
      <c r="AB113">
        <f>HYPERLINK("https://klasma.github.io/Logging_2180/klagomålsmail/A 10064-2025 FSC-klagomål mail.docx", "A 10064-2025")</f>
        <v/>
      </c>
      <c r="AC113">
        <f>HYPERLINK("https://klasma.github.io/Logging_2180/tillsyn/A 10064-2025 tillsynsbegäran.docx", "A 10064-2025")</f>
        <v/>
      </c>
      <c r="AD113">
        <f>HYPERLINK("https://klasma.github.io/Logging_2180/tillsynsmail/A 10064-2025 tillsynsbegäran mail.docx", "A 10064-2025")</f>
        <v/>
      </c>
    </row>
    <row r="114" ht="15" customHeight="1">
      <c r="A114" t="inlineStr">
        <is>
          <t>A 20734-2026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46266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20734-2026 artfynd.xlsx", "A 20734-2026")</f>
        <v/>
      </c>
      <c r="X114">
        <f>HYPERLINK("https://klasma.github.io/Logging_2180/kartor/A 20734-2026 karta.png", "A 20734-2026")</f>
        <v/>
      </c>
      <c r="Y114">
        <f>HYPERLINK("https://klasma.github.io/Logging_2180/kartor_geotiff/A 20734-2026 georefererad karta.tif", "A 20734-2026")</f>
        <v/>
      </c>
      <c r="AA114">
        <f>HYPERLINK("https://klasma.github.io/Logging_2180/klagomål/A 20734-2026 FSC-klagomål.docx", "A 20734-2026")</f>
        <v/>
      </c>
      <c r="AB114">
        <f>HYPERLINK("https://klasma.github.io/Logging_2180/klagomålsmail/A 20734-2026 FSC-klagomål mail.docx", "A 20734-2026")</f>
        <v/>
      </c>
      <c r="AC114">
        <f>HYPERLINK("https://klasma.github.io/Logging_2180/tillsyn/A 20734-2026 tillsynsbegäran.docx", "A 20734-2026")</f>
        <v/>
      </c>
      <c r="AD114">
        <f>HYPERLINK("https://klasma.github.io/Logging_2180/tillsynsmail/A 20734-2026 tillsynsbegäran mail.docx", "A 20734-2026")</f>
        <v/>
      </c>
    </row>
    <row r="115" ht="15" customHeight="1">
      <c r="A115" t="inlineStr">
        <is>
          <t>A 11407-2025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46266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Myskmadra</t>
        </is>
      </c>
      <c r="W115">
        <f>HYPERLINK("https://klasma.github.io/Logging_2180/artfynd/A 11407-2025 artfynd.xlsx", "A 11407-2025")</f>
        <v/>
      </c>
      <c r="X115">
        <f>HYPERLINK("https://klasma.github.io/Logging_2180/kartor/A 11407-2025 karta.png", "A 11407-2025")</f>
        <v/>
      </c>
      <c r="Y115">
        <f>HYPERLINK("https://klasma.github.io/Logging_2180/kartor_geotiff/A 11407-2025 georefererad karta.tif", "A 11407-2025")</f>
        <v/>
      </c>
      <c r="AA115">
        <f>HYPERLINK("https://klasma.github.io/Logging_2180/klagomål/A 11407-2025 FSC-klagomål.docx", "A 11407-2025")</f>
        <v/>
      </c>
      <c r="AB115">
        <f>HYPERLINK("https://klasma.github.io/Logging_2180/klagomålsmail/A 11407-2025 FSC-klagomål mail.docx", "A 11407-2025")</f>
        <v/>
      </c>
      <c r="AC115">
        <f>HYPERLINK("https://klasma.github.io/Logging_2180/tillsyn/A 11407-2025 tillsynsbegäran.docx", "A 11407-2025")</f>
        <v/>
      </c>
      <c r="AD115">
        <f>HYPERLINK("https://klasma.github.io/Logging_2180/tillsynsmail/A 11407-2025 tillsynsbegäran mail.docx", "A 11407-2025")</f>
        <v/>
      </c>
    </row>
    <row r="116" ht="15" customHeight="1">
      <c r="A116" t="inlineStr">
        <is>
          <t>A 14703-2026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46266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14703-2026 artfynd.xlsx", "A 14703-2026")</f>
        <v/>
      </c>
      <c r="X116">
        <f>HYPERLINK("https://klasma.github.io/Logging_2180/kartor/A 14703-2026 karta.png", "A 14703-2026")</f>
        <v/>
      </c>
      <c r="Y116">
        <f>HYPERLINK("https://klasma.github.io/Logging_2180/kartor_geotiff/A 14703-2026 georefererad karta.tif", "A 14703-2026")</f>
        <v/>
      </c>
      <c r="AA116">
        <f>HYPERLINK("https://klasma.github.io/Logging_2180/klagomål/A 14703-2026 FSC-klagomål.docx", "A 14703-2026")</f>
        <v/>
      </c>
      <c r="AB116">
        <f>HYPERLINK("https://klasma.github.io/Logging_2180/klagomålsmail/A 14703-2026 FSC-klagomål mail.docx", "A 14703-2026")</f>
        <v/>
      </c>
      <c r="AC116">
        <f>HYPERLINK("https://klasma.github.io/Logging_2180/tillsyn/A 14703-2026 tillsynsbegäran.docx", "A 14703-2026")</f>
        <v/>
      </c>
      <c r="AD116">
        <f>HYPERLINK("https://klasma.github.io/Logging_2180/tillsynsmail/A 14703-2026 tillsynsbegäran mail.docx", "A 14703-2026")</f>
        <v/>
      </c>
      <c r="AE116">
        <f>HYPERLINK("https://klasma.github.io/Logging_2180/fåglar/A 14703-2026 prioriterade fågelarter.docx", "A 14703-2026")</f>
        <v/>
      </c>
    </row>
    <row r="117" ht="15" customHeight="1">
      <c r="A117" t="inlineStr">
        <is>
          <t>A 13269-2026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46266</v>
      </c>
      <c r="F117" t="inlineStr">
        <is>
          <t>GÄVLEBORGS LÄN</t>
        </is>
      </c>
      <c r="G117" t="inlineStr">
        <is>
          <t>GÄVLE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Havsörn</t>
        </is>
      </c>
      <c r="W117">
        <f>HYPERLINK("https://klasma.github.io/Logging_2180/artfynd/A 13269-2026 artfynd.xlsx", "A 13269-2026")</f>
        <v/>
      </c>
      <c r="X117">
        <f>HYPERLINK("https://klasma.github.io/Logging_2180/kartor/A 13269-2026 karta.png", "A 13269-2026")</f>
        <v/>
      </c>
      <c r="Y117">
        <f>HYPERLINK("https://klasma.github.io/Logging_2180/kartor_geotiff/A 13269-2026 georefererad karta.tif", "A 13269-2026")</f>
        <v/>
      </c>
      <c r="AA117">
        <f>HYPERLINK("https://klasma.github.io/Logging_2180/klagomål/A 13269-2026 FSC-klagomål.docx", "A 13269-2026")</f>
        <v/>
      </c>
      <c r="AB117">
        <f>HYPERLINK("https://klasma.github.io/Logging_2180/klagomålsmail/A 13269-2026 FSC-klagomål mail.docx", "A 13269-2026")</f>
        <v/>
      </c>
      <c r="AC117">
        <f>HYPERLINK("https://klasma.github.io/Logging_2180/tillsyn/A 13269-2026 tillsynsbegäran.docx", "A 13269-2026")</f>
        <v/>
      </c>
      <c r="AD117">
        <f>HYPERLINK("https://klasma.github.io/Logging_2180/tillsynsmail/A 13269-2026 tillsynsbegäran mail.docx", "A 13269-2026")</f>
        <v/>
      </c>
      <c r="AE117">
        <f>HYPERLINK("https://klasma.github.io/Logging_2180/fåglar/A 13269-2026 prioriterade fågelarter.docx", "A 13269-2026")</f>
        <v/>
      </c>
    </row>
    <row r="118" ht="15" customHeight="1">
      <c r="A118" t="inlineStr">
        <is>
          <t>A 22052-2026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46266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22052-2026 artfynd.xlsx", "A 22052-2026")</f>
        <v/>
      </c>
      <c r="X118">
        <f>HYPERLINK("https://klasma.github.io/Logging_2180/kartor/A 22052-2026 karta.png", "A 22052-2026")</f>
        <v/>
      </c>
      <c r="Y118">
        <f>HYPERLINK("https://klasma.github.io/Logging_2180/kartor_geotiff/A 22052-2026 georefererad karta.tif", "A 22052-2026")</f>
        <v/>
      </c>
      <c r="AA118">
        <f>HYPERLINK("https://klasma.github.io/Logging_2180/klagomål/A 22052-2026 FSC-klagomål.docx", "A 22052-2026")</f>
        <v/>
      </c>
      <c r="AB118">
        <f>HYPERLINK("https://klasma.github.io/Logging_2180/klagomålsmail/A 22052-2026 FSC-klagomål mail.docx", "A 22052-2026")</f>
        <v/>
      </c>
      <c r="AC118">
        <f>HYPERLINK("https://klasma.github.io/Logging_2180/tillsyn/A 22052-2026 tillsynsbegäran.docx", "A 22052-2026")</f>
        <v/>
      </c>
      <c r="AD118">
        <f>HYPERLINK("https://klasma.github.io/Logging_2180/tillsynsmail/A 22052-2026 tillsynsbegäran mail.docx", "A 22052-2026")</f>
        <v/>
      </c>
    </row>
    <row r="119" ht="15" customHeight="1">
      <c r="A119" t="inlineStr">
        <is>
          <t>A 22892-2026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46266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1.6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22892-2026 artfynd.xlsx", "A 22892-2026")</f>
        <v/>
      </c>
      <c r="X119">
        <f>HYPERLINK("https://klasma.github.io/Logging_2180/kartor/A 22892-2026 karta.png", "A 22892-2026")</f>
        <v/>
      </c>
      <c r="Y119">
        <f>HYPERLINK("https://klasma.github.io/Logging_2180/kartor_geotiff/A 22892-2026 georefererad karta.tif", "A 22892-2026")</f>
        <v/>
      </c>
      <c r="AA119">
        <f>HYPERLINK("https://klasma.github.io/Logging_2180/klagomål/A 22892-2026 FSC-klagomål.docx", "A 22892-2026")</f>
        <v/>
      </c>
      <c r="AB119">
        <f>HYPERLINK("https://klasma.github.io/Logging_2180/klagomålsmail/A 22892-2026 FSC-klagomål mail.docx", "A 22892-2026")</f>
        <v/>
      </c>
      <c r="AC119">
        <f>HYPERLINK("https://klasma.github.io/Logging_2180/tillsyn/A 22892-2026 tillsynsbegäran.docx", "A 22892-2026")</f>
        <v/>
      </c>
      <c r="AD119">
        <f>HYPERLINK("https://klasma.github.io/Logging_2180/tillsynsmail/A 22892-2026 tillsynsbegäran mail.docx", "A 22892-2026")</f>
        <v/>
      </c>
      <c r="AE119">
        <f>HYPERLINK("https://klasma.github.io/Logging_2180/fåglar/A 22892-2026 prioriterade fågelarter.docx", "A 22892-2026")</f>
        <v/>
      </c>
    </row>
    <row r="120" ht="15" customHeight="1">
      <c r="A120" t="inlineStr">
        <is>
          <t>A 23003-2026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46160</v>
      </c>
      <c r="E120" s="1" t="n">
        <v>46266</v>
      </c>
      <c r="F120" t="inlineStr">
        <is>
          <t>GÄVLEBORGS LÄN</t>
        </is>
      </c>
      <c r="G120" t="inlineStr">
        <is>
          <t>GÄVLE</t>
        </is>
      </c>
      <c r="I120" t="n">
        <v>12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Tjäder</t>
        </is>
      </c>
      <c r="W120">
        <f>HYPERLINK("https://klasma.github.io/Logging_2180/artfynd/A 23003-2026 artfynd.xlsx", "A 23003-2026")</f>
        <v/>
      </c>
      <c r="X120">
        <f>HYPERLINK("https://klasma.github.io/Logging_2180/kartor/A 23003-2026 karta.png", "A 23003-2026")</f>
        <v/>
      </c>
      <c r="Y120">
        <f>HYPERLINK("https://klasma.github.io/Logging_2180/kartor_geotiff/A 23003-2026 georefererad karta.tif", "A 23003-2026")</f>
        <v/>
      </c>
      <c r="AA120">
        <f>HYPERLINK("https://klasma.github.io/Logging_2180/klagomål/A 23003-2026 FSC-klagomål.docx", "A 23003-2026")</f>
        <v/>
      </c>
      <c r="AB120">
        <f>HYPERLINK("https://klasma.github.io/Logging_2180/klagomålsmail/A 23003-2026 FSC-klagomål mail.docx", "A 23003-2026")</f>
        <v/>
      </c>
      <c r="AC120">
        <f>HYPERLINK("https://klasma.github.io/Logging_2180/tillsyn/A 23003-2026 tillsynsbegäran.docx", "A 23003-2026")</f>
        <v/>
      </c>
      <c r="AD120">
        <f>HYPERLINK("https://klasma.github.io/Logging_2180/tillsynsmail/A 23003-2026 tillsynsbegäran mail.docx", "A 23003-2026")</f>
        <v/>
      </c>
      <c r="AE120">
        <f>HYPERLINK("https://klasma.github.io/Logging_2180/fåglar/A 23003-2026 prioriterade fågelarter.docx", "A 23003-2026")</f>
        <v/>
      </c>
    </row>
    <row r="121" ht="15" customHeight="1">
      <c r="A121" t="inlineStr">
        <is>
          <t>A 18216-2024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46266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2.3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Dofttaggsvamp</t>
        </is>
      </c>
      <c r="W121">
        <f>HYPERLINK("https://klasma.github.io/Logging_2180/artfynd/A 18216-2024 artfynd.xlsx", "A 18216-2024")</f>
        <v/>
      </c>
      <c r="X121">
        <f>HYPERLINK("https://klasma.github.io/Logging_2180/kartor/A 18216-2024 karta.png", "A 18216-2024")</f>
        <v/>
      </c>
      <c r="Y121">
        <f>HYPERLINK("https://klasma.github.io/Logging_2180/kartor_geotiff/A 18216-2024 georefererad karta.tif", "A 18216-2024")</f>
        <v/>
      </c>
      <c r="AA121">
        <f>HYPERLINK("https://klasma.github.io/Logging_2180/klagomål/A 18216-2024 FSC-klagomål.docx", "A 18216-2024")</f>
        <v/>
      </c>
      <c r="AB121">
        <f>HYPERLINK("https://klasma.github.io/Logging_2180/klagomålsmail/A 18216-2024 FSC-klagomål mail.docx", "A 18216-2024")</f>
        <v/>
      </c>
      <c r="AC121">
        <f>HYPERLINK("https://klasma.github.io/Logging_2180/tillsyn/A 18216-2024 tillsynsbegäran.docx", "A 18216-2024")</f>
        <v/>
      </c>
      <c r="AD121">
        <f>HYPERLINK("https://klasma.github.io/Logging_2180/tillsynsmail/A 18216-2024 tillsynsbegäran mail.docx", "A 18216-2024")</f>
        <v/>
      </c>
    </row>
    <row r="122" ht="15" customHeight="1">
      <c r="A122" t="inlineStr">
        <is>
          <t>A 37927-2022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46266</v>
      </c>
      <c r="F122" t="inlineStr">
        <is>
          <t>GÄVLEBORGS LÄN</t>
        </is>
      </c>
      <c r="G122" t="inlineStr">
        <is>
          <t>GÄVLE</t>
        </is>
      </c>
      <c r="I122" t="n">
        <v>1.6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10</v>
      </c>
      <c r="U122" t="n">
        <v>10</v>
      </c>
      <c r="V122" s="2" t="inlineStr">
        <is>
          <t>Knärot</t>
        </is>
      </c>
      <c r="W122">
        <f>HYPERLINK("https://klasma.github.io/Logging_2180/artfynd/A 37927-2022 artfynd.xlsx", "A 37927-2022")</f>
        <v/>
      </c>
      <c r="X122">
        <f>HYPERLINK("https://klasma.github.io/Logging_2180/kartor/A 37927-2022 karta.png", "A 37927-2022")</f>
        <v/>
      </c>
      <c r="Y122">
        <f>HYPERLINK("https://klasma.github.io/Logging_2180/kartor_geotiff/A 37927-2022 georefererad karta.tif", "A 37927-2022")</f>
        <v/>
      </c>
      <c r="Z122">
        <f>HYPERLINK("https://klasma.github.io/Logging_2180/knärot/A 37927-2022 karta knärot.png", "A 37927-2022")</f>
        <v/>
      </c>
      <c r="AA122">
        <f>HYPERLINK("https://klasma.github.io/Logging_2180/klagomål/A 37927-2022 FSC-klagomål.docx", "A 37927-2022")</f>
        <v/>
      </c>
      <c r="AB122">
        <f>HYPERLINK("https://klasma.github.io/Logging_2180/klagomålsmail/A 37927-2022 FSC-klagomål mail.docx", "A 37927-2022")</f>
        <v/>
      </c>
      <c r="AC122">
        <f>HYPERLINK("https://klasma.github.io/Logging_2180/tillsyn/A 37927-2022 tillsynsbegäran.docx", "A 37927-2022")</f>
        <v/>
      </c>
      <c r="AD122">
        <f>HYPERLINK("https://klasma.github.io/Logging_2180/tillsynsmail/A 37927-2022 tillsynsbegäran mail.docx", "A 37927-2022")</f>
        <v/>
      </c>
    </row>
    <row r="123" ht="15" customHeight="1">
      <c r="A123" t="inlineStr">
        <is>
          <t>A 27063-2026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46266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27063-2026 artfynd.xlsx", "A 27063-2026")</f>
        <v/>
      </c>
      <c r="X123">
        <f>HYPERLINK("https://klasma.github.io/Logging_2180/kartor/A 27063-2026 karta.png", "A 27063-2026")</f>
        <v/>
      </c>
      <c r="Y123">
        <f>HYPERLINK("https://klasma.github.io/Logging_2180/kartor_geotiff/A 27063-2026 georefererad karta.tif", "A 27063-2026")</f>
        <v/>
      </c>
      <c r="AA123">
        <f>HYPERLINK("https://klasma.github.io/Logging_2180/klagomål/A 27063-2026 FSC-klagomål.docx", "A 27063-2026")</f>
        <v/>
      </c>
      <c r="AB123">
        <f>HYPERLINK("https://klasma.github.io/Logging_2180/klagomålsmail/A 27063-2026 FSC-klagomål mail.docx", "A 27063-2026")</f>
        <v/>
      </c>
      <c r="AC123">
        <f>HYPERLINK("https://klasma.github.io/Logging_2180/tillsyn/A 27063-2026 tillsynsbegäran.docx", "A 27063-2026")</f>
        <v/>
      </c>
      <c r="AD123">
        <f>HYPERLINK("https://klasma.github.io/Logging_2180/tillsynsmail/A 27063-2026 tillsynsbegäran mail.docx", "A 27063-2026")</f>
        <v/>
      </c>
    </row>
    <row r="124" ht="15" customHeight="1">
      <c r="A124" t="inlineStr">
        <is>
          <t>A 26871-2026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46266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4.2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HYPERLINK("https://klasma.github.io/Logging_2180/artfynd/A 26871-2026 artfynd.xlsx", "A 26871-2026")</f>
        <v/>
      </c>
      <c r="X124">
        <f>HYPERLINK("https://klasma.github.io/Logging_2180/kartor/A 26871-2026 karta.png", "A 26871-2026")</f>
        <v/>
      </c>
      <c r="Y124">
        <f>HYPERLINK("https://klasma.github.io/Logging_2180/kartor_geotiff/A 26871-2026 georefererad karta.tif", "A 26871-2026")</f>
        <v/>
      </c>
      <c r="AA124">
        <f>HYPERLINK("https://klasma.github.io/Logging_2180/klagomål/A 26871-2026 FSC-klagomål.docx", "A 26871-2026")</f>
        <v/>
      </c>
      <c r="AB124">
        <f>HYPERLINK("https://klasma.github.io/Logging_2180/klagomålsmail/A 26871-2026 FSC-klagomål mail.docx", "A 26871-2026")</f>
        <v/>
      </c>
      <c r="AC124">
        <f>HYPERLINK("https://klasma.github.io/Logging_2180/tillsyn/A 26871-2026 tillsynsbegäran.docx", "A 26871-2026")</f>
        <v/>
      </c>
      <c r="AD124">
        <f>HYPERLINK("https://klasma.github.io/Logging_2180/tillsynsmail/A 26871-2026 tillsynsbegäran mail.docx", "A 26871-2026")</f>
        <v/>
      </c>
    </row>
    <row r="125" ht="15" customHeight="1">
      <c r="A125" t="inlineStr">
        <is>
          <t>A 27058-2026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46266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HYPERLINK("https://klasma.github.io/Logging_2180/artfynd/A 27058-2026 artfynd.xlsx", "A 27058-2026")</f>
        <v/>
      </c>
      <c r="X125">
        <f>HYPERLINK("https://klasma.github.io/Logging_2180/kartor/A 27058-2026 karta.png", "A 27058-2026")</f>
        <v/>
      </c>
      <c r="Y125">
        <f>HYPERLINK("https://klasma.github.io/Logging_2180/kartor_geotiff/A 27058-2026 georefererad karta.tif", "A 27058-2026")</f>
        <v/>
      </c>
      <c r="AA125">
        <f>HYPERLINK("https://klasma.github.io/Logging_2180/klagomål/A 27058-2026 FSC-klagomål.docx", "A 27058-2026")</f>
        <v/>
      </c>
      <c r="AB125">
        <f>HYPERLINK("https://klasma.github.io/Logging_2180/klagomålsmail/A 27058-2026 FSC-klagomål mail.docx", "A 27058-2026")</f>
        <v/>
      </c>
      <c r="AC125">
        <f>HYPERLINK("https://klasma.github.io/Logging_2180/tillsyn/A 27058-2026 tillsynsbegäran.docx", "A 27058-2026")</f>
        <v/>
      </c>
      <c r="AD125">
        <f>HYPERLINK("https://klasma.github.io/Logging_2180/tillsynsmail/A 27058-2026 tillsynsbegäran mail.docx", "A 27058-2026")</f>
        <v/>
      </c>
    </row>
    <row r="126" ht="15" customHeight="1">
      <c r="A126" t="inlineStr">
        <is>
          <t>A 27043-2026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46266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HYPERLINK("https://klasma.github.io/Logging_2180/artfynd/A 27043-2026 artfynd.xlsx", "A 27043-2026")</f>
        <v/>
      </c>
      <c r="X126">
        <f>HYPERLINK("https://klasma.github.io/Logging_2180/kartor/A 27043-2026 karta.png", "A 27043-2026")</f>
        <v/>
      </c>
      <c r="Y126">
        <f>HYPERLINK("https://klasma.github.io/Logging_2180/kartor_geotiff/A 27043-2026 georefererad karta.tif", "A 27043-2026")</f>
        <v/>
      </c>
      <c r="AA126">
        <f>HYPERLINK("https://klasma.github.io/Logging_2180/klagomål/A 27043-2026 FSC-klagomål.docx", "A 27043-2026")</f>
        <v/>
      </c>
      <c r="AB126">
        <f>HYPERLINK("https://klasma.github.io/Logging_2180/klagomålsmail/A 27043-2026 FSC-klagomål mail.docx", "A 27043-2026")</f>
        <v/>
      </c>
      <c r="AC126">
        <f>HYPERLINK("https://klasma.github.io/Logging_2180/tillsyn/A 27043-2026 tillsynsbegäran.docx", "A 27043-2026")</f>
        <v/>
      </c>
      <c r="AD126">
        <f>HYPERLINK("https://klasma.github.io/Logging_2180/tillsynsmail/A 27043-2026 tillsynsbegäran mail.docx", "A 27043-2026")</f>
        <v/>
      </c>
    </row>
    <row r="127" ht="15" customHeight="1">
      <c r="A127" t="inlineStr">
        <is>
          <t>A 12083-2025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46266</v>
      </c>
      <c r="F127" t="inlineStr">
        <is>
          <t>GÄVLEBORGS LÄN</t>
        </is>
      </c>
      <c r="G127" t="inlineStr">
        <is>
          <t>GÄVLE</t>
        </is>
      </c>
      <c r="I127" t="n">
        <v>6.3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Grönsiska</t>
        </is>
      </c>
      <c r="W127">
        <f>HYPERLINK("https://klasma.github.io/Logging_2180/artfynd/A 12083-2025 artfynd.xlsx", "A 12083-2025")</f>
        <v/>
      </c>
      <c r="X127">
        <f>HYPERLINK("https://klasma.github.io/Logging_2180/kartor/A 12083-2025 karta.png", "A 12083-2025")</f>
        <v/>
      </c>
      <c r="Y127">
        <f>HYPERLINK("https://klasma.github.io/Logging_2180/kartor_geotiff/A 12083-2025 georefererad karta.tif", "A 12083-2025")</f>
        <v/>
      </c>
      <c r="AA127">
        <f>HYPERLINK("https://klasma.github.io/Logging_2180/klagomål/A 12083-2025 FSC-klagomål.docx", "A 12083-2025")</f>
        <v/>
      </c>
      <c r="AB127">
        <f>HYPERLINK("https://klasma.github.io/Logging_2180/klagomålsmail/A 12083-2025 FSC-klagomål mail.docx", "A 12083-2025")</f>
        <v/>
      </c>
      <c r="AC127">
        <f>HYPERLINK("https://klasma.github.io/Logging_2180/tillsyn/A 12083-2025 tillsynsbegäran.docx", "A 12083-2025")</f>
        <v/>
      </c>
      <c r="AD127">
        <f>HYPERLINK("https://klasma.github.io/Logging_2180/tillsynsmail/A 12083-2025 tillsynsbegäran mail.docx", "A 12083-2025")</f>
        <v/>
      </c>
    </row>
    <row r="128" ht="15" customHeight="1">
      <c r="A128" t="inlineStr">
        <is>
          <t>A 13227-2024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46266</v>
      </c>
      <c r="F128" t="inlineStr">
        <is>
          <t>GÄVLEBORGS LÄN</t>
        </is>
      </c>
      <c r="G128" t="inlineStr">
        <is>
          <t>GÄVLE</t>
        </is>
      </c>
      <c r="H128" t="inlineStr">
        <is>
          <t>Övriga statliga verk och myndigheter</t>
        </is>
      </c>
      <c r="I128" t="n">
        <v>5.9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Större vattensalamander</t>
        </is>
      </c>
      <c r="W128">
        <f>HYPERLINK("https://klasma.github.io/Logging_2180/artfynd/A 13227-2024 artfynd.xlsx", "A 13227-2024")</f>
        <v/>
      </c>
      <c r="X128">
        <f>HYPERLINK("https://klasma.github.io/Logging_2180/kartor/A 13227-2024 karta.png", "A 13227-2024")</f>
        <v/>
      </c>
      <c r="Y128">
        <f>HYPERLINK("https://klasma.github.io/Logging_2180/kartor_geotiff/A 13227-2024 georefererad karta.tif", "A 13227-2024")</f>
        <v/>
      </c>
      <c r="AA128">
        <f>HYPERLINK("https://klasma.github.io/Logging_2180/klagomål/A 13227-2024 FSC-klagomål.docx", "A 13227-2024")</f>
        <v/>
      </c>
      <c r="AB128">
        <f>HYPERLINK("https://klasma.github.io/Logging_2180/klagomålsmail/A 13227-2024 FSC-klagomål mail.docx", "A 13227-2024")</f>
        <v/>
      </c>
      <c r="AC128">
        <f>HYPERLINK("https://klasma.github.io/Logging_2180/tillsyn/A 13227-2024 tillsynsbegäran.docx", "A 13227-2024")</f>
        <v/>
      </c>
      <c r="AD128">
        <f>HYPERLINK("https://klasma.github.io/Logging_2180/tillsynsmail/A 13227-2024 tillsynsbegäran mail.docx", "A 13227-2024")</f>
        <v/>
      </c>
    </row>
    <row r="129" ht="15" customHeight="1">
      <c r="A129" t="inlineStr">
        <is>
          <t>A 28546-2026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46266</v>
      </c>
      <c r="F129" t="inlineStr">
        <is>
          <t>GÄVLEBORGS LÄN</t>
        </is>
      </c>
      <c r="G129" t="inlineStr">
        <is>
          <t>GÄVLE</t>
        </is>
      </c>
      <c r="H129" t="inlineStr">
        <is>
          <t>BillerudKorsnäs AB</t>
        </is>
      </c>
      <c r="I129" t="n">
        <v>2.6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Fiskgjuse</t>
        </is>
      </c>
      <c r="W129">
        <f>HYPERLINK("https://klasma.github.io/Logging_2180/artfynd/A 28546-2026 artfynd.xlsx", "A 28546-2026")</f>
        <v/>
      </c>
      <c r="X129">
        <f>HYPERLINK("https://klasma.github.io/Logging_2180/kartor/A 28546-2026 karta.png", "A 28546-2026")</f>
        <v/>
      </c>
      <c r="Y129">
        <f>HYPERLINK("https://klasma.github.io/Logging_2180/kartor_geotiff/A 28546-2026 georefererad karta.tif", "A 28546-2026")</f>
        <v/>
      </c>
      <c r="AA129">
        <f>HYPERLINK("https://klasma.github.io/Logging_2180/klagomål/A 28546-2026 FSC-klagomål.docx", "A 28546-2026")</f>
        <v/>
      </c>
      <c r="AB129">
        <f>HYPERLINK("https://klasma.github.io/Logging_2180/klagomålsmail/A 28546-2026 FSC-klagomål mail.docx", "A 28546-2026")</f>
        <v/>
      </c>
      <c r="AC129">
        <f>HYPERLINK("https://klasma.github.io/Logging_2180/tillsyn/A 28546-2026 tillsynsbegäran.docx", "A 28546-2026")</f>
        <v/>
      </c>
      <c r="AD129">
        <f>HYPERLINK("https://klasma.github.io/Logging_2180/tillsynsmail/A 28546-2026 tillsynsbegäran mail.docx", "A 28546-2026")</f>
        <v/>
      </c>
      <c r="AE129">
        <f>HYPERLINK("https://klasma.github.io/Logging_2180/fåglar/A 28546-2026 prioriterade fågelarter.docx", "A 28546-2026")</f>
        <v/>
      </c>
    </row>
    <row r="130" ht="15" customHeight="1">
      <c r="A130" t="inlineStr">
        <is>
          <t>A 33832-2026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46266</v>
      </c>
      <c r="F130" t="inlineStr">
        <is>
          <t>GÄVLEBORGS LÄN</t>
        </is>
      </c>
      <c r="G130" t="inlineStr">
        <is>
          <t>GÄVLE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HYPERLINK("https://klasma.github.io/Logging_2180/artfynd/A 33832-2026 artfynd.xlsx", "A 33832-2026")</f>
        <v/>
      </c>
      <c r="X130">
        <f>HYPERLINK("https://klasma.github.io/Logging_2180/kartor/A 33832-2026 karta.png", "A 33832-2026")</f>
        <v/>
      </c>
      <c r="Y130">
        <f>HYPERLINK("https://klasma.github.io/Logging_2180/kartor_geotiff/A 33832-2026 georefererad karta.tif", "A 33832-2026")</f>
        <v/>
      </c>
      <c r="AA130">
        <f>HYPERLINK("https://klasma.github.io/Logging_2180/klagomål/A 33832-2026 FSC-klagomål.docx", "A 33832-2026")</f>
        <v/>
      </c>
      <c r="AB130">
        <f>HYPERLINK("https://klasma.github.io/Logging_2180/klagomålsmail/A 33832-2026 FSC-klagomål mail.docx", "A 33832-2026")</f>
        <v/>
      </c>
      <c r="AC130">
        <f>HYPERLINK("https://klasma.github.io/Logging_2180/tillsyn/A 33832-2026 tillsynsbegäran.docx", "A 33832-2026")</f>
        <v/>
      </c>
      <c r="AD130">
        <f>HYPERLINK("https://klasma.github.io/Logging_2180/tillsynsmail/A 33832-2026 tillsynsbegäran mail.docx", "A 33832-2026")</f>
        <v/>
      </c>
    </row>
    <row r="131" ht="15" customHeight="1">
      <c r="A131" t="inlineStr">
        <is>
          <t>A 34086-2026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46252</v>
      </c>
      <c r="E131" s="1" t="n">
        <v>46266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6.1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Gullgröppa</t>
        </is>
      </c>
      <c r="W131">
        <f>HYPERLINK("https://klasma.github.io/Logging_2180/artfynd/A 34086-2026 artfynd.xlsx", "A 34086-2026")</f>
        <v/>
      </c>
      <c r="X131">
        <f>HYPERLINK("https://klasma.github.io/Logging_2180/kartor/A 34086-2026 karta.png", "A 34086-2026")</f>
        <v/>
      </c>
      <c r="Y131">
        <f>HYPERLINK("https://klasma.github.io/Logging_2180/kartor_geotiff/A 34086-2026 georefererad karta.tif", "A 34086-2026")</f>
        <v/>
      </c>
      <c r="AA131">
        <f>HYPERLINK("https://klasma.github.io/Logging_2180/klagomål/A 34086-2026 FSC-klagomål.docx", "A 34086-2026")</f>
        <v/>
      </c>
      <c r="AB131">
        <f>HYPERLINK("https://klasma.github.io/Logging_2180/klagomålsmail/A 34086-2026 FSC-klagomål mail.docx", "A 34086-2026")</f>
        <v/>
      </c>
      <c r="AC131">
        <f>HYPERLINK("https://klasma.github.io/Logging_2180/tillsyn/A 34086-2026 tillsynsbegäran.docx", "A 34086-2026")</f>
        <v/>
      </c>
      <c r="AD131">
        <f>HYPERLINK("https://klasma.github.io/Logging_2180/tillsynsmail/A 34086-2026 tillsynsbegäran mail.docx", "A 34086-2026")</f>
        <v/>
      </c>
    </row>
    <row r="132" ht="15" customHeight="1">
      <c r="A132" t="inlineStr">
        <is>
          <t>A 34589-2026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46255</v>
      </c>
      <c r="E132" s="1" t="n">
        <v>46266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15.3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Tibast</t>
        </is>
      </c>
      <c r="W132">
        <f>HYPERLINK("https://klasma.github.io/Logging_2180/artfynd/A 34589-2026 artfynd.xlsx", "A 34589-2026")</f>
        <v/>
      </c>
      <c r="X132">
        <f>HYPERLINK("https://klasma.github.io/Logging_2180/kartor/A 34589-2026 karta.png", "A 34589-2026")</f>
        <v/>
      </c>
      <c r="Y132">
        <f>HYPERLINK("https://klasma.github.io/Logging_2180/kartor_geotiff/A 34589-2026 georefererad karta.tif", "A 34589-2026")</f>
        <v/>
      </c>
      <c r="AA132">
        <f>HYPERLINK("https://klasma.github.io/Logging_2180/klagomål/A 34589-2026 FSC-klagomål.docx", "A 34589-2026")</f>
        <v/>
      </c>
      <c r="AB132">
        <f>HYPERLINK("https://klasma.github.io/Logging_2180/klagomålsmail/A 34589-2026 FSC-klagomål mail.docx", "A 34589-2026")</f>
        <v/>
      </c>
      <c r="AC132">
        <f>HYPERLINK("https://klasma.github.io/Logging_2180/tillsyn/A 34589-2026 tillsynsbegäran.docx", "A 34589-2026")</f>
        <v/>
      </c>
      <c r="AD132">
        <f>HYPERLINK("https://klasma.github.io/Logging_2180/tillsynsmail/A 34589-2026 tillsynsbegäran mail.docx", "A 34589-2026")</f>
        <v/>
      </c>
    </row>
    <row r="133" ht="15" customHeight="1">
      <c r="A133" t="inlineStr">
        <is>
          <t>A 31448-2026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46217</v>
      </c>
      <c r="E133" s="1" t="n">
        <v>46266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6.8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tåtelsmygare</t>
        </is>
      </c>
      <c r="W133">
        <f>HYPERLINK("https://klasma.github.io/Logging_2180/artfynd/A 31448-2026 artfynd.xlsx", "A 31448-2026")</f>
        <v/>
      </c>
      <c r="X133">
        <f>HYPERLINK("https://klasma.github.io/Logging_2180/kartor/A 31448-2026 karta.png", "A 31448-2026")</f>
        <v/>
      </c>
      <c r="Y133">
        <f>HYPERLINK("https://klasma.github.io/Logging_2180/kartor_geotiff/A 31448-2026 georefererad karta.tif", "A 31448-2026")</f>
        <v/>
      </c>
      <c r="AA133">
        <f>HYPERLINK("https://klasma.github.io/Logging_2180/klagomål/A 31448-2026 FSC-klagomål.docx", "A 31448-2026")</f>
        <v/>
      </c>
      <c r="AB133">
        <f>HYPERLINK("https://klasma.github.io/Logging_2180/klagomålsmail/A 31448-2026 FSC-klagomål mail.docx", "A 31448-2026")</f>
        <v/>
      </c>
      <c r="AC133">
        <f>HYPERLINK("https://klasma.github.io/Logging_2180/tillsyn/A 31448-2026 tillsynsbegäran.docx", "A 31448-2026")</f>
        <v/>
      </c>
      <c r="AD133">
        <f>HYPERLINK("https://klasma.github.io/Logging_2180/tillsynsmail/A 31448-2026 tillsynsbegäran mail.docx", "A 31448-2026")</f>
        <v/>
      </c>
    </row>
    <row r="134" ht="15" customHeight="1">
      <c r="A134" t="inlineStr">
        <is>
          <t>A 34890-2026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46259</v>
      </c>
      <c r="E134" s="1" t="n">
        <v>46266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18.3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4</v>
      </c>
      <c r="U134" t="n">
        <v>0</v>
      </c>
      <c r="V134" s="2" t="inlineStr">
        <is>
          <t>Spillkråka</t>
        </is>
      </c>
      <c r="W134">
        <f>HYPERLINK("https://klasma.github.io/Logging_2180/artfynd/A 34890-2026 artfynd.xlsx", "A 34890-2026")</f>
        <v/>
      </c>
      <c r="X134">
        <f>HYPERLINK("https://klasma.github.io/Logging_2180/kartor/A 34890-2026 karta.png", "A 34890-2026")</f>
        <v/>
      </c>
      <c r="Y134">
        <f>HYPERLINK("https://klasma.github.io/Logging_2180/kartor_geotiff/A 34890-2026 georefererad karta.tif", "A 34890-2026")</f>
        <v/>
      </c>
      <c r="AA134">
        <f>HYPERLINK("https://klasma.github.io/Logging_2180/klagomål/A 34890-2026 FSC-klagomål.docx", "A 34890-2026")</f>
        <v/>
      </c>
      <c r="AB134">
        <f>HYPERLINK("https://klasma.github.io/Logging_2180/klagomålsmail/A 34890-2026 FSC-klagomål mail.docx", "A 34890-2026")</f>
        <v/>
      </c>
      <c r="AC134">
        <f>HYPERLINK("https://klasma.github.io/Logging_2180/tillsyn/A 34890-2026 tillsynsbegäran.docx", "A 34890-2026")</f>
        <v/>
      </c>
      <c r="AD134">
        <f>HYPERLINK("https://klasma.github.io/Logging_2180/tillsynsmail/A 34890-2026 tillsynsbegäran mail.docx", "A 34890-2026")</f>
        <v/>
      </c>
      <c r="AE134">
        <f>HYPERLINK("https://klasma.github.io/Logging_2180/fåglar/A 34890-2026 prioriterade fågelarter.docx", "A 34890-2026")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46266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46266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46266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46266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28757-2022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46266</v>
      </c>
      <c r="F139" t="inlineStr">
        <is>
          <t>GÄVLEBORGS LÄN</t>
        </is>
      </c>
      <c r="G139" t="inlineStr">
        <is>
          <t>GÄVLE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44775</v>
      </c>
      <c r="E140" s="1" t="n">
        <v>46266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44519</v>
      </c>
      <c r="E141" s="1" t="n">
        <v>46266</v>
      </c>
      <c r="F141" t="inlineStr">
        <is>
          <t>GÄVLEBORGS LÄN</t>
        </is>
      </c>
      <c r="G141" t="inlineStr">
        <is>
          <t>GÄVLE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46266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46266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46266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46266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46266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46266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46266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46266</v>
      </c>
      <c r="F149" t="inlineStr">
        <is>
          <t>GÄVLEBORGS LÄN</t>
        </is>
      </c>
      <c r="G149" t="inlineStr">
        <is>
          <t>GÄVLE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46266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44756</v>
      </c>
      <c r="E151" s="1" t="n">
        <v>46266</v>
      </c>
      <c r="F151" t="inlineStr">
        <is>
          <t>GÄVLEBORGS LÄN</t>
        </is>
      </c>
      <c r="G151" t="inlineStr">
        <is>
          <t>GÄVLE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46266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46266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46266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46266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46266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46266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46266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46266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46266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46266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46266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46266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46266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46266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46266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46266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46266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47739-2021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46266</v>
      </c>
      <c r="F169" t="inlineStr">
        <is>
          <t>GÄVLEBORGS LÄN</t>
        </is>
      </c>
      <c r="G169" t="inlineStr">
        <is>
          <t>GÄVLE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46266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46266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46266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46266</v>
      </c>
      <c r="F173" t="inlineStr">
        <is>
          <t>GÄVLEBORGS LÄN</t>
        </is>
      </c>
      <c r="G173" t="inlineStr">
        <is>
          <t>GÄVLE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46266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46266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59515-2021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46266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46266</v>
      </c>
      <c r="F177" t="inlineStr">
        <is>
          <t>GÄVLEBORGS LÄN</t>
        </is>
      </c>
      <c r="G177" t="inlineStr">
        <is>
          <t>GÄVLE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46266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46266</v>
      </c>
      <c r="F179" t="inlineStr">
        <is>
          <t>GÄVLEBORGS LÄN</t>
        </is>
      </c>
      <c r="G179" t="inlineStr">
        <is>
          <t>GÄVLE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46266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46266</v>
      </c>
      <c r="F181" t="inlineStr">
        <is>
          <t>GÄVLEBORGS LÄN</t>
        </is>
      </c>
      <c r="G181" t="inlineStr">
        <is>
          <t>GÄVLE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45611</v>
      </c>
      <c r="E182" s="1" t="n">
        <v>46266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46266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46266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46266</v>
      </c>
      <c r="F185" t="inlineStr">
        <is>
          <t>GÄVLEBORGS LÄN</t>
        </is>
      </c>
      <c r="G185" t="inlineStr">
        <is>
          <t>GÄVLE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44637</v>
      </c>
      <c r="E186" s="1" t="n">
        <v>46266</v>
      </c>
      <c r="F186" t="inlineStr">
        <is>
          <t>GÄVLEBORGS LÄN</t>
        </is>
      </c>
      <c r="G186" t="inlineStr">
        <is>
          <t>GÄVLE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46266</v>
      </c>
      <c r="F187" t="inlineStr">
        <is>
          <t>GÄVLEBORGS LÄN</t>
        </is>
      </c>
      <c r="G187" t="inlineStr">
        <is>
          <t>GÄVLE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46266</v>
      </c>
      <c r="F188" t="inlineStr">
        <is>
          <t>GÄVLEBORGS LÄN</t>
        </is>
      </c>
      <c r="G188" t="inlineStr">
        <is>
          <t>GÄVLE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45932</v>
      </c>
      <c r="E189" s="1" t="n">
        <v>46266</v>
      </c>
      <c r="F189" t="inlineStr">
        <is>
          <t>GÄVLEBORGS LÄN</t>
        </is>
      </c>
      <c r="G189" t="inlineStr">
        <is>
          <t>GÄVLE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46266</v>
      </c>
      <c r="F190" t="inlineStr">
        <is>
          <t>GÄVLEBORGS LÄN</t>
        </is>
      </c>
      <c r="G190" t="inlineStr">
        <is>
          <t>GÄVLE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46266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44656</v>
      </c>
      <c r="E192" s="1" t="n">
        <v>46266</v>
      </c>
      <c r="F192" t="inlineStr">
        <is>
          <t>GÄVLEBORGS LÄN</t>
        </is>
      </c>
      <c r="G192" t="inlineStr">
        <is>
          <t>GÄVLE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46266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öst AB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46266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45933</v>
      </c>
      <c r="E195" s="1" t="n">
        <v>46266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48251-2025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45933</v>
      </c>
      <c r="E196" s="1" t="n">
        <v>46266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46266</v>
      </c>
      <c r="F197" t="inlineStr">
        <is>
          <t>GÄVLEBORGS LÄN</t>
        </is>
      </c>
      <c r="G197" t="inlineStr">
        <is>
          <t>GÄVLE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48002-2025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46266</v>
      </c>
      <c r="F198" t="inlineStr">
        <is>
          <t>GÄVLEBORGS LÄN</t>
        </is>
      </c>
      <c r="G198" t="inlineStr">
        <is>
          <t>GÄVLE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46266</v>
      </c>
      <c r="F199" t="inlineStr">
        <is>
          <t>GÄVLEBORGS LÄN</t>
        </is>
      </c>
      <c r="G199" t="inlineStr">
        <is>
          <t>GÄVLE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45547</v>
      </c>
      <c r="E200" s="1" t="n">
        <v>46266</v>
      </c>
      <c r="F200" t="inlineStr">
        <is>
          <t>GÄVLEBORGS LÄN</t>
        </is>
      </c>
      <c r="G200" t="inlineStr">
        <is>
          <t>GÄVLE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45646</v>
      </c>
      <c r="E201" s="1" t="n">
        <v>46266</v>
      </c>
      <c r="F201" t="inlineStr">
        <is>
          <t>GÄVLEBORGS LÄN</t>
        </is>
      </c>
      <c r="G201" t="inlineStr">
        <is>
          <t>GÄVLE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45702</v>
      </c>
      <c r="E202" s="1" t="n">
        <v>46266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öst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46266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45933</v>
      </c>
      <c r="E204" s="1" t="n">
        <v>46266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öst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46266</v>
      </c>
      <c r="F205" t="inlineStr">
        <is>
          <t>GÄVLEBORGS LÄN</t>
        </is>
      </c>
      <c r="G205" t="inlineStr">
        <is>
          <t>GÄVLE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45322</v>
      </c>
      <c r="E206" s="1" t="n">
        <v>46266</v>
      </c>
      <c r="F206" t="inlineStr">
        <is>
          <t>GÄVLEBORGS LÄN</t>
        </is>
      </c>
      <c r="G206" t="inlineStr">
        <is>
          <t>GÄVLE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45089</v>
      </c>
      <c r="E207" s="1" t="n">
        <v>46266</v>
      </c>
      <c r="F207" t="inlineStr">
        <is>
          <t>GÄVLEBORGS LÄN</t>
        </is>
      </c>
      <c r="G207" t="inlineStr">
        <is>
          <t>GÄVLE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45158</v>
      </c>
      <c r="E208" s="1" t="n">
        <v>46266</v>
      </c>
      <c r="F208" t="inlineStr">
        <is>
          <t>GÄVLEBORGS LÄN</t>
        </is>
      </c>
      <c r="G208" t="inlineStr">
        <is>
          <t>GÄVLE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45158</v>
      </c>
      <c r="E209" s="1" t="n">
        <v>46266</v>
      </c>
      <c r="F209" t="inlineStr">
        <is>
          <t>GÄVLEBORGS LÄN</t>
        </is>
      </c>
      <c r="G209" t="inlineStr">
        <is>
          <t>GÄVLE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46266</v>
      </c>
      <c r="F210" t="inlineStr">
        <is>
          <t>GÄVLEBORGS LÄN</t>
        </is>
      </c>
      <c r="G210" t="inlineStr">
        <is>
          <t>GÄVLE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44708</v>
      </c>
      <c r="E211" s="1" t="n">
        <v>46266</v>
      </c>
      <c r="F211" t="inlineStr">
        <is>
          <t>GÄVLEBORGS LÄN</t>
        </is>
      </c>
      <c r="G211" t="inlineStr">
        <is>
          <t>GÄVLE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46266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öst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46266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46266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öst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46266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46266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49511-2025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46266</v>
      </c>
      <c r="F217" t="inlineStr">
        <is>
          <t>GÄVLEBORGS LÄN</t>
        </is>
      </c>
      <c r="G217" t="inlineStr">
        <is>
          <t>GÄVLE</t>
        </is>
      </c>
      <c r="H217" t="inlineStr">
        <is>
          <t>Kyrkan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46266</v>
      </c>
      <c r="F218" t="inlineStr">
        <is>
          <t>GÄVLEBORGS LÄN</t>
        </is>
      </c>
      <c r="G218" t="inlineStr">
        <is>
          <t>GÄVLE</t>
        </is>
      </c>
      <c r="I218" t="n">
        <v>10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45790</v>
      </c>
      <c r="E219" s="1" t="n">
        <v>46266</v>
      </c>
      <c r="F219" t="inlineStr">
        <is>
          <t>GÄVLEBORGS LÄN</t>
        </is>
      </c>
      <c r="G219" t="inlineStr">
        <is>
          <t>GÄVLE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46266</v>
      </c>
      <c r="F220" t="inlineStr">
        <is>
          <t>GÄVLEBORGS LÄN</t>
        </is>
      </c>
      <c r="G220" t="inlineStr">
        <is>
          <t>GÄVLE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46266</v>
      </c>
      <c r="F221" t="inlineStr">
        <is>
          <t>GÄVLEBORGS LÄN</t>
        </is>
      </c>
      <c r="G221" t="inlineStr">
        <is>
          <t>GÄVLE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46266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46266</v>
      </c>
      <c r="F223" t="inlineStr">
        <is>
          <t>GÄVLEBORGS LÄN</t>
        </is>
      </c>
      <c r="G223" t="inlineStr">
        <is>
          <t>GÄVLE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46266</v>
      </c>
      <c r="F224" t="inlineStr">
        <is>
          <t>GÄVLEBORGS LÄN</t>
        </is>
      </c>
      <c r="G224" t="inlineStr">
        <is>
          <t>GÄVLE</t>
        </is>
      </c>
      <c r="I224" t="n">
        <v>20.8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45660</v>
      </c>
      <c r="E225" s="1" t="n">
        <v>46266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46266</v>
      </c>
      <c r="F226" t="inlineStr">
        <is>
          <t>GÄVLEBORGS LÄN</t>
        </is>
      </c>
      <c r="G226" t="inlineStr">
        <is>
          <t>GÄVLE</t>
        </is>
      </c>
      <c r="H226" t="inlineStr">
        <is>
          <t>Kyrkan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40297-2025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45895</v>
      </c>
      <c r="E227" s="1" t="n">
        <v>46266</v>
      </c>
      <c r="F227" t="inlineStr">
        <is>
          <t>GÄVLEBORGS LÄN</t>
        </is>
      </c>
      <c r="G227" t="inlineStr">
        <is>
          <t>GÄVLE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46266</v>
      </c>
      <c r="F228" t="inlineStr">
        <is>
          <t>GÄVLEBORGS LÄN</t>
        </is>
      </c>
      <c r="G228" t="inlineStr">
        <is>
          <t>GÄVLE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46266</v>
      </c>
      <c r="F229" t="inlineStr">
        <is>
          <t>GÄVLEBORGS LÄN</t>
        </is>
      </c>
      <c r="G229" t="inlineStr">
        <is>
          <t>GÄVLE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46266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46266</v>
      </c>
      <c r="F231" t="inlineStr">
        <is>
          <t>GÄVLEBORGS LÄN</t>
        </is>
      </c>
      <c r="G231" t="inlineStr">
        <is>
          <t>GÄVLE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44840</v>
      </c>
      <c r="E232" s="1" t="n">
        <v>46266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45897</v>
      </c>
      <c r="E233" s="1" t="n">
        <v>46266</v>
      </c>
      <c r="F233" t="inlineStr">
        <is>
          <t>GÄVLEBORGS LÄN</t>
        </is>
      </c>
      <c r="G233" t="inlineStr">
        <is>
          <t>GÄVLE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45104</v>
      </c>
      <c r="E234" s="1" t="n">
        <v>46266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44862</v>
      </c>
      <c r="E235" s="1" t="n">
        <v>46266</v>
      </c>
      <c r="F235" t="inlineStr">
        <is>
          <t>GÄVLEBORGS LÄN</t>
        </is>
      </c>
      <c r="G235" t="inlineStr">
        <is>
          <t>GÄVLE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46266</v>
      </c>
      <c r="F236" t="inlineStr">
        <is>
          <t>GÄVLEBORGS LÄN</t>
        </is>
      </c>
      <c r="G236" t="inlineStr">
        <is>
          <t>GÄVLE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46266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41046-2025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46266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46266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46266</v>
      </c>
      <c r="F240" t="inlineStr">
        <is>
          <t>GÄVLEBORGS LÄN</t>
        </is>
      </c>
      <c r="G240" t="inlineStr">
        <is>
          <t>GÄVLE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46266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46266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46266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46266</v>
      </c>
      <c r="F244" t="inlineStr">
        <is>
          <t>GÄVLEBORGS LÄN</t>
        </is>
      </c>
      <c r="G244" t="inlineStr">
        <is>
          <t>GÄVLE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46266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46266</v>
      </c>
      <c r="F246" t="inlineStr">
        <is>
          <t>GÄVLEBORGS LÄN</t>
        </is>
      </c>
      <c r="G246" t="inlineStr">
        <is>
          <t>GÄVLE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46266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46266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46266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46266</v>
      </c>
      <c r="F250" t="inlineStr">
        <is>
          <t>GÄVLEBORGS LÄN</t>
        </is>
      </c>
      <c r="G250" t="inlineStr">
        <is>
          <t>GÄVLE</t>
        </is>
      </c>
      <c r="I250" t="n">
        <v>13.1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45505</v>
      </c>
      <c r="E251" s="1" t="n">
        <v>46266</v>
      </c>
      <c r="F251" t="inlineStr">
        <is>
          <t>GÄVLEBORGS LÄN</t>
        </is>
      </c>
      <c r="G251" t="inlineStr">
        <is>
          <t>GÄVLE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45485</v>
      </c>
      <c r="E252" s="1" t="n">
        <v>46266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46266</v>
      </c>
      <c r="F253" t="inlineStr">
        <is>
          <t>GÄVLEBORGS LÄN</t>
        </is>
      </c>
      <c r="G253" t="inlineStr">
        <is>
          <t>GÄVLE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44942</v>
      </c>
      <c r="E254" s="1" t="n">
        <v>46266</v>
      </c>
      <c r="F254" t="inlineStr">
        <is>
          <t>GÄVLEBORGS LÄN</t>
        </is>
      </c>
      <c r="G254" t="inlineStr">
        <is>
          <t>GÄVLE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41683-2025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45902</v>
      </c>
      <c r="E255" s="1" t="n">
        <v>46266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45905</v>
      </c>
      <c r="E256" s="1" t="n">
        <v>46266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46266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46266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46266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46266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46266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19095-2022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44691</v>
      </c>
      <c r="E262" s="1" t="n">
        <v>46266</v>
      </c>
      <c r="F262" t="inlineStr">
        <is>
          <t>GÄVLEBORGS LÄN</t>
        </is>
      </c>
      <c r="G262" t="inlineStr">
        <is>
          <t>GÄVLE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46266</v>
      </c>
      <c r="F263" t="inlineStr">
        <is>
          <t>GÄVLEBORGS LÄN</t>
        </is>
      </c>
      <c r="G263" t="inlineStr">
        <is>
          <t>GÄVLE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46266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26564-2022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44739</v>
      </c>
      <c r="E265" s="1" t="n">
        <v>46266</v>
      </c>
      <c r="F265" t="inlineStr">
        <is>
          <t>GÄVLEBORGS LÄN</t>
        </is>
      </c>
      <c r="G265" t="inlineStr">
        <is>
          <t>GÄVLE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46266</v>
      </c>
      <c r="F266" t="inlineStr">
        <is>
          <t>GÄVLEBORGS LÄN</t>
        </is>
      </c>
      <c r="G266" t="inlineStr">
        <is>
          <t>GÄVLE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46266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46266</v>
      </c>
      <c r="F268" t="inlineStr">
        <is>
          <t>GÄVLEBORGS LÄN</t>
        </is>
      </c>
      <c r="G268" t="inlineStr">
        <is>
          <t>GÄVLE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46266</v>
      </c>
      <c r="F269" t="inlineStr">
        <is>
          <t>GÄVLEBORGS LÄN</t>
        </is>
      </c>
      <c r="G269" t="inlineStr">
        <is>
          <t>GÄVLE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46266</v>
      </c>
      <c r="F270" t="inlineStr">
        <is>
          <t>GÄVLEBORGS LÄN</t>
        </is>
      </c>
      <c r="G270" t="inlineStr">
        <is>
          <t>GÄVLE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46266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45850-2025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45923</v>
      </c>
      <c r="E272" s="1" t="n">
        <v>46266</v>
      </c>
      <c r="F272" t="inlineStr">
        <is>
          <t>GÄVLEBORGS LÄN</t>
        </is>
      </c>
      <c r="G272" t="inlineStr">
        <is>
          <t>GÄVLE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46266</v>
      </c>
      <c r="F273" t="inlineStr">
        <is>
          <t>GÄVLEBORGS LÄN</t>
        </is>
      </c>
      <c r="G273" t="inlineStr">
        <is>
          <t>GÄVLE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46266</v>
      </c>
      <c r="F274" t="inlineStr">
        <is>
          <t>GÄVLEBORGS LÄN</t>
        </is>
      </c>
      <c r="G274" t="inlineStr">
        <is>
          <t>GÄVLE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31544-2023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45117</v>
      </c>
      <c r="E275" s="1" t="n">
        <v>46266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46266</v>
      </c>
      <c r="F276" t="inlineStr">
        <is>
          <t>GÄVLEBORGS LÄN</t>
        </is>
      </c>
      <c r="G276" t="inlineStr">
        <is>
          <t>GÄVLE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44756</v>
      </c>
      <c r="E277" s="1" t="n">
        <v>46266</v>
      </c>
      <c r="F277" t="inlineStr">
        <is>
          <t>GÄVLEBORGS LÄN</t>
        </is>
      </c>
      <c r="G277" t="inlineStr">
        <is>
          <t>GÄVLE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29927-2022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46266</v>
      </c>
      <c r="F278" t="inlineStr">
        <is>
          <t>GÄVLEBORGS LÄN</t>
        </is>
      </c>
      <c r="G278" t="inlineStr">
        <is>
          <t>GÄVLE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45084</v>
      </c>
      <c r="E279" s="1" t="n">
        <v>46266</v>
      </c>
      <c r="F279" t="inlineStr">
        <is>
          <t>GÄVLEBORGS LÄN</t>
        </is>
      </c>
      <c r="G279" t="inlineStr">
        <is>
          <t>GÄVLE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46266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46266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45817</v>
      </c>
      <c r="E282" s="1" t="n">
        <v>46266</v>
      </c>
      <c r="F282" t="inlineStr">
        <is>
          <t>GÄVLEBORGS LÄN</t>
        </is>
      </c>
      <c r="G282" t="inlineStr">
        <is>
          <t>GÄVLE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46266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46266</v>
      </c>
      <c r="F284" t="inlineStr">
        <is>
          <t>GÄVLEBORGS LÄN</t>
        </is>
      </c>
      <c r="G284" t="inlineStr">
        <is>
          <t>GÄVLE</t>
        </is>
      </c>
      <c r="I284" t="n">
        <v>13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45944</v>
      </c>
      <c r="E285" s="1" t="n">
        <v>46266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46266</v>
      </c>
      <c r="F286" t="inlineStr">
        <is>
          <t>GÄVLEBORGS LÄN</t>
        </is>
      </c>
      <c r="G286" t="inlineStr">
        <is>
          <t>GÄVLE</t>
        </is>
      </c>
      <c r="H286" t="inlineStr">
        <is>
          <t>Kyrkan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45125</v>
      </c>
      <c r="E287" s="1" t="n">
        <v>46266</v>
      </c>
      <c r="F287" t="inlineStr">
        <is>
          <t>GÄVLEBORGS LÄN</t>
        </is>
      </c>
      <c r="G287" t="inlineStr">
        <is>
          <t>GÄVLE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46266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46266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46266</v>
      </c>
      <c r="F290" t="inlineStr">
        <is>
          <t>GÄVLEBORGS LÄN</t>
        </is>
      </c>
      <c r="G290" t="inlineStr">
        <is>
          <t>GÄVLE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46266</v>
      </c>
      <c r="F291" t="inlineStr">
        <is>
          <t>GÄVLEBORGS LÄN</t>
        </is>
      </c>
      <c r="G291" t="inlineStr">
        <is>
          <t>GÄVLE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71249-2021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44539</v>
      </c>
      <c r="E292" s="1" t="n">
        <v>46266</v>
      </c>
      <c r="F292" t="inlineStr">
        <is>
          <t>GÄVLEBORGS LÄN</t>
        </is>
      </c>
      <c r="G292" t="inlineStr">
        <is>
          <t>GÄVLE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46266</v>
      </c>
      <c r="F293" t="inlineStr">
        <is>
          <t>GÄVLEBORGS LÄN</t>
        </is>
      </c>
      <c r="G293" t="inlineStr">
        <is>
          <t>GÄVLE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46266</v>
      </c>
      <c r="F294" t="inlineStr">
        <is>
          <t>GÄVLEBORGS LÄN</t>
        </is>
      </c>
      <c r="G294" t="inlineStr">
        <is>
          <t>GÄVLE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46266</v>
      </c>
      <c r="F295" t="inlineStr">
        <is>
          <t>GÄVLEBORGS LÄN</t>
        </is>
      </c>
      <c r="G295" t="inlineStr">
        <is>
          <t>GÄVLE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45827</v>
      </c>
      <c r="E296" s="1" t="n">
        <v>46266</v>
      </c>
      <c r="F296" t="inlineStr">
        <is>
          <t>GÄVLEBORGS LÄN</t>
        </is>
      </c>
      <c r="G296" t="inlineStr">
        <is>
          <t>GÄVLE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30202-2025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45827</v>
      </c>
      <c r="E297" s="1" t="n">
        <v>46266</v>
      </c>
      <c r="F297" t="inlineStr">
        <is>
          <t>GÄVLEBORGS LÄN</t>
        </is>
      </c>
      <c r="G297" t="inlineStr">
        <is>
          <t>GÄVLE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14563-2025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46266</v>
      </c>
      <c r="F298" t="inlineStr">
        <is>
          <t>GÄVLEBORGS LÄN</t>
        </is>
      </c>
      <c r="G298" t="inlineStr">
        <is>
          <t>GÄVLE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30300-2025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46266</v>
      </c>
      <c r="F299" t="inlineStr">
        <is>
          <t>GÄVLEBORGS LÄN</t>
        </is>
      </c>
      <c r="G299" t="inlineStr">
        <is>
          <t>GÄVLE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46266</v>
      </c>
      <c r="F300" t="inlineStr">
        <is>
          <t>GÄVLEBORGS LÄN</t>
        </is>
      </c>
      <c r="G300" t="inlineStr">
        <is>
          <t>GÄVLE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50871-2022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44867</v>
      </c>
      <c r="E301" s="1" t="n">
        <v>46266</v>
      </c>
      <c r="F301" t="inlineStr">
        <is>
          <t>GÄVLEBORGS LÄN</t>
        </is>
      </c>
      <c r="G301" t="inlineStr">
        <is>
          <t>GÄVLE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46266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46266</v>
      </c>
      <c r="F303" t="inlineStr">
        <is>
          <t>GÄVLEBORGS LÄN</t>
        </is>
      </c>
      <c r="G303" t="inlineStr">
        <is>
          <t>GÄVLE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45632</v>
      </c>
      <c r="E304" s="1" t="n">
        <v>46266</v>
      </c>
      <c r="F304" t="inlineStr">
        <is>
          <t>GÄVLEBORGS LÄN</t>
        </is>
      </c>
      <c r="G304" t="inlineStr">
        <is>
          <t>GÄVLE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46266</v>
      </c>
      <c r="F305" t="inlineStr">
        <is>
          <t>GÄVLEBORGS LÄN</t>
        </is>
      </c>
      <c r="G305" t="inlineStr">
        <is>
          <t>GÄVLE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46266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46266</v>
      </c>
      <c r="F307" t="inlineStr">
        <is>
          <t>GÄVLEBORGS LÄN</t>
        </is>
      </c>
      <c r="G307" t="inlineStr">
        <is>
          <t>GÄVLE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46266</v>
      </c>
      <c r="F308" t="inlineStr">
        <is>
          <t>GÄVLEBORGS LÄN</t>
        </is>
      </c>
      <c r="G308" t="inlineStr">
        <is>
          <t>GÄVLE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45540</v>
      </c>
      <c r="E309" s="1" t="n">
        <v>46266</v>
      </c>
      <c r="F309" t="inlineStr">
        <is>
          <t>GÄVLEBORGS LÄN</t>
        </is>
      </c>
      <c r="G309" t="inlineStr">
        <is>
          <t>GÄVLE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44733</v>
      </c>
      <c r="E310" s="1" t="n">
        <v>46266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46266</v>
      </c>
      <c r="F311" t="inlineStr">
        <is>
          <t>GÄVLEBORGS LÄN</t>
        </is>
      </c>
      <c r="G311" t="inlineStr">
        <is>
          <t>GÄVLE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45784</v>
      </c>
      <c r="E312" s="1" t="n">
        <v>46266</v>
      </c>
      <c r="F312" t="inlineStr">
        <is>
          <t>GÄVLEBORGS LÄN</t>
        </is>
      </c>
      <c r="G312" t="inlineStr">
        <is>
          <t>GÄVLE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46266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61880-2024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45652</v>
      </c>
      <c r="E314" s="1" t="n">
        <v>46266</v>
      </c>
      <c r="F314" t="inlineStr">
        <is>
          <t>GÄVLEBORGS LÄN</t>
        </is>
      </c>
      <c r="G314" t="inlineStr">
        <is>
          <t>GÄVLE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45475</v>
      </c>
      <c r="E315" s="1" t="n">
        <v>46266</v>
      </c>
      <c r="F315" t="inlineStr">
        <is>
          <t>GÄVLEBORGS LÄN</t>
        </is>
      </c>
      <c r="G315" t="inlineStr">
        <is>
          <t>GÄVLE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46266</v>
      </c>
      <c r="F316" t="inlineStr">
        <is>
          <t>GÄVLEBORGS LÄN</t>
        </is>
      </c>
      <c r="G316" t="inlineStr">
        <is>
          <t>GÄVLE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45845</v>
      </c>
      <c r="E317" s="1" t="n">
        <v>46266</v>
      </c>
      <c r="F317" t="inlineStr">
        <is>
          <t>GÄVLEBORGS LÄN</t>
        </is>
      </c>
      <c r="G317" t="inlineStr">
        <is>
          <t>GÄVLE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40498-2022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44823</v>
      </c>
      <c r="E318" s="1" t="n">
        <v>46266</v>
      </c>
      <c r="F318" t="inlineStr">
        <is>
          <t>GÄVLEBORGS LÄN</t>
        </is>
      </c>
      <c r="G318" t="inlineStr">
        <is>
          <t>GÄVLE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44988</v>
      </c>
      <c r="E319" s="1" t="n">
        <v>46266</v>
      </c>
      <c r="F319" t="inlineStr">
        <is>
          <t>GÄVLEBORGS LÄN</t>
        </is>
      </c>
      <c r="G319" t="inlineStr">
        <is>
          <t>GÄVLE</t>
        </is>
      </c>
      <c r="H319" t="inlineStr">
        <is>
          <t>Kyrkan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46266</v>
      </c>
      <c r="F320" t="inlineStr">
        <is>
          <t>GÄVLEBORGS LÄN</t>
        </is>
      </c>
      <c r="G320" t="inlineStr">
        <is>
          <t>GÄVLE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45848</v>
      </c>
      <c r="E321" s="1" t="n">
        <v>46266</v>
      </c>
      <c r="F321" t="inlineStr">
        <is>
          <t>GÄVLEBORGS LÄN</t>
        </is>
      </c>
      <c r="G321" t="inlineStr">
        <is>
          <t>GÄVLE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45030</v>
      </c>
      <c r="E322" s="1" t="n">
        <v>46266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45848</v>
      </c>
      <c r="E323" s="1" t="n">
        <v>46266</v>
      </c>
      <c r="F323" t="inlineStr">
        <is>
          <t>GÄVLEBORGS LÄN</t>
        </is>
      </c>
      <c r="G323" t="inlineStr">
        <is>
          <t>GÄVLE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52156-2025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46266</v>
      </c>
      <c r="F324" t="inlineStr">
        <is>
          <t>GÄVLEBORGS LÄN</t>
        </is>
      </c>
      <c r="G324" t="inlineStr">
        <is>
          <t>GÄVLE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45540</v>
      </c>
      <c r="E325" s="1" t="n">
        <v>46266</v>
      </c>
      <c r="F325" t="inlineStr">
        <is>
          <t>GÄVLEBORGS LÄN</t>
        </is>
      </c>
      <c r="G325" t="inlineStr">
        <is>
          <t>GÄVLE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45726</v>
      </c>
      <c r="E326" s="1" t="n">
        <v>46266</v>
      </c>
      <c r="F326" t="inlineStr">
        <is>
          <t>GÄVLEBORGS LÄN</t>
        </is>
      </c>
      <c r="G326" t="inlineStr">
        <is>
          <t>GÄVLE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45854</v>
      </c>
      <c r="E327" s="1" t="n">
        <v>46266</v>
      </c>
      <c r="F327" t="inlineStr">
        <is>
          <t>GÄVLEBORGS LÄN</t>
        </is>
      </c>
      <c r="G327" t="inlineStr">
        <is>
          <t>GÄVLE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44589</v>
      </c>
      <c r="E328" s="1" t="n">
        <v>46266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45859</v>
      </c>
      <c r="E329" s="1" t="n">
        <v>46266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45862</v>
      </c>
      <c r="E330" s="1" t="n">
        <v>46266</v>
      </c>
      <c r="F330" t="inlineStr">
        <is>
          <t>GÄVLEBORGS LÄN</t>
        </is>
      </c>
      <c r="G330" t="inlineStr">
        <is>
          <t>GÄVLE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46266</v>
      </c>
      <c r="F331" t="inlineStr">
        <is>
          <t>GÄVLEBORGS LÄN</t>
        </is>
      </c>
      <c r="G331" t="inlineStr">
        <is>
          <t>GÄVLE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52970-2025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45957</v>
      </c>
      <c r="E332" s="1" t="n">
        <v>46266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45862</v>
      </c>
      <c r="E333" s="1" t="n">
        <v>46266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35919-2025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45862</v>
      </c>
      <c r="E334" s="1" t="n">
        <v>46266</v>
      </c>
      <c r="F334" t="inlineStr">
        <is>
          <t>GÄVLEBORGS LÄN</t>
        </is>
      </c>
      <c r="G334" t="inlineStr">
        <is>
          <t>GÄVLE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46266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9.9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35206-2024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45530</v>
      </c>
      <c r="E336" s="1" t="n">
        <v>46266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46266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46266</v>
      </c>
      <c r="F338" t="inlineStr">
        <is>
          <t>GÄVLEBORGS LÄN</t>
        </is>
      </c>
      <c r="G338" t="inlineStr">
        <is>
          <t>GÄVLE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45869</v>
      </c>
      <c r="E339" s="1" t="n">
        <v>46266</v>
      </c>
      <c r="F339" t="inlineStr">
        <is>
          <t>GÄVLEBORGS LÄN</t>
        </is>
      </c>
      <c r="G339" t="inlineStr">
        <is>
          <t>GÄVLE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36516-2025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45869</v>
      </c>
      <c r="E340" s="1" t="n">
        <v>46266</v>
      </c>
      <c r="F340" t="inlineStr">
        <is>
          <t>GÄVLEBORGS LÄN</t>
        </is>
      </c>
      <c r="G340" t="inlineStr">
        <is>
          <t>GÄVLE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45957</v>
      </c>
      <c r="E341" s="1" t="n">
        <v>46266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46266</v>
      </c>
      <c r="F342" t="inlineStr">
        <is>
          <t>GÄVLEBORGS LÄN</t>
        </is>
      </c>
      <c r="G342" t="inlineStr">
        <is>
          <t>GÄVLE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45324</v>
      </c>
      <c r="E343" s="1" t="n">
        <v>46266</v>
      </c>
      <c r="F343" t="inlineStr">
        <is>
          <t>GÄVLEBORGS LÄN</t>
        </is>
      </c>
      <c r="G343" t="inlineStr">
        <is>
          <t>GÄVLE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46266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45672</v>
      </c>
      <c r="E345" s="1" t="n">
        <v>46266</v>
      </c>
      <c r="F345" t="inlineStr">
        <is>
          <t>GÄVLEBORGS LÄN</t>
        </is>
      </c>
      <c r="G345" t="inlineStr">
        <is>
          <t>GÄVLE</t>
        </is>
      </c>
      <c r="H345" t="inlineStr">
        <is>
          <t>Kyrkan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45261</v>
      </c>
      <c r="E346" s="1" t="n">
        <v>46266</v>
      </c>
      <c r="F346" t="inlineStr">
        <is>
          <t>GÄVLEBORGS LÄN</t>
        </is>
      </c>
      <c r="G346" t="inlineStr">
        <is>
          <t>GÄVLE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45545</v>
      </c>
      <c r="E347" s="1" t="n">
        <v>46266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45034</v>
      </c>
      <c r="E348" s="1" t="n">
        <v>46266</v>
      </c>
      <c r="F348" t="inlineStr">
        <is>
          <t>GÄVLEBORGS LÄN</t>
        </is>
      </c>
      <c r="G348" t="inlineStr">
        <is>
          <t>GÄVLE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46266</v>
      </c>
      <c r="F349" t="inlineStr">
        <is>
          <t>GÄVLEBORGS LÄN</t>
        </is>
      </c>
      <c r="G349" t="inlineStr">
        <is>
          <t>GÄVLE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45463</v>
      </c>
      <c r="E350" s="1" t="n">
        <v>46266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45740</v>
      </c>
      <c r="E351" s="1" t="n">
        <v>46266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44951</v>
      </c>
      <c r="E352" s="1" t="n">
        <v>46266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46266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45719</v>
      </c>
      <c r="E354" s="1" t="n">
        <v>46266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18217-2024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45420</v>
      </c>
      <c r="E355" s="1" t="n">
        <v>46266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46266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38627-2025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45884</v>
      </c>
      <c r="E357" s="1" t="n">
        <v>46266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45719</v>
      </c>
      <c r="E358" s="1" t="n">
        <v>46266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46266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45967</v>
      </c>
      <c r="E360" s="1" t="n">
        <v>46266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54966-2025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45967</v>
      </c>
      <c r="E361" s="1" t="n">
        <v>46266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46266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45967</v>
      </c>
      <c r="E363" s="1" t="n">
        <v>46266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44935</v>
      </c>
      <c r="E364" s="1" t="n">
        <v>46266</v>
      </c>
      <c r="F364" t="inlineStr">
        <is>
          <t>GÄVLEBORGS LÄN</t>
        </is>
      </c>
      <c r="G364" t="inlineStr">
        <is>
          <t>GÄVLE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46266</v>
      </c>
      <c r="F365" t="inlineStr">
        <is>
          <t>GÄVLEBORGS LÄN</t>
        </is>
      </c>
      <c r="G365" t="inlineStr">
        <is>
          <t>GÄVLE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46266</v>
      </c>
      <c r="F366" t="inlineStr">
        <is>
          <t>GÄVLEBORGS LÄN</t>
        </is>
      </c>
      <c r="G366" t="inlineStr">
        <is>
          <t>GÄVLE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46266</v>
      </c>
      <c r="F367" t="inlineStr">
        <is>
          <t>GÄVLEBORGS LÄN</t>
        </is>
      </c>
      <c r="G367" t="inlineStr">
        <is>
          <t>GÄVLE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56121-2025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46266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10352-2025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45720</v>
      </c>
      <c r="E369" s="1" t="n">
        <v>46266</v>
      </c>
      <c r="F369" t="inlineStr">
        <is>
          <t>GÄVLEBORGS LÄN</t>
        </is>
      </c>
      <c r="G369" t="inlineStr">
        <is>
          <t>GÄVLE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46266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46266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46266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44960</v>
      </c>
      <c r="E373" s="1" t="n">
        <v>46266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46266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46266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46266</v>
      </c>
      <c r="F376" t="inlineStr">
        <is>
          <t>GÄVLEBORGS LÄN</t>
        </is>
      </c>
      <c r="G376" t="inlineStr">
        <is>
          <t>GÄVLE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46266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46266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46266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46266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56268-2025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46266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46266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46266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46266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46266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8693-2024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46266</v>
      </c>
      <c r="F386" t="inlineStr">
        <is>
          <t>GÄVLEBORGS LÄN</t>
        </is>
      </c>
      <c r="G386" t="inlineStr">
        <is>
          <t>GÄVLE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65879-2021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44517</v>
      </c>
      <c r="E387" s="1" t="n">
        <v>46266</v>
      </c>
      <c r="F387" t="inlineStr">
        <is>
          <t>GÄVLEBORGS LÄN</t>
        </is>
      </c>
      <c r="G387" t="inlineStr">
        <is>
          <t>GÄVLE</t>
        </is>
      </c>
      <c r="H387" t="inlineStr">
        <is>
          <t>Kyrkan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46266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70043-2021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44533</v>
      </c>
      <c r="E389" s="1" t="n">
        <v>46266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45681</v>
      </c>
      <c r="E390" s="1" t="n">
        <v>46266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45526</v>
      </c>
      <c r="E391" s="1" t="n">
        <v>46266</v>
      </c>
      <c r="F391" t="inlineStr">
        <is>
          <t>GÄVLEBORGS LÄN</t>
        </is>
      </c>
      <c r="G391" t="inlineStr">
        <is>
          <t>GÄVLE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45593</v>
      </c>
      <c r="E392" s="1" t="n">
        <v>46266</v>
      </c>
      <c r="F392" t="inlineStr">
        <is>
          <t>GÄVLEBORGS LÄN</t>
        </is>
      </c>
      <c r="G392" t="inlineStr">
        <is>
          <t>GÄVLE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26131-2024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46266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46266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46266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45245</v>
      </c>
      <c r="E396" s="1" t="n">
        <v>46266</v>
      </c>
      <c r="F396" t="inlineStr">
        <is>
          <t>GÄVLEBORGS LÄN</t>
        </is>
      </c>
      <c r="G396" t="inlineStr">
        <is>
          <t>GÄVLE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46266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45469-2025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45922</v>
      </c>
      <c r="E398" s="1" t="n">
        <v>46266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45548-2025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45922</v>
      </c>
      <c r="E399" s="1" t="n">
        <v>46266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46266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46266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43742-2025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46266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58542-2025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46266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46266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45426-2025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45922</v>
      </c>
      <c r="E405" s="1" t="n">
        <v>46266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8.199999999999999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45546-2025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45922</v>
      </c>
      <c r="E406" s="1" t="n">
        <v>46266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46266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46266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46266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18162-2022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44684</v>
      </c>
      <c r="E410" s="1" t="n">
        <v>46266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45987</v>
      </c>
      <c r="E411" s="1" t="n">
        <v>46266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46266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46266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46266</v>
      </c>
      <c r="F414" t="inlineStr">
        <is>
          <t>GÄVLEBORGS LÄN</t>
        </is>
      </c>
      <c r="G414" t="inlineStr">
        <is>
          <t>GÄVLE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31062-2023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45113</v>
      </c>
      <c r="E415" s="1" t="n">
        <v>46266</v>
      </c>
      <c r="F415" t="inlineStr">
        <is>
          <t>GÄVLEBORGS LÄN</t>
        </is>
      </c>
      <c r="G415" t="inlineStr">
        <is>
          <t>GÄVLE</t>
        </is>
      </c>
      <c r="H415" t="inlineStr">
        <is>
          <t>Kommuner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46266</v>
      </c>
      <c r="F416" t="inlineStr">
        <is>
          <t>GÄVLEBORGS LÄN</t>
        </is>
      </c>
      <c r="G416" t="inlineStr">
        <is>
          <t>GÄVLE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59627-2025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46266</v>
      </c>
      <c r="F417" t="inlineStr">
        <is>
          <t>GÄVLEBORGS LÄN</t>
        </is>
      </c>
      <c r="G417" t="inlineStr">
        <is>
          <t>GÄVLE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60105-2025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46266</v>
      </c>
      <c r="F418" t="inlineStr">
        <is>
          <t>GÄVLEBORGS LÄN</t>
        </is>
      </c>
      <c r="G418" t="inlineStr">
        <is>
          <t>GÄVLE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26249-2022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44735</v>
      </c>
      <c r="E419" s="1" t="n">
        <v>46266</v>
      </c>
      <c r="F419" t="inlineStr">
        <is>
          <t>GÄVLEBORGS LÄN</t>
        </is>
      </c>
      <c r="G419" t="inlineStr">
        <is>
          <t>GÄVLE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46266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51876-2023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45223</v>
      </c>
      <c r="E421" s="1" t="n">
        <v>46266</v>
      </c>
      <c r="F421" t="inlineStr">
        <is>
          <t>GÄVLEBORGS LÄN</t>
        </is>
      </c>
      <c r="G421" t="inlineStr">
        <is>
          <t>GÄVLE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45995</v>
      </c>
      <c r="E422" s="1" t="n">
        <v>46266</v>
      </c>
      <c r="F422" t="inlineStr">
        <is>
          <t>GÄVLEBORGS LÄN</t>
        </is>
      </c>
      <c r="G422" t="inlineStr">
        <is>
          <t>GÄVLE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45715</v>
      </c>
      <c r="E423" s="1" t="n">
        <v>46266</v>
      </c>
      <c r="F423" t="inlineStr">
        <is>
          <t>GÄVLEBORGS LÄN</t>
        </is>
      </c>
      <c r="G423" t="inlineStr">
        <is>
          <t>GÄVLE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45968</v>
      </c>
      <c r="E424" s="1" t="n">
        <v>46266</v>
      </c>
      <c r="F424" t="inlineStr">
        <is>
          <t>GÄVLEBORGS LÄN</t>
        </is>
      </c>
      <c r="G424" t="inlineStr">
        <is>
          <t>GÄVLE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19555-2022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44693</v>
      </c>
      <c r="E425" s="1" t="n">
        <v>46266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60536-2025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45995</v>
      </c>
      <c r="E426" s="1" t="n">
        <v>46266</v>
      </c>
      <c r="F426" t="inlineStr">
        <is>
          <t>GÄVLEBORGS LÄN</t>
        </is>
      </c>
      <c r="G426" t="inlineStr">
        <is>
          <t>GÄVLE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15444-2024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45401</v>
      </c>
      <c r="E427" s="1" t="n">
        <v>46266</v>
      </c>
      <c r="F427" t="inlineStr">
        <is>
          <t>GÄVLEBORGS LÄN</t>
        </is>
      </c>
      <c r="G427" t="inlineStr">
        <is>
          <t>GÄVLE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46031</v>
      </c>
      <c r="E428" s="1" t="n">
        <v>46266</v>
      </c>
      <c r="F428" t="inlineStr">
        <is>
          <t>GÄVLEBORGS LÄN</t>
        </is>
      </c>
      <c r="G428" t="inlineStr">
        <is>
          <t>GÄVLE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61093-2025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46266</v>
      </c>
      <c r="F429" t="inlineStr">
        <is>
          <t>GÄVLEBORGS LÄN</t>
        </is>
      </c>
      <c r="G429" t="inlineStr">
        <is>
          <t>GÄVLE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23638-2024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45454</v>
      </c>
      <c r="E430" s="1" t="n">
        <v>46266</v>
      </c>
      <c r="F430" t="inlineStr">
        <is>
          <t>GÄVLEBORGS LÄN</t>
        </is>
      </c>
      <c r="G430" t="inlineStr">
        <is>
          <t>GÄVLE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49380-2024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45595</v>
      </c>
      <c r="E431" s="1" t="n">
        <v>46266</v>
      </c>
      <c r="F431" t="inlineStr">
        <is>
          <t>GÄVLEBORGS LÄN</t>
        </is>
      </c>
      <c r="G431" t="inlineStr">
        <is>
          <t>GÄVLE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45742</v>
      </c>
      <c r="E432" s="1" t="n">
        <v>46266</v>
      </c>
      <c r="F432" t="inlineStr">
        <is>
          <t>GÄVLEBORGS LÄN</t>
        </is>
      </c>
      <c r="G432" t="inlineStr">
        <is>
          <t>GÄVLE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46549-2021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44445</v>
      </c>
      <c r="E433" s="1" t="n">
        <v>46266</v>
      </c>
      <c r="F433" t="inlineStr">
        <is>
          <t>GÄVLEBORGS LÄN</t>
        </is>
      </c>
      <c r="G433" t="inlineStr">
        <is>
          <t>GÄVLE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44585</v>
      </c>
      <c r="E434" s="1" t="n">
        <v>46266</v>
      </c>
      <c r="F434" t="inlineStr">
        <is>
          <t>GÄVLEBORGS LÄN</t>
        </is>
      </c>
      <c r="G434" t="inlineStr">
        <is>
          <t>GÄVLE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46003</v>
      </c>
      <c r="E435" s="1" t="n">
        <v>46266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46002</v>
      </c>
      <c r="E436" s="1" t="n">
        <v>46266</v>
      </c>
      <c r="F436" t="inlineStr">
        <is>
          <t>GÄVLEBORGS LÄN</t>
        </is>
      </c>
      <c r="G436" t="inlineStr">
        <is>
          <t>GÄVLE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46002</v>
      </c>
      <c r="E437" s="1" t="n">
        <v>46266</v>
      </c>
      <c r="F437" t="inlineStr">
        <is>
          <t>GÄVLEBORGS LÄN</t>
        </is>
      </c>
      <c r="G437" t="inlineStr">
        <is>
          <t>GÄVLE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46002</v>
      </c>
      <c r="E438" s="1" t="n">
        <v>46266</v>
      </c>
      <c r="F438" t="inlineStr">
        <is>
          <t>GÄVLEBORGS LÄN</t>
        </is>
      </c>
      <c r="G438" t="inlineStr">
        <is>
          <t>GÄVLE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44735</v>
      </c>
      <c r="E439" s="1" t="n">
        <v>46266</v>
      </c>
      <c r="F439" t="inlineStr">
        <is>
          <t>GÄVLEBORGS LÄN</t>
        </is>
      </c>
      <c r="G439" t="inlineStr">
        <is>
          <t>GÄVLE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61879-2025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46003</v>
      </c>
      <c r="E440" s="1" t="n">
        <v>46266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20999-2022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44701</v>
      </c>
      <c r="E441" s="1" t="n">
        <v>46266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46006</v>
      </c>
      <c r="E442" s="1" t="n">
        <v>46266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45511</v>
      </c>
      <c r="E443" s="1" t="n">
        <v>46266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45630</v>
      </c>
      <c r="E444" s="1" t="n">
        <v>46266</v>
      </c>
      <c r="F444" t="inlineStr">
        <is>
          <t>GÄVLEBORGS LÄN</t>
        </is>
      </c>
      <c r="G444" t="inlineStr">
        <is>
          <t>GÄVLE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62742-2025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46008</v>
      </c>
      <c r="E445" s="1" t="n">
        <v>46266</v>
      </c>
      <c r="F445" t="inlineStr">
        <is>
          <t>GÄVLEBORGS LÄN</t>
        </is>
      </c>
      <c r="G445" t="inlineStr">
        <is>
          <t>GÄVLE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44684</v>
      </c>
      <c r="E446" s="1" t="n">
        <v>46266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44694</v>
      </c>
      <c r="E447" s="1" t="n">
        <v>46266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45855</v>
      </c>
      <c r="E448" s="1" t="n">
        <v>46266</v>
      </c>
      <c r="F448" t="inlineStr">
        <is>
          <t>GÄVLEBORGS LÄN</t>
        </is>
      </c>
      <c r="G448" t="inlineStr">
        <is>
          <t>GÄVLE</t>
        </is>
      </c>
      <c r="I448" t="n">
        <v>8.199999999999999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63801-2025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46019</v>
      </c>
      <c r="E449" s="1" t="n">
        <v>46266</v>
      </c>
      <c r="F449" t="inlineStr">
        <is>
          <t>GÄVLEBORGS LÄN</t>
        </is>
      </c>
      <c r="G449" t="inlineStr">
        <is>
          <t>GÄVLE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34233-2023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45138</v>
      </c>
      <c r="E450" s="1" t="n">
        <v>46266</v>
      </c>
      <c r="F450" t="inlineStr">
        <is>
          <t>GÄVLEBORGS LÄN</t>
        </is>
      </c>
      <c r="G450" t="inlineStr">
        <is>
          <t>GÄVLE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54953-2025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45967</v>
      </c>
      <c r="E451" s="1" t="n">
        <v>46266</v>
      </c>
      <c r="F451" t="inlineStr">
        <is>
          <t>GÄVLEBORGS LÄN</t>
        </is>
      </c>
      <c r="G451" t="inlineStr">
        <is>
          <t>GÄVLE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45932</v>
      </c>
      <c r="E452" s="1" t="n">
        <v>46266</v>
      </c>
      <c r="F452" t="inlineStr">
        <is>
          <t>GÄVLEBORGS LÄN</t>
        </is>
      </c>
      <c r="G452" t="inlineStr">
        <is>
          <t>GÄVLE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45932</v>
      </c>
      <c r="E453" s="1" t="n">
        <v>46266</v>
      </c>
      <c r="F453" t="inlineStr">
        <is>
          <t>GÄVLEBORGS LÄN</t>
        </is>
      </c>
      <c r="G453" t="inlineStr">
        <is>
          <t>GÄVLE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63800-2025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46019</v>
      </c>
      <c r="E454" s="1" t="n">
        <v>46266</v>
      </c>
      <c r="F454" t="inlineStr">
        <is>
          <t>GÄVLEBORGS LÄN</t>
        </is>
      </c>
      <c r="G454" t="inlineStr">
        <is>
          <t>GÄVLE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40091-2023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45168</v>
      </c>
      <c r="E455" s="1" t="n">
        <v>46266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42788-2025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45908</v>
      </c>
      <c r="E456" s="1" t="n">
        <v>46266</v>
      </c>
      <c r="F456" t="inlineStr">
        <is>
          <t>GÄVLEBORGS LÄN</t>
        </is>
      </c>
      <c r="G456" t="inlineStr">
        <is>
          <t>GÄVLE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46266</v>
      </c>
      <c r="F457" t="inlineStr">
        <is>
          <t>GÄVLEBORGS LÄN</t>
        </is>
      </c>
      <c r="G457" t="inlineStr">
        <is>
          <t>GÄVLE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48864-2025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45937</v>
      </c>
      <c r="E458" s="1" t="n">
        <v>46266</v>
      </c>
      <c r="F458" t="inlineStr">
        <is>
          <t>GÄVLEBORGS LÄN</t>
        </is>
      </c>
      <c r="G458" t="inlineStr">
        <is>
          <t>GÄVLE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44951</v>
      </c>
      <c r="E459" s="1" t="n">
        <v>46266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46266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46266</v>
      </c>
      <c r="F461" t="inlineStr">
        <is>
          <t>GÄVLEBORGS LÄN</t>
        </is>
      </c>
      <c r="G461" t="inlineStr">
        <is>
          <t>GÄVLE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46266</v>
      </c>
      <c r="F462" t="inlineStr">
        <is>
          <t>GÄVLEBORGS LÄN</t>
        </is>
      </c>
      <c r="G462" t="inlineStr">
        <is>
          <t>GÄVLE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45932</v>
      </c>
      <c r="E463" s="1" t="n">
        <v>46266</v>
      </c>
      <c r="F463" t="inlineStr">
        <is>
          <t>GÄVLEBORGS LÄN</t>
        </is>
      </c>
      <c r="G463" t="inlineStr">
        <is>
          <t>GÄVLE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64142-2025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46022</v>
      </c>
      <c r="E464" s="1" t="n">
        <v>46266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46266</v>
      </c>
      <c r="F465" t="inlineStr">
        <is>
          <t>GÄVLEBORGS LÄN</t>
        </is>
      </c>
      <c r="G465" t="inlineStr">
        <is>
          <t>GÄVLE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59322-2022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46266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44962</v>
      </c>
      <c r="E467" s="1" t="n">
        <v>46266</v>
      </c>
      <c r="F467" t="inlineStr">
        <is>
          <t>GÄVLEBORGS LÄN</t>
        </is>
      </c>
      <c r="G467" t="inlineStr">
        <is>
          <t>GÄVLE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45660</v>
      </c>
      <c r="E468" s="1" t="n">
        <v>46266</v>
      </c>
      <c r="F468" t="inlineStr">
        <is>
          <t>GÄVLEBORGS LÄN</t>
        </is>
      </c>
      <c r="G468" t="inlineStr">
        <is>
          <t>GÄVLE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46266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46266</v>
      </c>
      <c r="F470" t="inlineStr">
        <is>
          <t>GÄVLEBORGS LÄN</t>
        </is>
      </c>
      <c r="G470" t="inlineStr">
        <is>
          <t>GÄVLE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46266</v>
      </c>
      <c r="F471" t="inlineStr">
        <is>
          <t>GÄVLEBORGS LÄN</t>
        </is>
      </c>
      <c r="G471" t="inlineStr">
        <is>
          <t>GÄVLE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47108-2024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45586</v>
      </c>
      <c r="E472" s="1" t="n">
        <v>46266</v>
      </c>
      <c r="F472" t="inlineStr">
        <is>
          <t>GÄVLEBORGS LÄN</t>
        </is>
      </c>
      <c r="G472" t="inlineStr">
        <is>
          <t>GÄVLE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46266</v>
      </c>
      <c r="F473" t="inlineStr">
        <is>
          <t>GÄVLEBORGS LÄN</t>
        </is>
      </c>
      <c r="G473" t="inlineStr">
        <is>
          <t>GÄVLE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21300-2024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45440</v>
      </c>
      <c r="E474" s="1" t="n">
        <v>46266</v>
      </c>
      <c r="F474" t="inlineStr">
        <is>
          <t>GÄVLEBORGS LÄN</t>
        </is>
      </c>
      <c r="G474" t="inlineStr">
        <is>
          <t>GÄVLE</t>
        </is>
      </c>
      <c r="I474" t="n">
        <v>8.6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47746-2023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45203</v>
      </c>
      <c r="E475" s="1" t="n">
        <v>46266</v>
      </c>
      <c r="F475" t="inlineStr">
        <is>
          <t>GÄVLEBORGS LÄN</t>
        </is>
      </c>
      <c r="G475" t="inlineStr">
        <is>
          <t>GÄVLE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45632</v>
      </c>
      <c r="E476" s="1" t="n">
        <v>46266</v>
      </c>
      <c r="F476" t="inlineStr">
        <is>
          <t>GÄVLEBORGS LÄN</t>
        </is>
      </c>
      <c r="G476" t="inlineStr">
        <is>
          <t>GÄVLE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52495-2021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44466</v>
      </c>
      <c r="E477" s="1" t="n">
        <v>46266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34668-2024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45526</v>
      </c>
      <c r="E478" s="1" t="n">
        <v>46266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45666</v>
      </c>
      <c r="E479" s="1" t="n">
        <v>46266</v>
      </c>
      <c r="F479" t="inlineStr">
        <is>
          <t>GÄVLEBORGS LÄN</t>
        </is>
      </c>
      <c r="G479" t="inlineStr">
        <is>
          <t>GÄVLE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20689-2024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45436</v>
      </c>
      <c r="E480" s="1" t="n">
        <v>46266</v>
      </c>
      <c r="F480" t="inlineStr">
        <is>
          <t>GÄVLEBORGS LÄN</t>
        </is>
      </c>
      <c r="G480" t="inlineStr">
        <is>
          <t>GÄVLE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46266</v>
      </c>
      <c r="F481" t="inlineStr">
        <is>
          <t>GÄVLEBORGS LÄN</t>
        </is>
      </c>
      <c r="G481" t="inlineStr">
        <is>
          <t>GÄVLE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45120</v>
      </c>
      <c r="E482" s="1" t="n">
        <v>46266</v>
      </c>
      <c r="F482" t="inlineStr">
        <is>
          <t>GÄVLEBORGS LÄN</t>
        </is>
      </c>
      <c r="G482" t="inlineStr">
        <is>
          <t>GÄVLE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46266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46266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61301-2024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45645</v>
      </c>
      <c r="E485" s="1" t="n">
        <v>46266</v>
      </c>
      <c r="F485" t="inlineStr">
        <is>
          <t>GÄVLEBORGS LÄN</t>
        </is>
      </c>
      <c r="G485" t="inlineStr">
        <is>
          <t>GÄVLE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46266</v>
      </c>
      <c r="F486" t="inlineStr">
        <is>
          <t>GÄVLEBORGS LÄN</t>
        </is>
      </c>
      <c r="G486" t="inlineStr">
        <is>
          <t>GÄVLE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64868-2023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45282</v>
      </c>
      <c r="E487" s="1" t="n">
        <v>46266</v>
      </c>
      <c r="F487" t="inlineStr">
        <is>
          <t>GÄVLEBORGS LÄN</t>
        </is>
      </c>
      <c r="G487" t="inlineStr">
        <is>
          <t>GÄVLE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1974-2025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45672</v>
      </c>
      <c r="E488" s="1" t="n">
        <v>46266</v>
      </c>
      <c r="F488" t="inlineStr">
        <is>
          <t>GÄVLEBORGS LÄN</t>
        </is>
      </c>
      <c r="G488" t="inlineStr">
        <is>
          <t>GÄVLE</t>
        </is>
      </c>
      <c r="H488" t="inlineStr">
        <is>
          <t>Kyrkan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46266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45422</v>
      </c>
      <c r="E490" s="1" t="n">
        <v>46266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45162</v>
      </c>
      <c r="E491" s="1" t="n">
        <v>46266</v>
      </c>
      <c r="F491" t="inlineStr">
        <is>
          <t>GÄVLEBORGS LÄN</t>
        </is>
      </c>
      <c r="G491" t="inlineStr">
        <is>
          <t>GÄVLE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46266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45058</v>
      </c>
      <c r="E493" s="1" t="n">
        <v>46266</v>
      </c>
      <c r="F493" t="inlineStr">
        <is>
          <t>GÄVLEBORGS LÄN</t>
        </is>
      </c>
      <c r="G493" t="inlineStr">
        <is>
          <t>GÄVLE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46266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46266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44586</v>
      </c>
      <c r="E496" s="1" t="n">
        <v>46266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46266</v>
      </c>
      <c r="F497" t="inlineStr">
        <is>
          <t>GÄVLEBORGS LÄN</t>
        </is>
      </c>
      <c r="G497" t="inlineStr">
        <is>
          <t>GÄVLE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6681-2026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46056</v>
      </c>
      <c r="E498" s="1" t="n">
        <v>46266</v>
      </c>
      <c r="F498" t="inlineStr">
        <is>
          <t>GÄVLEBORGS LÄN</t>
        </is>
      </c>
      <c r="G498" t="inlineStr">
        <is>
          <t>GÄVLE</t>
        </is>
      </c>
      <c r="I498" t="n">
        <v>6.6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45658</v>
      </c>
      <c r="E499" s="1" t="n">
        <v>46266</v>
      </c>
      <c r="F499" t="inlineStr">
        <is>
          <t>GÄVLEBORGS LÄN</t>
        </is>
      </c>
      <c r="G499" t="inlineStr">
        <is>
          <t>GÄVLE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46266</v>
      </c>
      <c r="F500" t="inlineStr">
        <is>
          <t>GÄVLEBORGS LÄN</t>
        </is>
      </c>
      <c r="G500" t="inlineStr">
        <is>
          <t>GÄVLE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66351-2021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44518</v>
      </c>
      <c r="E501" s="1" t="n">
        <v>46266</v>
      </c>
      <c r="F501" t="inlineStr">
        <is>
          <t>GÄVLEBORGS LÄN</t>
        </is>
      </c>
      <c r="G501" t="inlineStr">
        <is>
          <t>GÄVLE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45084</v>
      </c>
      <c r="E502" s="1" t="n">
        <v>46266</v>
      </c>
      <c r="F502" t="inlineStr">
        <is>
          <t>GÄVLEBORGS LÄN</t>
        </is>
      </c>
      <c r="G502" t="inlineStr">
        <is>
          <t>GÄVLE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46058</v>
      </c>
      <c r="E503" s="1" t="n">
        <v>46266</v>
      </c>
      <c r="F503" t="inlineStr">
        <is>
          <t>GÄVLEBORGS LÄN</t>
        </is>
      </c>
      <c r="G503" t="inlineStr">
        <is>
          <t>GÄVLE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46266</v>
      </c>
      <c r="F504" t="inlineStr">
        <is>
          <t>GÄVLEBORGS LÄN</t>
        </is>
      </c>
      <c r="G504" t="inlineStr">
        <is>
          <t>GÄVLE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14553-2026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46100</v>
      </c>
      <c r="E505" s="1" t="n">
        <v>46266</v>
      </c>
      <c r="F505" t="inlineStr">
        <is>
          <t>GÄVLEBORGS LÄN</t>
        </is>
      </c>
      <c r="G505" t="inlineStr">
        <is>
          <t>GÄVLE</t>
        </is>
      </c>
      <c r="H505" t="inlineStr">
        <is>
          <t>Övriga statliga verk och myndigheter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29929-2022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44756</v>
      </c>
      <c r="E506" s="1" t="n">
        <v>46266</v>
      </c>
      <c r="F506" t="inlineStr">
        <is>
          <t>GÄVLEBORGS LÄN</t>
        </is>
      </c>
      <c r="G506" t="inlineStr">
        <is>
          <t>GÄVLE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38673-2024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45547</v>
      </c>
      <c r="E507" s="1" t="n">
        <v>46266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46063</v>
      </c>
      <c r="E508" s="1" t="n">
        <v>46266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11.6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46266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8298-2026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46266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46266</v>
      </c>
      <c r="F511" t="inlineStr">
        <is>
          <t>GÄVLEBORGS LÄN</t>
        </is>
      </c>
      <c r="G511" t="inlineStr">
        <is>
          <t>GÄVLE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46062</v>
      </c>
      <c r="E512" s="1" t="n">
        <v>46266</v>
      </c>
      <c r="F512" t="inlineStr">
        <is>
          <t>GÄVLEBORGS LÄN</t>
        </is>
      </c>
      <c r="G512" t="inlineStr">
        <is>
          <t>GÄVLE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44936</v>
      </c>
      <c r="E513" s="1" t="n">
        <v>46266</v>
      </c>
      <c r="F513" t="inlineStr">
        <is>
          <t>GÄVLEBORGS LÄN</t>
        </is>
      </c>
      <c r="G513" t="inlineStr">
        <is>
          <t>GÄVLE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8301-2026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46063</v>
      </c>
      <c r="E514" s="1" t="n">
        <v>46266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60442-2022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44911</v>
      </c>
      <c r="E515" s="1" t="n">
        <v>46266</v>
      </c>
      <c r="F515" t="inlineStr">
        <is>
          <t>GÄVLEBORGS LÄN</t>
        </is>
      </c>
      <c r="G515" t="inlineStr">
        <is>
          <t>GÄVLE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45600</v>
      </c>
      <c r="E516" s="1" t="n">
        <v>46266</v>
      </c>
      <c r="F516" t="inlineStr">
        <is>
          <t>GÄVLEBORGS LÄN</t>
        </is>
      </c>
      <c r="G516" t="inlineStr">
        <is>
          <t>GÄVLE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8558-2026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46065</v>
      </c>
      <c r="E517" s="1" t="n">
        <v>46266</v>
      </c>
      <c r="F517" t="inlineStr">
        <is>
          <t>GÄVLEBORGS LÄN</t>
        </is>
      </c>
      <c r="G517" t="inlineStr">
        <is>
          <t>GÄVLE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61786-2024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45649</v>
      </c>
      <c r="E518" s="1" t="n">
        <v>46266</v>
      </c>
      <c r="F518" t="inlineStr">
        <is>
          <t>GÄVLEBORGS LÄN</t>
        </is>
      </c>
      <c r="G518" t="inlineStr">
        <is>
          <t>GÄVLE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46069</v>
      </c>
      <c r="E519" s="1" t="n">
        <v>46266</v>
      </c>
      <c r="F519" t="inlineStr">
        <is>
          <t>GÄVLEBORGS LÄN</t>
        </is>
      </c>
      <c r="G519" t="inlineStr">
        <is>
          <t>GÄVLE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8954-2026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46266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47143-2024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45586</v>
      </c>
      <c r="E521" s="1" t="n">
        <v>46266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45320</v>
      </c>
      <c r="E522" s="1" t="n">
        <v>46266</v>
      </c>
      <c r="F522" t="inlineStr">
        <is>
          <t>GÄVLEBORGS LÄN</t>
        </is>
      </c>
      <c r="G522" t="inlineStr">
        <is>
          <t>GÄVLE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9534-2026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46071</v>
      </c>
      <c r="E523" s="1" t="n">
        <v>46266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10063-2026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46073</v>
      </c>
      <c r="E524" s="1" t="n">
        <v>46266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9779-2026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46266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46266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46266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46266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10504-2026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46077</v>
      </c>
      <c r="E529" s="1" t="n">
        <v>46266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32255-2023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45120</v>
      </c>
      <c r="E530" s="1" t="n">
        <v>46266</v>
      </c>
      <c r="F530" t="inlineStr">
        <is>
          <t>GÄVLEBORGS LÄN</t>
        </is>
      </c>
      <c r="G530" t="inlineStr">
        <is>
          <t>GÄVLE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46079</v>
      </c>
      <c r="E531" s="1" t="n">
        <v>46266</v>
      </c>
      <c r="F531" t="inlineStr">
        <is>
          <t>GÄVLEBORGS LÄN</t>
        </is>
      </c>
      <c r="G531" t="inlineStr">
        <is>
          <t>GÄVLE</t>
        </is>
      </c>
      <c r="H531" t="inlineStr">
        <is>
          <t>Kommuner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44800-2024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45574</v>
      </c>
      <c r="E532" s="1" t="n">
        <v>46266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46083</v>
      </c>
      <c r="E533" s="1" t="n">
        <v>46266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45312</v>
      </c>
      <c r="E534" s="1" t="n">
        <v>46266</v>
      </c>
      <c r="F534" t="inlineStr">
        <is>
          <t>GÄVLEBORGS LÄN</t>
        </is>
      </c>
      <c r="G534" t="inlineStr">
        <is>
          <t>GÄVLE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46266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46085</v>
      </c>
      <c r="E536" s="1" t="n">
        <v>46266</v>
      </c>
      <c r="F536" t="inlineStr">
        <is>
          <t>GÄVLEBORGS LÄN</t>
        </is>
      </c>
      <c r="G536" t="inlineStr">
        <is>
          <t>GÄVLE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59817-2023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45257</v>
      </c>
      <c r="E537" s="1" t="n">
        <v>46266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14173-2022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44651</v>
      </c>
      <c r="E538" s="1" t="n">
        <v>46266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46266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42876-2023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45182</v>
      </c>
      <c r="E540" s="1" t="n">
        <v>46266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22.7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12952-2026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46266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46092</v>
      </c>
      <c r="E542" s="1" t="n">
        <v>46266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46266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13498-2026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46266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46266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46266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46266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17404-2025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45757</v>
      </c>
      <c r="E548" s="1" t="n">
        <v>46266</v>
      </c>
      <c r="F548" t="inlineStr">
        <is>
          <t>GÄVLEBORGS LÄN</t>
        </is>
      </c>
      <c r="G548" t="inlineStr">
        <is>
          <t>GÄVLE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13521-2026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46266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46266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46266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46266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13503-2026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46266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13104-2026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46093</v>
      </c>
      <c r="E554" s="1" t="n">
        <v>46266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46266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45539</v>
      </c>
      <c r="E556" s="1" t="n">
        <v>46266</v>
      </c>
      <c r="F556" t="inlineStr">
        <is>
          <t>GÄVLEBORGS LÄN</t>
        </is>
      </c>
      <c r="G556" t="inlineStr">
        <is>
          <t>GÄVLE</t>
        </is>
      </c>
      <c r="I556" t="n">
        <v>9.4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46095</v>
      </c>
      <c r="E557" s="1" t="n">
        <v>46266</v>
      </c>
      <c r="F557" t="inlineStr">
        <is>
          <t>GÄVLEBORGS LÄN</t>
        </is>
      </c>
      <c r="G557" t="inlineStr">
        <is>
          <t>GÄVLE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45660</v>
      </c>
      <c r="E558" s="1" t="n">
        <v>46266</v>
      </c>
      <c r="F558" t="inlineStr">
        <is>
          <t>GÄVLEBORGS LÄN</t>
        </is>
      </c>
      <c r="G558" t="inlineStr">
        <is>
          <t>GÄVLE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46266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14280-2026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46099</v>
      </c>
      <c r="E560" s="1" t="n">
        <v>46266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46100</v>
      </c>
      <c r="E561" s="1" t="n">
        <v>46266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46266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väst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46266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14583-2026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46266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46104</v>
      </c>
      <c r="E565" s="1" t="n">
        <v>46266</v>
      </c>
      <c r="F565" t="inlineStr">
        <is>
          <t>GÄVLEBORGS LÄN</t>
        </is>
      </c>
      <c r="G565" t="inlineStr">
        <is>
          <t>GÄVLE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45673</v>
      </c>
      <c r="E566" s="1" t="n">
        <v>46266</v>
      </c>
      <c r="F566" t="inlineStr">
        <is>
          <t>GÄVLEBORGS LÄN</t>
        </is>
      </c>
      <c r="G566" t="inlineStr">
        <is>
          <t>GÄVLE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45673</v>
      </c>
      <c r="E567" s="1" t="n">
        <v>46266</v>
      </c>
      <c r="F567" t="inlineStr">
        <is>
          <t>GÄVLEBORGS LÄN</t>
        </is>
      </c>
      <c r="G567" t="inlineStr">
        <is>
          <t>GÄVLE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46266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15535-2026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46266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46105</v>
      </c>
      <c r="E570" s="1" t="n">
        <v>46266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61501-2024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45646</v>
      </c>
      <c r="E571" s="1" t="n">
        <v>46266</v>
      </c>
      <c r="F571" t="inlineStr">
        <is>
          <t>GÄVLEBORGS LÄN</t>
        </is>
      </c>
      <c r="G571" t="inlineStr">
        <is>
          <t>GÄVLE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47458-2022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44853</v>
      </c>
      <c r="E572" s="1" t="n">
        <v>46266</v>
      </c>
      <c r="F572" t="inlineStr">
        <is>
          <t>GÄVLEBORGS LÄN</t>
        </is>
      </c>
      <c r="G572" t="inlineStr">
        <is>
          <t>GÄVLE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44938-2022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44841</v>
      </c>
      <c r="E573" s="1" t="n">
        <v>46266</v>
      </c>
      <c r="F573" t="inlineStr">
        <is>
          <t>GÄVLEBORGS LÄN</t>
        </is>
      </c>
      <c r="G573" t="inlineStr">
        <is>
          <t>GÄVLE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15985-2026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46108</v>
      </c>
      <c r="E574" s="1" t="n">
        <v>46266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45330</v>
      </c>
      <c r="E575" s="1" t="n">
        <v>46266</v>
      </c>
      <c r="F575" t="inlineStr">
        <is>
          <t>GÄVLEBORGS LÄN</t>
        </is>
      </c>
      <c r="G575" t="inlineStr">
        <is>
          <t>GÄVLE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46111</v>
      </c>
      <c r="E576" s="1" t="n">
        <v>46266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50582-2023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45217</v>
      </c>
      <c r="E577" s="1" t="n">
        <v>46266</v>
      </c>
      <c r="F577" t="inlineStr">
        <is>
          <t>GÄVLEBORGS LÄN</t>
        </is>
      </c>
      <c r="G577" t="inlineStr">
        <is>
          <t>GÄVLE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46266</v>
      </c>
      <c r="F578" t="inlineStr">
        <is>
          <t>GÄVLEBORGS LÄN</t>
        </is>
      </c>
      <c r="G578" t="inlineStr">
        <is>
          <t>GÄVLE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9235-2022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44616</v>
      </c>
      <c r="E579" s="1" t="n">
        <v>46266</v>
      </c>
      <c r="F579" t="inlineStr">
        <is>
          <t>GÄVLEBORGS LÄN</t>
        </is>
      </c>
      <c r="G579" t="inlineStr">
        <is>
          <t>GÄVLE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46266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53082-2022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44876</v>
      </c>
      <c r="E581" s="1" t="n">
        <v>46266</v>
      </c>
      <c r="F581" t="inlineStr">
        <is>
          <t>GÄVLEBORGS LÄN</t>
        </is>
      </c>
      <c r="G581" t="inlineStr">
        <is>
          <t>GÄVLE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46266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72734-2021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44546</v>
      </c>
      <c r="E583" s="1" t="n">
        <v>46266</v>
      </c>
      <c r="F583" t="inlineStr">
        <is>
          <t>GÄVLEBORGS LÄN</t>
        </is>
      </c>
      <c r="G583" t="inlineStr">
        <is>
          <t>GÄVLE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18173-2026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46125</v>
      </c>
      <c r="E584" s="1" t="n">
        <v>46266</v>
      </c>
      <c r="F584" t="inlineStr">
        <is>
          <t>GÄVLEBORGS LÄN</t>
        </is>
      </c>
      <c r="G584" t="inlineStr">
        <is>
          <t>GÄVLE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11572-2026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46266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46125</v>
      </c>
      <c r="E586" s="1" t="n">
        <v>46266</v>
      </c>
      <c r="F586" t="inlineStr">
        <is>
          <t>GÄVLEBORGS LÄN</t>
        </is>
      </c>
      <c r="G586" t="inlineStr">
        <is>
          <t>GÄVLE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46124</v>
      </c>
      <c r="E587" s="1" t="n">
        <v>46266</v>
      </c>
      <c r="F587" t="inlineStr">
        <is>
          <t>GÄVLEBORGS LÄN</t>
        </is>
      </c>
      <c r="G587" t="inlineStr">
        <is>
          <t>GÄVLE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53432-2021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44468</v>
      </c>
      <c r="E588" s="1" t="n">
        <v>46266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17977-2026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46124</v>
      </c>
      <c r="E589" s="1" t="n">
        <v>46266</v>
      </c>
      <c r="F589" t="inlineStr">
        <is>
          <t>GÄVLEBORGS LÄN</t>
        </is>
      </c>
      <c r="G589" t="inlineStr">
        <is>
          <t>GÄVLE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17974-2026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46124</v>
      </c>
      <c r="E590" s="1" t="n">
        <v>46266</v>
      </c>
      <c r="F590" t="inlineStr">
        <is>
          <t>GÄVLEBORGS LÄN</t>
        </is>
      </c>
      <c r="G590" t="inlineStr">
        <is>
          <t>GÄVLE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46266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46128</v>
      </c>
      <c r="E592" s="1" t="n">
        <v>46266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58445-2021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44488</v>
      </c>
      <c r="E593" s="1" t="n">
        <v>46266</v>
      </c>
      <c r="F593" t="inlineStr">
        <is>
          <t>GÄVLEBORGS LÄN</t>
        </is>
      </c>
      <c r="G593" t="inlineStr">
        <is>
          <t>GÄVLE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15635-2026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46266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66493-2021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44519</v>
      </c>
      <c r="E595" s="1" t="n">
        <v>46266</v>
      </c>
      <c r="F595" t="inlineStr">
        <is>
          <t>GÄVLEBORGS LÄN</t>
        </is>
      </c>
      <c r="G595" t="inlineStr">
        <is>
          <t>GÄVLE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14966-2026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46266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18817-2026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46266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13492-2026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46266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15558-2026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46266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15568-2026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46266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15634-2026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46106</v>
      </c>
      <c r="E601" s="1" t="n">
        <v>46266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36.3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19087-2026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46132</v>
      </c>
      <c r="E602" s="1" t="n">
        <v>46266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19088-2026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46132</v>
      </c>
      <c r="E603" s="1" t="n">
        <v>46266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25812-2023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45090</v>
      </c>
      <c r="E604" s="1" t="n">
        <v>46266</v>
      </c>
      <c r="F604" t="inlineStr">
        <is>
          <t>GÄVLEBORGS LÄN</t>
        </is>
      </c>
      <c r="G604" t="inlineStr">
        <is>
          <t>GÄVLE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19085-2026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46266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46266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19370-2026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46266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46132</v>
      </c>
      <c r="E608" s="1" t="n">
        <v>46266</v>
      </c>
      <c r="F608" t="inlineStr">
        <is>
          <t>GÄVLEBORGS LÄN</t>
        </is>
      </c>
      <c r="G608" t="inlineStr">
        <is>
          <t>GÄVLE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44936</v>
      </c>
      <c r="E609" s="1" t="n">
        <v>46266</v>
      </c>
      <c r="F609" t="inlineStr">
        <is>
          <t>GÄVLEBORGS LÄN</t>
        </is>
      </c>
      <c r="G609" t="inlineStr">
        <is>
          <t>GÄVLE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46266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46266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46266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46134</v>
      </c>
      <c r="E613" s="1" t="n">
        <v>46266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46266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46266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19712-2026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46134</v>
      </c>
      <c r="E616" s="1" t="n">
        <v>46266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14365-2026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46266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19372-2026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46133</v>
      </c>
      <c r="E618" s="1" t="n">
        <v>46266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45312</v>
      </c>
      <c r="E619" s="1" t="n">
        <v>46266</v>
      </c>
      <c r="F619" t="inlineStr">
        <is>
          <t>GÄVLEBORGS LÄN</t>
        </is>
      </c>
      <c r="G619" t="inlineStr">
        <is>
          <t>GÄVLE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46266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7.2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51071-2023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45218</v>
      </c>
      <c r="E621" s="1" t="n">
        <v>46266</v>
      </c>
      <c r="F621" t="inlineStr">
        <is>
          <t>GÄVLEBORGS LÄN</t>
        </is>
      </c>
      <c r="G621" t="inlineStr">
        <is>
          <t>GÄVLE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17113-2024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45412</v>
      </c>
      <c r="E622" s="1" t="n">
        <v>46266</v>
      </c>
      <c r="F622" t="inlineStr">
        <is>
          <t>GÄVLEBORGS LÄN</t>
        </is>
      </c>
      <c r="G622" t="inlineStr">
        <is>
          <t>GÄVLE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44000-2025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45915</v>
      </c>
      <c r="E623" s="1" t="n">
        <v>46266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15324-2026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46105</v>
      </c>
      <c r="E624" s="1" t="n">
        <v>46266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46029</v>
      </c>
      <c r="E625" s="1" t="n">
        <v>46266</v>
      </c>
      <c r="F625" t="inlineStr">
        <is>
          <t>GÄVLEBORGS LÄN</t>
        </is>
      </c>
      <c r="G625" t="inlineStr">
        <is>
          <t>GÄVLE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15835-2026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46266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4402-2025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45686</v>
      </c>
      <c r="E627" s="1" t="n">
        <v>46266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49401-2024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45595</v>
      </c>
      <c r="E628" s="1" t="n">
        <v>46266</v>
      </c>
      <c r="F628" t="inlineStr">
        <is>
          <t>GÄVLEBORGS LÄN</t>
        </is>
      </c>
      <c r="G628" t="inlineStr">
        <is>
          <t>GÄVLE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46539-2021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44445</v>
      </c>
      <c r="E629" s="1" t="n">
        <v>46266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50537-2025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45945</v>
      </c>
      <c r="E630" s="1" t="n">
        <v>46266</v>
      </c>
      <c r="F630" t="inlineStr">
        <is>
          <t>GÄVLEBORGS LÄN</t>
        </is>
      </c>
      <c r="G630" t="inlineStr">
        <is>
          <t>GÄVLE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15801-2026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46266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64871-2023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45282</v>
      </c>
      <c r="E632" s="1" t="n">
        <v>46266</v>
      </c>
      <c r="F632" t="inlineStr">
        <is>
          <t>GÄVLEBORGS LÄN</t>
        </is>
      </c>
      <c r="G632" t="inlineStr">
        <is>
          <t>GÄVLE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64875-2023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45282</v>
      </c>
      <c r="E633" s="1" t="n">
        <v>46266</v>
      </c>
      <c r="F633" t="inlineStr">
        <is>
          <t>GÄVLEBORGS LÄN</t>
        </is>
      </c>
      <c r="G633" t="inlineStr">
        <is>
          <t>GÄVLE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64878-2023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45282</v>
      </c>
      <c r="E634" s="1" t="n">
        <v>46266</v>
      </c>
      <c r="F634" t="inlineStr">
        <is>
          <t>GÄVLEBORGS LÄN</t>
        </is>
      </c>
      <c r="G634" t="inlineStr">
        <is>
          <t>GÄVLE</t>
        </is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26094-2025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45805</v>
      </c>
      <c r="E635" s="1" t="n">
        <v>46266</v>
      </c>
      <c r="F635" t="inlineStr">
        <is>
          <t>GÄVLEBORGS LÄN</t>
        </is>
      </c>
      <c r="G635" t="inlineStr">
        <is>
          <t>GÄVLE</t>
        </is>
      </c>
      <c r="I635" t="n">
        <v>12.4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46266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35916-2025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45862</v>
      </c>
      <c r="E637" s="1" t="n">
        <v>46266</v>
      </c>
      <c r="F637" t="inlineStr">
        <is>
          <t>GÄVLEBORGS LÄN</t>
        </is>
      </c>
      <c r="G637" t="inlineStr">
        <is>
          <t>GÄVLE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46266</v>
      </c>
      <c r="F638" t="inlineStr">
        <is>
          <t>GÄVLEBORGS LÄN</t>
        </is>
      </c>
      <c r="G638" t="inlineStr">
        <is>
          <t>GÄVLE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42934-2023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46266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15101-2025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45744</v>
      </c>
      <c r="E640" s="1" t="n">
        <v>46266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36638-2022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44804</v>
      </c>
      <c r="E641" s="1" t="n">
        <v>46266</v>
      </c>
      <c r="F641" t="inlineStr">
        <is>
          <t>GÄVLEBORGS LÄN</t>
        </is>
      </c>
      <c r="G641" t="inlineStr">
        <is>
          <t>GÄVLE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45628-2022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44845</v>
      </c>
      <c r="E642" s="1" t="n">
        <v>46266</v>
      </c>
      <c r="F642" t="inlineStr">
        <is>
          <t>GÄVLEBORGS LÄN</t>
        </is>
      </c>
      <c r="G642" t="inlineStr">
        <is>
          <t>GÄVLE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42592-2025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45905</v>
      </c>
      <c r="E643" s="1" t="n">
        <v>46266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45715</v>
      </c>
      <c r="E644" s="1" t="n">
        <v>46266</v>
      </c>
      <c r="F644" t="inlineStr">
        <is>
          <t>GÄVLEBORGS LÄN</t>
        </is>
      </c>
      <c r="G644" t="inlineStr">
        <is>
          <t>GÄVLE</t>
        </is>
      </c>
      <c r="H644" t="inlineStr">
        <is>
          <t>Kyrkan</t>
        </is>
      </c>
      <c r="I644" t="n">
        <v>8.1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15536-2026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46266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22.4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46266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46266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15092-2026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46266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60792-2024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45644</v>
      </c>
      <c r="E649" s="1" t="n">
        <v>46266</v>
      </c>
      <c r="F649" t="inlineStr">
        <is>
          <t>GÄVLEBORGS LÄN</t>
        </is>
      </c>
      <c r="G649" t="inlineStr">
        <is>
          <t>GÄVLE</t>
        </is>
      </c>
      <c r="H649" t="inlineStr">
        <is>
          <t>Kyrkan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60801-2024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45644</v>
      </c>
      <c r="E650" s="1" t="n">
        <v>46266</v>
      </c>
      <c r="F650" t="inlineStr">
        <is>
          <t>GÄVLEBORGS LÄN</t>
        </is>
      </c>
      <c r="G650" t="inlineStr">
        <is>
          <t>GÄVLE</t>
        </is>
      </c>
      <c r="H650" t="inlineStr">
        <is>
          <t>Kyrkan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15105-2025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45744</v>
      </c>
      <c r="E651" s="1" t="n">
        <v>46266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22577-2022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44713</v>
      </c>
      <c r="E652" s="1" t="n">
        <v>46266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9331-2026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46266</v>
      </c>
      <c r="F653" t="inlineStr">
        <is>
          <t>GÄVLEBORGS LÄN</t>
        </is>
      </c>
      <c r="G653" t="inlineStr">
        <is>
          <t>GÄVLE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57168-2023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46266</v>
      </c>
      <c r="F654" t="inlineStr">
        <is>
          <t>GÄVLEBORGS LÄN</t>
        </is>
      </c>
      <c r="G654" t="inlineStr">
        <is>
          <t>GÄVLE</t>
        </is>
      </c>
      <c r="H654" t="inlineStr">
        <is>
          <t>Kyrkan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8568-2026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46065</v>
      </c>
      <c r="E655" s="1" t="n">
        <v>46266</v>
      </c>
      <c r="F655" t="inlineStr">
        <is>
          <t>GÄVLEBORGS LÄN</t>
        </is>
      </c>
      <c r="G655" t="inlineStr">
        <is>
          <t>GÄVLE</t>
        </is>
      </c>
      <c r="I655" t="n">
        <v>9.5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15689-2026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46107</v>
      </c>
      <c r="E656" s="1" t="n">
        <v>46266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15275-2026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46105</v>
      </c>
      <c r="E657" s="1" t="n">
        <v>46266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45400</v>
      </c>
      <c r="E658" s="1" t="n">
        <v>46266</v>
      </c>
      <c r="F658" t="inlineStr">
        <is>
          <t>GÄVLEBORGS LÄN</t>
        </is>
      </c>
      <c r="G658" t="inlineStr">
        <is>
          <t>GÄVLE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46069</v>
      </c>
      <c r="E659" s="1" t="n">
        <v>46266</v>
      </c>
      <c r="F659" t="inlineStr">
        <is>
          <t>GÄVLEBORGS LÄN</t>
        </is>
      </c>
      <c r="G659" t="inlineStr">
        <is>
          <t>GÄVLE</t>
        </is>
      </c>
      <c r="I659" t="n">
        <v>12.7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29016-2023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45104</v>
      </c>
      <c r="E660" s="1" t="n">
        <v>46266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60396-2022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44910</v>
      </c>
      <c r="E661" s="1" t="n">
        <v>46266</v>
      </c>
      <c r="F661" t="inlineStr">
        <is>
          <t>GÄVLEBORGS LÄN</t>
        </is>
      </c>
      <c r="G661" t="inlineStr">
        <is>
          <t>GÄVLE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36512-2025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45869</v>
      </c>
      <c r="E662" s="1" t="n">
        <v>46266</v>
      </c>
      <c r="F662" t="inlineStr">
        <is>
          <t>GÄVLEBORGS LÄN</t>
        </is>
      </c>
      <c r="G662" t="inlineStr">
        <is>
          <t>GÄVLE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25276-2024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45462</v>
      </c>
      <c r="E663" s="1" t="n">
        <v>46266</v>
      </c>
      <c r="F663" t="inlineStr">
        <is>
          <t>GÄVLEBORGS LÄN</t>
        </is>
      </c>
      <c r="G663" t="inlineStr">
        <is>
          <t>GÄVLE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45660</v>
      </c>
      <c r="E664" s="1" t="n">
        <v>46266</v>
      </c>
      <c r="F664" t="inlineStr">
        <is>
          <t>GÄVLEBORGS LÄN</t>
        </is>
      </c>
      <c r="G664" t="inlineStr">
        <is>
          <t>GÄVLE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45660</v>
      </c>
      <c r="E665" s="1" t="n">
        <v>46266</v>
      </c>
      <c r="F665" t="inlineStr">
        <is>
          <t>GÄVLEBORGS LÄN</t>
        </is>
      </c>
      <c r="G665" t="inlineStr">
        <is>
          <t>GÄVLE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27182-2022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44741</v>
      </c>
      <c r="E666" s="1" t="n">
        <v>46266</v>
      </c>
      <c r="F666" t="inlineStr">
        <is>
          <t>GÄVLEBORGS LÄN</t>
        </is>
      </c>
      <c r="G666" t="inlineStr">
        <is>
          <t>GÄVLE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14355-2026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46100</v>
      </c>
      <c r="E667" s="1" t="n">
        <v>46266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8031-2024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45350</v>
      </c>
      <c r="E668" s="1" t="n">
        <v>46266</v>
      </c>
      <c r="F668" t="inlineStr">
        <is>
          <t>GÄVLEBORGS LÄN</t>
        </is>
      </c>
      <c r="G668" t="inlineStr">
        <is>
          <t>GÄVLE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61351-2021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44498</v>
      </c>
      <c r="E669" s="1" t="n">
        <v>46266</v>
      </c>
      <c r="F669" t="inlineStr">
        <is>
          <t>GÄVLEBORGS LÄN</t>
        </is>
      </c>
      <c r="G669" t="inlineStr">
        <is>
          <t>GÄVLE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6331-2022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44600</v>
      </c>
      <c r="E670" s="1" t="n">
        <v>46266</v>
      </c>
      <c r="F670" t="inlineStr">
        <is>
          <t>GÄVLEBORGS LÄN</t>
        </is>
      </c>
      <c r="G670" t="inlineStr">
        <is>
          <t>GÄVLE</t>
        </is>
      </c>
      <c r="H670" t="inlineStr">
        <is>
          <t>Kyrkan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15647-2026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46266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46266</v>
      </c>
      <c r="F672" t="inlineStr">
        <is>
          <t>GÄVLEBORGS LÄN</t>
        </is>
      </c>
      <c r="G672" t="inlineStr">
        <is>
          <t>GÄVLE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46266</v>
      </c>
      <c r="F673" t="inlineStr">
        <is>
          <t>GÄVLEBORGS LÄN</t>
        </is>
      </c>
      <c r="G673" t="inlineStr">
        <is>
          <t>GÄVLE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53281-2024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45614</v>
      </c>
      <c r="E674" s="1" t="n">
        <v>46266</v>
      </c>
      <c r="F674" t="inlineStr">
        <is>
          <t>GÄVLEBORGS LÄN</t>
        </is>
      </c>
      <c r="G674" t="inlineStr">
        <is>
          <t>GÄVLE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60879-2023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45261</v>
      </c>
      <c r="E675" s="1" t="n">
        <v>46266</v>
      </c>
      <c r="F675" t="inlineStr">
        <is>
          <t>GÄVLEBORGS LÄN</t>
        </is>
      </c>
      <c r="G675" t="inlineStr">
        <is>
          <t>GÄVLE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10487-2026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46077</v>
      </c>
      <c r="E676" s="1" t="n">
        <v>46266</v>
      </c>
      <c r="F676" t="inlineStr">
        <is>
          <t>GÄVLEBORGS LÄN</t>
        </is>
      </c>
      <c r="G676" t="inlineStr">
        <is>
          <t>GÄVLE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16190-2026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46266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46111</v>
      </c>
      <c r="E678" s="1" t="n">
        <v>46266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46108</v>
      </c>
      <c r="E679" s="1" t="n">
        <v>46266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15312-2023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45019</v>
      </c>
      <c r="E680" s="1" t="n">
        <v>46266</v>
      </c>
      <c r="F680" t="inlineStr">
        <is>
          <t>GÄVLEBORGS LÄN</t>
        </is>
      </c>
      <c r="G680" t="inlineStr">
        <is>
          <t>GÄVLE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20736-2026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46141</v>
      </c>
      <c r="E681" s="1" t="n">
        <v>46266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46033</v>
      </c>
      <c r="E682" s="1" t="n">
        <v>46266</v>
      </c>
      <c r="F682" t="inlineStr">
        <is>
          <t>GÄVLEBORGS LÄN</t>
        </is>
      </c>
      <c r="G682" t="inlineStr">
        <is>
          <t>GÄVLE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20785-2026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46266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52387-2022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44874</v>
      </c>
      <c r="E684" s="1" t="n">
        <v>46266</v>
      </c>
      <c r="F684" t="inlineStr">
        <is>
          <t>GÄVLEBORGS LÄN</t>
        </is>
      </c>
      <c r="G684" t="inlineStr">
        <is>
          <t>GÄVLE</t>
        </is>
      </c>
      <c r="H684" t="inlineStr">
        <is>
          <t>Kommuner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31011-2023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45113</v>
      </c>
      <c r="E685" s="1" t="n">
        <v>46266</v>
      </c>
      <c r="F685" t="inlineStr">
        <is>
          <t>GÄVLEBORGS LÄN</t>
        </is>
      </c>
      <c r="G685" t="inlineStr">
        <is>
          <t>GÄVLE</t>
        </is>
      </c>
      <c r="I685" t="n">
        <v>5.2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7441-2025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45705</v>
      </c>
      <c r="E686" s="1" t="n">
        <v>46266</v>
      </c>
      <c r="F686" t="inlineStr">
        <is>
          <t>GÄVLEBORGS LÄN</t>
        </is>
      </c>
      <c r="G686" t="inlineStr">
        <is>
          <t>GÄVLE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21966-2025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45784</v>
      </c>
      <c r="E687" s="1" t="n">
        <v>46266</v>
      </c>
      <c r="F687" t="inlineStr">
        <is>
          <t>GÄVLEBORGS LÄN</t>
        </is>
      </c>
      <c r="G687" t="inlineStr">
        <is>
          <t>GÄVLE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22466-2023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46266</v>
      </c>
      <c r="F688" t="inlineStr">
        <is>
          <t>GÄVLEBORGS LÄN</t>
        </is>
      </c>
      <c r="G688" t="inlineStr">
        <is>
          <t>GÄVLE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20685-2026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46141</v>
      </c>
      <c r="E689" s="1" t="n">
        <v>46266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20735-2026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46141</v>
      </c>
      <c r="E690" s="1" t="n">
        <v>46266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16023-2023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45026</v>
      </c>
      <c r="E691" s="1" t="n">
        <v>46266</v>
      </c>
      <c r="F691" t="inlineStr">
        <is>
          <t>GÄVLEBORGS LÄN</t>
        </is>
      </c>
      <c r="G691" t="inlineStr">
        <is>
          <t>GÄVLE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25829-2024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45467</v>
      </c>
      <c r="E692" s="1" t="n">
        <v>46266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20906-2026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46142</v>
      </c>
      <c r="E693" s="1" t="n">
        <v>46266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45702</v>
      </c>
      <c r="E694" s="1" t="n">
        <v>46266</v>
      </c>
      <c r="F694" t="inlineStr">
        <is>
          <t>GÄVLEBORGS LÄN</t>
        </is>
      </c>
      <c r="G694" t="inlineStr">
        <is>
          <t>GÄVLE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20905-2026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46142</v>
      </c>
      <c r="E695" s="1" t="n">
        <v>46266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71215-2021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44539</v>
      </c>
      <c r="E696" s="1" t="n">
        <v>46266</v>
      </c>
      <c r="F696" t="inlineStr">
        <is>
          <t>GÄVLEBORGS LÄN</t>
        </is>
      </c>
      <c r="G696" t="inlineStr">
        <is>
          <t>GÄVLE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46045</v>
      </c>
      <c r="E697" s="1" t="n">
        <v>46266</v>
      </c>
      <c r="F697" t="inlineStr">
        <is>
          <t>GÄVLEBORGS LÄN</t>
        </is>
      </c>
      <c r="G697" t="inlineStr">
        <is>
          <t>GÄVLE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21364-2026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46147</v>
      </c>
      <c r="E698" s="1" t="n">
        <v>46266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61879-2024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45652</v>
      </c>
      <c r="E699" s="1" t="n">
        <v>46266</v>
      </c>
      <c r="F699" t="inlineStr">
        <is>
          <t>GÄVLEBORGS LÄN</t>
        </is>
      </c>
      <c r="G699" t="inlineStr">
        <is>
          <t>GÄVLE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21033-2026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46266</v>
      </c>
      <c r="F700" t="inlineStr">
        <is>
          <t>GÄVLEBORGS LÄN</t>
        </is>
      </c>
      <c r="G700" t="inlineStr">
        <is>
          <t>GÄVLE</t>
        </is>
      </c>
      <c r="H700" t="inlineStr">
        <is>
          <t>Kyrkan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19712-2022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44694</v>
      </c>
      <c r="E701" s="1" t="n">
        <v>46266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14707-2026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46101</v>
      </c>
      <c r="E702" s="1" t="n">
        <v>46266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39509-2022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44818</v>
      </c>
      <c r="E703" s="1" t="n">
        <v>46266</v>
      </c>
      <c r="F703" t="inlineStr">
        <is>
          <t>GÄVLEBORGS LÄN</t>
        </is>
      </c>
      <c r="G703" t="inlineStr">
        <is>
          <t>GÄVLE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16144-2026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46108</v>
      </c>
      <c r="E704" s="1" t="n">
        <v>46266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30662-2022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44763</v>
      </c>
      <c r="E705" s="1" t="n">
        <v>46266</v>
      </c>
      <c r="F705" t="inlineStr">
        <is>
          <t>GÄVLEBORGS LÄN</t>
        </is>
      </c>
      <c r="G705" t="inlineStr">
        <is>
          <t>GÄVLE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61004-2024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46266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37352-2024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45540</v>
      </c>
      <c r="E707" s="1" t="n">
        <v>46266</v>
      </c>
      <c r="F707" t="inlineStr">
        <is>
          <t>GÄVLEBORGS LÄN</t>
        </is>
      </c>
      <c r="G707" t="inlineStr">
        <is>
          <t>GÄVLE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17605-2025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46266</v>
      </c>
      <c r="F708" t="inlineStr">
        <is>
          <t>GÄVLEBORGS LÄN</t>
        </is>
      </c>
      <c r="G708" t="inlineStr">
        <is>
          <t>GÄVLE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17607-2025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45757</v>
      </c>
      <c r="E709" s="1" t="n">
        <v>46266</v>
      </c>
      <c r="F709" t="inlineStr">
        <is>
          <t>GÄVLEBORGS LÄN</t>
        </is>
      </c>
      <c r="G709" t="inlineStr">
        <is>
          <t>GÄVLE</t>
        </is>
      </c>
      <c r="I709" t="n">
        <v>7.6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22111-2026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46153</v>
      </c>
      <c r="E710" s="1" t="n">
        <v>46266</v>
      </c>
      <c r="F710" t="inlineStr">
        <is>
          <t>GÄVLEBORGS LÄN</t>
        </is>
      </c>
      <c r="G710" t="inlineStr">
        <is>
          <t>GÄVLE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22053-2026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46153</v>
      </c>
      <c r="E711" s="1" t="n">
        <v>46266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56487-2023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45243</v>
      </c>
      <c r="E712" s="1" t="n">
        <v>46266</v>
      </c>
      <c r="F712" t="inlineStr">
        <is>
          <t>GÄVLEBORGS LÄN</t>
        </is>
      </c>
      <c r="G712" t="inlineStr">
        <is>
          <t>GÄVLE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9307-2022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44616</v>
      </c>
      <c r="E713" s="1" t="n">
        <v>46266</v>
      </c>
      <c r="F713" t="inlineStr">
        <is>
          <t>GÄVLEBORGS LÄN</t>
        </is>
      </c>
      <c r="G713" t="inlineStr">
        <is>
          <t>GÄVLE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46153</v>
      </c>
      <c r="E714" s="1" t="n">
        <v>46266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46266</v>
      </c>
      <c r="F715" t="inlineStr">
        <is>
          <t>GÄVLEBORGS LÄN</t>
        </is>
      </c>
      <c r="G715" t="inlineStr">
        <is>
          <t>GÄVLE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46119</v>
      </c>
      <c r="E716" s="1" t="n">
        <v>46266</v>
      </c>
      <c r="F716" t="inlineStr">
        <is>
          <t>GÄVLEBORGS LÄN</t>
        </is>
      </c>
      <c r="G716" t="inlineStr">
        <is>
          <t>GÄVLE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13193-2025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46266</v>
      </c>
      <c r="F717" t="inlineStr">
        <is>
          <t>GÄVLEBORGS LÄN</t>
        </is>
      </c>
      <c r="G717" t="inlineStr">
        <is>
          <t>GÄVLE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15158-2026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46105</v>
      </c>
      <c r="E718" s="1" t="n">
        <v>46266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22545-2026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46266</v>
      </c>
      <c r="F719" t="inlineStr">
        <is>
          <t>GÄVLEBORGS LÄN</t>
        </is>
      </c>
      <c r="G719" t="inlineStr">
        <is>
          <t>GÄVLE</t>
        </is>
      </c>
      <c r="H719" t="inlineStr">
        <is>
          <t>Kyrkan</t>
        </is>
      </c>
      <c r="I719" t="n">
        <v>10.1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31866-2023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45106</v>
      </c>
      <c r="E720" s="1" t="n">
        <v>46266</v>
      </c>
      <c r="F720" t="inlineStr">
        <is>
          <t>GÄVLEBORGS LÄN</t>
        </is>
      </c>
      <c r="G720" t="inlineStr">
        <is>
          <t>GÄVLE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14807-2023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45014</v>
      </c>
      <c r="E721" s="1" t="n">
        <v>46266</v>
      </c>
      <c r="F721" t="inlineStr">
        <is>
          <t>GÄVLEBORGS LÄN</t>
        </is>
      </c>
      <c r="G721" t="inlineStr">
        <is>
          <t>GÄVLE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46155</v>
      </c>
      <c r="E722" s="1" t="n">
        <v>46266</v>
      </c>
      <c r="F722" t="inlineStr">
        <is>
          <t>GÄVLEBORGS LÄN</t>
        </is>
      </c>
      <c r="G722" t="inlineStr">
        <is>
          <t>GÄVLE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33880-2022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44790</v>
      </c>
      <c r="E723" s="1" t="n">
        <v>46266</v>
      </c>
      <c r="F723" t="inlineStr">
        <is>
          <t>GÄVLEBORGS LÄN</t>
        </is>
      </c>
      <c r="G723" t="inlineStr">
        <is>
          <t>GÄVLE</t>
        </is>
      </c>
      <c r="I723" t="n">
        <v>9.4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15152-2026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46266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6370-2025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45699</v>
      </c>
      <c r="E725" s="1" t="n">
        <v>46266</v>
      </c>
      <c r="F725" t="inlineStr">
        <is>
          <t>GÄVLEBORGS LÄN</t>
        </is>
      </c>
      <c r="G725" t="inlineStr">
        <is>
          <t>GÄVLE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46101</v>
      </c>
      <c r="E726" s="1" t="n">
        <v>46266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15.1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22342-2026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46154</v>
      </c>
      <c r="E727" s="1" t="n">
        <v>46266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15790-2026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46107</v>
      </c>
      <c r="E728" s="1" t="n">
        <v>46266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46800-2021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44446</v>
      </c>
      <c r="E729" s="1" t="n">
        <v>46266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15765-2026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46107</v>
      </c>
      <c r="E730" s="1" t="n">
        <v>46266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11691-2024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45373</v>
      </c>
      <c r="E731" s="1" t="n">
        <v>46266</v>
      </c>
      <c r="F731" t="inlineStr">
        <is>
          <t>GÄVLEBORGS LÄN</t>
        </is>
      </c>
      <c r="G731" t="inlineStr">
        <is>
          <t>GÄVLE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45312</v>
      </c>
      <c r="E732" s="1" t="n">
        <v>46266</v>
      </c>
      <c r="F732" t="inlineStr">
        <is>
          <t>GÄVLEBORGS LÄN</t>
        </is>
      </c>
      <c r="G732" t="inlineStr">
        <is>
          <t>GÄVLE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62766-2022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44885</v>
      </c>
      <c r="E733" s="1" t="n">
        <v>46266</v>
      </c>
      <c r="F733" t="inlineStr">
        <is>
          <t>GÄVLEBORGS LÄN</t>
        </is>
      </c>
      <c r="G733" t="inlineStr">
        <is>
          <t>GÄVLE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64873-2023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45282</v>
      </c>
      <c r="E734" s="1" t="n">
        <v>46266</v>
      </c>
      <c r="F734" t="inlineStr">
        <is>
          <t>GÄVLEBORGS LÄN</t>
        </is>
      </c>
      <c r="G734" t="inlineStr">
        <is>
          <t>GÄVLE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15469-2026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46106</v>
      </c>
      <c r="E735" s="1" t="n">
        <v>46266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15167-2026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46105</v>
      </c>
      <c r="E736" s="1" t="n">
        <v>46266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15711-2026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46107</v>
      </c>
      <c r="E737" s="1" t="n">
        <v>46266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22508-2026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46266</v>
      </c>
      <c r="F738" t="inlineStr">
        <is>
          <t>GÄVLEBORGS LÄN</t>
        </is>
      </c>
      <c r="G738" t="inlineStr">
        <is>
          <t>GÄVLE</t>
        </is>
      </c>
      <c r="H738" t="inlineStr">
        <is>
          <t>Kyrkan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23117-2026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46161</v>
      </c>
      <c r="E739" s="1" t="n">
        <v>46266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29862-2023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46266</v>
      </c>
      <c r="F740" t="inlineStr">
        <is>
          <t>GÄVLEBORGS LÄN</t>
        </is>
      </c>
      <c r="G740" t="inlineStr">
        <is>
          <t>GÄVLE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23591-2026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46163</v>
      </c>
      <c r="E741" s="1" t="n">
        <v>46266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14974-2026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46266</v>
      </c>
      <c r="F742" t="inlineStr">
        <is>
          <t>GÄVLEBORGS LÄN</t>
        </is>
      </c>
      <c r="G742" t="inlineStr">
        <is>
          <t>GÄVLE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24478-2023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46266</v>
      </c>
      <c r="F743" t="inlineStr">
        <is>
          <t>GÄVLEBORGS LÄN</t>
        </is>
      </c>
      <c r="G743" t="inlineStr">
        <is>
          <t>GÄVLE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17088-2023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45034</v>
      </c>
      <c r="E744" s="1" t="n">
        <v>46266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46266</v>
      </c>
      <c r="F745" t="inlineStr">
        <is>
          <t>GÄVLEBORGS LÄN</t>
        </is>
      </c>
      <c r="G745" t="inlineStr">
        <is>
          <t>GÄVLE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7792-2023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44973</v>
      </c>
      <c r="E746" s="1" t="n">
        <v>46266</v>
      </c>
      <c r="F746" t="inlineStr">
        <is>
          <t>GÄVLEBORGS LÄN</t>
        </is>
      </c>
      <c r="G746" t="inlineStr">
        <is>
          <t>GÄVLE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14735-2024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45397</v>
      </c>
      <c r="E747" s="1" t="n">
        <v>46266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35761-2022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44800</v>
      </c>
      <c r="E748" s="1" t="n">
        <v>46266</v>
      </c>
      <c r="F748" t="inlineStr">
        <is>
          <t>GÄVLEBORGS LÄN</t>
        </is>
      </c>
      <c r="G748" t="inlineStr">
        <is>
          <t>GÄVLE</t>
        </is>
      </c>
      <c r="I748" t="n">
        <v>8.199999999999999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24325-2026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46169</v>
      </c>
      <c r="E749" s="1" t="n">
        <v>46266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24398-2026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46169</v>
      </c>
      <c r="E750" s="1" t="n">
        <v>46266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24400-2026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46169</v>
      </c>
      <c r="E751" s="1" t="n">
        <v>46266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24295-2026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46266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24306-2026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46169</v>
      </c>
      <c r="E753" s="1" t="n">
        <v>46266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24089-2026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46266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24294-2026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46169</v>
      </c>
      <c r="E755" s="1" t="n">
        <v>46266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24090-2026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46266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46169</v>
      </c>
      <c r="E757" s="1" t="n">
        <v>46266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24099-2026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46266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61918-2023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45266</v>
      </c>
      <c r="E759" s="1" t="n">
        <v>46266</v>
      </c>
      <c r="F759" t="inlineStr">
        <is>
          <t>GÄVLEBORGS LÄN</t>
        </is>
      </c>
      <c r="G759" t="inlineStr">
        <is>
          <t>GÄVLE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24456-2026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46266</v>
      </c>
      <c r="F760" t="inlineStr">
        <is>
          <t>GÄVLEBORGS LÄN</t>
        </is>
      </c>
      <c r="G760" t="inlineStr">
        <is>
          <t>GÄVLE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17245-2024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45414</v>
      </c>
      <c r="E761" s="1" t="n">
        <v>46266</v>
      </c>
      <c r="F761" t="inlineStr">
        <is>
          <t>GÄVLEBORGS LÄN</t>
        </is>
      </c>
      <c r="G761" t="inlineStr">
        <is>
          <t>GÄVLE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24810-2026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46173</v>
      </c>
      <c r="E762" s="1" t="n">
        <v>46266</v>
      </c>
      <c r="F762" t="inlineStr">
        <is>
          <t>GÄVLEBORGS LÄN</t>
        </is>
      </c>
      <c r="G762" t="inlineStr">
        <is>
          <t>GÄVLE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62255-2022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44922</v>
      </c>
      <c r="E763" s="1" t="n">
        <v>46266</v>
      </c>
      <c r="F763" t="inlineStr">
        <is>
          <t>GÄVLEBORGS LÄN</t>
        </is>
      </c>
      <c r="G763" t="inlineStr">
        <is>
          <t>GÄVLE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57928-2024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45631</v>
      </c>
      <c r="E764" s="1" t="n">
        <v>46266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9422-2025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45715</v>
      </c>
      <c r="E765" s="1" t="n">
        <v>46266</v>
      </c>
      <c r="F765" t="inlineStr">
        <is>
          <t>GÄVLEBORGS LÄN</t>
        </is>
      </c>
      <c r="G765" t="inlineStr">
        <is>
          <t>GÄVLE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61843-2023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45266</v>
      </c>
      <c r="E766" s="1" t="n">
        <v>46266</v>
      </c>
      <c r="F766" t="inlineStr">
        <is>
          <t>GÄVLEBORGS LÄN</t>
        </is>
      </c>
      <c r="G766" t="inlineStr">
        <is>
          <t>GÄVLE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45660</v>
      </c>
      <c r="E767" s="1" t="n">
        <v>46266</v>
      </c>
      <c r="F767" t="inlineStr">
        <is>
          <t>GÄVLEBORGS LÄN</t>
        </is>
      </c>
      <c r="G767" t="inlineStr">
        <is>
          <t>GÄVLE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46171</v>
      </c>
      <c r="E768" s="1" t="n">
        <v>46266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21.4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21365-2026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46147</v>
      </c>
      <c r="E769" s="1" t="n">
        <v>46266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46176</v>
      </c>
      <c r="E770" s="1" t="n">
        <v>46266</v>
      </c>
      <c r="F770" t="inlineStr">
        <is>
          <t>GÄVLEBORGS LÄN</t>
        </is>
      </c>
      <c r="G770" t="inlineStr">
        <is>
          <t>GÄVLE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33449-2024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45519</v>
      </c>
      <c r="E771" s="1" t="n">
        <v>46266</v>
      </c>
      <c r="F771" t="inlineStr">
        <is>
          <t>GÄVLEBORGS LÄN</t>
        </is>
      </c>
      <c r="G771" t="inlineStr">
        <is>
          <t>GÄVLE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35440-2023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45146</v>
      </c>
      <c r="E772" s="1" t="n">
        <v>46266</v>
      </c>
      <c r="F772" t="inlineStr">
        <is>
          <t>GÄVLEBORGS LÄN</t>
        </is>
      </c>
      <c r="G772" t="inlineStr">
        <is>
          <t>GÄVLE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3662-2022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44586</v>
      </c>
      <c r="E773" s="1" t="n">
        <v>46266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7410-2025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45705</v>
      </c>
      <c r="E774" s="1" t="n">
        <v>46266</v>
      </c>
      <c r="F774" t="inlineStr">
        <is>
          <t>GÄVLEBORGS LÄN</t>
        </is>
      </c>
      <c r="G774" t="inlineStr">
        <is>
          <t>GÄVLE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46266</v>
      </c>
      <c r="F775" t="inlineStr">
        <is>
          <t>GÄVLEBORGS LÄN</t>
        </is>
      </c>
      <c r="G775" t="inlineStr">
        <is>
          <t>GÄVLE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35331-2024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45530</v>
      </c>
      <c r="E776" s="1" t="n">
        <v>46266</v>
      </c>
      <c r="F776" t="inlineStr">
        <is>
          <t>GÄVLEBORGS LÄN</t>
        </is>
      </c>
      <c r="G776" t="inlineStr">
        <is>
          <t>GÄVLE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44927</v>
      </c>
      <c r="E777" s="1" t="n">
        <v>46266</v>
      </c>
      <c r="F777" t="inlineStr">
        <is>
          <t>GÄVLEBORGS LÄN</t>
        </is>
      </c>
      <c r="G777" t="inlineStr">
        <is>
          <t>GÄVLE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44806-2024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45574</v>
      </c>
      <c r="E778" s="1" t="n">
        <v>46266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25808-2026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46178</v>
      </c>
      <c r="E779" s="1" t="n">
        <v>46266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21367-2026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46147</v>
      </c>
      <c r="E780" s="1" t="n">
        <v>46266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25500-2026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46177</v>
      </c>
      <c r="E781" s="1" t="n">
        <v>46266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20676-2026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46141</v>
      </c>
      <c r="E782" s="1" t="n">
        <v>46266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52250-2024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45608</v>
      </c>
      <c r="E783" s="1" t="n">
        <v>46266</v>
      </c>
      <c r="F783" t="inlineStr">
        <is>
          <t>GÄVLEBORGS LÄN</t>
        </is>
      </c>
      <c r="G783" t="inlineStr">
        <is>
          <t>GÄVLE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30875-2022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44767</v>
      </c>
      <c r="E784" s="1" t="n">
        <v>46266</v>
      </c>
      <c r="F784" t="inlineStr">
        <is>
          <t>GÄVLEBORGS LÄN</t>
        </is>
      </c>
      <c r="G784" t="inlineStr">
        <is>
          <t>GÄVLE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25513-2026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46177</v>
      </c>
      <c r="E785" s="1" t="n">
        <v>46266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60349-2022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44910</v>
      </c>
      <c r="E786" s="1" t="n">
        <v>46266</v>
      </c>
      <c r="F786" t="inlineStr">
        <is>
          <t>GÄVLEBORGS LÄN</t>
        </is>
      </c>
      <c r="G786" t="inlineStr">
        <is>
          <t>GÄVLE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25582-2026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46177</v>
      </c>
      <c r="E787" s="1" t="n">
        <v>46266</v>
      </c>
      <c r="F787" t="inlineStr">
        <is>
          <t>GÄVLEBORGS LÄN</t>
        </is>
      </c>
      <c r="G787" t="inlineStr">
        <is>
          <t>GÄVLE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41100-2024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45559</v>
      </c>
      <c r="E788" s="1" t="n">
        <v>46266</v>
      </c>
      <c r="F788" t="inlineStr">
        <is>
          <t>GÄVLEBORGS LÄN</t>
        </is>
      </c>
      <c r="G788" t="inlineStr">
        <is>
          <t>GÄVLE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25829-2026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46178</v>
      </c>
      <c r="E789" s="1" t="n">
        <v>46266</v>
      </c>
      <c r="F789" t="inlineStr">
        <is>
          <t>GÄVLEBORGS LÄN</t>
        </is>
      </c>
      <c r="G789" t="inlineStr">
        <is>
          <t>GÄVLE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25623-2026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46266</v>
      </c>
      <c r="F790" t="inlineStr">
        <is>
          <t>GÄVLEBORGS LÄN</t>
        </is>
      </c>
      <c r="G790" t="inlineStr">
        <is>
          <t>GÄVLE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26281-2026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46182</v>
      </c>
      <c r="E791" s="1" t="n">
        <v>46266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26016-2026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46181</v>
      </c>
      <c r="E792" s="1" t="n">
        <v>46266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35205-2024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45530</v>
      </c>
      <c r="E793" s="1" t="n">
        <v>46266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16401-2025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45751</v>
      </c>
      <c r="E794" s="1" t="n">
        <v>46266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5633-2024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45334</v>
      </c>
      <c r="E795" s="1" t="n">
        <v>46266</v>
      </c>
      <c r="F795" t="inlineStr">
        <is>
          <t>GÄVLEBORGS LÄN</t>
        </is>
      </c>
      <c r="G795" t="inlineStr">
        <is>
          <t>GÄVLE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26600-2026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46266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13961-2024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45392</v>
      </c>
      <c r="E797" s="1" t="n">
        <v>46266</v>
      </c>
      <c r="F797" t="inlineStr">
        <is>
          <t>GÄVLEBORGS LÄN</t>
        </is>
      </c>
      <c r="G797" t="inlineStr">
        <is>
          <t>GÄVLE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26599-2026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46266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26658-2026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46184</v>
      </c>
      <c r="E799" s="1" t="n">
        <v>46266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26991-2026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46185</v>
      </c>
      <c r="E800" s="1" t="n">
        <v>46266</v>
      </c>
      <c r="F800" t="inlineStr">
        <is>
          <t>GÄVLEBORGS LÄN</t>
        </is>
      </c>
      <c r="G800" t="inlineStr">
        <is>
          <t>GÄVLE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25466-2023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45089</v>
      </c>
      <c r="E801" s="1" t="n">
        <v>46266</v>
      </c>
      <c r="F801" t="inlineStr">
        <is>
          <t>GÄVLEBORGS LÄN</t>
        </is>
      </c>
      <c r="G801" t="inlineStr">
        <is>
          <t>GÄVLE</t>
        </is>
      </c>
      <c r="I801" t="n">
        <v>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46266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27052-2026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46266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46185</v>
      </c>
      <c r="E804" s="1" t="n">
        <v>46266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27067-2026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46266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27053-2026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46266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46266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7060-2022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44603</v>
      </c>
      <c r="E808" s="1" t="n">
        <v>46266</v>
      </c>
      <c r="F808" t="inlineStr">
        <is>
          <t>GÄVLEBORGS LÄN</t>
        </is>
      </c>
      <c r="G808" t="inlineStr">
        <is>
          <t>GÄVLE</t>
        </is>
      </c>
      <c r="I808" t="n">
        <v>10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41708-2023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45176</v>
      </c>
      <c r="E809" s="1" t="n">
        <v>46266</v>
      </c>
      <c r="F809" t="inlineStr">
        <is>
          <t>GÄVLEBORGS LÄN</t>
        </is>
      </c>
      <c r="G809" t="inlineStr">
        <is>
          <t>GÄVLE</t>
        </is>
      </c>
      <c r="I809" t="n">
        <v>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41712-2023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45176</v>
      </c>
      <c r="E810" s="1" t="n">
        <v>46266</v>
      </c>
      <c r="F810" t="inlineStr">
        <is>
          <t>GÄVLEBORGS LÄN</t>
        </is>
      </c>
      <c r="G810" t="inlineStr">
        <is>
          <t>GÄVLE</t>
        </is>
      </c>
      <c r="I810" t="n">
        <v>7.8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27057-2026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46185</v>
      </c>
      <c r="E811" s="1" t="n">
        <v>46266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27068-2026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46266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5413-2023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44959</v>
      </c>
      <c r="E813" s="1" t="n">
        <v>46266</v>
      </c>
      <c r="F813" t="inlineStr">
        <is>
          <t>GÄVLEBORGS LÄN</t>
        </is>
      </c>
      <c r="G813" t="inlineStr">
        <is>
          <t>GÄVLE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27361-2026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46188</v>
      </c>
      <c r="E814" s="1" t="n">
        <v>46266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27041-2026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46185</v>
      </c>
      <c r="E815" s="1" t="n">
        <v>46266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27051-2026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46185</v>
      </c>
      <c r="E816" s="1" t="n">
        <v>46266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27042-2026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46266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46266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27066-2026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46266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27069-2026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46266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4235-2025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45685</v>
      </c>
      <c r="E821" s="1" t="n">
        <v>46266</v>
      </c>
      <c r="F821" t="inlineStr">
        <is>
          <t>GÄVLEBORGS LÄN</t>
        </is>
      </c>
      <c r="G821" t="inlineStr">
        <is>
          <t>GÄVLE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27359-2026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46266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27360-2026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46188</v>
      </c>
      <c r="E823" s="1" t="n">
        <v>46266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26885-2026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46266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26942-2026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46266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46266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27040-2026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46266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27055-2026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46266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27059-2026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46266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27061-2026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46266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45660</v>
      </c>
      <c r="E831" s="1" t="n">
        <v>46266</v>
      </c>
      <c r="F831" t="inlineStr">
        <is>
          <t>GÄVLEBORGS LÄN</t>
        </is>
      </c>
      <c r="G831" t="inlineStr">
        <is>
          <t>GÄVLE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56138-2023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45240</v>
      </c>
      <c r="E832" s="1" t="n">
        <v>46266</v>
      </c>
      <c r="F832" t="inlineStr">
        <is>
          <t>GÄVLEBORGS LÄN</t>
        </is>
      </c>
      <c r="G832" t="inlineStr">
        <is>
          <t>GÄVLE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33635-2024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45520</v>
      </c>
      <c r="E833" s="1" t="n">
        <v>46266</v>
      </c>
      <c r="F833" t="inlineStr">
        <is>
          <t>GÄVLEBORGS LÄN</t>
        </is>
      </c>
      <c r="G833" t="inlineStr">
        <is>
          <t>GÄVLE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33637-2024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45520</v>
      </c>
      <c r="E834" s="1" t="n">
        <v>46266</v>
      </c>
      <c r="F834" t="inlineStr">
        <is>
          <t>GÄVLEBORGS LÄN</t>
        </is>
      </c>
      <c r="G834" t="inlineStr">
        <is>
          <t>GÄVLE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25645-2023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45089</v>
      </c>
      <c r="E835" s="1" t="n">
        <v>46266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7998-2023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44973</v>
      </c>
      <c r="E836" s="1" t="n">
        <v>46266</v>
      </c>
      <c r="F836" t="inlineStr">
        <is>
          <t>GÄVLEBORGS LÄN</t>
        </is>
      </c>
      <c r="G836" t="inlineStr">
        <is>
          <t>GÄVLE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19164-2026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46132</v>
      </c>
      <c r="E837" s="1" t="n">
        <v>46266</v>
      </c>
      <c r="F837" t="inlineStr">
        <is>
          <t>GÄVLEBORGS LÄN</t>
        </is>
      </c>
      <c r="G837" t="inlineStr">
        <is>
          <t>GÄVLE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54207-2023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45232</v>
      </c>
      <c r="E838" s="1" t="n">
        <v>46266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15935-2025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45749</v>
      </c>
      <c r="E839" s="1" t="n">
        <v>46266</v>
      </c>
      <c r="F839" t="inlineStr">
        <is>
          <t>GÄVLEBORGS LÄN</t>
        </is>
      </c>
      <c r="G839" t="inlineStr">
        <is>
          <t>GÄVLE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25814-2023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45090</v>
      </c>
      <c r="E840" s="1" t="n">
        <v>46266</v>
      </c>
      <c r="F840" t="inlineStr">
        <is>
          <t>GÄVLEBORGS LÄN</t>
        </is>
      </c>
      <c r="G840" t="inlineStr">
        <is>
          <t>GÄVLE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28332-2026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46196</v>
      </c>
      <c r="E841" s="1" t="n">
        <v>46266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46196</v>
      </c>
      <c r="E842" s="1" t="n">
        <v>46266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28379-2026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46266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14792-2023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45014</v>
      </c>
      <c r="E844" s="1" t="n">
        <v>46266</v>
      </c>
      <c r="F844" t="inlineStr">
        <is>
          <t>GÄVLEBORGS LÄN</t>
        </is>
      </c>
      <c r="G844" t="inlineStr">
        <is>
          <t>GÄVLE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28331-2026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46196</v>
      </c>
      <c r="E845" s="1" t="n">
        <v>46266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32437-2026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46239</v>
      </c>
      <c r="E846" s="1" t="n">
        <v>46266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12079-2025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45728</v>
      </c>
      <c r="E847" s="1" t="n">
        <v>46266</v>
      </c>
      <c r="F847" t="inlineStr">
        <is>
          <t>GÄVLEBORGS LÄN</t>
        </is>
      </c>
      <c r="G847" t="inlineStr">
        <is>
          <t>GÄVLE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45306</v>
      </c>
      <c r="E848" s="1" t="n">
        <v>46266</v>
      </c>
      <c r="F848" t="inlineStr">
        <is>
          <t>GÄVLEBORGS LÄN</t>
        </is>
      </c>
      <c r="G848" t="inlineStr">
        <is>
          <t>GÄVLE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28140-2026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46195</v>
      </c>
      <c r="E849" s="1" t="n">
        <v>46266</v>
      </c>
      <c r="F849" t="inlineStr">
        <is>
          <t>GÄVLEBORGS LÄN</t>
        </is>
      </c>
      <c r="G849" t="inlineStr">
        <is>
          <t>GÄVLE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32436-2026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46239</v>
      </c>
      <c r="E850" s="1" t="n">
        <v>46266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62983-2023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45272</v>
      </c>
      <c r="E851" s="1" t="n">
        <v>46266</v>
      </c>
      <c r="F851" t="inlineStr">
        <is>
          <t>GÄVLEBORGS LÄN</t>
        </is>
      </c>
      <c r="G851" t="inlineStr">
        <is>
          <t>GÄVLE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22968-2026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46160</v>
      </c>
      <c r="E852" s="1" t="n">
        <v>46266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29494-2026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46266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29506-2026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46198</v>
      </c>
      <c r="E854" s="1" t="n">
        <v>46266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52.7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33901-2024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45523</v>
      </c>
      <c r="E855" s="1" t="n">
        <v>46266</v>
      </c>
      <c r="F855" t="inlineStr">
        <is>
          <t>GÄVLEBORGS LÄN</t>
        </is>
      </c>
      <c r="G855" t="inlineStr">
        <is>
          <t>GÄVLE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28654-2026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46198</v>
      </c>
      <c r="E856" s="1" t="n">
        <v>46266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28485-2026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46197</v>
      </c>
      <c r="E857" s="1" t="n">
        <v>46266</v>
      </c>
      <c r="F857" t="inlineStr">
        <is>
          <t>GÄVLEBORGS LÄN</t>
        </is>
      </c>
      <c r="G857" t="inlineStr">
        <is>
          <t>GÄVLE</t>
        </is>
      </c>
      <c r="H857" t="inlineStr">
        <is>
          <t>BillerudKorsnäs AB</t>
        </is>
      </c>
      <c r="I857" t="n">
        <v>0.2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28656-2026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46198</v>
      </c>
      <c r="E858" s="1" t="n">
        <v>46266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3.8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28659-2026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46266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28655-2026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46198</v>
      </c>
      <c r="E860" s="1" t="n">
        <v>46266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28657-2026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46198</v>
      </c>
      <c r="E861" s="1" t="n">
        <v>46266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28658-2026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46198</v>
      </c>
      <c r="E862" s="1" t="n">
        <v>46266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32890-2026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46244</v>
      </c>
      <c r="E863" s="1" t="n">
        <v>46266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29142-2026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46202</v>
      </c>
      <c r="E864" s="1" t="n">
        <v>46266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46202</v>
      </c>
      <c r="E865" s="1" t="n">
        <v>46266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32887-2026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46244</v>
      </c>
      <c r="E866" s="1" t="n">
        <v>46266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32888-2026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46244</v>
      </c>
      <c r="E867" s="1" t="n">
        <v>46266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33265-2026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46246</v>
      </c>
      <c r="E868" s="1" t="n">
        <v>46266</v>
      </c>
      <c r="F868" t="inlineStr">
        <is>
          <t>GÄVLEBORGS LÄN</t>
        </is>
      </c>
      <c r="G868" t="inlineStr">
        <is>
          <t>GÄVLE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29364-2026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46203</v>
      </c>
      <c r="E869" s="1" t="n">
        <v>46266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33346-2026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46246</v>
      </c>
      <c r="E870" s="1" t="n">
        <v>46266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33350-2026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46246</v>
      </c>
      <c r="E871" s="1" t="n">
        <v>46266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33349-2026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46246</v>
      </c>
      <c r="E872" s="1" t="n">
        <v>46266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33231-2026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46246</v>
      </c>
      <c r="E873" s="1" t="n">
        <v>46266</v>
      </c>
      <c r="F873" t="inlineStr">
        <is>
          <t>GÄVLEBORGS LÄN</t>
        </is>
      </c>
      <c r="G873" t="inlineStr">
        <is>
          <t>GÄVLE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33347-2026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46246</v>
      </c>
      <c r="E874" s="1" t="n">
        <v>46266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4.2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33348-2026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46246</v>
      </c>
      <c r="E875" s="1" t="n">
        <v>46266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33719-2026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46251</v>
      </c>
      <c r="E876" s="1" t="n">
        <v>46266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15456-2026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46106</v>
      </c>
      <c r="E877" s="1" t="n">
        <v>46266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51758-2025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45950</v>
      </c>
      <c r="E878" s="1" t="n">
        <v>46266</v>
      </c>
      <c r="F878" t="inlineStr">
        <is>
          <t>GÄVLEBORGS LÄN</t>
        </is>
      </c>
      <c r="G878" t="inlineStr">
        <is>
          <t>GÄVLE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33586-2026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46248</v>
      </c>
      <c r="E879" s="1" t="n">
        <v>46266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31019-2026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46266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30324-2026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46207</v>
      </c>
      <c r="E881" s="1" t="n">
        <v>46266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22363-2026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46154</v>
      </c>
      <c r="E882" s="1" t="n">
        <v>46266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33664-2026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46248</v>
      </c>
      <c r="E883" s="1" t="n">
        <v>46266</v>
      </c>
      <c r="F883" t="inlineStr">
        <is>
          <t>GÄVLEBORGS LÄN</t>
        </is>
      </c>
      <c r="G883" t="inlineStr">
        <is>
          <t>GÄVLE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33662-2026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46248</v>
      </c>
      <c r="E884" s="1" t="n">
        <v>46266</v>
      </c>
      <c r="F884" t="inlineStr">
        <is>
          <t>GÄVLEBORGS LÄN</t>
        </is>
      </c>
      <c r="G884" t="inlineStr">
        <is>
          <t>GÄVLE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33585-2026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46248</v>
      </c>
      <c r="E885" s="1" t="n">
        <v>46266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9.5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24367-2026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46169</v>
      </c>
      <c r="E886" s="1" t="n">
        <v>46266</v>
      </c>
      <c r="F886" t="inlineStr">
        <is>
          <t>GÄVLEBORGS LÄN</t>
        </is>
      </c>
      <c r="G886" t="inlineStr">
        <is>
          <t>GÄVLE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34033-2026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46252</v>
      </c>
      <c r="E887" s="1" t="n">
        <v>46266</v>
      </c>
      <c r="F887" t="inlineStr">
        <is>
          <t>GÄVLEBORGS LÄN</t>
        </is>
      </c>
      <c r="G887" t="inlineStr">
        <is>
          <t>GÄVLE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30600-2026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46210</v>
      </c>
      <c r="E888" s="1" t="n">
        <v>46266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30601-2026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46210</v>
      </c>
      <c r="E889" s="1" t="n">
        <v>46266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34415-2026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46254</v>
      </c>
      <c r="E890" s="1" t="n">
        <v>46266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34590-2026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46255</v>
      </c>
      <c r="E891" s="1" t="n">
        <v>46266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34591-2026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46255</v>
      </c>
      <c r="E892" s="1" t="n">
        <v>46266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34593-2026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46255</v>
      </c>
      <c r="E893" s="1" t="n">
        <v>46266</v>
      </c>
      <c r="F893" t="inlineStr">
        <is>
          <t>GÄVLEBORGS LÄN</t>
        </is>
      </c>
      <c r="G893" t="inlineStr">
        <is>
          <t>GÄVLE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34432-2026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46254</v>
      </c>
      <c r="E894" s="1" t="n">
        <v>46266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30967-2026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46213</v>
      </c>
      <c r="E895" s="1" t="n">
        <v>46266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34733-2026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46258</v>
      </c>
      <c r="E896" s="1" t="n">
        <v>46266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11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34822-2026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46258</v>
      </c>
      <c r="E897" s="1" t="n">
        <v>46266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31445-2026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46217</v>
      </c>
      <c r="E898" s="1" t="n">
        <v>46266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30948-2026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46213</v>
      </c>
      <c r="E899" s="1" t="n">
        <v>46266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34686-2026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46258</v>
      </c>
      <c r="E900" s="1" t="n">
        <v>46266</v>
      </c>
      <c r="F900" t="inlineStr">
        <is>
          <t>GÄVLEBORGS LÄN</t>
        </is>
      </c>
      <c r="G900" t="inlineStr">
        <is>
          <t>GÄVLE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30969-2026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46213</v>
      </c>
      <c r="E901" s="1" t="n">
        <v>46266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30951-2026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46213</v>
      </c>
      <c r="E902" s="1" t="n">
        <v>46266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31234-2026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46217</v>
      </c>
      <c r="E903" s="1" t="n">
        <v>46266</v>
      </c>
      <c r="F903" t="inlineStr">
        <is>
          <t>GÄVLEBORGS LÄN</t>
        </is>
      </c>
      <c r="G903" t="inlineStr">
        <is>
          <t>GÄVLE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35388-2026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46261</v>
      </c>
      <c r="E904" s="1" t="n">
        <v>46266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35120-2026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46260</v>
      </c>
      <c r="E905" s="1" t="n">
        <v>46266</v>
      </c>
      <c r="F905" t="inlineStr">
        <is>
          <t>GÄVLEBORGS LÄN</t>
        </is>
      </c>
      <c r="G905" t="inlineStr">
        <is>
          <t>GÄVLE</t>
        </is>
      </c>
      <c r="I905" t="n">
        <v>5.6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35302-2026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46261</v>
      </c>
      <c r="E906" s="1" t="n">
        <v>46266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35326-2026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46261</v>
      </c>
      <c r="E907" s="1" t="n">
        <v>46266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5.2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35387-2026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46261</v>
      </c>
      <c r="E908" s="1" t="n">
        <v>46266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35780-2026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46265</v>
      </c>
      <c r="E909" s="1" t="n">
        <v>46266</v>
      </c>
      <c r="F909" t="inlineStr">
        <is>
          <t>GÄVLEBORGS LÄN</t>
        </is>
      </c>
      <c r="G909" t="inlineStr">
        <is>
          <t>GÄVLE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46262</v>
      </c>
      <c r="E910" s="1" t="n">
        <v>46266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5.3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31528-2026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46220</v>
      </c>
      <c r="E911" s="1" t="n">
        <v>46266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11.4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35495-2026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46262</v>
      </c>
      <c r="E912" s="1" t="n">
        <v>46266</v>
      </c>
      <c r="F912" t="inlineStr">
        <is>
          <t>GÄVLEBORGS LÄN</t>
        </is>
      </c>
      <c r="G912" t="inlineStr">
        <is>
          <t>GÄVLE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35818-2026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46265</v>
      </c>
      <c r="E913" s="1" t="n">
        <v>46266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31566-2026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46223</v>
      </c>
      <c r="E914" s="1" t="n">
        <v>46266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10.2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35577-2026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46262</v>
      </c>
      <c r="E915" s="1" t="n">
        <v>46266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35561-2026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46262</v>
      </c>
      <c r="E916" s="1" t="n">
        <v>46266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3425-2023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45205</v>
      </c>
      <c r="E917" s="1" t="n">
        <v>46266</v>
      </c>
      <c r="F917" t="inlineStr">
        <is>
          <t>GÄVLEBORGS LÄN</t>
        </is>
      </c>
      <c r="G917" t="inlineStr">
        <is>
          <t>GÄVLE</t>
        </is>
      </c>
      <c r="I917" t="n">
        <v>0.2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  <c r="Z917">
        <f>HYPERLINK("https://klasma.github.io/Logging_2180/knärot/S 3425-2023 karta knärot.png", "S 3425-2023")</f>
        <v/>
      </c>
      <c r="AA917">
        <f>HYPERLINK("https://klasma.github.io/Logging_2180/klagomål/S 3425-2023 FSC-klagomål.docx", "S 3425-2023")</f>
        <v/>
      </c>
      <c r="AB917">
        <f>HYPERLINK("https://klasma.github.io/Logging_2180/klagomålsmail/S 3425-2023 FSC-klagomål mail.docx", "S 3425-2023")</f>
        <v/>
      </c>
      <c r="AC917">
        <f>HYPERLINK("https://klasma.github.io/Logging_2180/tillsyn/S 3425-2023 tillsynsbegäran.docx", "S 3425-2023")</f>
        <v/>
      </c>
      <c r="AD917">
        <f>HYPERLINK("https://klasma.github.io/Logging_2180/tillsynsmail/S 3425-2023 tillsynsbegäran mail.docx", "S 3425-2023")</f>
        <v/>
      </c>
    </row>
    <row r="918" ht="15" customHeight="1">
      <c r="A918" t="inlineStr">
        <is>
          <t>S 889-2023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44995</v>
      </c>
      <c r="E918" s="1" t="n">
        <v>46266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väst AB</t>
        </is>
      </c>
      <c r="I918" t="n">
        <v>13.3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886-2024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45376</v>
      </c>
      <c r="E919" s="1" t="n">
        <v>46266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2464-2024</t>
        </is>
      </c>
      <c r="B920" t="inlineStr">
        <is>
          <t>samrådsanmälan</t>
        </is>
      </c>
      <c r="C920" t="inlineStr">
        <is>
          <t>Skogsbilväg</t>
        </is>
      </c>
      <c r="D920" s="1" t="n">
        <v>45470</v>
      </c>
      <c r="E920" s="1" t="n">
        <v>46266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>
      <c r="A921" t="inlineStr">
        <is>
          <t>S 644-2026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46089</v>
      </c>
      <c r="E921" s="1" t="n">
        <v>46266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29.2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2026-09-01T02:05:48Z</dcterms:created>
  <dcterms:modified xmlns:dcterms="http://purl.org/dc/terms/" xmlns:xsi="http://www.w3.org/2001/XMLSchema-instance" xsi:type="dcterms:W3CDTF">2026-09-01T02:05:49Z</dcterms:modified>
</cp:coreProperties>
</file>