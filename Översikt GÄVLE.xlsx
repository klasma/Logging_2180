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46301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46301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46301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46301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46301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46301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46301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46301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46301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46301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46301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46301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46301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46301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14564-2025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45741</v>
      </c>
      <c r="E16" s="1" t="n">
        <v>46301</v>
      </c>
      <c r="F16" t="inlineStr">
        <is>
          <t>GÄVLEBORGS LÄN</t>
        </is>
      </c>
      <c r="G16" t="inlineStr">
        <is>
          <t>GÄVLE</t>
        </is>
      </c>
      <c r="I16" t="n">
        <v>2</v>
      </c>
      <c r="J16" t="n">
        <v>1</v>
      </c>
      <c r="K16" t="n">
        <v>2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5</v>
      </c>
      <c r="U16" t="n">
        <v>5</v>
      </c>
      <c r="V16" s="2" t="inlineStr">
        <is>
          <t>Garnlav
Knärot
Kattfotslav
Guldlockmossa
Korallblylav</t>
        </is>
      </c>
      <c r="W16">
        <f>HYPERLINK("https://klasma.github.io/Logging_2180/artfynd/A 14564-2025 artfynd.xlsx", "A 14564-2025")</f>
        <v/>
      </c>
      <c r="X16">
        <f>HYPERLINK("https://klasma.github.io/Logging_2180/kartor/A 14564-2025 karta.png", "A 14564-2025")</f>
        <v/>
      </c>
      <c r="Y16">
        <f>HYPERLINK("https://klasma.github.io/Logging_2180/kartor_geotiff/A 14564-2025 georefererad karta.tif", "A 14564-2025")</f>
        <v/>
      </c>
      <c r="Z16">
        <f>HYPERLINK("https://klasma.github.io/Logging_2180/knärot/A 14564-2025 karta knärot.png", "A 14564-2025")</f>
        <v/>
      </c>
      <c r="AA16">
        <f>HYPERLINK("https://klasma.github.io/Logging_2180/klagomål/A 14564-2025 FSC-klagomål.docx", "A 14564-2025")</f>
        <v/>
      </c>
      <c r="AB16">
        <f>HYPERLINK("https://klasma.github.io/Logging_2180/klagomålsmail/A 14564-2025 FSC-klagomål mail.docx", "A 14564-2025")</f>
        <v/>
      </c>
      <c r="AC16">
        <f>HYPERLINK("https://klasma.github.io/Logging_2180/tillsyn/A 14564-2025 tillsynsbegäran.docx", "A 14564-2025")</f>
        <v/>
      </c>
      <c r="AD16">
        <f>HYPERLINK("https://klasma.github.io/Logging_2180/tillsynsmail/A 14564-2025 tillsynsbegäran mail.docx", "A 14564-2025")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46301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46301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46301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46301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46301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46301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46301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46301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3193-2026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46301</v>
      </c>
      <c r="F25" t="inlineStr">
        <is>
          <t>GÄVLEBORGS LÄN</t>
        </is>
      </c>
      <c r="G25" t="inlineStr">
        <is>
          <t>GÄVLE</t>
        </is>
      </c>
      <c r="I25" t="n">
        <v>10.3</v>
      </c>
      <c r="J25" t="n">
        <v>4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1</v>
      </c>
      <c r="V25" s="2" t="inlineStr">
        <is>
          <t>Trastsångare
Enkelbeckasin
Buskskvätta
Trana</t>
        </is>
      </c>
      <c r="W25">
        <f>HYPERLINK("https://klasma.github.io/Logging_2180/artfynd/A 3193-2026 artfynd.xlsx", "A 3193-2026")</f>
        <v/>
      </c>
      <c r="X25">
        <f>HYPERLINK("https://klasma.github.io/Logging_2180/kartor/A 3193-2026 karta.png", "A 3193-2026")</f>
        <v/>
      </c>
      <c r="Y25">
        <f>HYPERLINK("https://klasma.github.io/Logging_2180/kartor_geotiff/A 3193-2026 georefererad karta.tif", "A 3193-2026")</f>
        <v/>
      </c>
      <c r="AA25">
        <f>HYPERLINK("https://klasma.github.io/Logging_2180/klagomål/A 3193-2026 FSC-klagomål.docx", "A 3193-2026")</f>
        <v/>
      </c>
      <c r="AB25">
        <f>HYPERLINK("https://klasma.github.io/Logging_2180/klagomålsmail/A 3193-2026 FSC-klagomål mail.docx", "A 3193-2026")</f>
        <v/>
      </c>
      <c r="AC25">
        <f>HYPERLINK("https://klasma.github.io/Logging_2180/tillsyn/A 3193-2026 tillsynsbegäran.docx", "A 3193-2026")</f>
        <v/>
      </c>
      <c r="AD25">
        <f>HYPERLINK("https://klasma.github.io/Logging_2180/tillsynsmail/A 3193-2026 tillsynsbegäran mail.docx", "A 3193-2026")</f>
        <v/>
      </c>
      <c r="AE25">
        <f>HYPERLINK("https://klasma.github.io/Logging_2180/fåglar/A 3193-2026 prioriterade fågelarter.docx", "A 3193-2026")</f>
        <v/>
      </c>
    </row>
    <row r="26" ht="15" customHeight="1">
      <c r="A26" t="inlineStr">
        <is>
          <t>A 6080-2026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46052</v>
      </c>
      <c r="E26" s="1" t="n">
        <v>46301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öst AB</t>
        </is>
      </c>
      <c r="I26" t="n">
        <v>2</v>
      </c>
      <c r="J26" t="n">
        <v>0</v>
      </c>
      <c r="K26" t="n">
        <v>0</v>
      </c>
      <c r="L26" t="n">
        <v>1</v>
      </c>
      <c r="M26" t="n">
        <v>3</v>
      </c>
      <c r="N26" t="n">
        <v>0</v>
      </c>
      <c r="O26" t="n">
        <v>0</v>
      </c>
      <c r="P26" t="n">
        <v>0</v>
      </c>
      <c r="Q26" t="n">
        <v>4</v>
      </c>
      <c r="R26" t="n">
        <v>3</v>
      </c>
      <c r="S26" t="n">
        <v>4</v>
      </c>
      <c r="T26" t="n">
        <v>4</v>
      </c>
      <c r="U26" t="n">
        <v>0</v>
      </c>
      <c r="V26" s="2" t="inlineStr">
        <is>
          <t>Bredbrämad bastardsvärmare
Mindre bastardsvärmare
Ängsblåvinge
Storfläckig kungsnattslända</t>
        </is>
      </c>
      <c r="W26">
        <f>HYPERLINK("https://klasma.github.io/Logging_2180/artfynd/A 6080-2026 artfynd.xlsx", "A 6080-2026")</f>
        <v/>
      </c>
      <c r="X26">
        <f>HYPERLINK("https://klasma.github.io/Logging_2180/kartor/A 6080-2026 karta.png", "A 6080-2026")</f>
        <v/>
      </c>
      <c r="Y26">
        <f>HYPERLINK("https://klasma.github.io/Logging_2180/kartor_geotiff/A 6080-2026 georefererad karta.tif", "A 6080-2026")</f>
        <v/>
      </c>
      <c r="AA26">
        <f>HYPERLINK("https://klasma.github.io/Logging_2180/klagomål/A 6080-2026 FSC-klagomål.docx", "A 6080-2026")</f>
        <v/>
      </c>
      <c r="AB26">
        <f>HYPERLINK("https://klasma.github.io/Logging_2180/klagomålsmail/A 6080-2026 FSC-klagomål mail.docx", "A 6080-2026")</f>
        <v/>
      </c>
      <c r="AC26">
        <f>HYPERLINK("https://klasma.github.io/Logging_2180/tillsyn/A 6080-2026 tillsynsbegäran.docx", "A 6080-2026")</f>
        <v/>
      </c>
      <c r="AD26">
        <f>HYPERLINK("https://klasma.github.io/Logging_2180/tillsynsmail/A 6080-2026 tillsynsbegäran mail.docx", "A 6080-2026")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46301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Pärluggla
Enkelbeckasin
Rödvingetrast
Nattskärra</t>
        </is>
      </c>
      <c r="W27">
        <f>HYPERLINK("https://klasma.github.io/Logging_2180/artfynd/A 5487-2025 artfynd.xlsx", "A 5487-2025")</f>
        <v/>
      </c>
      <c r="X27">
        <f>HYPERLINK("https://klasma.github.io/Logging_2180/kartor/A 5487-2025 karta.png", "A 5487-2025")</f>
        <v/>
      </c>
      <c r="Y27">
        <f>HYPERLINK("https://klasma.github.io/Logging_2180/kartor_geotiff/A 5487-2025 georefererad karta.tif", "A 5487-2025")</f>
        <v/>
      </c>
      <c r="AA27">
        <f>HYPERLINK("https://klasma.github.io/Logging_2180/klagomål/A 5487-2025 FSC-klagomål.docx", "A 5487-2025")</f>
        <v/>
      </c>
      <c r="AB27">
        <f>HYPERLINK("https://klasma.github.io/Logging_2180/klagomålsmail/A 5487-2025 FSC-klagomål mail.docx", "A 5487-2025")</f>
        <v/>
      </c>
      <c r="AC27">
        <f>HYPERLINK("https://klasma.github.io/Logging_2180/tillsyn/A 5487-2025 tillsynsbegäran.docx", "A 5487-2025")</f>
        <v/>
      </c>
      <c r="AD27">
        <f>HYPERLINK("https://klasma.github.io/Logging_2180/tillsynsmail/A 5487-2025 tillsynsbegäran mail.docx", "A 5487-2025")</f>
        <v/>
      </c>
      <c r="AE27">
        <f>HYPERLINK("https://klasma.github.io/Logging_2180/fåglar/A 5487-2025 prioriterade fågelarter.docx", "A 5487-2025")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46301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Kolflarnlav
Reliktbock
Vedflamlav
Vedskivlav</t>
        </is>
      </c>
      <c r="W28">
        <f>HYPERLINK("https://klasma.github.io/Logging_2180/artfynd/A 41028-2025 artfynd.xlsx", "A 41028-2025")</f>
        <v/>
      </c>
      <c r="X28">
        <f>HYPERLINK("https://klasma.github.io/Logging_2180/kartor/A 41028-2025 karta.png", "A 41028-2025")</f>
        <v/>
      </c>
      <c r="Y28">
        <f>HYPERLINK("https://klasma.github.io/Logging_2180/kartor_geotiff/A 41028-2025 georefererad karta.tif", "A 41028-2025")</f>
        <v/>
      </c>
      <c r="AA28">
        <f>HYPERLINK("https://klasma.github.io/Logging_2180/klagomål/A 41028-2025 FSC-klagomål.docx", "A 41028-2025")</f>
        <v/>
      </c>
      <c r="AB28">
        <f>HYPERLINK("https://klasma.github.io/Logging_2180/klagomålsmail/A 41028-2025 FSC-klagomål mail.docx", "A 41028-2025")</f>
        <v/>
      </c>
      <c r="AC28">
        <f>HYPERLINK("https://klasma.github.io/Logging_2180/tillsyn/A 41028-2025 tillsynsbegäran.docx", "A 41028-2025")</f>
        <v/>
      </c>
      <c r="AD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46301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46301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Rödvingetrast
Talltita
Grönsiska</t>
        </is>
      </c>
      <c r="W30">
        <f>HYPERLINK("https://klasma.github.io/Logging_2180/artfynd/A 4287-2024 artfynd.xlsx", "A 4287-2024")</f>
        <v/>
      </c>
      <c r="X30">
        <f>HYPERLINK("https://klasma.github.io/Logging_2180/kartor/A 4287-2024 karta.png", "A 4287-2024")</f>
        <v/>
      </c>
      <c r="Y30">
        <f>HYPERLINK("https://klasma.github.io/Logging_2180/kartor_geotiff/A 4287-2024 georefererad karta.tif", "A 4287-2024")</f>
        <v/>
      </c>
      <c r="AA30">
        <f>HYPERLINK("https://klasma.github.io/Logging_2180/klagomål/A 4287-2024 FSC-klagomål.docx", "A 4287-2024")</f>
        <v/>
      </c>
      <c r="AB30">
        <f>HYPERLINK("https://klasma.github.io/Logging_2180/klagomålsmail/A 4287-2024 FSC-klagomål mail.docx", "A 4287-2024")</f>
        <v/>
      </c>
      <c r="AC30">
        <f>HYPERLINK("https://klasma.github.io/Logging_2180/tillsyn/A 4287-2024 tillsynsbegäran.docx", "A 4287-2024")</f>
        <v/>
      </c>
      <c r="AD30">
        <f>HYPERLINK("https://klasma.github.io/Logging_2180/tillsynsmail/A 4287-2024 tillsynsbegäran mail.docx", "A 4287-2024")</f>
        <v/>
      </c>
      <c r="AE30">
        <f>HYPERLINK("https://klasma.github.io/Logging_2180/fåglar/A 4287-2024 prioriterade fågelarter.docx", "A 4287-2024")</f>
        <v/>
      </c>
    </row>
    <row r="31" ht="15" customHeight="1">
      <c r="A31" t="inlineStr">
        <is>
          <t>A 1100-2024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46301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väst AB</t>
        </is>
      </c>
      <c r="I31" t="n">
        <v>3.9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Tallticka
Vedskivlav
Vågbandad barkbock</t>
        </is>
      </c>
      <c r="W31">
        <f>HYPERLINK("https://klasma.github.io/Logging_2180/artfynd/A 1100-2024 artfynd.xlsx", "A 1100-2024")</f>
        <v/>
      </c>
      <c r="X31">
        <f>HYPERLINK("https://klasma.github.io/Logging_2180/kartor/A 1100-2024 karta.png", "A 1100-2024")</f>
        <v/>
      </c>
      <c r="Y31">
        <f>HYPERLINK("https://klasma.github.io/Logging_2180/kartor_geotiff/A 1100-2024 georefererad karta.tif", "A 1100-2024")</f>
        <v/>
      </c>
      <c r="AA31">
        <f>HYPERLINK("https://klasma.github.io/Logging_2180/klagomål/A 1100-2024 FSC-klagomål.docx", "A 1100-2024")</f>
        <v/>
      </c>
      <c r="AB31">
        <f>HYPERLINK("https://klasma.github.io/Logging_2180/klagomålsmail/A 1100-2024 FSC-klagomål mail.docx", "A 1100-2024")</f>
        <v/>
      </c>
      <c r="AC31">
        <f>HYPERLINK("https://klasma.github.io/Logging_2180/tillsyn/A 1100-2024 tillsynsbegäran.docx", "A 1100-2024")</f>
        <v/>
      </c>
      <c r="AD31">
        <f>HYPERLINK("https://klasma.github.io/Logging_2180/tillsynsmail/A 1100-2024 tillsynsbegäran mail.docx", "A 1100-2024")</f>
        <v/>
      </c>
    </row>
    <row r="32" ht="15" customHeight="1">
      <c r="A32" t="inlineStr">
        <is>
          <t>A 20006-2026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46136</v>
      </c>
      <c r="E32" s="1" t="n">
        <v>46301</v>
      </c>
      <c r="F32" t="inlineStr">
        <is>
          <t>GÄVLEBORGS LÄN</t>
        </is>
      </c>
      <c r="G32" t="inlineStr">
        <is>
          <t>GÄVLE</t>
        </is>
      </c>
      <c r="I32" t="n">
        <v>1.2</v>
      </c>
      <c r="J32" t="n">
        <v>0</v>
      </c>
      <c r="K32" t="n">
        <v>2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Ask
Sårläka
Myskmadra
Mörk husmossa</t>
        </is>
      </c>
      <c r="W32">
        <f>HYPERLINK("https://klasma.github.io/Logging_2180/artfynd/A 20006-2026 artfynd.xlsx", "A 20006-2026")</f>
        <v/>
      </c>
      <c r="X32">
        <f>HYPERLINK("https://klasma.github.io/Logging_2180/kartor/A 20006-2026 karta.png", "A 20006-2026")</f>
        <v/>
      </c>
      <c r="Y32">
        <f>HYPERLINK("https://klasma.github.io/Logging_2180/kartor_geotiff/A 20006-2026 georefererad karta.tif", "A 20006-2026")</f>
        <v/>
      </c>
      <c r="AA32">
        <f>HYPERLINK("https://klasma.github.io/Logging_2180/klagomål/A 20006-2026 FSC-klagomål.docx", "A 20006-2026")</f>
        <v/>
      </c>
      <c r="AB32">
        <f>HYPERLINK("https://klasma.github.io/Logging_2180/klagomålsmail/A 20006-2026 FSC-klagomål mail.docx", "A 20006-2026")</f>
        <v/>
      </c>
      <c r="AC32">
        <f>HYPERLINK("https://klasma.github.io/Logging_2180/tillsyn/A 20006-2026 tillsynsbegäran.docx", "A 20006-2026")</f>
        <v/>
      </c>
      <c r="AD32">
        <f>HYPERLINK("https://klasma.github.io/Logging_2180/tillsynsmail/A 20006-2026 tillsynsbegäran mail.docx", "A 20006-2026")</f>
        <v/>
      </c>
    </row>
    <row r="33" ht="15" customHeight="1">
      <c r="A33" t="inlineStr">
        <is>
          <t>A 64567-2023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46301</v>
      </c>
      <c r="F33" t="inlineStr">
        <is>
          <t>GÄVLEBORGS LÄN</t>
        </is>
      </c>
      <c r="G33" t="inlineStr">
        <is>
          <t>GÄVLE</t>
        </is>
      </c>
      <c r="I33" t="n">
        <v>2.6</v>
      </c>
      <c r="J33" t="n">
        <v>0</v>
      </c>
      <c r="K33" t="n">
        <v>2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1</v>
      </c>
      <c r="V33" s="2" t="inlineStr">
        <is>
          <t>Ask
Brunfläckig pärlemorfjäril
Jättesvampmal
Strimspindling</t>
        </is>
      </c>
      <c r="W33">
        <f>HYPERLINK("https://klasma.github.io/Logging_2180/artfynd/A 64567-2023 artfynd.xlsx", "A 64567-2023")</f>
        <v/>
      </c>
      <c r="X33">
        <f>HYPERLINK("https://klasma.github.io/Logging_2180/kartor/A 64567-2023 karta.png", "A 64567-2023")</f>
        <v/>
      </c>
      <c r="Y33">
        <f>HYPERLINK("https://klasma.github.io/Logging_2180/kartor_geotiff/A 64567-2023 georefererad karta.tif", "A 64567-2023")</f>
        <v/>
      </c>
      <c r="AA33">
        <f>HYPERLINK("https://klasma.github.io/Logging_2180/klagomål/A 64567-2023 FSC-klagomål.docx", "A 64567-2023")</f>
        <v/>
      </c>
      <c r="AB33">
        <f>HYPERLINK("https://klasma.github.io/Logging_2180/klagomålsmail/A 64567-2023 FSC-klagomål mail.docx", "A 64567-2023")</f>
        <v/>
      </c>
      <c r="AC33">
        <f>HYPERLINK("https://klasma.github.io/Logging_2180/tillsyn/A 64567-2023 tillsynsbegäran.docx", "A 64567-2023")</f>
        <v/>
      </c>
      <c r="AD33">
        <f>HYPERLINK("https://klasma.github.io/Logging_2180/tillsynsmail/A 64567-2023 tillsynsbegäran mail.docx", "A 64567-2023")</f>
        <v/>
      </c>
    </row>
    <row r="34" ht="15" customHeight="1">
      <c r="A34" t="inlineStr">
        <is>
          <t>A 38344-2026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46282</v>
      </c>
      <c r="E34" s="1" t="n">
        <v>46301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3.9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38344-2026 artfynd.xlsx", "A 38344-2026")</f>
        <v/>
      </c>
      <c r="X34">
        <f>HYPERLINK("https://klasma.github.io/Logging_2180/kartor/A 38344-2026 karta.png", "A 38344-2026")</f>
        <v/>
      </c>
      <c r="Y34">
        <f>HYPERLINK("https://klasma.github.io/Logging_2180/kartor_geotiff/A 38344-2026 georefererad karta.tif", "A 38344-2026")</f>
        <v/>
      </c>
      <c r="AA34">
        <f>HYPERLINK("https://klasma.github.io/Logging_2180/klagomål/A 38344-2026 FSC-klagomål.docx", "A 38344-2026")</f>
        <v/>
      </c>
      <c r="AB34">
        <f>HYPERLINK("https://klasma.github.io/Logging_2180/klagomålsmail/A 38344-2026 FSC-klagomål mail.docx", "A 38344-2026")</f>
        <v/>
      </c>
      <c r="AC34">
        <f>HYPERLINK("https://klasma.github.io/Logging_2180/tillsyn/A 38344-2026 tillsynsbegäran.docx", "A 38344-2026")</f>
        <v/>
      </c>
      <c r="AD34">
        <f>HYPERLINK("https://klasma.github.io/Logging_2180/tillsynsmail/A 38344-2026 tillsynsbegäran mail.docx", "A 38344-2026")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46301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24904-2026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46301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24904-2026 artfynd.xlsx", "A 24904-2026")</f>
        <v/>
      </c>
      <c r="X36">
        <f>HYPERLINK("https://klasma.github.io/Logging_2180/kartor/A 24904-2026 karta.png", "A 24904-2026")</f>
        <v/>
      </c>
      <c r="Y36">
        <f>HYPERLINK("https://klasma.github.io/Logging_2180/kartor_geotiff/A 24904-2026 georefererad karta.tif", "A 24904-2026")</f>
        <v/>
      </c>
      <c r="AA36">
        <f>HYPERLINK("https://klasma.github.io/Logging_2180/klagomål/A 24904-2026 FSC-klagomål.docx", "A 24904-2026")</f>
        <v/>
      </c>
      <c r="AB36">
        <f>HYPERLINK("https://klasma.github.io/Logging_2180/klagomålsmail/A 24904-2026 FSC-klagomål mail.docx", "A 24904-2026")</f>
        <v/>
      </c>
      <c r="AC36">
        <f>HYPERLINK("https://klasma.github.io/Logging_2180/tillsyn/A 24904-2026 tillsynsbegäran.docx", "A 24904-2026")</f>
        <v/>
      </c>
      <c r="AD36">
        <f>HYPERLINK("https://klasma.github.io/Logging_2180/tillsynsmail/A 24904-2026 tillsynsbegäran mail.docx", "A 24904-2026")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46301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46301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Brunklöver
Tjäder
Huggorm</t>
        </is>
      </c>
      <c r="W38">
        <f>HYPERLINK("https://klasma.github.io/Logging_2180/artfynd/A 18215-2024 artfynd.xlsx", "A 18215-2024")</f>
        <v/>
      </c>
      <c r="X38">
        <f>HYPERLINK("https://klasma.github.io/Logging_2180/kartor/A 18215-2024 karta.png", "A 18215-2024")</f>
        <v/>
      </c>
      <c r="Y38">
        <f>HYPERLINK("https://klasma.github.io/Logging_2180/kartor_geotiff/A 18215-2024 georefererad karta.tif", "A 18215-2024")</f>
        <v/>
      </c>
      <c r="AA38">
        <f>HYPERLINK("https://klasma.github.io/Logging_2180/klagomål/A 18215-2024 FSC-klagomål.docx", "A 18215-2024")</f>
        <v/>
      </c>
      <c r="AB38">
        <f>HYPERLINK("https://klasma.github.io/Logging_2180/klagomålsmail/A 18215-2024 FSC-klagomål mail.docx", "A 18215-2024")</f>
        <v/>
      </c>
      <c r="AC38">
        <f>HYPERLINK("https://klasma.github.io/Logging_2180/tillsyn/A 18215-2024 tillsynsbegäran.docx", "A 18215-2024")</f>
        <v/>
      </c>
      <c r="AD38">
        <f>HYPERLINK("https://klasma.github.io/Logging_2180/tillsynsmail/A 18215-2024 tillsynsbegäran mail.docx", "A 18215-2024")</f>
        <v/>
      </c>
      <c r="AE38">
        <f>HYPERLINK("https://klasma.github.io/Logging_2180/fåglar/A 18215-2024 prioriterade fågelarter.docx", "A 18215-2024")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46301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46301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46301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46301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46301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37764-2026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46301</v>
      </c>
      <c r="F44" t="inlineStr">
        <is>
          <t>GÄVLEBORGS LÄN</t>
        </is>
      </c>
      <c r="G44" t="inlineStr">
        <is>
          <t>GÄVLE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Vårärt
Blåsippa
Gullviva</t>
        </is>
      </c>
      <c r="W44">
        <f>HYPERLINK("https://klasma.github.io/Logging_2180/artfynd/A 37764-2026 artfynd.xlsx", "A 37764-2026")</f>
        <v/>
      </c>
      <c r="X44">
        <f>HYPERLINK("https://klasma.github.io/Logging_2180/kartor/A 37764-2026 karta.png", "A 37764-2026")</f>
        <v/>
      </c>
      <c r="Y44">
        <f>HYPERLINK("https://klasma.github.io/Logging_2180/kartor_geotiff/A 37764-2026 georefererad karta.tif", "A 37764-2026")</f>
        <v/>
      </c>
      <c r="AA44">
        <f>HYPERLINK("https://klasma.github.io/Logging_2180/klagomål/A 37764-2026 FSC-klagomål.docx", "A 37764-2026")</f>
        <v/>
      </c>
      <c r="AB44">
        <f>HYPERLINK("https://klasma.github.io/Logging_2180/klagomålsmail/A 37764-2026 FSC-klagomål mail.docx", "A 37764-2026")</f>
        <v/>
      </c>
      <c r="AC44">
        <f>HYPERLINK("https://klasma.github.io/Logging_2180/tillsyn/A 37764-2026 tillsynsbegäran.docx", "A 37764-2026")</f>
        <v/>
      </c>
      <c r="AD44">
        <f>HYPERLINK("https://klasma.github.io/Logging_2180/tillsynsmail/A 37764-2026 tillsynsbegäran mail.docx", "A 37764-2026")</f>
        <v/>
      </c>
    </row>
    <row r="45" ht="15" customHeight="1">
      <c r="A45" t="inlineStr">
        <is>
          <t>A 40158-2026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46301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1.6</v>
      </c>
      <c r="J45" t="n">
        <v>0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Lunglav
Bårdlav</t>
        </is>
      </c>
      <c r="W45">
        <f>HYPERLINK("https://klasma.github.io/Logging_2180/artfynd/A 40158-2026 artfynd.xlsx", "A 40158-2026")</f>
        <v/>
      </c>
      <c r="X45">
        <f>HYPERLINK("https://klasma.github.io/Logging_2180/kartor/A 40158-2026 karta.png", "A 40158-2026")</f>
        <v/>
      </c>
      <c r="Y45">
        <f>HYPERLINK("https://klasma.github.io/Logging_2180/kartor_geotiff/A 40158-2026 georefererad karta.tif", "A 40158-2026")</f>
        <v/>
      </c>
      <c r="AA45">
        <f>HYPERLINK("https://klasma.github.io/Logging_2180/klagomål/A 40158-2026 FSC-klagomål.docx", "A 40158-2026")</f>
        <v/>
      </c>
      <c r="AB45">
        <f>HYPERLINK("https://klasma.github.io/Logging_2180/klagomålsmail/A 40158-2026 FSC-klagomål mail.docx", "A 40158-2026")</f>
        <v/>
      </c>
      <c r="AC45">
        <f>HYPERLINK("https://klasma.github.io/Logging_2180/tillsyn/A 40158-2026 tillsynsbegäran.docx", "A 40158-2026")</f>
        <v/>
      </c>
      <c r="AD45">
        <f>HYPERLINK("https://klasma.github.io/Logging_2180/tillsynsmail/A 40158-2026 tillsynsbegäran mail.docx", "A 40158-2026")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46301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46301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46301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46301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Tibast
Nattviol</t>
        </is>
      </c>
      <c r="W49">
        <f>HYPERLINK("https://klasma.github.io/Logging_2180/artfynd/A 6473-2024 artfynd.xlsx", "A 6473-2024")</f>
        <v/>
      </c>
      <c r="X49">
        <f>HYPERLINK("https://klasma.github.io/Logging_2180/kartor/A 6473-2024 karta.png", "A 6473-2024")</f>
        <v/>
      </c>
      <c r="Y49">
        <f>HYPERLINK("https://klasma.github.io/Logging_2180/kartor_geotiff/A 6473-2024 georefererad karta.tif", "A 6473-2024")</f>
        <v/>
      </c>
      <c r="AA49">
        <f>HYPERLINK("https://klasma.github.io/Logging_2180/klagomål/A 6473-2024 FSC-klagomål.docx", "A 6473-2024")</f>
        <v/>
      </c>
      <c r="AB49">
        <f>HYPERLINK("https://klasma.github.io/Logging_2180/klagomålsmail/A 6473-2024 FSC-klagomål mail.docx", "A 6473-2024")</f>
        <v/>
      </c>
      <c r="AC49">
        <f>HYPERLINK("https://klasma.github.io/Logging_2180/tillsyn/A 6473-2024 tillsynsbegäran.docx", "A 6473-2024")</f>
        <v/>
      </c>
      <c r="AD49">
        <f>HYPERLINK("https://klasma.github.io/Logging_2180/tillsynsmail/A 6473-2024 tillsynsbegäran mail.docx", "A 6473-2024")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46301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46301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46301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46301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t="n">
        <v>0</v>
      </c>
      <c r="V53" s="2" t="inlineStr">
        <is>
          <t>Väddnätfjäril
Sotnätfjäril</t>
        </is>
      </c>
      <c r="W53">
        <f>HYPERLINK("https://klasma.github.io/Logging_2180/artfynd/A 14554-2026 artfynd.xlsx", "A 14554-2026")</f>
        <v/>
      </c>
      <c r="X53">
        <f>HYPERLINK("https://klasma.github.io/Logging_2180/kartor/A 14554-2026 karta.png", "A 14554-2026")</f>
        <v/>
      </c>
      <c r="Y53">
        <f>HYPERLINK("https://klasma.github.io/Logging_2180/kartor_geotiff/A 14554-2026 georefererad karta.tif", "A 14554-2026")</f>
        <v/>
      </c>
      <c r="AA53">
        <f>HYPERLINK("https://klasma.github.io/Logging_2180/klagomål/A 14554-2026 FSC-klagomål.docx", "A 14554-2026")</f>
        <v/>
      </c>
      <c r="AB53">
        <f>HYPERLINK("https://klasma.github.io/Logging_2180/klagomålsmail/A 14554-2026 FSC-klagomål mail.docx", "A 14554-2026")</f>
        <v/>
      </c>
      <c r="AC53">
        <f>HYPERLINK("https://klasma.github.io/Logging_2180/tillsyn/A 14554-2026 tillsynsbegäran.docx", "A 14554-2026")</f>
        <v/>
      </c>
      <c r="AD53">
        <f>HYPERLINK("https://klasma.github.io/Logging_2180/tillsynsmail/A 14554-2026 tillsynsbegäran mail.docx", "A 14554-2026")</f>
        <v/>
      </c>
    </row>
    <row r="54" ht="15" customHeight="1">
      <c r="A54" t="inlineStr">
        <is>
          <t>A 18218-2024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46301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Blåsippa
Havsörn</t>
        </is>
      </c>
      <c r="W54">
        <f>HYPERLINK("https://klasma.github.io/Logging_2180/artfynd/A 18218-2024 artfynd.xlsx", "A 18218-2024")</f>
        <v/>
      </c>
      <c r="X54">
        <f>HYPERLINK("https://klasma.github.io/Logging_2180/kartor/A 18218-2024 karta.png", "A 18218-2024")</f>
        <v/>
      </c>
      <c r="Y54">
        <f>HYPERLINK("https://klasma.github.io/Logging_2180/kartor_geotiff/A 18218-2024 georefererad karta.tif", "A 18218-2024")</f>
        <v/>
      </c>
      <c r="AA54">
        <f>HYPERLINK("https://klasma.github.io/Logging_2180/klagomål/A 18218-2024 FSC-klagomål.docx", "A 18218-2024")</f>
        <v/>
      </c>
      <c r="AB54">
        <f>HYPERLINK("https://klasma.github.io/Logging_2180/klagomålsmail/A 18218-2024 FSC-klagomål mail.docx", "A 18218-2024")</f>
        <v/>
      </c>
      <c r="AC54">
        <f>HYPERLINK("https://klasma.github.io/Logging_2180/tillsyn/A 18218-2024 tillsynsbegäran.docx", "A 18218-2024")</f>
        <v/>
      </c>
      <c r="AD54">
        <f>HYPERLINK("https://klasma.github.io/Logging_2180/tillsynsmail/A 18218-2024 tillsynsbegäran mail.docx", "A 18218-2024")</f>
        <v/>
      </c>
      <c r="AE54">
        <f>HYPERLINK("https://klasma.github.io/Logging_2180/fåglar/A 18218-2024 prioriterade fågelarter.docx", "A 18218-2024")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46301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13487-2026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46301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0.6</v>
      </c>
      <c r="J56" t="n">
        <v>2</v>
      </c>
      <c r="K56" t="n">
        <v>0</v>
      </c>
      <c r="L56" t="n">
        <v>1</v>
      </c>
      <c r="M56" t="n">
        <v>0</v>
      </c>
      <c r="N56" t="n">
        <v>1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Pärluggla
Sparvuggla</t>
        </is>
      </c>
      <c r="W56">
        <f>HYPERLINK("https://klasma.github.io/Logging_2180/artfynd/A 13487-2026 artfynd.xlsx", "A 13487-2026")</f>
        <v/>
      </c>
      <c r="X56">
        <f>HYPERLINK("https://klasma.github.io/Logging_2180/kartor/A 13487-2026 karta.png", "A 13487-2026")</f>
        <v/>
      </c>
      <c r="Y56">
        <f>HYPERLINK("https://klasma.github.io/Logging_2180/kartor_geotiff/A 13487-2026 georefererad karta.tif", "A 13487-2026")</f>
        <v/>
      </c>
      <c r="AA56">
        <f>HYPERLINK("https://klasma.github.io/Logging_2180/klagomål/A 13487-2026 FSC-klagomål.docx", "A 13487-2026")</f>
        <v/>
      </c>
      <c r="AB56">
        <f>HYPERLINK("https://klasma.github.io/Logging_2180/klagomålsmail/A 13487-2026 FSC-klagomål mail.docx", "A 13487-2026")</f>
        <v/>
      </c>
      <c r="AC56">
        <f>HYPERLINK("https://klasma.github.io/Logging_2180/tillsyn/A 13487-2026 tillsynsbegäran.docx", "A 13487-2026")</f>
        <v/>
      </c>
      <c r="AD56">
        <f>HYPERLINK("https://klasma.github.io/Logging_2180/tillsynsmail/A 13487-2026 tillsynsbegäran mail.docx", "A 13487-2026")</f>
        <v/>
      </c>
      <c r="AE56">
        <f>HYPERLINK("https://klasma.github.io/Logging_2180/fåglar/A 13487-2026 prioriterade fågelarter.docx", "A 13487-2026")</f>
        <v/>
      </c>
    </row>
    <row r="57" ht="15" customHeight="1">
      <c r="A57" t="inlineStr">
        <is>
          <t>A 13248-2026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46301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Kattfotslav
Fläcknycklar</t>
        </is>
      </c>
      <c r="W57">
        <f>HYPERLINK("https://klasma.github.io/Logging_2180/artfynd/A 13248-2026 artfynd.xlsx", "A 13248-2026")</f>
        <v/>
      </c>
      <c r="X57">
        <f>HYPERLINK("https://klasma.github.io/Logging_2180/kartor/A 13248-2026 karta.png", "A 13248-2026")</f>
        <v/>
      </c>
      <c r="Y57">
        <f>HYPERLINK("https://klasma.github.io/Logging_2180/kartor_geotiff/A 13248-2026 georefererad karta.tif", "A 13248-2026")</f>
        <v/>
      </c>
      <c r="AA57">
        <f>HYPERLINK("https://klasma.github.io/Logging_2180/klagomål/A 13248-2026 FSC-klagomål.docx", "A 13248-2026")</f>
        <v/>
      </c>
      <c r="AB57">
        <f>HYPERLINK("https://klasma.github.io/Logging_2180/klagomålsmail/A 13248-2026 FSC-klagomål mail.docx", "A 13248-2026")</f>
        <v/>
      </c>
      <c r="AC57">
        <f>HYPERLINK("https://klasma.github.io/Logging_2180/tillsyn/A 13248-2026 tillsynsbegäran.docx", "A 13248-2026")</f>
        <v/>
      </c>
      <c r="AD57">
        <f>HYPERLINK("https://klasma.github.io/Logging_2180/tillsynsmail/A 13248-2026 tillsynsbegäran mail.docx", "A 13248-2026")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46301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Spillkråka</t>
        </is>
      </c>
      <c r="W58">
        <f>HYPERLINK("https://klasma.github.io/Logging_2180/artfynd/A 60202-2025 artfynd.xlsx", "A 60202-2025")</f>
        <v/>
      </c>
      <c r="X58">
        <f>HYPERLINK("https://klasma.github.io/Logging_2180/kartor/A 60202-2025 karta.png", "A 60202-2025")</f>
        <v/>
      </c>
      <c r="Y58">
        <f>HYPERLINK("https://klasma.github.io/Logging_2180/kartor_geotiff/A 60202-2025 georefererad karta.tif", "A 60202-2025")</f>
        <v/>
      </c>
      <c r="AA58">
        <f>HYPERLINK("https://klasma.github.io/Logging_2180/klagomål/A 60202-2025 FSC-klagomål.docx", "A 60202-2025")</f>
        <v/>
      </c>
      <c r="AB58">
        <f>HYPERLINK("https://klasma.github.io/Logging_2180/klagomålsmail/A 60202-2025 FSC-klagomål mail.docx", "A 60202-2025")</f>
        <v/>
      </c>
      <c r="AC58">
        <f>HYPERLINK("https://klasma.github.io/Logging_2180/tillsyn/A 60202-2025 tillsynsbegäran.docx", "A 60202-2025")</f>
        <v/>
      </c>
      <c r="AD58">
        <f>HYPERLINK("https://klasma.github.io/Logging_2180/tillsynsmail/A 60202-2025 tillsynsbegäran mail.docx", "A 60202-2025")</f>
        <v/>
      </c>
      <c r="AE58">
        <f>HYPERLINK("https://klasma.github.io/Logging_2180/fåglar/A 60202-2025 prioriterade fågelarter.docx", "A 60202-2025")</f>
        <v/>
      </c>
    </row>
    <row r="59" ht="15" customHeight="1">
      <c r="A59" t="inlineStr">
        <is>
          <t>A 56538-2022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46301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Dropptaggsvamp
Blåsippa</t>
        </is>
      </c>
      <c r="W59">
        <f>HYPERLINK("https://klasma.github.io/Logging_2180/artfynd/A 56538-2022 artfynd.xlsx", "A 56538-2022")</f>
        <v/>
      </c>
      <c r="X59">
        <f>HYPERLINK("https://klasma.github.io/Logging_2180/kartor/A 56538-2022 karta.png", "A 56538-2022")</f>
        <v/>
      </c>
      <c r="Y59">
        <f>HYPERLINK("https://klasma.github.io/Logging_2180/kartor_geotiff/A 56538-2022 georefererad karta.tif", "A 56538-2022")</f>
        <v/>
      </c>
      <c r="AA59">
        <f>HYPERLINK("https://klasma.github.io/Logging_2180/klagomål/A 56538-2022 FSC-klagomål.docx", "A 56538-2022")</f>
        <v/>
      </c>
      <c r="AB59">
        <f>HYPERLINK("https://klasma.github.io/Logging_2180/klagomålsmail/A 56538-2022 FSC-klagomål mail.docx", "A 56538-2022")</f>
        <v/>
      </c>
      <c r="AC59">
        <f>HYPERLINK("https://klasma.github.io/Logging_2180/tillsyn/A 56538-2022 tillsynsbegäran.docx", "A 56538-2022")</f>
        <v/>
      </c>
      <c r="AD59">
        <f>HYPERLINK("https://klasma.github.io/Logging_2180/tillsynsmail/A 56538-2022 tillsynsbegäran mail.docx", "A 56538-2022")</f>
        <v/>
      </c>
    </row>
    <row r="60" ht="15" customHeight="1">
      <c r="A60" t="inlineStr">
        <is>
          <t>A 19718-2026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46134</v>
      </c>
      <c r="E60" s="1" t="n">
        <v>46301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10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Rödvingetrast
Nattskärra</t>
        </is>
      </c>
      <c r="W60">
        <f>HYPERLINK("https://klasma.github.io/Logging_2180/artfynd/A 19718-2026 artfynd.xlsx", "A 19718-2026")</f>
        <v/>
      </c>
      <c r="X60">
        <f>HYPERLINK("https://klasma.github.io/Logging_2180/kartor/A 19718-2026 karta.png", "A 19718-2026")</f>
        <v/>
      </c>
      <c r="Y60">
        <f>HYPERLINK("https://klasma.github.io/Logging_2180/kartor_geotiff/A 19718-2026 georefererad karta.tif", "A 19718-2026")</f>
        <v/>
      </c>
      <c r="AA60">
        <f>HYPERLINK("https://klasma.github.io/Logging_2180/klagomål/A 19718-2026 FSC-klagomål.docx", "A 19718-2026")</f>
        <v/>
      </c>
      <c r="AB60">
        <f>HYPERLINK("https://klasma.github.io/Logging_2180/klagomålsmail/A 19718-2026 FSC-klagomål mail.docx", "A 19718-2026")</f>
        <v/>
      </c>
      <c r="AC60">
        <f>HYPERLINK("https://klasma.github.io/Logging_2180/tillsyn/A 19718-2026 tillsynsbegäran.docx", "A 19718-2026")</f>
        <v/>
      </c>
      <c r="AD60">
        <f>HYPERLINK("https://klasma.github.io/Logging_2180/tillsynsmail/A 19718-2026 tillsynsbegäran mail.docx", "A 19718-2026")</f>
        <v/>
      </c>
      <c r="AE60">
        <f>HYPERLINK("https://klasma.github.io/Logging_2180/fåglar/A 19718-2026 prioriterade fågelarter.docx", "A 19718-2026")</f>
        <v/>
      </c>
    </row>
    <row r="61" ht="15" customHeight="1">
      <c r="A61" t="inlineStr">
        <is>
          <t>A 20323-2026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46301</v>
      </c>
      <c r="F61" t="inlineStr">
        <is>
          <t>GÄVLEBORGS LÄN</t>
        </is>
      </c>
      <c r="G61" t="inlineStr">
        <is>
          <t>GÄVLE</t>
        </is>
      </c>
      <c r="I61" t="n">
        <v>1.4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Grön sköldmossa
Tjäder</t>
        </is>
      </c>
      <c r="W61">
        <f>HYPERLINK("https://klasma.github.io/Logging_2180/artfynd/A 20323-2026 artfynd.xlsx", "A 20323-2026")</f>
        <v/>
      </c>
      <c r="X61">
        <f>HYPERLINK("https://klasma.github.io/Logging_2180/kartor/A 20323-2026 karta.png", "A 20323-2026")</f>
        <v/>
      </c>
      <c r="Y61">
        <f>HYPERLINK("https://klasma.github.io/Logging_2180/kartor_geotiff/A 20323-2026 georefererad karta.tif", "A 20323-2026")</f>
        <v/>
      </c>
      <c r="AA61">
        <f>HYPERLINK("https://klasma.github.io/Logging_2180/klagomål/A 20323-2026 FSC-klagomål.docx", "A 20323-2026")</f>
        <v/>
      </c>
      <c r="AB61">
        <f>HYPERLINK("https://klasma.github.io/Logging_2180/klagomålsmail/A 20323-2026 FSC-klagomål mail.docx", "A 20323-2026")</f>
        <v/>
      </c>
      <c r="AC61">
        <f>HYPERLINK("https://klasma.github.io/Logging_2180/tillsyn/A 20323-2026 tillsynsbegäran.docx", "A 20323-2026")</f>
        <v/>
      </c>
      <c r="AD61">
        <f>HYPERLINK("https://klasma.github.io/Logging_2180/tillsynsmail/A 20323-2026 tillsynsbegäran mail.docx", "A 20323-2026")</f>
        <v/>
      </c>
      <c r="AE61">
        <f>HYPERLINK("https://klasma.github.io/Logging_2180/fåglar/A 20323-2026 prioriterade fågelarter.docx", "A 20323-2026")</f>
        <v/>
      </c>
    </row>
    <row r="62" ht="15" customHeight="1">
      <c r="A62" t="inlineStr">
        <is>
          <t>A 14701-2026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46101</v>
      </c>
      <c r="E62" s="1" t="n">
        <v>46301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2.8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Tjäder
Fläcknycklar</t>
        </is>
      </c>
      <c r="W62">
        <f>HYPERLINK("https://klasma.github.io/Logging_2180/artfynd/A 14701-2026 artfynd.xlsx", "A 14701-2026")</f>
        <v/>
      </c>
      <c r="X62">
        <f>HYPERLINK("https://klasma.github.io/Logging_2180/kartor/A 14701-2026 karta.png", "A 14701-2026")</f>
        <v/>
      </c>
      <c r="Y62">
        <f>HYPERLINK("https://klasma.github.io/Logging_2180/kartor_geotiff/A 14701-2026 georefererad karta.tif", "A 14701-2026")</f>
        <v/>
      </c>
      <c r="AA62">
        <f>HYPERLINK("https://klasma.github.io/Logging_2180/klagomål/A 14701-2026 FSC-klagomål.docx", "A 14701-2026")</f>
        <v/>
      </c>
      <c r="AB62">
        <f>HYPERLINK("https://klasma.github.io/Logging_2180/klagomålsmail/A 14701-2026 FSC-klagomål mail.docx", "A 14701-2026")</f>
        <v/>
      </c>
      <c r="AC62">
        <f>HYPERLINK("https://klasma.github.io/Logging_2180/tillsyn/A 14701-2026 tillsynsbegäran.docx", "A 14701-2026")</f>
        <v/>
      </c>
      <c r="AD62">
        <f>HYPERLINK("https://klasma.github.io/Logging_2180/tillsynsmail/A 14701-2026 tillsynsbegäran mail.docx", "A 14701-2026")</f>
        <v/>
      </c>
      <c r="AE62">
        <f>HYPERLINK("https://klasma.github.io/Logging_2180/fåglar/A 14701-2026 prioriterade fågelarter.docx", "A 14701-2026")</f>
        <v/>
      </c>
    </row>
    <row r="63" ht="15" customHeight="1">
      <c r="A63" t="inlineStr">
        <is>
          <t>A 22149-2026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46301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Vedtrappmossa
Rödgul trumpetsvamp</t>
        </is>
      </c>
      <c r="W63">
        <f>HYPERLINK("https://klasma.github.io/Logging_2180/artfynd/A 22149-2026 artfynd.xlsx", "A 22149-2026")</f>
        <v/>
      </c>
      <c r="X63">
        <f>HYPERLINK("https://klasma.github.io/Logging_2180/kartor/A 22149-2026 karta.png", "A 22149-2026")</f>
        <v/>
      </c>
      <c r="Y63">
        <f>HYPERLINK("https://klasma.github.io/Logging_2180/kartor_geotiff/A 22149-2026 georefererad karta.tif", "A 22149-2026")</f>
        <v/>
      </c>
      <c r="AA63">
        <f>HYPERLINK("https://klasma.github.io/Logging_2180/klagomål/A 22149-2026 FSC-klagomål.docx", "A 22149-2026")</f>
        <v/>
      </c>
      <c r="AB63">
        <f>HYPERLINK("https://klasma.github.io/Logging_2180/klagomålsmail/A 22149-2026 FSC-klagomål mail.docx", "A 22149-2026")</f>
        <v/>
      </c>
      <c r="AC63">
        <f>HYPERLINK("https://klasma.github.io/Logging_2180/tillsyn/A 22149-2026 tillsynsbegäran.docx", "A 22149-2026")</f>
        <v/>
      </c>
      <c r="AD63">
        <f>HYPERLINK("https://klasma.github.io/Logging_2180/tillsynsmail/A 22149-2026 tillsynsbegäran mail.docx", "A 22149-2026")</f>
        <v/>
      </c>
    </row>
    <row r="64" ht="15" customHeight="1">
      <c r="A64" t="inlineStr">
        <is>
          <t>A 17297-2026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46301</v>
      </c>
      <c r="F64" t="inlineStr">
        <is>
          <t>GÄVLEBORGS LÄN</t>
        </is>
      </c>
      <c r="G64" t="inlineStr">
        <is>
          <t>GÄVLE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Slåtterfibbla
Blåsippa</t>
        </is>
      </c>
      <c r="W64">
        <f>HYPERLINK("https://klasma.github.io/Logging_2180/artfynd/A 17297-2026 artfynd.xlsx", "A 17297-2026")</f>
        <v/>
      </c>
      <c r="X64">
        <f>HYPERLINK("https://klasma.github.io/Logging_2180/kartor/A 17297-2026 karta.png", "A 17297-2026")</f>
        <v/>
      </c>
      <c r="Y64">
        <f>HYPERLINK("https://klasma.github.io/Logging_2180/kartor_geotiff/A 17297-2026 georefererad karta.tif", "A 17297-2026")</f>
        <v/>
      </c>
      <c r="AA64">
        <f>HYPERLINK("https://klasma.github.io/Logging_2180/klagomål/A 17297-2026 FSC-klagomål.docx", "A 17297-2026")</f>
        <v/>
      </c>
      <c r="AB64">
        <f>HYPERLINK("https://klasma.github.io/Logging_2180/klagomålsmail/A 17297-2026 FSC-klagomål mail.docx", "A 17297-2026")</f>
        <v/>
      </c>
      <c r="AC64">
        <f>HYPERLINK("https://klasma.github.io/Logging_2180/tillsyn/A 17297-2026 tillsynsbegäran.docx", "A 17297-2026")</f>
        <v/>
      </c>
      <c r="AD64">
        <f>HYPERLINK("https://klasma.github.io/Logging_2180/tillsynsmail/A 17297-2026 tillsynsbegäran mail.docx", "A 17297-2026")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46301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46301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29634-2026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46199</v>
      </c>
      <c r="E67" s="1" t="n">
        <v>46301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6.3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Brunag
Strandlummer</t>
        </is>
      </c>
      <c r="W67">
        <f>HYPERLINK("https://klasma.github.io/Logging_2180/artfynd/A 29634-2026 artfynd.xlsx", "A 29634-2026")</f>
        <v/>
      </c>
      <c r="X67">
        <f>HYPERLINK("https://klasma.github.io/Logging_2180/kartor/A 29634-2026 karta.png", "A 29634-2026")</f>
        <v/>
      </c>
      <c r="Y67">
        <f>HYPERLINK("https://klasma.github.io/Logging_2180/kartor_geotiff/A 29634-2026 georefererad karta.tif", "A 29634-2026")</f>
        <v/>
      </c>
      <c r="AA67">
        <f>HYPERLINK("https://klasma.github.io/Logging_2180/klagomål/A 29634-2026 FSC-klagomål.docx", "A 29634-2026")</f>
        <v/>
      </c>
      <c r="AB67">
        <f>HYPERLINK("https://klasma.github.io/Logging_2180/klagomålsmail/A 29634-2026 FSC-klagomål mail.docx", "A 29634-2026")</f>
        <v/>
      </c>
      <c r="AC67">
        <f>HYPERLINK("https://klasma.github.io/Logging_2180/tillsyn/A 29634-2026 tillsynsbegäran.docx", "A 29634-2026")</f>
        <v/>
      </c>
      <c r="AD67">
        <f>HYPERLINK("https://klasma.github.io/Logging_2180/tillsynsmail/A 29634-2026 tillsynsbegäran mail.docx", "A 29634-2026")</f>
        <v/>
      </c>
    </row>
    <row r="68" ht="15" customHeight="1">
      <c r="A68" t="inlineStr">
        <is>
          <t>A 13727-2025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45737</v>
      </c>
      <c r="E68" s="1" t="n">
        <v>46301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7.6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2</v>
      </c>
      <c r="V68" s="2" t="inlineStr">
        <is>
          <t>Ullticka
Järpe</t>
        </is>
      </c>
      <c r="W68">
        <f>HYPERLINK("https://klasma.github.io/Logging_2180/artfynd/A 13727-2025 artfynd.xlsx", "A 13727-2025")</f>
        <v/>
      </c>
      <c r="X68">
        <f>HYPERLINK("https://klasma.github.io/Logging_2180/kartor/A 13727-2025 karta.png", "A 13727-2025")</f>
        <v/>
      </c>
      <c r="Y68">
        <f>HYPERLINK("https://klasma.github.io/Logging_2180/kartor_geotiff/A 13727-2025 georefererad karta.tif", "A 13727-2025")</f>
        <v/>
      </c>
      <c r="AA68">
        <f>HYPERLINK("https://klasma.github.io/Logging_2180/klagomål/A 13727-2025 FSC-klagomål.docx", "A 13727-2025")</f>
        <v/>
      </c>
      <c r="AB68">
        <f>HYPERLINK("https://klasma.github.io/Logging_2180/klagomålsmail/A 13727-2025 FSC-klagomål mail.docx", "A 13727-2025")</f>
        <v/>
      </c>
      <c r="AC68">
        <f>HYPERLINK("https://klasma.github.io/Logging_2180/tillsyn/A 13727-2025 tillsynsbegäran.docx", "A 13727-2025")</f>
        <v/>
      </c>
      <c r="AD68">
        <f>HYPERLINK("https://klasma.github.io/Logging_2180/tillsynsmail/A 13727-2025 tillsynsbegäran mail.docx", "A 13727-2025")</f>
        <v/>
      </c>
      <c r="AE68">
        <f>HYPERLINK("https://klasma.github.io/Logging_2180/fåglar/A 13727-2025 prioriterade fågelarter.docx", "A 13727-2025")</f>
        <v/>
      </c>
    </row>
    <row r="69" ht="15" customHeight="1">
      <c r="A69" t="inlineStr">
        <is>
          <t>A 35989-2024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45533</v>
      </c>
      <c r="E69" s="1" t="n">
        <v>46301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3.1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Jättesvampmal</t>
        </is>
      </c>
      <c r="W69">
        <f>HYPERLINK("https://klasma.github.io/Logging_2180/artfynd/A 35989-2024 artfynd.xlsx", "A 35989-2024")</f>
        <v/>
      </c>
      <c r="X69">
        <f>HYPERLINK("https://klasma.github.io/Logging_2180/kartor/A 35989-2024 karta.png", "A 35989-2024")</f>
        <v/>
      </c>
      <c r="Y69">
        <f>HYPERLINK("https://klasma.github.io/Logging_2180/kartor_geotiff/A 35989-2024 georefererad karta.tif", "A 35989-2024")</f>
        <v/>
      </c>
      <c r="Z69">
        <f>HYPERLINK("https://klasma.github.io/Logging_2180/knärot/A 35989-2024 karta knärot.png", "A 35989-2024")</f>
        <v/>
      </c>
      <c r="AA69">
        <f>HYPERLINK("https://klasma.github.io/Logging_2180/klagomål/A 35989-2024 FSC-klagomål.docx", "A 35989-2024")</f>
        <v/>
      </c>
      <c r="AB69">
        <f>HYPERLINK("https://klasma.github.io/Logging_2180/klagomålsmail/A 35989-2024 FSC-klagomål mail.docx", "A 35989-2024")</f>
        <v/>
      </c>
      <c r="AC69">
        <f>HYPERLINK("https://klasma.github.io/Logging_2180/tillsyn/A 35989-2024 tillsynsbegäran.docx", "A 35989-2024")</f>
        <v/>
      </c>
      <c r="AD69">
        <f>HYPERLINK("https://klasma.github.io/Logging_2180/tillsynsmail/A 35989-2024 tillsynsbegäran mail.docx", "A 35989-2024")</f>
        <v/>
      </c>
    </row>
    <row r="70" ht="15" customHeight="1">
      <c r="A70" t="inlineStr">
        <is>
          <t>A 29821-2023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45107</v>
      </c>
      <c r="E70" s="1" t="n">
        <v>46301</v>
      </c>
      <c r="F70" t="inlineStr">
        <is>
          <t>GÄVLEBORGS LÄN</t>
        </is>
      </c>
      <c r="G70" t="inlineStr">
        <is>
          <t>GÄVLE</t>
        </is>
      </c>
      <c r="I70" t="n">
        <v>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Järnsparv
Svartvit flugsnappare</t>
        </is>
      </c>
      <c r="W70">
        <f>HYPERLINK("https://klasma.github.io/Logging_2180/artfynd/A 29821-2023 artfynd.xlsx", "A 29821-2023")</f>
        <v/>
      </c>
      <c r="X70">
        <f>HYPERLINK("https://klasma.github.io/Logging_2180/kartor/A 29821-2023 karta.png", "A 29821-2023")</f>
        <v/>
      </c>
      <c r="Y70">
        <f>HYPERLINK("https://klasma.github.io/Logging_2180/kartor_geotiff/A 29821-2023 georefererad karta.tif", "A 29821-2023")</f>
        <v/>
      </c>
      <c r="AA70">
        <f>HYPERLINK("https://klasma.github.io/Logging_2180/klagomål/A 29821-2023 FSC-klagomål.docx", "A 29821-2023")</f>
        <v/>
      </c>
      <c r="AB70">
        <f>HYPERLINK("https://klasma.github.io/Logging_2180/klagomålsmail/A 29821-2023 FSC-klagomål mail.docx", "A 29821-2023")</f>
        <v/>
      </c>
      <c r="AC70">
        <f>HYPERLINK("https://klasma.github.io/Logging_2180/tillsyn/A 29821-2023 tillsynsbegäran.docx", "A 29821-2023")</f>
        <v/>
      </c>
      <c r="AD70">
        <f>HYPERLINK("https://klasma.github.io/Logging_2180/tillsynsmail/A 29821-2023 tillsynsbegäran mail.docx", "A 29821-2023")</f>
        <v/>
      </c>
      <c r="AE70">
        <f>HYPERLINK("https://klasma.github.io/Logging_2180/fåglar/A 29821-2023 prioriterade fågelarter.docx", "A 29821-2023")</f>
        <v/>
      </c>
    </row>
    <row r="71" ht="15" customHeight="1">
      <c r="A71" t="inlineStr">
        <is>
          <t>A 38046-2026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46301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4.3</v>
      </c>
      <c r="J71" t="n">
        <v>1</v>
      </c>
      <c r="K71" t="n">
        <v>0</v>
      </c>
      <c r="L71" t="n">
        <v>0</v>
      </c>
      <c r="M71" t="n">
        <v>2</v>
      </c>
      <c r="N71" t="n">
        <v>0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0</v>
      </c>
      <c r="V71" s="2" t="inlineStr">
        <is>
          <t>Garnlav
Knärot</t>
        </is>
      </c>
      <c r="W71">
        <f>HYPERLINK("https://klasma.github.io/Logging_2180/artfynd/A 38046-2026 artfynd.xlsx", "A 38046-2026")</f>
        <v/>
      </c>
      <c r="X71">
        <f>HYPERLINK("https://klasma.github.io/Logging_2180/kartor/A 38046-2026 karta.png", "A 38046-2026")</f>
        <v/>
      </c>
      <c r="Y71">
        <f>HYPERLINK("https://klasma.github.io/Logging_2180/kartor_geotiff/A 38046-2026 georefererad karta.tif", "A 38046-2026")</f>
        <v/>
      </c>
      <c r="Z71">
        <f>HYPERLINK("https://klasma.github.io/Logging_2180/knärot/A 38046-2026 karta knärot.png", "A 38046-2026")</f>
        <v/>
      </c>
      <c r="AA71">
        <f>HYPERLINK("https://klasma.github.io/Logging_2180/klagomål/A 38046-2026 FSC-klagomål.docx", "A 38046-2026")</f>
        <v/>
      </c>
      <c r="AB71">
        <f>HYPERLINK("https://klasma.github.io/Logging_2180/klagomålsmail/A 38046-2026 FSC-klagomål mail.docx", "A 38046-2026")</f>
        <v/>
      </c>
      <c r="AC71">
        <f>HYPERLINK("https://klasma.github.io/Logging_2180/tillsyn/A 38046-2026 tillsynsbegäran.docx", "A 38046-2026")</f>
        <v/>
      </c>
      <c r="AD71">
        <f>HYPERLINK("https://klasma.github.io/Logging_2180/tillsynsmail/A 38046-2026 tillsynsbegäran mail.docx", "A 38046-2026")</f>
        <v/>
      </c>
    </row>
    <row r="72" ht="15" customHeight="1">
      <c r="A72" t="inlineStr">
        <is>
          <t>A 64533-2023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46301</v>
      </c>
      <c r="F72" t="inlineStr">
        <is>
          <t>GÄVLEBORGS LÄN</t>
        </is>
      </c>
      <c r="G72" t="inlineStr">
        <is>
          <t>GÄVLE</t>
        </is>
      </c>
      <c r="I72" t="n">
        <v>1.1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4</v>
      </c>
      <c r="U72" t="n">
        <v>0</v>
      </c>
      <c r="V72" s="2" t="inlineStr">
        <is>
          <t>Aspvedgnagare
Jättesvampmal</t>
        </is>
      </c>
      <c r="W72">
        <f>HYPERLINK("https://klasma.github.io/Logging_2180/artfynd/A 64533-2023 artfynd.xlsx", "A 64533-2023")</f>
        <v/>
      </c>
      <c r="X72">
        <f>HYPERLINK("https://klasma.github.io/Logging_2180/kartor/A 64533-2023 karta.png", "A 64533-2023")</f>
        <v/>
      </c>
      <c r="Y72">
        <f>HYPERLINK("https://klasma.github.io/Logging_2180/kartor_geotiff/A 64533-2023 georefererad karta.tif", "A 64533-2023")</f>
        <v/>
      </c>
      <c r="AA72">
        <f>HYPERLINK("https://klasma.github.io/Logging_2180/klagomål/A 64533-2023 FSC-klagomål.docx", "A 64533-2023")</f>
        <v/>
      </c>
      <c r="AB72">
        <f>HYPERLINK("https://klasma.github.io/Logging_2180/klagomålsmail/A 64533-2023 FSC-klagomål mail.docx", "A 64533-2023")</f>
        <v/>
      </c>
      <c r="AC72">
        <f>HYPERLINK("https://klasma.github.io/Logging_2180/tillsyn/A 64533-2023 tillsynsbegäran.docx", "A 64533-2023")</f>
        <v/>
      </c>
      <c r="AD72">
        <f>HYPERLINK("https://klasma.github.io/Logging_2180/tillsynsmail/A 64533-2023 tillsynsbegäran mail.docx", "A 64533-2023")</f>
        <v/>
      </c>
    </row>
    <row r="73" ht="15" customHeight="1">
      <c r="A73" t="inlineStr">
        <is>
          <t>A 23447-2025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46301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Kopparödla
Fläcknycklar</t>
        </is>
      </c>
      <c r="W73">
        <f>HYPERLINK("https://klasma.github.io/Logging_2180/artfynd/A 23447-2025 artfynd.xlsx", "A 23447-2025")</f>
        <v/>
      </c>
      <c r="X73">
        <f>HYPERLINK("https://klasma.github.io/Logging_2180/kartor/A 23447-2025 karta.png", "A 23447-2025")</f>
        <v/>
      </c>
      <c r="Y73">
        <f>HYPERLINK("https://klasma.github.io/Logging_2180/kartor_geotiff/A 23447-2025 georefererad karta.tif", "A 23447-2025")</f>
        <v/>
      </c>
      <c r="AA73">
        <f>HYPERLINK("https://klasma.github.io/Logging_2180/klagomål/A 23447-2025 FSC-klagomål.docx", "A 23447-2025")</f>
        <v/>
      </c>
      <c r="AB73">
        <f>HYPERLINK("https://klasma.github.io/Logging_2180/klagomålsmail/A 23447-2025 FSC-klagomål mail.docx", "A 23447-2025")</f>
        <v/>
      </c>
      <c r="AC73">
        <f>HYPERLINK("https://klasma.github.io/Logging_2180/tillsyn/A 23447-2025 tillsynsbegäran.docx", "A 23447-2025")</f>
        <v/>
      </c>
      <c r="AD73">
        <f>HYPERLINK("https://klasma.github.io/Logging_2180/tillsynsmail/A 23447-2025 tillsynsbegäran mail.docx", "A 23447-2025")</f>
        <v/>
      </c>
    </row>
    <row r="74" ht="15" customHeight="1">
      <c r="A74" t="inlineStr">
        <is>
          <t>A 27045-2026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46185</v>
      </c>
      <c r="E74" s="1" t="n">
        <v>46301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3.1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5</v>
      </c>
      <c r="U74" t="n">
        <v>0</v>
      </c>
      <c r="V74" s="2" t="inlineStr">
        <is>
          <t>Höstlåsbräken
Månlåsbräken</t>
        </is>
      </c>
      <c r="W74">
        <f>HYPERLINK("https://klasma.github.io/Logging_2180/artfynd/A 27045-2026 artfynd.xlsx", "A 27045-2026")</f>
        <v/>
      </c>
      <c r="X74">
        <f>HYPERLINK("https://klasma.github.io/Logging_2180/kartor/A 27045-2026 karta.png", "A 27045-2026")</f>
        <v/>
      </c>
      <c r="Y74">
        <f>HYPERLINK("https://klasma.github.io/Logging_2180/kartor_geotiff/A 27045-2026 georefererad karta.tif", "A 27045-2026")</f>
        <v/>
      </c>
      <c r="AA74">
        <f>HYPERLINK("https://klasma.github.io/Logging_2180/klagomål/A 27045-2026 FSC-klagomål.docx", "A 27045-2026")</f>
        <v/>
      </c>
      <c r="AB74">
        <f>HYPERLINK("https://klasma.github.io/Logging_2180/klagomålsmail/A 27045-2026 FSC-klagomål mail.docx", "A 27045-2026")</f>
        <v/>
      </c>
      <c r="AC74">
        <f>HYPERLINK("https://klasma.github.io/Logging_2180/tillsyn/A 27045-2026 tillsynsbegäran.docx", "A 27045-2026")</f>
        <v/>
      </c>
      <c r="AD74">
        <f>HYPERLINK("https://klasma.github.io/Logging_2180/tillsynsmail/A 27045-2026 tillsynsbegäran mail.docx", "A 27045-2026")</f>
        <v/>
      </c>
    </row>
    <row r="75" ht="15" customHeight="1">
      <c r="A75" t="inlineStr">
        <is>
          <t>A 34434-2026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46301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7.7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Grönsångare
Vätteros</t>
        </is>
      </c>
      <c r="W75">
        <f>HYPERLINK("https://klasma.github.io/Logging_2180/artfynd/A 34434-2026 artfynd.xlsx", "A 34434-2026")</f>
        <v/>
      </c>
      <c r="X75">
        <f>HYPERLINK("https://klasma.github.io/Logging_2180/kartor/A 34434-2026 karta.png", "A 34434-2026")</f>
        <v/>
      </c>
      <c r="Y75">
        <f>HYPERLINK("https://klasma.github.io/Logging_2180/kartor_geotiff/A 34434-2026 georefererad karta.tif", "A 34434-2026")</f>
        <v/>
      </c>
      <c r="AA75">
        <f>HYPERLINK("https://klasma.github.io/Logging_2180/klagomål/A 34434-2026 FSC-klagomål.docx", "A 34434-2026")</f>
        <v/>
      </c>
      <c r="AB75">
        <f>HYPERLINK("https://klasma.github.io/Logging_2180/klagomålsmail/A 34434-2026 FSC-klagomål mail.docx", "A 34434-2026")</f>
        <v/>
      </c>
      <c r="AC75">
        <f>HYPERLINK("https://klasma.github.io/Logging_2180/tillsyn/A 34434-2026 tillsynsbegäran.docx", "A 34434-2026")</f>
        <v/>
      </c>
      <c r="AD75">
        <f>HYPERLINK("https://klasma.github.io/Logging_2180/tillsynsmail/A 34434-2026 tillsynsbegäran mail.docx", "A 34434-2026")</f>
        <v/>
      </c>
      <c r="AE75">
        <f>HYPERLINK("https://klasma.github.io/Logging_2180/fåglar/A 34434-2026 prioriterade fågelarter.docx", "A 34434-2026")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46301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46301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46301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46301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12338-2025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45730</v>
      </c>
      <c r="E80" s="1" t="n">
        <v>46301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6.8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Skogsklocka</t>
        </is>
      </c>
      <c r="W80">
        <f>HYPERLINK("https://klasma.github.io/Logging_2180/artfynd/A 12338-2025 artfynd.xlsx", "A 12338-2025")</f>
        <v/>
      </c>
      <c r="X80">
        <f>HYPERLINK("https://klasma.github.io/Logging_2180/kartor/A 12338-2025 karta.png", "A 12338-2025")</f>
        <v/>
      </c>
      <c r="Y80">
        <f>HYPERLINK("https://klasma.github.io/Logging_2180/kartor_geotiff/A 12338-2025 georefererad karta.tif", "A 12338-2025")</f>
        <v/>
      </c>
      <c r="AA80">
        <f>HYPERLINK("https://klasma.github.io/Logging_2180/klagomål/A 12338-2025 FSC-klagomål.docx", "A 12338-2025")</f>
        <v/>
      </c>
      <c r="AB80">
        <f>HYPERLINK("https://klasma.github.io/Logging_2180/klagomålsmail/A 12338-2025 FSC-klagomål mail.docx", "A 12338-2025")</f>
        <v/>
      </c>
      <c r="AC80">
        <f>HYPERLINK("https://klasma.github.io/Logging_2180/tillsyn/A 12338-2025 tillsynsbegäran.docx", "A 12338-2025")</f>
        <v/>
      </c>
      <c r="AD80">
        <f>HYPERLINK("https://klasma.github.io/Logging_2180/tillsynsmail/A 12338-2025 tillsynsbegäran mail.docx", "A 12338-2025")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46301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30302-2025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46301</v>
      </c>
      <c r="F82" t="inlineStr">
        <is>
          <t>GÄVLEBORGS LÄN</t>
        </is>
      </c>
      <c r="G82" t="inlineStr">
        <is>
          <t>GÄVLE</t>
        </is>
      </c>
      <c r="I82" t="n">
        <v>1.4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Fläcknycklar</t>
        </is>
      </c>
      <c r="W82">
        <f>HYPERLINK("https://klasma.github.io/Logging_2180/artfynd/A 30302-2025 artfynd.xlsx", "A 30302-2025")</f>
        <v/>
      </c>
      <c r="X82">
        <f>HYPERLINK("https://klasma.github.io/Logging_2180/kartor/A 30302-2025 karta.png", "A 30302-2025")</f>
        <v/>
      </c>
      <c r="Y82">
        <f>HYPERLINK("https://klasma.github.io/Logging_2180/kartor_geotiff/A 30302-2025 georefererad karta.tif", "A 30302-2025")</f>
        <v/>
      </c>
      <c r="AA82">
        <f>HYPERLINK("https://klasma.github.io/Logging_2180/klagomål/A 30302-2025 FSC-klagomål.docx", "A 30302-2025")</f>
        <v/>
      </c>
      <c r="AB82">
        <f>HYPERLINK("https://klasma.github.io/Logging_2180/klagomålsmail/A 30302-2025 FSC-klagomål mail.docx", "A 30302-2025")</f>
        <v/>
      </c>
      <c r="AC82">
        <f>HYPERLINK("https://klasma.github.io/Logging_2180/tillsyn/A 30302-2025 tillsynsbegäran.docx", "A 30302-2025")</f>
        <v/>
      </c>
      <c r="AD82">
        <f>HYPERLINK("https://klasma.github.io/Logging_2180/tillsynsmail/A 30302-2025 tillsynsbegäran mail.docx", "A 30302-2025")</f>
        <v/>
      </c>
    </row>
    <row r="83" ht="15" customHeight="1">
      <c r="A83" t="inlineStr">
        <is>
          <t>A 26157-2022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44735</v>
      </c>
      <c r="E83" s="1" t="n">
        <v>46301</v>
      </c>
      <c r="F83" t="inlineStr">
        <is>
          <t>GÄVLEBORGS LÄN</t>
        </is>
      </c>
      <c r="G83" t="inlineStr">
        <is>
          <t>GÄVLE</t>
        </is>
      </c>
      <c r="I83" t="n">
        <v>2.6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Mattlummer</t>
        </is>
      </c>
      <c r="W83">
        <f>HYPERLINK("https://klasma.github.io/Logging_2180/artfynd/A 26157-2022 artfynd.xlsx", "A 26157-2022")</f>
        <v/>
      </c>
      <c r="X83">
        <f>HYPERLINK("https://klasma.github.io/Logging_2180/kartor/A 26157-2022 karta.png", "A 26157-2022")</f>
        <v/>
      </c>
      <c r="Y83">
        <f>HYPERLINK("https://klasma.github.io/Logging_2180/kartor_geotiff/A 26157-2022 georefererad karta.tif", "A 26157-2022")</f>
        <v/>
      </c>
      <c r="AA83">
        <f>HYPERLINK("https://klasma.github.io/Logging_2180/klagomål/A 26157-2022 FSC-klagomål.docx", "A 26157-2022")</f>
        <v/>
      </c>
      <c r="AB83">
        <f>HYPERLINK("https://klasma.github.io/Logging_2180/klagomålsmail/A 26157-2022 FSC-klagomål mail.docx", "A 26157-2022")</f>
        <v/>
      </c>
      <c r="AC83">
        <f>HYPERLINK("https://klasma.github.io/Logging_2180/tillsyn/A 26157-2022 tillsynsbegäran.docx", "A 26157-2022")</f>
        <v/>
      </c>
      <c r="AD83">
        <f>HYPERLINK("https://klasma.github.io/Logging_2180/tillsynsmail/A 26157-2022 tillsynsbegäran mail.docx", "A 26157-2022")</f>
        <v/>
      </c>
    </row>
    <row r="84" ht="15" customHeight="1">
      <c r="A84" t="inlineStr">
        <is>
          <t>A 51508-2024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45604</v>
      </c>
      <c r="E84" s="1" t="n">
        <v>46301</v>
      </c>
      <c r="F84" t="inlineStr">
        <is>
          <t>GÄVLEBORGS LÄN</t>
        </is>
      </c>
      <c r="G84" t="inlineStr">
        <is>
          <t>GÄVLE</t>
        </is>
      </c>
      <c r="I84" t="n">
        <v>0.9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Tibast</t>
        </is>
      </c>
      <c r="W84">
        <f>HYPERLINK("https://klasma.github.io/Logging_2180/artfynd/A 51508-2024 artfynd.xlsx", "A 51508-2024")</f>
        <v/>
      </c>
      <c r="X84">
        <f>HYPERLINK("https://klasma.github.io/Logging_2180/kartor/A 51508-2024 karta.png", "A 51508-2024")</f>
        <v/>
      </c>
      <c r="Y84">
        <f>HYPERLINK("https://klasma.github.io/Logging_2180/kartor_geotiff/A 51508-2024 georefererad karta.tif", "A 51508-2024")</f>
        <v/>
      </c>
      <c r="AA84">
        <f>HYPERLINK("https://klasma.github.io/Logging_2180/klagomål/A 51508-2024 FSC-klagomål.docx", "A 51508-2024")</f>
        <v/>
      </c>
      <c r="AB84">
        <f>HYPERLINK("https://klasma.github.io/Logging_2180/klagomålsmail/A 51508-2024 FSC-klagomål mail.docx", "A 51508-2024")</f>
        <v/>
      </c>
      <c r="AC84">
        <f>HYPERLINK("https://klasma.github.io/Logging_2180/tillsyn/A 51508-2024 tillsynsbegäran.docx", "A 51508-2024")</f>
        <v/>
      </c>
      <c r="AD84">
        <f>HYPERLINK("https://klasma.github.io/Logging_2180/tillsynsmail/A 51508-2024 tillsynsbegäran mail.docx", "A 51508-2024")</f>
        <v/>
      </c>
    </row>
    <row r="85" ht="15" customHeight="1">
      <c r="A85" t="inlineStr">
        <is>
          <t>A 11411-2025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46301</v>
      </c>
      <c r="F85" t="inlineStr">
        <is>
          <t>GÄVLEBORGS LÄN</t>
        </is>
      </c>
      <c r="G85" t="inlineStr">
        <is>
          <t>GÄVLE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11411-2025 artfynd.xlsx", "A 11411-2025")</f>
        <v/>
      </c>
      <c r="X85">
        <f>HYPERLINK("https://klasma.github.io/Logging_2180/kartor/A 11411-2025 karta.png", "A 11411-2025")</f>
        <v/>
      </c>
      <c r="Y85">
        <f>HYPERLINK("https://klasma.github.io/Logging_2180/kartor_geotiff/A 11411-2025 georefererad karta.tif", "A 11411-2025")</f>
        <v/>
      </c>
      <c r="AA85">
        <f>HYPERLINK("https://klasma.github.io/Logging_2180/klagomål/A 11411-2025 FSC-klagomål.docx", "A 11411-2025")</f>
        <v/>
      </c>
      <c r="AB85">
        <f>HYPERLINK("https://klasma.github.io/Logging_2180/klagomålsmail/A 11411-2025 FSC-klagomål mail.docx", "A 11411-2025")</f>
        <v/>
      </c>
      <c r="AC85">
        <f>HYPERLINK("https://klasma.github.io/Logging_2180/tillsyn/A 11411-2025 tillsynsbegäran.docx", "A 11411-2025")</f>
        <v/>
      </c>
      <c r="AD85">
        <f>HYPERLINK("https://klasma.github.io/Logging_2180/tillsynsmail/A 11411-2025 tillsynsbegäran mail.docx", "A 11411-2025")</f>
        <v/>
      </c>
    </row>
    <row r="86" ht="15" customHeight="1">
      <c r="A86" t="inlineStr">
        <is>
          <t>A 15001-2023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45015</v>
      </c>
      <c r="E86" s="1" t="n">
        <v>46301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2.7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Ängsblåvinge</t>
        </is>
      </c>
      <c r="W86">
        <f>HYPERLINK("https://klasma.github.io/Logging_2180/artfynd/A 15001-2023 artfynd.xlsx", "A 15001-2023")</f>
        <v/>
      </c>
      <c r="X86">
        <f>HYPERLINK("https://klasma.github.io/Logging_2180/kartor/A 15001-2023 karta.png", "A 15001-2023")</f>
        <v/>
      </c>
      <c r="Y86">
        <f>HYPERLINK("https://klasma.github.io/Logging_2180/kartor_geotiff/A 15001-2023 georefererad karta.tif", "A 15001-2023")</f>
        <v/>
      </c>
      <c r="AA86">
        <f>HYPERLINK("https://klasma.github.io/Logging_2180/klagomål/A 15001-2023 FSC-klagomål.docx", "A 15001-2023")</f>
        <v/>
      </c>
      <c r="AB86">
        <f>HYPERLINK("https://klasma.github.io/Logging_2180/klagomålsmail/A 15001-2023 FSC-klagomål mail.docx", "A 15001-2023")</f>
        <v/>
      </c>
      <c r="AC86">
        <f>HYPERLINK("https://klasma.github.io/Logging_2180/tillsyn/A 15001-2023 tillsynsbegäran.docx", "A 15001-2023")</f>
        <v/>
      </c>
      <c r="AD86">
        <f>HYPERLINK("https://klasma.github.io/Logging_2180/tillsynsmail/A 15001-2023 tillsynsbegäran mail.docx", "A 15001-2023")</f>
        <v/>
      </c>
    </row>
    <row r="87" ht="15" customHeight="1">
      <c r="A87" t="inlineStr">
        <is>
          <t>A 28875-2025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46301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43.3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Revlummer</t>
        </is>
      </c>
      <c r="W87">
        <f>HYPERLINK("https://klasma.github.io/Logging_2180/artfynd/A 28875-2025 artfynd.xlsx", "A 28875-2025")</f>
        <v/>
      </c>
      <c r="X87">
        <f>HYPERLINK("https://klasma.github.io/Logging_2180/kartor/A 28875-2025 karta.png", "A 28875-2025")</f>
        <v/>
      </c>
      <c r="Y87">
        <f>HYPERLINK("https://klasma.github.io/Logging_2180/kartor_geotiff/A 28875-2025 georefererad karta.tif", "A 28875-2025")</f>
        <v/>
      </c>
      <c r="AA87">
        <f>HYPERLINK("https://klasma.github.io/Logging_2180/klagomål/A 28875-2025 FSC-klagomål.docx", "A 28875-2025")</f>
        <v/>
      </c>
      <c r="AB87">
        <f>HYPERLINK("https://klasma.github.io/Logging_2180/klagomålsmail/A 28875-2025 FSC-klagomål mail.docx", "A 28875-2025")</f>
        <v/>
      </c>
      <c r="AC87">
        <f>HYPERLINK("https://klasma.github.io/Logging_2180/tillsyn/A 28875-2025 tillsynsbegäran.docx", "A 28875-2025")</f>
        <v/>
      </c>
      <c r="AD87">
        <f>HYPERLINK("https://klasma.github.io/Logging_2180/tillsynsmail/A 28875-2025 tillsynsbegäran mail.docx", "A 28875-2025")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46301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63036-2023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46301</v>
      </c>
      <c r="F89" t="inlineStr">
        <is>
          <t>GÄVLEBORGS LÄN</t>
        </is>
      </c>
      <c r="G89" t="inlineStr">
        <is>
          <t>GÄVLE</t>
        </is>
      </c>
      <c r="I89" t="n">
        <v>12.7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HYPERLINK("https://klasma.github.io/Logging_2180/artfynd/A 63036-2023 artfynd.xlsx", "A 63036-2023")</f>
        <v/>
      </c>
      <c r="X89">
        <f>HYPERLINK("https://klasma.github.io/Logging_2180/kartor/A 63036-2023 karta.png", "A 63036-2023")</f>
        <v/>
      </c>
      <c r="Y89">
        <f>HYPERLINK("https://klasma.github.io/Logging_2180/kartor_geotiff/A 63036-2023 georefererad karta.tif", "A 63036-2023")</f>
        <v/>
      </c>
      <c r="AA89">
        <f>HYPERLINK("https://klasma.github.io/Logging_2180/klagomål/A 63036-2023 FSC-klagomål.docx", "A 63036-2023")</f>
        <v/>
      </c>
      <c r="AB89">
        <f>HYPERLINK("https://klasma.github.io/Logging_2180/klagomålsmail/A 63036-2023 FSC-klagomål mail.docx", "A 63036-2023")</f>
        <v/>
      </c>
      <c r="AC89">
        <f>HYPERLINK("https://klasma.github.io/Logging_2180/tillsyn/A 63036-2023 tillsynsbegäran.docx", "A 63036-2023")</f>
        <v/>
      </c>
      <c r="AD89">
        <f>HYPERLINK("https://klasma.github.io/Logging_2180/tillsynsmail/A 63036-2023 tillsynsbegäran mail.docx", "A 63036-2023")</f>
        <v/>
      </c>
    </row>
    <row r="90" ht="15" customHeight="1">
      <c r="A90" t="inlineStr">
        <is>
          <t>A 61056-2024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46301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5.3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Myggblomster</t>
        </is>
      </c>
      <c r="W90">
        <f>HYPERLINK("https://klasma.github.io/Logging_2180/artfynd/A 61056-2024 artfynd.xlsx", "A 61056-2024")</f>
        <v/>
      </c>
      <c r="X90">
        <f>HYPERLINK("https://klasma.github.io/Logging_2180/kartor/A 61056-2024 karta.png", "A 61056-2024")</f>
        <v/>
      </c>
      <c r="Y90">
        <f>HYPERLINK("https://klasma.github.io/Logging_2180/kartor_geotiff/A 61056-2024 georefererad karta.tif", "A 61056-2024")</f>
        <v/>
      </c>
      <c r="AA90">
        <f>HYPERLINK("https://klasma.github.io/Logging_2180/klagomål/A 61056-2024 FSC-klagomål.docx", "A 61056-2024")</f>
        <v/>
      </c>
      <c r="AB90">
        <f>HYPERLINK("https://klasma.github.io/Logging_2180/klagomålsmail/A 61056-2024 FSC-klagomål mail.docx", "A 61056-2024")</f>
        <v/>
      </c>
      <c r="AC90">
        <f>HYPERLINK("https://klasma.github.io/Logging_2180/tillsyn/A 61056-2024 tillsynsbegäran.docx", "A 61056-2024")</f>
        <v/>
      </c>
      <c r="AD90">
        <f>HYPERLINK("https://klasma.github.io/Logging_2180/tillsynsmail/A 61056-2024 tillsynsbegäran mail.docx", "A 61056-2024")</f>
        <v/>
      </c>
    </row>
    <row r="91" ht="15" customHeight="1">
      <c r="A91" t="inlineStr">
        <is>
          <t>A 50052-2025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45943</v>
      </c>
      <c r="E91" s="1" t="n">
        <v>46301</v>
      </c>
      <c r="F91" t="inlineStr">
        <is>
          <t>GÄVLEBORGS LÄN</t>
        </is>
      </c>
      <c r="G91" t="inlineStr">
        <is>
          <t>GÄVLE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t="n">
        <v>0</v>
      </c>
      <c r="V91" s="2" t="inlineStr">
        <is>
          <t>Mosippa</t>
        </is>
      </c>
      <c r="W91">
        <f>HYPERLINK("https://klasma.github.io/Logging_2180/artfynd/A 50052-2025 artfynd.xlsx", "A 50052-2025")</f>
        <v/>
      </c>
      <c r="X91">
        <f>HYPERLINK("https://klasma.github.io/Logging_2180/kartor/A 50052-2025 karta.png", "A 50052-2025")</f>
        <v/>
      </c>
      <c r="Y91">
        <f>HYPERLINK("https://klasma.github.io/Logging_2180/kartor_geotiff/A 50052-2025 georefererad karta.tif", "A 50052-2025")</f>
        <v/>
      </c>
      <c r="AA91">
        <f>HYPERLINK("https://klasma.github.io/Logging_2180/klagomål/A 50052-2025 FSC-klagomål.docx", "A 50052-2025")</f>
        <v/>
      </c>
      <c r="AB91">
        <f>HYPERLINK("https://klasma.github.io/Logging_2180/klagomålsmail/A 50052-2025 FSC-klagomål mail.docx", "A 50052-2025")</f>
        <v/>
      </c>
      <c r="AC91">
        <f>HYPERLINK("https://klasma.github.io/Logging_2180/tillsyn/A 50052-2025 tillsynsbegäran.docx", "A 50052-2025")</f>
        <v/>
      </c>
      <c r="AD91">
        <f>HYPERLINK("https://klasma.github.io/Logging_2180/tillsynsmail/A 50052-2025 tillsynsbegäran mail.docx", "A 50052-2025")</f>
        <v/>
      </c>
    </row>
    <row r="92" ht="15" customHeight="1">
      <c r="A92" t="inlineStr">
        <is>
          <t>A 12083-2025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46301</v>
      </c>
      <c r="F92" t="inlineStr">
        <is>
          <t>GÄVLEBORGS LÄN</t>
        </is>
      </c>
      <c r="G92" t="inlineStr">
        <is>
          <t>GÄVLE</t>
        </is>
      </c>
      <c r="I92" t="n">
        <v>6.3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Grönsiska</t>
        </is>
      </c>
      <c r="W92">
        <f>HYPERLINK("https://klasma.github.io/Logging_2180/artfynd/A 12083-2025 artfynd.xlsx", "A 12083-2025")</f>
        <v/>
      </c>
      <c r="X92">
        <f>HYPERLINK("https://klasma.github.io/Logging_2180/kartor/A 12083-2025 karta.png", "A 12083-2025")</f>
        <v/>
      </c>
      <c r="Y92">
        <f>HYPERLINK("https://klasma.github.io/Logging_2180/kartor_geotiff/A 12083-2025 georefererad karta.tif", "A 12083-2025")</f>
        <v/>
      </c>
      <c r="AA92">
        <f>HYPERLINK("https://klasma.github.io/Logging_2180/klagomål/A 12083-2025 FSC-klagomål.docx", "A 12083-2025")</f>
        <v/>
      </c>
      <c r="AB92">
        <f>HYPERLINK("https://klasma.github.io/Logging_2180/klagomålsmail/A 12083-2025 FSC-klagomål mail.docx", "A 12083-2025")</f>
        <v/>
      </c>
      <c r="AC92">
        <f>HYPERLINK("https://klasma.github.io/Logging_2180/tillsyn/A 12083-2025 tillsynsbegäran.docx", "A 12083-2025")</f>
        <v/>
      </c>
      <c r="AD92">
        <f>HYPERLINK("https://klasma.github.io/Logging_2180/tillsynsmail/A 12083-2025 tillsynsbegäran mail.docx", "A 12083-2025")</f>
        <v/>
      </c>
    </row>
    <row r="93" ht="15" customHeight="1">
      <c r="A93" t="inlineStr">
        <is>
          <t>A 13684-2026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46301</v>
      </c>
      <c r="F93" t="inlineStr">
        <is>
          <t>GÄVLEBORGS LÄN</t>
        </is>
      </c>
      <c r="G93" t="inlineStr">
        <is>
          <t>GÄVLE</t>
        </is>
      </c>
      <c r="I93" t="n">
        <v>21.3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Igelkott</t>
        </is>
      </c>
      <c r="W93">
        <f>HYPERLINK("https://klasma.github.io/Logging_2180/artfynd/A 13684-2026 artfynd.xlsx", "A 13684-2026")</f>
        <v/>
      </c>
      <c r="X93">
        <f>HYPERLINK("https://klasma.github.io/Logging_2180/kartor/A 13684-2026 karta.png", "A 13684-2026")</f>
        <v/>
      </c>
      <c r="Y93">
        <f>HYPERLINK("https://klasma.github.io/Logging_2180/kartor_geotiff/A 13684-2026 georefererad karta.tif", "A 13684-2026")</f>
        <v/>
      </c>
      <c r="AA93">
        <f>HYPERLINK("https://klasma.github.io/Logging_2180/klagomål/A 13684-2026 FSC-klagomål.docx", "A 13684-2026")</f>
        <v/>
      </c>
      <c r="AB93">
        <f>HYPERLINK("https://klasma.github.io/Logging_2180/klagomålsmail/A 13684-2026 FSC-klagomål mail.docx", "A 13684-2026")</f>
        <v/>
      </c>
      <c r="AC93">
        <f>HYPERLINK("https://klasma.github.io/Logging_2180/tillsyn/A 13684-2026 tillsynsbegäran.docx", "A 13684-2026")</f>
        <v/>
      </c>
      <c r="AD93">
        <f>HYPERLINK("https://klasma.github.io/Logging_2180/tillsynsmail/A 13684-2026 tillsynsbegäran mail.docx", "A 13684-2026")</f>
        <v/>
      </c>
    </row>
    <row r="94" ht="15" customHeight="1">
      <c r="A94" t="inlineStr">
        <is>
          <t>A 45241-2022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46301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22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45241-2022 artfynd.xlsx", "A 45241-2022")</f>
        <v/>
      </c>
      <c r="X94">
        <f>HYPERLINK("https://klasma.github.io/Logging_2180/kartor/A 45241-2022 karta.png", "A 45241-2022")</f>
        <v/>
      </c>
      <c r="Y94">
        <f>HYPERLINK("https://klasma.github.io/Logging_2180/kartor_geotiff/A 45241-2022 georefererad karta.tif", "A 45241-2022")</f>
        <v/>
      </c>
      <c r="AA94">
        <f>HYPERLINK("https://klasma.github.io/Logging_2180/klagomål/A 45241-2022 FSC-klagomål.docx", "A 45241-2022")</f>
        <v/>
      </c>
      <c r="AB94">
        <f>HYPERLINK("https://klasma.github.io/Logging_2180/klagomålsmail/A 45241-2022 FSC-klagomål mail.docx", "A 45241-2022")</f>
        <v/>
      </c>
      <c r="AC94">
        <f>HYPERLINK("https://klasma.github.io/Logging_2180/tillsyn/A 45241-2022 tillsynsbegäran.docx", "A 45241-2022")</f>
        <v/>
      </c>
      <c r="AD94">
        <f>HYPERLINK("https://klasma.github.io/Logging_2180/tillsynsmail/A 45241-2022 tillsynsbegäran mail.docx", "A 45241-2022")</f>
        <v/>
      </c>
    </row>
    <row r="95" ht="15" customHeight="1">
      <c r="A95" t="inlineStr">
        <is>
          <t>A 54963-2025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46301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7.9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54963-2025 artfynd.xlsx", "A 54963-2025")</f>
        <v/>
      </c>
      <c r="X95">
        <f>HYPERLINK("https://klasma.github.io/Logging_2180/kartor/A 54963-2025 karta.png", "A 54963-2025")</f>
        <v/>
      </c>
      <c r="Y95">
        <f>HYPERLINK("https://klasma.github.io/Logging_2180/kartor_geotiff/A 54963-2025 georefererad karta.tif", "A 54963-2025")</f>
        <v/>
      </c>
      <c r="AA95">
        <f>HYPERLINK("https://klasma.github.io/Logging_2180/klagomål/A 54963-2025 FSC-klagomål.docx", "A 54963-2025")</f>
        <v/>
      </c>
      <c r="AB95">
        <f>HYPERLINK("https://klasma.github.io/Logging_2180/klagomålsmail/A 54963-2025 FSC-klagomål mail.docx", "A 54963-2025")</f>
        <v/>
      </c>
      <c r="AC95">
        <f>HYPERLINK("https://klasma.github.io/Logging_2180/tillsyn/A 54963-2025 tillsynsbegäran.docx", "A 54963-2025")</f>
        <v/>
      </c>
      <c r="AD95">
        <f>HYPERLINK("https://klasma.github.io/Logging_2180/tillsynsmail/A 54963-2025 tillsynsbegäran mail.docx", "A 54963-2025")</f>
        <v/>
      </c>
    </row>
    <row r="96" ht="15" customHeight="1">
      <c r="A96" t="inlineStr">
        <is>
          <t>A 10333-2025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45720</v>
      </c>
      <c r="E96" s="1" t="n">
        <v>46301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Tjäder</t>
        </is>
      </c>
      <c r="W96">
        <f>HYPERLINK("https://klasma.github.io/Logging_2180/artfynd/A 10333-2025 artfynd.xlsx", "A 10333-2025")</f>
        <v/>
      </c>
      <c r="X96">
        <f>HYPERLINK("https://klasma.github.io/Logging_2180/kartor/A 10333-2025 karta.png", "A 10333-2025")</f>
        <v/>
      </c>
      <c r="Y96">
        <f>HYPERLINK("https://klasma.github.io/Logging_2180/kartor_geotiff/A 10333-2025 georefererad karta.tif", "A 10333-2025")</f>
        <v/>
      </c>
      <c r="AA96">
        <f>HYPERLINK("https://klasma.github.io/Logging_2180/klagomål/A 10333-2025 FSC-klagomål.docx", "A 10333-2025")</f>
        <v/>
      </c>
      <c r="AB96">
        <f>HYPERLINK("https://klasma.github.io/Logging_2180/klagomålsmail/A 10333-2025 FSC-klagomål mail.docx", "A 10333-2025")</f>
        <v/>
      </c>
      <c r="AC96">
        <f>HYPERLINK("https://klasma.github.io/Logging_2180/tillsyn/A 10333-2025 tillsynsbegäran.docx", "A 10333-2025")</f>
        <v/>
      </c>
      <c r="AD96">
        <f>HYPERLINK("https://klasma.github.io/Logging_2180/tillsynsmail/A 10333-2025 tillsynsbegäran mail.docx", "A 10333-2025")</f>
        <v/>
      </c>
      <c r="AE96">
        <f>HYPERLINK("https://klasma.github.io/Logging_2180/fåglar/A 10333-2025 prioriterade fågelarter.docx", "A 10333-2025")</f>
        <v/>
      </c>
    </row>
    <row r="97" ht="15" customHeight="1">
      <c r="A97" t="inlineStr">
        <is>
          <t>A 56123-2025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45973</v>
      </c>
      <c r="E97" s="1" t="n">
        <v>46301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10.5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Talltita</t>
        </is>
      </c>
      <c r="W97">
        <f>HYPERLINK("https://klasma.github.io/Logging_2180/artfynd/A 56123-2025 artfynd.xlsx", "A 56123-2025")</f>
        <v/>
      </c>
      <c r="X97">
        <f>HYPERLINK("https://klasma.github.io/Logging_2180/kartor/A 56123-2025 karta.png", "A 56123-2025")</f>
        <v/>
      </c>
      <c r="Y97">
        <f>HYPERLINK("https://klasma.github.io/Logging_2180/kartor_geotiff/A 56123-2025 georefererad karta.tif", "A 56123-2025")</f>
        <v/>
      </c>
      <c r="AA97">
        <f>HYPERLINK("https://klasma.github.io/Logging_2180/klagomål/A 56123-2025 FSC-klagomål.docx", "A 56123-2025")</f>
        <v/>
      </c>
      <c r="AB97">
        <f>HYPERLINK("https://klasma.github.io/Logging_2180/klagomålsmail/A 56123-2025 FSC-klagomål mail.docx", "A 56123-2025")</f>
        <v/>
      </c>
      <c r="AC97">
        <f>HYPERLINK("https://klasma.github.io/Logging_2180/tillsyn/A 56123-2025 tillsynsbegäran.docx", "A 56123-2025")</f>
        <v/>
      </c>
      <c r="AD97">
        <f>HYPERLINK("https://klasma.github.io/Logging_2180/tillsynsmail/A 56123-2025 tillsynsbegäran mail.docx", "A 56123-2025")</f>
        <v/>
      </c>
      <c r="AE97">
        <f>HYPERLINK("https://klasma.github.io/Logging_2180/fåglar/A 56123-2025 prioriterade fågelarter.docx", "A 56123-2025")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46301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13396-2026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46094</v>
      </c>
      <c r="E99" s="1" t="n">
        <v>46301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HYPERLINK("https://klasma.github.io/Logging_2180/artfynd/A 13396-2026 artfynd.xlsx", "A 13396-2026")</f>
        <v/>
      </c>
      <c r="X99">
        <f>HYPERLINK("https://klasma.github.io/Logging_2180/kartor/A 13396-2026 karta.png", "A 13396-2026")</f>
        <v/>
      </c>
      <c r="Y99">
        <f>HYPERLINK("https://klasma.github.io/Logging_2180/kartor_geotiff/A 13396-2026 georefererad karta.tif", "A 13396-2026")</f>
        <v/>
      </c>
      <c r="AA99">
        <f>HYPERLINK("https://klasma.github.io/Logging_2180/klagomål/A 13396-2026 FSC-klagomål.docx", "A 13396-2026")</f>
        <v/>
      </c>
      <c r="AB99">
        <f>HYPERLINK("https://klasma.github.io/Logging_2180/klagomålsmail/A 13396-2026 FSC-klagomål mail.docx", "A 13396-2026")</f>
        <v/>
      </c>
      <c r="AC99">
        <f>HYPERLINK("https://klasma.github.io/Logging_2180/tillsyn/A 13396-2026 tillsynsbegäran.docx", "A 13396-2026")</f>
        <v/>
      </c>
      <c r="AD99">
        <f>HYPERLINK("https://klasma.github.io/Logging_2180/tillsynsmail/A 13396-2026 tillsynsbegäran mail.docx", "A 13396-2026")</f>
        <v/>
      </c>
    </row>
    <row r="100" ht="15" customHeight="1">
      <c r="A100" t="inlineStr">
        <is>
          <t>A 5409-2023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44959</v>
      </c>
      <c r="E100" s="1" t="n">
        <v>46301</v>
      </c>
      <c r="F100" t="inlineStr">
        <is>
          <t>GÄVLEBORGS LÄN</t>
        </is>
      </c>
      <c r="G100" t="inlineStr">
        <is>
          <t>GÄVLE</t>
        </is>
      </c>
      <c r="I100" t="n">
        <v>0.3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Skogsklocka</t>
        </is>
      </c>
      <c r="W100">
        <f>HYPERLINK("https://klasma.github.io/Logging_2180/artfynd/A 5409-2023 artfynd.xlsx", "A 5409-2023")</f>
        <v/>
      </c>
      <c r="X100">
        <f>HYPERLINK("https://klasma.github.io/Logging_2180/kartor/A 5409-2023 karta.png", "A 5409-2023")</f>
        <v/>
      </c>
      <c r="Y100">
        <f>HYPERLINK("https://klasma.github.io/Logging_2180/kartor_geotiff/A 5409-2023 georefererad karta.tif", "A 5409-2023")</f>
        <v/>
      </c>
      <c r="AA100">
        <f>HYPERLINK("https://klasma.github.io/Logging_2180/klagomål/A 5409-2023 FSC-klagomål.docx", "A 5409-2023")</f>
        <v/>
      </c>
      <c r="AB100">
        <f>HYPERLINK("https://klasma.github.io/Logging_2180/klagomålsmail/A 5409-2023 FSC-klagomål mail.docx", "A 5409-2023")</f>
        <v/>
      </c>
      <c r="AC100">
        <f>HYPERLINK("https://klasma.github.io/Logging_2180/tillsyn/A 5409-2023 tillsynsbegäran.docx", "A 5409-2023")</f>
        <v/>
      </c>
      <c r="AD100">
        <f>HYPERLINK("https://klasma.github.io/Logging_2180/tillsynsmail/A 5409-2023 tillsynsbegäran mail.docx", "A 5409-2023")</f>
        <v/>
      </c>
    </row>
    <row r="101" ht="15" customHeight="1">
      <c r="A101" t="inlineStr">
        <is>
          <t>A 5415-2023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46301</v>
      </c>
      <c r="F101" t="inlineStr">
        <is>
          <t>GÄVLEBORGS LÄN</t>
        </is>
      </c>
      <c r="G101" t="inlineStr">
        <is>
          <t>GÄVLE</t>
        </is>
      </c>
      <c r="I101" t="n">
        <v>0.1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5415-2023 artfynd.xlsx", "A 5415-2023")</f>
        <v/>
      </c>
      <c r="X101">
        <f>HYPERLINK("https://klasma.github.io/Logging_2180/kartor/A 5415-2023 karta.png", "A 5415-2023")</f>
        <v/>
      </c>
      <c r="Y101">
        <f>HYPERLINK("https://klasma.github.io/Logging_2180/kartor_geotiff/A 5415-2023 georefererad karta.tif", "A 5415-2023")</f>
        <v/>
      </c>
      <c r="AA101">
        <f>HYPERLINK("https://klasma.github.io/Logging_2180/klagomål/A 5415-2023 FSC-klagomål.docx", "A 5415-2023")</f>
        <v/>
      </c>
      <c r="AB101">
        <f>HYPERLINK("https://klasma.github.io/Logging_2180/klagomålsmail/A 5415-2023 FSC-klagomål mail.docx", "A 5415-2023")</f>
        <v/>
      </c>
      <c r="AC101">
        <f>HYPERLINK("https://klasma.github.io/Logging_2180/tillsyn/A 5415-2023 tillsynsbegäran.docx", "A 5415-2023")</f>
        <v/>
      </c>
      <c r="AD101">
        <f>HYPERLINK("https://klasma.github.io/Logging_2180/tillsynsmail/A 5415-2023 tillsynsbegäran mail.docx", "A 5415-2023")</f>
        <v/>
      </c>
    </row>
    <row r="102" ht="15" customHeight="1">
      <c r="A102" t="inlineStr">
        <is>
          <t>A 14730-2026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46301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8.199999999999999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HYPERLINK("https://klasma.github.io/Logging_2180/artfynd/A 14730-2026 artfynd.xlsx", "A 14730-2026")</f>
        <v/>
      </c>
      <c r="X102">
        <f>HYPERLINK("https://klasma.github.io/Logging_2180/kartor/A 14730-2026 karta.png", "A 14730-2026")</f>
        <v/>
      </c>
      <c r="Y102">
        <f>HYPERLINK("https://klasma.github.io/Logging_2180/kartor_geotiff/A 14730-2026 georefererad karta.tif", "A 14730-2026")</f>
        <v/>
      </c>
      <c r="AA102">
        <f>HYPERLINK("https://klasma.github.io/Logging_2180/klagomål/A 14730-2026 FSC-klagomål.docx", "A 14730-2026")</f>
        <v/>
      </c>
      <c r="AB102">
        <f>HYPERLINK("https://klasma.github.io/Logging_2180/klagomålsmail/A 14730-2026 FSC-klagomål mail.docx", "A 14730-2026")</f>
        <v/>
      </c>
      <c r="AC102">
        <f>HYPERLINK("https://klasma.github.io/Logging_2180/tillsyn/A 14730-2026 tillsynsbegäran.docx", "A 14730-2026")</f>
        <v/>
      </c>
      <c r="AD102">
        <f>HYPERLINK("https://klasma.github.io/Logging_2180/tillsynsmail/A 14730-2026 tillsynsbegäran mail.docx", "A 14730-2026")</f>
        <v/>
      </c>
      <c r="AE102">
        <f>HYPERLINK("https://klasma.github.io/Logging_2180/fåglar/A 14730-2026 prioriterade fågelarter.docx", "A 14730-2026")</f>
        <v/>
      </c>
    </row>
    <row r="103" ht="15" customHeight="1">
      <c r="A103" t="inlineStr">
        <is>
          <t>A 14711-2026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46301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Blanksvart spiklav</t>
        </is>
      </c>
      <c r="W103">
        <f>HYPERLINK("https://klasma.github.io/Logging_2180/artfynd/A 14711-2026 artfynd.xlsx", "A 14711-2026")</f>
        <v/>
      </c>
      <c r="X103">
        <f>HYPERLINK("https://klasma.github.io/Logging_2180/kartor/A 14711-2026 karta.png", "A 14711-2026")</f>
        <v/>
      </c>
      <c r="Y103">
        <f>HYPERLINK("https://klasma.github.io/Logging_2180/kartor_geotiff/A 14711-2026 georefererad karta.tif", "A 14711-2026")</f>
        <v/>
      </c>
      <c r="AA103">
        <f>HYPERLINK("https://klasma.github.io/Logging_2180/klagomål/A 14711-2026 FSC-klagomål.docx", "A 14711-2026")</f>
        <v/>
      </c>
      <c r="AB103">
        <f>HYPERLINK("https://klasma.github.io/Logging_2180/klagomålsmail/A 14711-2026 FSC-klagomål mail.docx", "A 14711-2026")</f>
        <v/>
      </c>
      <c r="AC103">
        <f>HYPERLINK("https://klasma.github.io/Logging_2180/tillsyn/A 14711-2026 tillsynsbegäran.docx", "A 14711-2026")</f>
        <v/>
      </c>
      <c r="AD103">
        <f>HYPERLINK("https://klasma.github.io/Logging_2180/tillsynsmail/A 14711-2026 tillsynsbegäran mail.docx", "A 14711-2026")</f>
        <v/>
      </c>
    </row>
    <row r="104" ht="15" customHeight="1">
      <c r="A104" t="inlineStr">
        <is>
          <t>A 14714-2026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46301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Tjäder</t>
        </is>
      </c>
      <c r="W104">
        <f>HYPERLINK("https://klasma.github.io/Logging_2180/artfynd/A 14714-2026 artfynd.xlsx", "A 14714-2026")</f>
        <v/>
      </c>
      <c r="X104">
        <f>HYPERLINK("https://klasma.github.io/Logging_2180/kartor/A 14714-2026 karta.png", "A 14714-2026")</f>
        <v/>
      </c>
      <c r="Y104">
        <f>HYPERLINK("https://klasma.github.io/Logging_2180/kartor_geotiff/A 14714-2026 georefererad karta.tif", "A 14714-2026")</f>
        <v/>
      </c>
      <c r="AA104">
        <f>HYPERLINK("https://klasma.github.io/Logging_2180/klagomål/A 14714-2026 FSC-klagomål.docx", "A 14714-2026")</f>
        <v/>
      </c>
      <c r="AB104">
        <f>HYPERLINK("https://klasma.github.io/Logging_2180/klagomålsmail/A 14714-2026 FSC-klagomål mail.docx", "A 14714-2026")</f>
        <v/>
      </c>
      <c r="AC104">
        <f>HYPERLINK("https://klasma.github.io/Logging_2180/tillsyn/A 14714-2026 tillsynsbegäran.docx", "A 14714-2026")</f>
        <v/>
      </c>
      <c r="AD104">
        <f>HYPERLINK("https://klasma.github.io/Logging_2180/tillsynsmail/A 14714-2026 tillsynsbegäran mail.docx", "A 14714-2026")</f>
        <v/>
      </c>
      <c r="AE104">
        <f>HYPERLINK("https://klasma.github.io/Logging_2180/fåglar/A 14714-2026 prioriterade fågelarter.docx", "A 14714-2026")</f>
        <v/>
      </c>
    </row>
    <row r="105" ht="15" customHeight="1">
      <c r="A105" t="inlineStr">
        <is>
          <t>A 10064-2025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46301</v>
      </c>
      <c r="F105" t="inlineStr">
        <is>
          <t>GÄVLEBORGS LÄN</t>
        </is>
      </c>
      <c r="G105" t="inlineStr">
        <is>
          <t>GÄVLE</t>
        </is>
      </c>
      <c r="I105" t="n">
        <v>4.6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HYPERLINK("https://klasma.github.io/Logging_2180/artfynd/A 10064-2025 artfynd.xlsx", "A 10064-2025")</f>
        <v/>
      </c>
      <c r="X105">
        <f>HYPERLINK("https://klasma.github.io/Logging_2180/kartor/A 10064-2025 karta.png", "A 10064-2025")</f>
        <v/>
      </c>
      <c r="Y105">
        <f>HYPERLINK("https://klasma.github.io/Logging_2180/kartor_geotiff/A 10064-2025 georefererad karta.tif", "A 10064-2025")</f>
        <v/>
      </c>
      <c r="AA105">
        <f>HYPERLINK("https://klasma.github.io/Logging_2180/klagomål/A 10064-2025 FSC-klagomål.docx", "A 10064-2025")</f>
        <v/>
      </c>
      <c r="AB105">
        <f>HYPERLINK("https://klasma.github.io/Logging_2180/klagomålsmail/A 10064-2025 FSC-klagomål mail.docx", "A 10064-2025")</f>
        <v/>
      </c>
      <c r="AC105">
        <f>HYPERLINK("https://klasma.github.io/Logging_2180/tillsyn/A 10064-2025 tillsynsbegäran.docx", "A 10064-2025")</f>
        <v/>
      </c>
      <c r="AD105">
        <f>HYPERLINK("https://klasma.github.io/Logging_2180/tillsynsmail/A 10064-2025 tillsynsbegäran mail.docx", "A 10064-2025")</f>
        <v/>
      </c>
    </row>
    <row r="106" ht="15" customHeight="1">
      <c r="A106" t="inlineStr">
        <is>
          <t>A 20734-2026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46141</v>
      </c>
      <c r="E106" s="1" t="n">
        <v>46301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HYPERLINK("https://klasma.github.io/Logging_2180/artfynd/A 20734-2026 artfynd.xlsx", "A 20734-2026")</f>
        <v/>
      </c>
      <c r="X106">
        <f>HYPERLINK("https://klasma.github.io/Logging_2180/kartor/A 20734-2026 karta.png", "A 20734-2026")</f>
        <v/>
      </c>
      <c r="Y106">
        <f>HYPERLINK("https://klasma.github.io/Logging_2180/kartor_geotiff/A 20734-2026 georefererad karta.tif", "A 20734-2026")</f>
        <v/>
      </c>
      <c r="AA106">
        <f>HYPERLINK("https://klasma.github.io/Logging_2180/klagomål/A 20734-2026 FSC-klagomål.docx", "A 20734-2026")</f>
        <v/>
      </c>
      <c r="AB106">
        <f>HYPERLINK("https://klasma.github.io/Logging_2180/klagomålsmail/A 20734-2026 FSC-klagomål mail.docx", "A 20734-2026")</f>
        <v/>
      </c>
      <c r="AC106">
        <f>HYPERLINK("https://klasma.github.io/Logging_2180/tillsyn/A 20734-2026 tillsynsbegäran.docx", "A 20734-2026")</f>
        <v/>
      </c>
      <c r="AD106">
        <f>HYPERLINK("https://klasma.github.io/Logging_2180/tillsynsmail/A 20734-2026 tillsynsbegäran mail.docx", "A 20734-2026")</f>
        <v/>
      </c>
    </row>
    <row r="107" ht="15" customHeight="1">
      <c r="A107" t="inlineStr">
        <is>
          <t>A 21282-2024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45440</v>
      </c>
      <c r="E107" s="1" t="n">
        <v>46301</v>
      </c>
      <c r="F107" t="inlineStr">
        <is>
          <t>GÄVLEBORGS LÄN</t>
        </is>
      </c>
      <c r="G107" t="inlineStr">
        <is>
          <t>GÄVLE</t>
        </is>
      </c>
      <c r="I107" t="n">
        <v>7.4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t="n">
        <v>1</v>
      </c>
      <c r="V107" s="2" t="inlineStr">
        <is>
          <t>Skogsklocka</t>
        </is>
      </c>
      <c r="W107">
        <f>HYPERLINK("https://klasma.github.io/Logging_2180/artfynd/A 21282-2024 artfynd.xlsx", "A 21282-2024")</f>
        <v/>
      </c>
      <c r="X107">
        <f>HYPERLINK("https://klasma.github.io/Logging_2180/kartor/A 21282-2024 karta.png", "A 21282-2024")</f>
        <v/>
      </c>
      <c r="Y107">
        <f>HYPERLINK("https://klasma.github.io/Logging_2180/kartor_geotiff/A 21282-2024 georefererad karta.tif", "A 21282-2024")</f>
        <v/>
      </c>
      <c r="AA107">
        <f>HYPERLINK("https://klasma.github.io/Logging_2180/klagomål/A 21282-2024 FSC-klagomål.docx", "A 21282-2024")</f>
        <v/>
      </c>
      <c r="AB107">
        <f>HYPERLINK("https://klasma.github.io/Logging_2180/klagomålsmail/A 21282-2024 FSC-klagomål mail.docx", "A 21282-2024")</f>
        <v/>
      </c>
      <c r="AC107">
        <f>HYPERLINK("https://klasma.github.io/Logging_2180/tillsyn/A 21282-2024 tillsynsbegäran.docx", "A 21282-2024")</f>
        <v/>
      </c>
      <c r="AD107">
        <f>HYPERLINK("https://klasma.github.io/Logging_2180/tillsynsmail/A 21282-2024 tillsynsbegäran mail.docx", "A 21282-2024")</f>
        <v/>
      </c>
    </row>
    <row r="108" ht="15" customHeight="1">
      <c r="A108" t="inlineStr">
        <is>
          <t>A 14703-2026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46301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14703-2026 artfynd.xlsx", "A 14703-2026")</f>
        <v/>
      </c>
      <c r="X108">
        <f>HYPERLINK("https://klasma.github.io/Logging_2180/kartor/A 14703-2026 karta.png", "A 14703-2026")</f>
        <v/>
      </c>
      <c r="Y108">
        <f>HYPERLINK("https://klasma.github.io/Logging_2180/kartor_geotiff/A 14703-2026 georefererad karta.tif", "A 14703-2026")</f>
        <v/>
      </c>
      <c r="AA108">
        <f>HYPERLINK("https://klasma.github.io/Logging_2180/klagomål/A 14703-2026 FSC-klagomål.docx", "A 14703-2026")</f>
        <v/>
      </c>
      <c r="AB108">
        <f>HYPERLINK("https://klasma.github.io/Logging_2180/klagomålsmail/A 14703-2026 FSC-klagomål mail.docx", "A 14703-2026")</f>
        <v/>
      </c>
      <c r="AC108">
        <f>HYPERLINK("https://klasma.github.io/Logging_2180/tillsyn/A 14703-2026 tillsynsbegäran.docx", "A 14703-2026")</f>
        <v/>
      </c>
      <c r="AD108">
        <f>HYPERLINK("https://klasma.github.io/Logging_2180/tillsynsmail/A 14703-2026 tillsynsbegäran mail.docx", "A 14703-2026")</f>
        <v/>
      </c>
      <c r="AE108">
        <f>HYPERLINK("https://klasma.github.io/Logging_2180/fåglar/A 14703-2026 prioriterade fågelarter.docx", "A 14703-2026")</f>
        <v/>
      </c>
    </row>
    <row r="109" ht="15" customHeight="1">
      <c r="A109" t="inlineStr">
        <is>
          <t>A 22052-2026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46301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Gullpudra</t>
        </is>
      </c>
      <c r="W109">
        <f>HYPERLINK("https://klasma.github.io/Logging_2180/artfynd/A 22052-2026 artfynd.xlsx", "A 22052-2026")</f>
        <v/>
      </c>
      <c r="X109">
        <f>HYPERLINK("https://klasma.github.io/Logging_2180/kartor/A 22052-2026 karta.png", "A 22052-2026")</f>
        <v/>
      </c>
      <c r="Y109">
        <f>HYPERLINK("https://klasma.github.io/Logging_2180/kartor_geotiff/A 22052-2026 georefererad karta.tif", "A 22052-2026")</f>
        <v/>
      </c>
      <c r="AA109">
        <f>HYPERLINK("https://klasma.github.io/Logging_2180/klagomål/A 22052-2026 FSC-klagomål.docx", "A 22052-2026")</f>
        <v/>
      </c>
      <c r="AB109">
        <f>HYPERLINK("https://klasma.github.io/Logging_2180/klagomålsmail/A 22052-2026 FSC-klagomål mail.docx", "A 22052-2026")</f>
        <v/>
      </c>
      <c r="AC109">
        <f>HYPERLINK("https://klasma.github.io/Logging_2180/tillsyn/A 22052-2026 tillsynsbegäran.docx", "A 22052-2026")</f>
        <v/>
      </c>
      <c r="AD109">
        <f>HYPERLINK("https://klasma.github.io/Logging_2180/tillsynsmail/A 22052-2026 tillsynsbegäran mail.docx", "A 22052-2026")</f>
        <v/>
      </c>
    </row>
    <row r="110" ht="15" customHeight="1">
      <c r="A110" t="inlineStr">
        <is>
          <t>A 57932-2024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46301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48.7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HYPERLINK("https://klasma.github.io/Logging_2180/artfynd/A 57932-2024 artfynd.xlsx", "A 57932-2024")</f>
        <v/>
      </c>
      <c r="X110">
        <f>HYPERLINK("https://klasma.github.io/Logging_2180/kartor/A 57932-2024 karta.png", "A 57932-2024")</f>
        <v/>
      </c>
      <c r="Y110">
        <f>HYPERLINK("https://klasma.github.io/Logging_2180/kartor_geotiff/A 57932-2024 georefererad karta.tif", "A 57932-2024")</f>
        <v/>
      </c>
      <c r="AA110">
        <f>HYPERLINK("https://klasma.github.io/Logging_2180/klagomål/A 57932-2024 FSC-klagomål.docx", "A 57932-2024")</f>
        <v/>
      </c>
      <c r="AB110">
        <f>HYPERLINK("https://klasma.github.io/Logging_2180/klagomålsmail/A 57932-2024 FSC-klagomål mail.docx", "A 57932-2024")</f>
        <v/>
      </c>
      <c r="AC110">
        <f>HYPERLINK("https://klasma.github.io/Logging_2180/tillsyn/A 57932-2024 tillsynsbegäran.docx", "A 57932-2024")</f>
        <v/>
      </c>
      <c r="AD110">
        <f>HYPERLINK("https://klasma.github.io/Logging_2180/tillsynsmail/A 57932-2024 tillsynsbegäran mail.docx", "A 57932-2024")</f>
        <v/>
      </c>
      <c r="AE110">
        <f>HYPERLINK("https://klasma.github.io/Logging_2180/fåglar/A 57932-2024 prioriterade fågelarter.docx", "A 57932-2024")</f>
        <v/>
      </c>
    </row>
    <row r="111" ht="15" customHeight="1">
      <c r="A111" t="inlineStr">
        <is>
          <t>A 22892-2026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46157</v>
      </c>
      <c r="E111" s="1" t="n">
        <v>46301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HYPERLINK("https://klasma.github.io/Logging_2180/artfynd/A 22892-2026 artfynd.xlsx", "A 22892-2026")</f>
        <v/>
      </c>
      <c r="X111">
        <f>HYPERLINK("https://klasma.github.io/Logging_2180/kartor/A 22892-2026 karta.png", "A 22892-2026")</f>
        <v/>
      </c>
      <c r="Y111">
        <f>HYPERLINK("https://klasma.github.io/Logging_2180/kartor_geotiff/A 22892-2026 georefererad karta.tif", "A 22892-2026")</f>
        <v/>
      </c>
      <c r="AA111">
        <f>HYPERLINK("https://klasma.github.io/Logging_2180/klagomål/A 22892-2026 FSC-klagomål.docx", "A 22892-2026")</f>
        <v/>
      </c>
      <c r="AB111">
        <f>HYPERLINK("https://klasma.github.io/Logging_2180/klagomålsmail/A 22892-2026 FSC-klagomål mail.docx", "A 22892-2026")</f>
        <v/>
      </c>
      <c r="AC111">
        <f>HYPERLINK("https://klasma.github.io/Logging_2180/tillsyn/A 22892-2026 tillsynsbegäran.docx", "A 22892-2026")</f>
        <v/>
      </c>
      <c r="AD111">
        <f>HYPERLINK("https://klasma.github.io/Logging_2180/tillsynsmail/A 22892-2026 tillsynsbegäran mail.docx", "A 22892-2026")</f>
        <v/>
      </c>
      <c r="AE111">
        <f>HYPERLINK("https://klasma.github.io/Logging_2180/fåglar/A 22892-2026 prioriterade fågelarter.docx", "A 22892-2026")</f>
        <v/>
      </c>
    </row>
    <row r="112" ht="15" customHeight="1">
      <c r="A112" t="inlineStr">
        <is>
          <t>A 27043-2026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46301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27043-2026 artfynd.xlsx", "A 27043-2026")</f>
        <v/>
      </c>
      <c r="X112">
        <f>HYPERLINK("https://klasma.github.io/Logging_2180/kartor/A 27043-2026 karta.png", "A 27043-2026")</f>
        <v/>
      </c>
      <c r="Y112">
        <f>HYPERLINK("https://klasma.github.io/Logging_2180/kartor_geotiff/A 27043-2026 georefererad karta.tif", "A 27043-2026")</f>
        <v/>
      </c>
      <c r="AA112">
        <f>HYPERLINK("https://klasma.github.io/Logging_2180/klagomål/A 27043-2026 FSC-klagomål.docx", "A 27043-2026")</f>
        <v/>
      </c>
      <c r="AB112">
        <f>HYPERLINK("https://klasma.github.io/Logging_2180/klagomålsmail/A 27043-2026 FSC-klagomål mail.docx", "A 27043-2026")</f>
        <v/>
      </c>
      <c r="AC112">
        <f>HYPERLINK("https://klasma.github.io/Logging_2180/tillsyn/A 27043-2026 tillsynsbegäran.docx", "A 27043-2026")</f>
        <v/>
      </c>
      <c r="AD112">
        <f>HYPERLINK("https://klasma.github.io/Logging_2180/tillsynsmail/A 27043-2026 tillsynsbegäran mail.docx", "A 27043-2026")</f>
        <v/>
      </c>
    </row>
    <row r="113" ht="15" customHeight="1">
      <c r="A113" t="inlineStr">
        <is>
          <t>A 27058-2026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46301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Gullpudra</t>
        </is>
      </c>
      <c r="W113">
        <f>HYPERLINK("https://klasma.github.io/Logging_2180/artfynd/A 27058-2026 artfynd.xlsx", "A 27058-2026")</f>
        <v/>
      </c>
      <c r="X113">
        <f>HYPERLINK("https://klasma.github.io/Logging_2180/kartor/A 27058-2026 karta.png", "A 27058-2026")</f>
        <v/>
      </c>
      <c r="Y113">
        <f>HYPERLINK("https://klasma.github.io/Logging_2180/kartor_geotiff/A 27058-2026 georefererad karta.tif", "A 27058-2026")</f>
        <v/>
      </c>
      <c r="AA113">
        <f>HYPERLINK("https://klasma.github.io/Logging_2180/klagomål/A 27058-2026 FSC-klagomål.docx", "A 27058-2026")</f>
        <v/>
      </c>
      <c r="AB113">
        <f>HYPERLINK("https://klasma.github.io/Logging_2180/klagomålsmail/A 27058-2026 FSC-klagomål mail.docx", "A 27058-2026")</f>
        <v/>
      </c>
      <c r="AC113">
        <f>HYPERLINK("https://klasma.github.io/Logging_2180/tillsyn/A 27058-2026 tillsynsbegäran.docx", "A 27058-2026")</f>
        <v/>
      </c>
      <c r="AD113">
        <f>HYPERLINK("https://klasma.github.io/Logging_2180/tillsynsmail/A 27058-2026 tillsynsbegäran mail.docx", "A 27058-2026")</f>
        <v/>
      </c>
    </row>
    <row r="114" ht="15" customHeight="1">
      <c r="A114" t="inlineStr">
        <is>
          <t>A 27063-2026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46301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HYPERLINK("https://klasma.github.io/Logging_2180/artfynd/A 27063-2026 artfynd.xlsx", "A 27063-2026")</f>
        <v/>
      </c>
      <c r="X114">
        <f>HYPERLINK("https://klasma.github.io/Logging_2180/kartor/A 27063-2026 karta.png", "A 27063-2026")</f>
        <v/>
      </c>
      <c r="Y114">
        <f>HYPERLINK("https://klasma.github.io/Logging_2180/kartor_geotiff/A 27063-2026 georefererad karta.tif", "A 27063-2026")</f>
        <v/>
      </c>
      <c r="AA114">
        <f>HYPERLINK("https://klasma.github.io/Logging_2180/klagomål/A 27063-2026 FSC-klagomål.docx", "A 27063-2026")</f>
        <v/>
      </c>
      <c r="AB114">
        <f>HYPERLINK("https://klasma.github.io/Logging_2180/klagomålsmail/A 27063-2026 FSC-klagomål mail.docx", "A 27063-2026")</f>
        <v/>
      </c>
      <c r="AC114">
        <f>HYPERLINK("https://klasma.github.io/Logging_2180/tillsyn/A 27063-2026 tillsynsbegäran.docx", "A 27063-2026")</f>
        <v/>
      </c>
      <c r="AD114">
        <f>HYPERLINK("https://klasma.github.io/Logging_2180/tillsynsmail/A 27063-2026 tillsynsbegäran mail.docx", "A 27063-2026")</f>
        <v/>
      </c>
    </row>
    <row r="115" ht="15" customHeight="1">
      <c r="A115" t="inlineStr">
        <is>
          <t>A 33812-2022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44790</v>
      </c>
      <c r="E115" s="1" t="n">
        <v>46301</v>
      </c>
      <c r="F115" t="inlineStr">
        <is>
          <t>GÄVLEBORGS LÄN</t>
        </is>
      </c>
      <c r="G115" t="inlineStr">
        <is>
          <t>GÄVLE</t>
        </is>
      </c>
      <c r="I115" t="n">
        <v>2.1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HYPERLINK("https://klasma.github.io/Logging_2180/artfynd/A 33812-2022 artfynd.xlsx", "A 33812-2022")</f>
        <v/>
      </c>
      <c r="X115">
        <f>HYPERLINK("https://klasma.github.io/Logging_2180/kartor/A 33812-2022 karta.png", "A 33812-2022")</f>
        <v/>
      </c>
      <c r="Y115">
        <f>HYPERLINK("https://klasma.github.io/Logging_2180/kartor_geotiff/A 33812-2022 georefererad karta.tif", "A 33812-2022")</f>
        <v/>
      </c>
      <c r="AA115">
        <f>HYPERLINK("https://klasma.github.io/Logging_2180/klagomål/A 33812-2022 FSC-klagomål.docx", "A 33812-2022")</f>
        <v/>
      </c>
      <c r="AB115">
        <f>HYPERLINK("https://klasma.github.io/Logging_2180/klagomålsmail/A 33812-2022 FSC-klagomål mail.docx", "A 33812-2022")</f>
        <v/>
      </c>
      <c r="AC115">
        <f>HYPERLINK("https://klasma.github.io/Logging_2180/tillsyn/A 33812-2022 tillsynsbegäran.docx", "A 33812-2022")</f>
        <v/>
      </c>
      <c r="AD115">
        <f>HYPERLINK("https://klasma.github.io/Logging_2180/tillsynsmail/A 33812-2022 tillsynsbegäran mail.docx", "A 33812-2022")</f>
        <v/>
      </c>
    </row>
    <row r="116" ht="15" customHeight="1">
      <c r="A116" t="inlineStr">
        <is>
          <t>A 28546-2026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46301</v>
      </c>
      <c r="F116" t="inlineStr">
        <is>
          <t>GÄVLEBORGS LÄN</t>
        </is>
      </c>
      <c r="G116" t="inlineStr">
        <is>
          <t>GÄVLE</t>
        </is>
      </c>
      <c r="H116" t="inlineStr">
        <is>
          <t>BillerudKorsnäs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Fiskgjuse</t>
        </is>
      </c>
      <c r="W116">
        <f>HYPERLINK("https://klasma.github.io/Logging_2180/artfynd/A 28546-2026 artfynd.xlsx", "A 28546-2026")</f>
        <v/>
      </c>
      <c r="X116">
        <f>HYPERLINK("https://klasma.github.io/Logging_2180/kartor/A 28546-2026 karta.png", "A 28546-2026")</f>
        <v/>
      </c>
      <c r="Y116">
        <f>HYPERLINK("https://klasma.github.io/Logging_2180/kartor_geotiff/A 28546-2026 georefererad karta.tif", "A 28546-2026")</f>
        <v/>
      </c>
      <c r="AA116">
        <f>HYPERLINK("https://klasma.github.io/Logging_2180/klagomål/A 28546-2026 FSC-klagomål.docx", "A 28546-2026")</f>
        <v/>
      </c>
      <c r="AB116">
        <f>HYPERLINK("https://klasma.github.io/Logging_2180/klagomålsmail/A 28546-2026 FSC-klagomål mail.docx", "A 28546-2026")</f>
        <v/>
      </c>
      <c r="AC116">
        <f>HYPERLINK("https://klasma.github.io/Logging_2180/tillsyn/A 28546-2026 tillsynsbegäran.docx", "A 28546-2026")</f>
        <v/>
      </c>
      <c r="AD116">
        <f>HYPERLINK("https://klasma.github.io/Logging_2180/tillsynsmail/A 28546-2026 tillsynsbegäran mail.docx", "A 28546-2026")</f>
        <v/>
      </c>
      <c r="AE116">
        <f>HYPERLINK("https://klasma.github.io/Logging_2180/fåglar/A 28546-2026 prioriterade fågelarter.docx", "A 28546-2026")</f>
        <v/>
      </c>
    </row>
    <row r="117" ht="15" customHeight="1">
      <c r="A117" t="inlineStr">
        <is>
          <t>A 37927-2022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44811</v>
      </c>
      <c r="E117" s="1" t="n">
        <v>46301</v>
      </c>
      <c r="F117" t="inlineStr">
        <is>
          <t>GÄVLEBORGS LÄN</t>
        </is>
      </c>
      <c r="G117" t="inlineStr">
        <is>
          <t>GÄVLE</t>
        </is>
      </c>
      <c r="I117" t="n">
        <v>1.6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10</v>
      </c>
      <c r="U117" t="n">
        <v>10</v>
      </c>
      <c r="V117" s="2" t="inlineStr">
        <is>
          <t>Knärot</t>
        </is>
      </c>
      <c r="W117">
        <f>HYPERLINK("https://klasma.github.io/Logging_2180/artfynd/A 37927-2022 artfynd.xlsx", "A 37927-2022")</f>
        <v/>
      </c>
      <c r="X117">
        <f>HYPERLINK("https://klasma.github.io/Logging_2180/kartor/A 37927-2022 karta.png", "A 37927-2022")</f>
        <v/>
      </c>
      <c r="Y117">
        <f>HYPERLINK("https://klasma.github.io/Logging_2180/kartor_geotiff/A 37927-2022 georefererad karta.tif", "A 37927-2022")</f>
        <v/>
      </c>
      <c r="Z117">
        <f>HYPERLINK("https://klasma.github.io/Logging_2180/knärot/A 37927-2022 karta knärot.png", "A 37927-2022")</f>
        <v/>
      </c>
      <c r="AA117">
        <f>HYPERLINK("https://klasma.github.io/Logging_2180/klagomål/A 37927-2022 FSC-klagomål.docx", "A 37927-2022")</f>
        <v/>
      </c>
      <c r="AB117">
        <f>HYPERLINK("https://klasma.github.io/Logging_2180/klagomålsmail/A 37927-2022 FSC-klagomål mail.docx", "A 37927-2022")</f>
        <v/>
      </c>
      <c r="AC117">
        <f>HYPERLINK("https://klasma.github.io/Logging_2180/tillsyn/A 37927-2022 tillsynsbegäran.docx", "A 37927-2022")</f>
        <v/>
      </c>
      <c r="AD117">
        <f>HYPERLINK("https://klasma.github.io/Logging_2180/tillsynsmail/A 37927-2022 tillsynsbegäran mail.docx", "A 37927-2022")</f>
        <v/>
      </c>
    </row>
    <row r="118" ht="15" customHeight="1">
      <c r="A118" t="inlineStr">
        <is>
          <t>A 31448-2026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46217</v>
      </c>
      <c r="E118" s="1" t="n">
        <v>46301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6.8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tåtelsmygare</t>
        </is>
      </c>
      <c r="W118">
        <f>HYPERLINK("https://klasma.github.io/Logging_2180/artfynd/A 31448-2026 artfynd.xlsx", "A 31448-2026")</f>
        <v/>
      </c>
      <c r="X118">
        <f>HYPERLINK("https://klasma.github.io/Logging_2180/kartor/A 31448-2026 karta.png", "A 31448-2026")</f>
        <v/>
      </c>
      <c r="Y118">
        <f>HYPERLINK("https://klasma.github.io/Logging_2180/kartor_geotiff/A 31448-2026 georefererad karta.tif", "A 31448-2026")</f>
        <v/>
      </c>
      <c r="AA118">
        <f>HYPERLINK("https://klasma.github.io/Logging_2180/klagomål/A 31448-2026 FSC-klagomål.docx", "A 31448-2026")</f>
        <v/>
      </c>
      <c r="AB118">
        <f>HYPERLINK("https://klasma.github.io/Logging_2180/klagomålsmail/A 31448-2026 FSC-klagomål mail.docx", "A 31448-2026")</f>
        <v/>
      </c>
      <c r="AC118">
        <f>HYPERLINK("https://klasma.github.io/Logging_2180/tillsyn/A 31448-2026 tillsynsbegäran.docx", "A 31448-2026")</f>
        <v/>
      </c>
      <c r="AD118">
        <f>HYPERLINK("https://klasma.github.io/Logging_2180/tillsynsmail/A 31448-2026 tillsynsbegäran mail.docx", "A 31448-2026")</f>
        <v/>
      </c>
    </row>
    <row r="119" ht="15" customHeight="1">
      <c r="A119" t="inlineStr">
        <is>
          <t>A 36090-2026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46267</v>
      </c>
      <c r="E119" s="1" t="n">
        <v>46301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Tvåblad</t>
        </is>
      </c>
      <c r="W119">
        <f>HYPERLINK("https://klasma.github.io/Logging_2180/artfynd/A 36090-2026 artfynd.xlsx", "A 36090-2026")</f>
        <v/>
      </c>
      <c r="X119">
        <f>HYPERLINK("https://klasma.github.io/Logging_2180/kartor/A 36090-2026 karta.png", "A 36090-2026")</f>
        <v/>
      </c>
      <c r="Y119">
        <f>HYPERLINK("https://klasma.github.io/Logging_2180/kartor_geotiff/A 36090-2026 georefererad karta.tif", "A 36090-2026")</f>
        <v/>
      </c>
      <c r="AA119">
        <f>HYPERLINK("https://klasma.github.io/Logging_2180/klagomål/A 36090-2026 FSC-klagomål.docx", "A 36090-2026")</f>
        <v/>
      </c>
      <c r="AB119">
        <f>HYPERLINK("https://klasma.github.io/Logging_2180/klagomålsmail/A 36090-2026 FSC-klagomål mail.docx", "A 36090-2026")</f>
        <v/>
      </c>
      <c r="AC119">
        <f>HYPERLINK("https://klasma.github.io/Logging_2180/tillsyn/A 36090-2026 tillsynsbegäran.docx", "A 36090-2026")</f>
        <v/>
      </c>
      <c r="AD119">
        <f>HYPERLINK("https://klasma.github.io/Logging_2180/tillsynsmail/A 36090-2026 tillsynsbegäran mail.docx", "A 36090-2026")</f>
        <v/>
      </c>
    </row>
    <row r="120" ht="15" customHeight="1">
      <c r="A120" t="inlineStr">
        <is>
          <t>A 37220-2026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46274</v>
      </c>
      <c r="E120" s="1" t="n">
        <v>46301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5.1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HYPERLINK("https://klasma.github.io/Logging_2180/artfynd/A 37220-2026 artfynd.xlsx", "A 37220-2026")</f>
        <v/>
      </c>
      <c r="X120">
        <f>HYPERLINK("https://klasma.github.io/Logging_2180/kartor/A 37220-2026 karta.png", "A 37220-2026")</f>
        <v/>
      </c>
      <c r="Y120">
        <f>HYPERLINK("https://klasma.github.io/Logging_2180/kartor_geotiff/A 37220-2026 georefererad karta.tif", "A 37220-2026")</f>
        <v/>
      </c>
      <c r="AA120">
        <f>HYPERLINK("https://klasma.github.io/Logging_2180/klagomål/A 37220-2026 FSC-klagomål.docx", "A 37220-2026")</f>
        <v/>
      </c>
      <c r="AB120">
        <f>HYPERLINK("https://klasma.github.io/Logging_2180/klagomålsmail/A 37220-2026 FSC-klagomål mail.docx", "A 37220-2026")</f>
        <v/>
      </c>
      <c r="AC120">
        <f>HYPERLINK("https://klasma.github.io/Logging_2180/tillsyn/A 37220-2026 tillsynsbegäran.docx", "A 37220-2026")</f>
        <v/>
      </c>
      <c r="AD120">
        <f>HYPERLINK("https://klasma.github.io/Logging_2180/tillsynsmail/A 37220-2026 tillsynsbegäran mail.docx", "A 37220-2026")</f>
        <v/>
      </c>
    </row>
    <row r="121" ht="15" customHeight="1">
      <c r="A121" t="inlineStr">
        <is>
          <t>A 12437-2024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45379</v>
      </c>
      <c r="E121" s="1" t="n">
        <v>46301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Mindre bastardsvärmare</t>
        </is>
      </c>
      <c r="W121">
        <f>HYPERLINK("https://klasma.github.io/Logging_2180/artfynd/A 12437-2024 artfynd.xlsx", "A 12437-2024")</f>
        <v/>
      </c>
      <c r="X121">
        <f>HYPERLINK("https://klasma.github.io/Logging_2180/kartor/A 12437-2024 karta.png", "A 12437-2024")</f>
        <v/>
      </c>
      <c r="Y121">
        <f>HYPERLINK("https://klasma.github.io/Logging_2180/kartor_geotiff/A 12437-2024 georefererad karta.tif", "A 12437-2024")</f>
        <v/>
      </c>
      <c r="AA121">
        <f>HYPERLINK("https://klasma.github.io/Logging_2180/klagomål/A 12437-2024 FSC-klagomål.docx", "A 12437-2024")</f>
        <v/>
      </c>
      <c r="AB121">
        <f>HYPERLINK("https://klasma.github.io/Logging_2180/klagomålsmail/A 12437-2024 FSC-klagomål mail.docx", "A 12437-2024")</f>
        <v/>
      </c>
      <c r="AC121">
        <f>HYPERLINK("https://klasma.github.io/Logging_2180/tillsyn/A 12437-2024 tillsynsbegäran.docx", "A 12437-2024")</f>
        <v/>
      </c>
      <c r="AD121">
        <f>HYPERLINK("https://klasma.github.io/Logging_2180/tillsynsmail/A 12437-2024 tillsynsbegäran mail.docx", "A 12437-2024")</f>
        <v/>
      </c>
    </row>
    <row r="122" ht="15" customHeight="1">
      <c r="A122" t="inlineStr">
        <is>
          <t>A 38300-2026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46282</v>
      </c>
      <c r="E122" s="1" t="n">
        <v>46301</v>
      </c>
      <c r="F122" t="inlineStr">
        <is>
          <t>GÄVLEBORGS LÄN</t>
        </is>
      </c>
      <c r="G122" t="inlineStr">
        <is>
          <t>GÄVLE</t>
        </is>
      </c>
      <c r="I122" t="n">
        <v>3.7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Sparvuggla</t>
        </is>
      </c>
      <c r="W122">
        <f>HYPERLINK("https://klasma.github.io/Logging_2180/artfynd/A 38300-2026 artfynd.xlsx", "A 38300-2026")</f>
        <v/>
      </c>
      <c r="X122">
        <f>HYPERLINK("https://klasma.github.io/Logging_2180/kartor/A 38300-2026 karta.png", "A 38300-2026")</f>
        <v/>
      </c>
      <c r="Y122">
        <f>HYPERLINK("https://klasma.github.io/Logging_2180/kartor_geotiff/A 38300-2026 georefererad karta.tif", "A 38300-2026")</f>
        <v/>
      </c>
      <c r="AA122">
        <f>HYPERLINK("https://klasma.github.io/Logging_2180/klagomål/A 38300-2026 FSC-klagomål.docx", "A 38300-2026")</f>
        <v/>
      </c>
      <c r="AB122">
        <f>HYPERLINK("https://klasma.github.io/Logging_2180/klagomålsmail/A 38300-2026 FSC-klagomål mail.docx", "A 38300-2026")</f>
        <v/>
      </c>
      <c r="AC122">
        <f>HYPERLINK("https://klasma.github.io/Logging_2180/tillsyn/A 38300-2026 tillsynsbegäran.docx", "A 38300-2026")</f>
        <v/>
      </c>
      <c r="AD122">
        <f>HYPERLINK("https://klasma.github.io/Logging_2180/tillsynsmail/A 38300-2026 tillsynsbegäran mail.docx", "A 38300-2026")</f>
        <v/>
      </c>
      <c r="AE122">
        <f>HYPERLINK("https://klasma.github.io/Logging_2180/fåglar/A 38300-2026 prioriterade fågelarter.docx", "A 38300-2026")</f>
        <v/>
      </c>
    </row>
    <row r="123" ht="15" customHeight="1">
      <c r="A123" t="inlineStr">
        <is>
          <t>A 38571-2026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46283</v>
      </c>
      <c r="E123" s="1" t="n">
        <v>46301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Platt spretmossa</t>
        </is>
      </c>
      <c r="W123">
        <f>HYPERLINK("https://klasma.github.io/Logging_2180/artfynd/A 38571-2026 artfynd.xlsx", "A 38571-2026")</f>
        <v/>
      </c>
      <c r="X123">
        <f>HYPERLINK("https://klasma.github.io/Logging_2180/kartor/A 38571-2026 karta.png", "A 38571-2026")</f>
        <v/>
      </c>
      <c r="Y123">
        <f>HYPERLINK("https://klasma.github.io/Logging_2180/kartor_geotiff/A 38571-2026 georefererad karta.tif", "A 38571-2026")</f>
        <v/>
      </c>
      <c r="AA123">
        <f>HYPERLINK("https://klasma.github.io/Logging_2180/klagomål/A 38571-2026 FSC-klagomål.docx", "A 38571-2026")</f>
        <v/>
      </c>
      <c r="AB123">
        <f>HYPERLINK("https://klasma.github.io/Logging_2180/klagomålsmail/A 38571-2026 FSC-klagomål mail.docx", "A 38571-2026")</f>
        <v/>
      </c>
      <c r="AC123">
        <f>HYPERLINK("https://klasma.github.io/Logging_2180/tillsyn/A 38571-2026 tillsynsbegäran.docx", "A 38571-2026")</f>
        <v/>
      </c>
      <c r="AD123">
        <f>HYPERLINK("https://klasma.github.io/Logging_2180/tillsynsmail/A 38571-2026 tillsynsbegäran mail.docx", "A 38571-2026")</f>
        <v/>
      </c>
    </row>
    <row r="124" ht="15" customHeight="1">
      <c r="A124" t="inlineStr">
        <is>
          <t>A 35830-2026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46265</v>
      </c>
      <c r="E124" s="1" t="n">
        <v>46301</v>
      </c>
      <c r="F124" t="inlineStr">
        <is>
          <t>GÄVLEBORGS LÄN</t>
        </is>
      </c>
      <c r="G124" t="inlineStr">
        <is>
          <t>GÄVLE</t>
        </is>
      </c>
      <c r="I124" t="n">
        <v>1.4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Bredgentiana</t>
        </is>
      </c>
      <c r="W124">
        <f>HYPERLINK("https://klasma.github.io/Logging_2180/artfynd/A 35830-2026 artfynd.xlsx", "A 35830-2026")</f>
        <v/>
      </c>
      <c r="X124">
        <f>HYPERLINK("https://klasma.github.io/Logging_2180/kartor/A 35830-2026 karta.png", "A 35830-2026")</f>
        <v/>
      </c>
      <c r="Y124">
        <f>HYPERLINK("https://klasma.github.io/Logging_2180/kartor_geotiff/A 35830-2026 georefererad karta.tif", "A 35830-2026")</f>
        <v/>
      </c>
      <c r="AA124">
        <f>HYPERLINK("https://klasma.github.io/Logging_2180/klagomål/A 35830-2026 FSC-klagomål.docx", "A 35830-2026")</f>
        <v/>
      </c>
      <c r="AB124">
        <f>HYPERLINK("https://klasma.github.io/Logging_2180/klagomålsmail/A 35830-2026 FSC-klagomål mail.docx", "A 35830-2026")</f>
        <v/>
      </c>
      <c r="AC124">
        <f>HYPERLINK("https://klasma.github.io/Logging_2180/tillsyn/A 35830-2026 tillsynsbegäran.docx", "A 35830-2026")</f>
        <v/>
      </c>
      <c r="AD124">
        <f>HYPERLINK("https://klasma.github.io/Logging_2180/tillsynsmail/A 35830-2026 tillsynsbegäran mail.docx", "A 35830-2026")</f>
        <v/>
      </c>
    </row>
    <row r="125" ht="15" customHeight="1">
      <c r="A125" t="inlineStr">
        <is>
          <t>A 39065-2026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46287</v>
      </c>
      <c r="E125" s="1" t="n">
        <v>46301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Vedskivlav</t>
        </is>
      </c>
      <c r="W125">
        <f>HYPERLINK("https://klasma.github.io/Logging_2180/artfynd/A 39065-2026 artfynd.xlsx", "A 39065-2026")</f>
        <v/>
      </c>
      <c r="X125">
        <f>HYPERLINK("https://klasma.github.io/Logging_2180/kartor/A 39065-2026 karta.png", "A 39065-2026")</f>
        <v/>
      </c>
      <c r="Y125">
        <f>HYPERLINK("https://klasma.github.io/Logging_2180/kartor_geotiff/A 39065-2026 georefererad karta.tif", "A 39065-2026")</f>
        <v/>
      </c>
      <c r="AA125">
        <f>HYPERLINK("https://klasma.github.io/Logging_2180/klagomål/A 39065-2026 FSC-klagomål.docx", "A 39065-2026")</f>
        <v/>
      </c>
      <c r="AB125">
        <f>HYPERLINK("https://klasma.github.io/Logging_2180/klagomålsmail/A 39065-2026 FSC-klagomål mail.docx", "A 39065-2026")</f>
        <v/>
      </c>
      <c r="AC125">
        <f>HYPERLINK("https://klasma.github.io/Logging_2180/tillsyn/A 39065-2026 tillsynsbegäran.docx", "A 39065-2026")</f>
        <v/>
      </c>
      <c r="AD125">
        <f>HYPERLINK("https://klasma.github.io/Logging_2180/tillsynsmail/A 39065-2026 tillsynsbegäran mail.docx", "A 39065-2026")</f>
        <v/>
      </c>
    </row>
    <row r="126" ht="15" customHeight="1">
      <c r="A126" t="inlineStr">
        <is>
          <t>A 26871-2026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46301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HYPERLINK("https://klasma.github.io/Logging_2180/artfynd/A 26871-2026 artfynd.xlsx", "A 26871-2026")</f>
        <v/>
      </c>
      <c r="X126">
        <f>HYPERLINK("https://klasma.github.io/Logging_2180/kartor/A 26871-2026 karta.png", "A 26871-2026")</f>
        <v/>
      </c>
      <c r="Y126">
        <f>HYPERLINK("https://klasma.github.io/Logging_2180/kartor_geotiff/A 26871-2026 georefererad karta.tif", "A 26871-2026")</f>
        <v/>
      </c>
      <c r="AA126">
        <f>HYPERLINK("https://klasma.github.io/Logging_2180/klagomål/A 26871-2026 FSC-klagomål.docx", "A 26871-2026")</f>
        <v/>
      </c>
      <c r="AB126">
        <f>HYPERLINK("https://klasma.github.io/Logging_2180/klagomålsmail/A 26871-2026 FSC-klagomål mail.docx", "A 26871-2026")</f>
        <v/>
      </c>
      <c r="AC126">
        <f>HYPERLINK("https://klasma.github.io/Logging_2180/tillsyn/A 26871-2026 tillsynsbegäran.docx", "A 26871-2026")</f>
        <v/>
      </c>
      <c r="AD126">
        <f>HYPERLINK("https://klasma.github.io/Logging_2180/tillsynsmail/A 26871-2026 tillsynsbegäran mail.docx", "A 26871-2026")</f>
        <v/>
      </c>
    </row>
    <row r="127" ht="15" customHeight="1">
      <c r="A127" t="inlineStr">
        <is>
          <t>A 39763-2026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46290</v>
      </c>
      <c r="E127" s="1" t="n">
        <v>46301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HYPERLINK("https://klasma.github.io/Logging_2180/artfynd/A 39763-2026 artfynd.xlsx", "A 39763-2026")</f>
        <v/>
      </c>
      <c r="X127">
        <f>HYPERLINK("https://klasma.github.io/Logging_2180/kartor/A 39763-2026 karta.png", "A 39763-2026")</f>
        <v/>
      </c>
      <c r="Y127">
        <f>HYPERLINK("https://klasma.github.io/Logging_2180/kartor_geotiff/A 39763-2026 georefererad karta.tif", "A 39763-2026")</f>
        <v/>
      </c>
      <c r="AA127">
        <f>HYPERLINK("https://klasma.github.io/Logging_2180/klagomål/A 39763-2026 FSC-klagomål.docx", "A 39763-2026")</f>
        <v/>
      </c>
      <c r="AB127">
        <f>HYPERLINK("https://klasma.github.io/Logging_2180/klagomålsmail/A 39763-2026 FSC-klagomål mail.docx", "A 39763-2026")</f>
        <v/>
      </c>
      <c r="AC127">
        <f>HYPERLINK("https://klasma.github.io/Logging_2180/tillsyn/A 39763-2026 tillsynsbegäran.docx", "A 39763-2026")</f>
        <v/>
      </c>
      <c r="AD127">
        <f>HYPERLINK("https://klasma.github.io/Logging_2180/tillsynsmail/A 39763-2026 tillsynsbegäran mail.docx", "A 39763-2026")</f>
        <v/>
      </c>
    </row>
    <row r="128" ht="15" customHeight="1">
      <c r="A128" t="inlineStr">
        <is>
          <t>A 35225-2024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46301</v>
      </c>
      <c r="F128" t="inlineStr">
        <is>
          <t>GÄVLEBORGS LÄN</t>
        </is>
      </c>
      <c r="G128" t="inlineStr">
        <is>
          <t>GÄVLE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HYPERLINK("https://klasma.github.io/Logging_2180/artfynd/A 35225-2024 artfynd.xlsx", "A 35225-2024")</f>
        <v/>
      </c>
      <c r="X128">
        <f>HYPERLINK("https://klasma.github.io/Logging_2180/kartor/A 35225-2024 karta.png", "A 35225-2024")</f>
        <v/>
      </c>
      <c r="Y128">
        <f>HYPERLINK("https://klasma.github.io/Logging_2180/kartor_geotiff/A 35225-2024 georefererad karta.tif", "A 35225-2024")</f>
        <v/>
      </c>
      <c r="AA128">
        <f>HYPERLINK("https://klasma.github.io/Logging_2180/klagomål/A 35225-2024 FSC-klagomål.docx", "A 35225-2024")</f>
        <v/>
      </c>
      <c r="AB128">
        <f>HYPERLINK("https://klasma.github.io/Logging_2180/klagomålsmail/A 35225-2024 FSC-klagomål mail.docx", "A 35225-2024")</f>
        <v/>
      </c>
      <c r="AC128">
        <f>HYPERLINK("https://klasma.github.io/Logging_2180/tillsyn/A 35225-2024 tillsynsbegäran.docx", "A 35225-2024")</f>
        <v/>
      </c>
      <c r="AD128">
        <f>HYPERLINK("https://klasma.github.io/Logging_2180/tillsynsmail/A 35225-2024 tillsynsbegäran mail.docx", "A 35225-2024")</f>
        <v/>
      </c>
    </row>
    <row r="129" ht="15" customHeight="1">
      <c r="A129" t="inlineStr">
        <is>
          <t>A 39719-2026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46290</v>
      </c>
      <c r="E129" s="1" t="n">
        <v>46301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8.300000000000001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Plattlummer</t>
        </is>
      </c>
      <c r="W129">
        <f>HYPERLINK("https://klasma.github.io/Logging_2180/artfynd/A 39719-2026 artfynd.xlsx", "A 39719-2026")</f>
        <v/>
      </c>
      <c r="X129">
        <f>HYPERLINK("https://klasma.github.io/Logging_2180/kartor/A 39719-2026 karta.png", "A 39719-2026")</f>
        <v/>
      </c>
      <c r="Y129">
        <f>HYPERLINK("https://klasma.github.io/Logging_2180/kartor_geotiff/A 39719-2026 georefererad karta.tif", "A 39719-2026")</f>
        <v/>
      </c>
      <c r="AA129">
        <f>HYPERLINK("https://klasma.github.io/Logging_2180/klagomål/A 39719-2026 FSC-klagomål.docx", "A 39719-2026")</f>
        <v/>
      </c>
      <c r="AB129">
        <f>HYPERLINK("https://klasma.github.io/Logging_2180/klagomålsmail/A 39719-2026 FSC-klagomål mail.docx", "A 39719-2026")</f>
        <v/>
      </c>
      <c r="AC129">
        <f>HYPERLINK("https://klasma.github.io/Logging_2180/tillsyn/A 39719-2026 tillsynsbegäran.docx", "A 39719-2026")</f>
        <v/>
      </c>
      <c r="AD129">
        <f>HYPERLINK("https://klasma.github.io/Logging_2180/tillsynsmail/A 39719-2026 tillsynsbegäran mail.docx", "A 39719-2026")</f>
        <v/>
      </c>
    </row>
    <row r="130" ht="15" customHeight="1">
      <c r="A130" t="inlineStr">
        <is>
          <t>A 34890-2026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46259</v>
      </c>
      <c r="E130" s="1" t="n">
        <v>46301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18.3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4</v>
      </c>
      <c r="U130" t="n">
        <v>0</v>
      </c>
      <c r="V130" s="2" t="inlineStr">
        <is>
          <t>Spillkråka</t>
        </is>
      </c>
      <c r="W130">
        <f>HYPERLINK("https://klasma.github.io/Logging_2180/artfynd/A 34890-2026 artfynd.xlsx", "A 34890-2026")</f>
        <v/>
      </c>
      <c r="X130">
        <f>HYPERLINK("https://klasma.github.io/Logging_2180/kartor/A 34890-2026 karta.png", "A 34890-2026")</f>
        <v/>
      </c>
      <c r="Y130">
        <f>HYPERLINK("https://klasma.github.io/Logging_2180/kartor_geotiff/A 34890-2026 georefererad karta.tif", "A 34890-2026")</f>
        <v/>
      </c>
      <c r="AA130">
        <f>HYPERLINK("https://klasma.github.io/Logging_2180/klagomål/A 34890-2026 FSC-klagomål.docx", "A 34890-2026")</f>
        <v/>
      </c>
      <c r="AB130">
        <f>HYPERLINK("https://klasma.github.io/Logging_2180/klagomålsmail/A 34890-2026 FSC-klagomål mail.docx", "A 34890-2026")</f>
        <v/>
      </c>
      <c r="AC130">
        <f>HYPERLINK("https://klasma.github.io/Logging_2180/tillsyn/A 34890-2026 tillsynsbegäran.docx", "A 34890-2026")</f>
        <v/>
      </c>
      <c r="AD130">
        <f>HYPERLINK("https://klasma.github.io/Logging_2180/tillsynsmail/A 34890-2026 tillsynsbegäran mail.docx", "A 34890-2026")</f>
        <v/>
      </c>
      <c r="AE130">
        <f>HYPERLINK("https://klasma.github.io/Logging_2180/fåglar/A 34890-2026 prioriterade fågelarter.docx", "A 34890-2026")</f>
        <v/>
      </c>
    </row>
    <row r="131" ht="15" customHeight="1">
      <c r="A131" t="inlineStr">
        <is>
          <t>A 40279-2026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46294</v>
      </c>
      <c r="E131" s="1" t="n">
        <v>46301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Myggblomster</t>
        </is>
      </c>
      <c r="W131">
        <f>HYPERLINK("https://klasma.github.io/Logging_2180/artfynd/A 40279-2026 artfynd.xlsx", "A 40279-2026")</f>
        <v/>
      </c>
      <c r="X131">
        <f>HYPERLINK("https://klasma.github.io/Logging_2180/kartor/A 40279-2026 karta.png", "A 40279-2026")</f>
        <v/>
      </c>
      <c r="Y131">
        <f>HYPERLINK("https://klasma.github.io/Logging_2180/kartor_geotiff/A 40279-2026 georefererad karta.tif", "A 40279-2026")</f>
        <v/>
      </c>
      <c r="AA131">
        <f>HYPERLINK("https://klasma.github.io/Logging_2180/klagomål/A 40279-2026 FSC-klagomål.docx", "A 40279-2026")</f>
        <v/>
      </c>
      <c r="AB131">
        <f>HYPERLINK("https://klasma.github.io/Logging_2180/klagomålsmail/A 40279-2026 FSC-klagomål mail.docx", "A 40279-2026")</f>
        <v/>
      </c>
      <c r="AC131">
        <f>HYPERLINK("https://klasma.github.io/Logging_2180/tillsyn/A 40279-2026 tillsynsbegäran.docx", "A 40279-2026")</f>
        <v/>
      </c>
      <c r="AD131">
        <f>HYPERLINK("https://klasma.github.io/Logging_2180/tillsynsmail/A 40279-2026 tillsynsbegäran mail.docx", "A 40279-2026")</f>
        <v/>
      </c>
    </row>
    <row r="132" ht="15" customHeight="1">
      <c r="A132" t="inlineStr">
        <is>
          <t>A 12381-2023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46301</v>
      </c>
      <c r="F132" t="inlineStr">
        <is>
          <t>GÄVLEBORGS LÄN</t>
        </is>
      </c>
      <c r="G132" t="inlineStr">
        <is>
          <t>GÄVLE</t>
        </is>
      </c>
      <c r="I132" t="n">
        <v>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Brunlångöra</t>
        </is>
      </c>
      <c r="W132">
        <f>HYPERLINK("https://klasma.github.io/Logging_2180/artfynd/A 12381-2023 artfynd.xlsx", "A 12381-2023")</f>
        <v/>
      </c>
      <c r="X132">
        <f>HYPERLINK("https://klasma.github.io/Logging_2180/kartor/A 12381-2023 karta.png", "A 12381-2023")</f>
        <v/>
      </c>
      <c r="Y132">
        <f>HYPERLINK("https://klasma.github.io/Logging_2180/kartor_geotiff/A 12381-2023 georefererad karta.tif", "A 12381-2023")</f>
        <v/>
      </c>
      <c r="AA132">
        <f>HYPERLINK("https://klasma.github.io/Logging_2180/klagomål/A 12381-2023 FSC-klagomål.docx", "A 12381-2023")</f>
        <v/>
      </c>
      <c r="AB132">
        <f>HYPERLINK("https://klasma.github.io/Logging_2180/klagomålsmail/A 12381-2023 FSC-klagomål mail.docx", "A 12381-2023")</f>
        <v/>
      </c>
      <c r="AC132">
        <f>HYPERLINK("https://klasma.github.io/Logging_2180/tillsyn/A 12381-2023 tillsynsbegäran.docx", "A 12381-2023")</f>
        <v/>
      </c>
      <c r="AD132">
        <f>HYPERLINK("https://klasma.github.io/Logging_2180/tillsynsmail/A 12381-2023 tillsynsbegäran mail.docx", "A 12381-2023")</f>
        <v/>
      </c>
    </row>
    <row r="133" ht="15" customHeight="1">
      <c r="A133" t="inlineStr">
        <is>
          <t>A 33832-2026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46251</v>
      </c>
      <c r="E133" s="1" t="n">
        <v>46301</v>
      </c>
      <c r="F133" t="inlineStr">
        <is>
          <t>GÄVLEBORGS LÄN</t>
        </is>
      </c>
      <c r="G133" t="inlineStr">
        <is>
          <t>GÄVLE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HYPERLINK("https://klasma.github.io/Logging_2180/artfynd/A 33832-2026 artfynd.xlsx", "A 33832-2026")</f>
        <v/>
      </c>
      <c r="X133">
        <f>HYPERLINK("https://klasma.github.io/Logging_2180/kartor/A 33832-2026 karta.png", "A 33832-2026")</f>
        <v/>
      </c>
      <c r="Y133">
        <f>HYPERLINK("https://klasma.github.io/Logging_2180/kartor_geotiff/A 33832-2026 georefererad karta.tif", "A 33832-2026")</f>
        <v/>
      </c>
      <c r="AA133">
        <f>HYPERLINK("https://klasma.github.io/Logging_2180/klagomål/A 33832-2026 FSC-klagomål.docx", "A 33832-2026")</f>
        <v/>
      </c>
      <c r="AB133">
        <f>HYPERLINK("https://klasma.github.io/Logging_2180/klagomålsmail/A 33832-2026 FSC-klagomål mail.docx", "A 33832-2026")</f>
        <v/>
      </c>
      <c r="AC133">
        <f>HYPERLINK("https://klasma.github.io/Logging_2180/tillsyn/A 33832-2026 tillsynsbegäran.docx", "A 33832-2026")</f>
        <v/>
      </c>
      <c r="AD133">
        <f>HYPERLINK("https://klasma.github.io/Logging_2180/tillsynsmail/A 33832-2026 tillsynsbegäran mail.docx", "A 33832-2026")</f>
        <v/>
      </c>
    </row>
    <row r="134" ht="15" customHeight="1">
      <c r="A134" t="inlineStr">
        <is>
          <t>A 34086-2026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46252</v>
      </c>
      <c r="E134" s="1" t="n">
        <v>46301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6.1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Gullgröppa</t>
        </is>
      </c>
      <c r="W134">
        <f>HYPERLINK("https://klasma.github.io/Logging_2180/artfynd/A 34086-2026 artfynd.xlsx", "A 34086-2026")</f>
        <v/>
      </c>
      <c r="X134">
        <f>HYPERLINK("https://klasma.github.io/Logging_2180/kartor/A 34086-2026 karta.png", "A 34086-2026")</f>
        <v/>
      </c>
      <c r="Y134">
        <f>HYPERLINK("https://klasma.github.io/Logging_2180/kartor_geotiff/A 34086-2026 georefererad karta.tif", "A 34086-2026")</f>
        <v/>
      </c>
      <c r="AA134">
        <f>HYPERLINK("https://klasma.github.io/Logging_2180/klagomål/A 34086-2026 FSC-klagomål.docx", "A 34086-2026")</f>
        <v/>
      </c>
      <c r="AB134">
        <f>HYPERLINK("https://klasma.github.io/Logging_2180/klagomålsmail/A 34086-2026 FSC-klagomål mail.docx", "A 34086-2026")</f>
        <v/>
      </c>
      <c r="AC134">
        <f>HYPERLINK("https://klasma.github.io/Logging_2180/tillsyn/A 34086-2026 tillsynsbegäran.docx", "A 34086-2026")</f>
        <v/>
      </c>
      <c r="AD134">
        <f>HYPERLINK("https://klasma.github.io/Logging_2180/tillsynsmail/A 34086-2026 tillsynsbegäran mail.docx", "A 34086-2026")</f>
        <v/>
      </c>
    </row>
    <row r="135" ht="15" customHeight="1">
      <c r="A135" t="inlineStr">
        <is>
          <t>A 13269-2026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46301</v>
      </c>
      <c r="F135" t="inlineStr">
        <is>
          <t>GÄVLEBORGS LÄN</t>
        </is>
      </c>
      <c r="G135" t="inlineStr">
        <is>
          <t>GÄVLE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Havsörn</t>
        </is>
      </c>
      <c r="W135">
        <f>HYPERLINK("https://klasma.github.io/Logging_2180/artfynd/A 13269-2026 artfynd.xlsx", "A 13269-2026")</f>
        <v/>
      </c>
      <c r="X135">
        <f>HYPERLINK("https://klasma.github.io/Logging_2180/kartor/A 13269-2026 karta.png", "A 13269-2026")</f>
        <v/>
      </c>
      <c r="Y135">
        <f>HYPERLINK("https://klasma.github.io/Logging_2180/kartor_geotiff/A 13269-2026 georefererad karta.tif", "A 13269-2026")</f>
        <v/>
      </c>
      <c r="AA135">
        <f>HYPERLINK("https://klasma.github.io/Logging_2180/klagomål/A 13269-2026 FSC-klagomål.docx", "A 13269-2026")</f>
        <v/>
      </c>
      <c r="AB135">
        <f>HYPERLINK("https://klasma.github.io/Logging_2180/klagomålsmail/A 13269-2026 FSC-klagomål mail.docx", "A 13269-2026")</f>
        <v/>
      </c>
      <c r="AC135">
        <f>HYPERLINK("https://klasma.github.io/Logging_2180/tillsyn/A 13269-2026 tillsynsbegäran.docx", "A 13269-2026")</f>
        <v/>
      </c>
      <c r="AD135">
        <f>HYPERLINK("https://klasma.github.io/Logging_2180/tillsynsmail/A 13269-2026 tillsynsbegäran mail.docx", "A 13269-2026")</f>
        <v/>
      </c>
      <c r="AE135">
        <f>HYPERLINK("https://klasma.github.io/Logging_2180/fåglar/A 13269-2026 prioriterade fågelarter.docx", "A 13269-2026")</f>
        <v/>
      </c>
    </row>
    <row r="136" ht="15" customHeight="1">
      <c r="A136" t="inlineStr">
        <is>
          <t>A 23003-2026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46160</v>
      </c>
      <c r="E136" s="1" t="n">
        <v>46301</v>
      </c>
      <c r="F136" t="inlineStr">
        <is>
          <t>GÄVLEBORGS LÄN</t>
        </is>
      </c>
      <c r="G136" t="inlineStr">
        <is>
          <t>GÄVLE</t>
        </is>
      </c>
      <c r="I136" t="n">
        <v>12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Tjäder</t>
        </is>
      </c>
      <c r="W136">
        <f>HYPERLINK("https://klasma.github.io/Logging_2180/artfynd/A 23003-2026 artfynd.xlsx", "A 23003-2026")</f>
        <v/>
      </c>
      <c r="X136">
        <f>HYPERLINK("https://klasma.github.io/Logging_2180/kartor/A 23003-2026 karta.png", "A 23003-2026")</f>
        <v/>
      </c>
      <c r="Y136">
        <f>HYPERLINK("https://klasma.github.io/Logging_2180/kartor_geotiff/A 23003-2026 georefererad karta.tif", "A 23003-2026")</f>
        <v/>
      </c>
      <c r="AA136">
        <f>HYPERLINK("https://klasma.github.io/Logging_2180/klagomål/A 23003-2026 FSC-klagomål.docx", "A 23003-2026")</f>
        <v/>
      </c>
      <c r="AB136">
        <f>HYPERLINK("https://klasma.github.io/Logging_2180/klagomålsmail/A 23003-2026 FSC-klagomål mail.docx", "A 23003-2026")</f>
        <v/>
      </c>
      <c r="AC136">
        <f>HYPERLINK("https://klasma.github.io/Logging_2180/tillsyn/A 23003-2026 tillsynsbegäran.docx", "A 23003-2026")</f>
        <v/>
      </c>
      <c r="AD136">
        <f>HYPERLINK("https://klasma.github.io/Logging_2180/tillsynsmail/A 23003-2026 tillsynsbegäran mail.docx", "A 23003-2026")</f>
        <v/>
      </c>
      <c r="AE136">
        <f>HYPERLINK("https://klasma.github.io/Logging_2180/fåglar/A 23003-2026 prioriterade fågelarter.docx", "A 23003-2026")</f>
        <v/>
      </c>
    </row>
    <row r="137" ht="15" customHeight="1">
      <c r="A137" t="inlineStr">
        <is>
          <t>A 17251-2026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46301</v>
      </c>
      <c r="F137" t="inlineStr">
        <is>
          <t>GÄVLEBORGS LÄN</t>
        </is>
      </c>
      <c r="G137" t="inlineStr">
        <is>
          <t>GÄVLE</t>
        </is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HYPERLINK("https://klasma.github.io/Logging_2180/artfynd/A 17251-2026 artfynd.xlsx", "A 17251-2026")</f>
        <v/>
      </c>
      <c r="X137">
        <f>HYPERLINK("https://klasma.github.io/Logging_2180/kartor/A 17251-2026 karta.png", "A 17251-2026")</f>
        <v/>
      </c>
      <c r="Y137">
        <f>HYPERLINK("https://klasma.github.io/Logging_2180/kartor_geotiff/A 17251-2026 georefererad karta.tif", "A 17251-2026")</f>
        <v/>
      </c>
      <c r="AA137">
        <f>HYPERLINK("https://klasma.github.io/Logging_2180/klagomål/A 17251-2026 FSC-klagomål.docx", "A 17251-2026")</f>
        <v/>
      </c>
      <c r="AB137">
        <f>HYPERLINK("https://klasma.github.io/Logging_2180/klagomålsmail/A 17251-2026 FSC-klagomål mail.docx", "A 17251-2026")</f>
        <v/>
      </c>
      <c r="AC137">
        <f>HYPERLINK("https://klasma.github.io/Logging_2180/tillsyn/A 17251-2026 tillsynsbegäran.docx", "A 17251-2026")</f>
        <v/>
      </c>
      <c r="AD137">
        <f>HYPERLINK("https://klasma.github.io/Logging_2180/tillsynsmail/A 17251-2026 tillsynsbegäran mail.docx", "A 17251-2026")</f>
        <v/>
      </c>
    </row>
    <row r="138" ht="15" customHeight="1">
      <c r="A138" t="inlineStr">
        <is>
          <t>A 34589-2026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46255</v>
      </c>
      <c r="E138" s="1" t="n">
        <v>46301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15.3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Tibast</t>
        </is>
      </c>
      <c r="W138">
        <f>HYPERLINK("https://klasma.github.io/Logging_2180/artfynd/A 34589-2026 artfynd.xlsx", "A 34589-2026")</f>
        <v/>
      </c>
      <c r="X138">
        <f>HYPERLINK("https://klasma.github.io/Logging_2180/kartor/A 34589-2026 karta.png", "A 34589-2026")</f>
        <v/>
      </c>
      <c r="Y138">
        <f>HYPERLINK("https://klasma.github.io/Logging_2180/kartor_geotiff/A 34589-2026 georefererad karta.tif", "A 34589-2026")</f>
        <v/>
      </c>
      <c r="AA138">
        <f>HYPERLINK("https://klasma.github.io/Logging_2180/klagomål/A 34589-2026 FSC-klagomål.docx", "A 34589-2026")</f>
        <v/>
      </c>
      <c r="AB138">
        <f>HYPERLINK("https://klasma.github.io/Logging_2180/klagomålsmail/A 34589-2026 FSC-klagomål mail.docx", "A 34589-2026")</f>
        <v/>
      </c>
      <c r="AC138">
        <f>HYPERLINK("https://klasma.github.io/Logging_2180/tillsyn/A 34589-2026 tillsynsbegäran.docx", "A 34589-2026")</f>
        <v/>
      </c>
      <c r="AD138">
        <f>HYPERLINK("https://klasma.github.io/Logging_2180/tillsynsmail/A 34589-2026 tillsynsbegäran mail.docx", "A 34589-2026")</f>
        <v/>
      </c>
    </row>
    <row r="139" ht="15" customHeight="1">
      <c r="A139" t="inlineStr">
        <is>
          <t>A 19635-2026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46133</v>
      </c>
      <c r="E139" s="1" t="n">
        <v>46301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Skinnlav</t>
        </is>
      </c>
      <c r="W139">
        <f>HYPERLINK("https://klasma.github.io/Logging_2180/artfynd/A 19635-2026 artfynd.xlsx", "A 19635-2026")</f>
        <v/>
      </c>
      <c r="X139">
        <f>HYPERLINK("https://klasma.github.io/Logging_2180/kartor/A 19635-2026 karta.png", "A 19635-2026")</f>
        <v/>
      </c>
      <c r="Y139">
        <f>HYPERLINK("https://klasma.github.io/Logging_2180/kartor_geotiff/A 19635-2026 georefererad karta.tif", "A 19635-2026")</f>
        <v/>
      </c>
      <c r="AA139">
        <f>HYPERLINK("https://klasma.github.io/Logging_2180/klagomål/A 19635-2026 FSC-klagomål.docx", "A 19635-2026")</f>
        <v/>
      </c>
      <c r="AB139">
        <f>HYPERLINK("https://klasma.github.io/Logging_2180/klagomålsmail/A 19635-2026 FSC-klagomål mail.docx", "A 19635-2026")</f>
        <v/>
      </c>
      <c r="AC139">
        <f>HYPERLINK("https://klasma.github.io/Logging_2180/tillsyn/A 19635-2026 tillsynsbegäran.docx", "A 19635-2026")</f>
        <v/>
      </c>
      <c r="AD139">
        <f>HYPERLINK("https://klasma.github.io/Logging_2180/tillsynsmail/A 19635-2026 tillsynsbegäran mail.docx", "A 19635-2026")</f>
        <v/>
      </c>
    </row>
    <row r="140" ht="15" customHeight="1">
      <c r="A140" t="inlineStr">
        <is>
          <t>A 18216-2024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45420</v>
      </c>
      <c r="E140" s="1" t="n">
        <v>46301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väst AB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Dofttaggsvamp</t>
        </is>
      </c>
      <c r="W140">
        <f>HYPERLINK("https://klasma.github.io/Logging_2180/artfynd/A 18216-2024 artfynd.xlsx", "A 18216-2024")</f>
        <v/>
      </c>
      <c r="X140">
        <f>HYPERLINK("https://klasma.github.io/Logging_2180/kartor/A 18216-2024 karta.png", "A 18216-2024")</f>
        <v/>
      </c>
      <c r="Y140">
        <f>HYPERLINK("https://klasma.github.io/Logging_2180/kartor_geotiff/A 18216-2024 georefererad karta.tif", "A 18216-2024")</f>
        <v/>
      </c>
      <c r="AA140">
        <f>HYPERLINK("https://klasma.github.io/Logging_2180/klagomål/A 18216-2024 FSC-klagomål.docx", "A 18216-2024")</f>
        <v/>
      </c>
      <c r="AB140">
        <f>HYPERLINK("https://klasma.github.io/Logging_2180/klagomålsmail/A 18216-2024 FSC-klagomål mail.docx", "A 18216-2024")</f>
        <v/>
      </c>
      <c r="AC140">
        <f>HYPERLINK("https://klasma.github.io/Logging_2180/tillsyn/A 18216-2024 tillsynsbegäran.docx", "A 18216-2024")</f>
        <v/>
      </c>
      <c r="AD140">
        <f>HYPERLINK("https://klasma.github.io/Logging_2180/tillsynsmail/A 18216-2024 tillsynsbegäran mail.docx", "A 18216-2024")</f>
        <v/>
      </c>
    </row>
    <row r="141" ht="15" customHeight="1">
      <c r="A141" t="inlineStr">
        <is>
          <t>A 47642-2024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45588</v>
      </c>
      <c r="E141" s="1" t="n">
        <v>46301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8.199999999999999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Orre</t>
        </is>
      </c>
      <c r="W141">
        <f>HYPERLINK("https://klasma.github.io/Logging_2180/artfynd/A 47642-2024 artfynd.xlsx", "A 47642-2024")</f>
        <v/>
      </c>
      <c r="X141">
        <f>HYPERLINK("https://klasma.github.io/Logging_2180/kartor/A 47642-2024 karta.png", "A 47642-2024")</f>
        <v/>
      </c>
      <c r="Y141">
        <f>HYPERLINK("https://klasma.github.io/Logging_2180/kartor_geotiff/A 47642-2024 georefererad karta.tif", "A 47642-2024")</f>
        <v/>
      </c>
      <c r="AA141">
        <f>HYPERLINK("https://klasma.github.io/Logging_2180/klagomål/A 47642-2024 FSC-klagomål.docx", "A 47642-2024")</f>
        <v/>
      </c>
      <c r="AB141">
        <f>HYPERLINK("https://klasma.github.io/Logging_2180/klagomålsmail/A 47642-2024 FSC-klagomål mail.docx", "A 47642-2024")</f>
        <v/>
      </c>
      <c r="AC141">
        <f>HYPERLINK("https://klasma.github.io/Logging_2180/tillsyn/A 47642-2024 tillsynsbegäran.docx", "A 47642-2024")</f>
        <v/>
      </c>
      <c r="AD141">
        <f>HYPERLINK("https://klasma.github.io/Logging_2180/tillsynsmail/A 47642-2024 tillsynsbegäran mail.docx", "A 47642-2024")</f>
        <v/>
      </c>
      <c r="AE141">
        <f>HYPERLINK("https://klasma.github.io/Logging_2180/fåglar/A 47642-2024 prioriterade fågelarter.docx", "A 47642-2024")</f>
        <v/>
      </c>
    </row>
    <row r="142" ht="15" customHeight="1">
      <c r="A142" t="inlineStr">
        <is>
          <t>S 399-2022</t>
        </is>
      </c>
      <c r="B142" t="inlineStr">
        <is>
          <t>samrådsanmälan</t>
        </is>
      </c>
      <c r="C142" t="inlineStr">
        <is>
          <t>Skogsgödsling</t>
        </is>
      </c>
      <c r="D142" s="1" t="n">
        <v>44585</v>
      </c>
      <c r="E142" s="1" t="n">
        <v>46301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väst AB</t>
        </is>
      </c>
      <c r="I142" t="n">
        <v>44.4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HYPERLINK("https://klasma.github.io/Logging_2180/artfynd/S 399-2022 artfynd.xlsx", "S 399-2022")</f>
        <v/>
      </c>
      <c r="X142">
        <f>HYPERLINK("https://klasma.github.io/Logging_2180/kartor/S 399-2022 karta.png", "S 399-2022")</f>
        <v/>
      </c>
      <c r="Y142">
        <f>HYPERLINK("https://klasma.github.io/Logging_2180/kartor_geotiff/S 399-2022 georefererad karta.tif", "S 399-2022")</f>
        <v/>
      </c>
      <c r="AA142">
        <f>HYPERLINK("https://klasma.github.io/Logging_2180/klagomål/S 399-2022 FSC-klagomål.docx", "S 399-2022")</f>
        <v/>
      </c>
      <c r="AB142">
        <f>HYPERLINK("https://klasma.github.io/Logging_2180/klagomålsmail/S 399-2022 FSC-klagomål mail.docx", "S 399-2022")</f>
        <v/>
      </c>
      <c r="AC142">
        <f>HYPERLINK("https://klasma.github.io/Logging_2180/tillsyn/S 399-2022 tillsynsbegäran.docx", "S 399-2022")</f>
        <v/>
      </c>
      <c r="AD142">
        <f>HYPERLINK("https://klasma.github.io/Logging_2180/tillsynsmail/S 399-2022 tillsynsbegäran mail.docx", "S 399-2022")</f>
        <v/>
      </c>
    </row>
    <row r="143" ht="15" customHeight="1">
      <c r="A143" t="inlineStr">
        <is>
          <t>S 235-2025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45680</v>
      </c>
      <c r="E143" s="1" t="n">
        <v>46301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12.7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Tallticka</t>
        </is>
      </c>
      <c r="W143">
        <f>HYPERLINK("https://klasma.github.io/Logging_2180/artfynd/S 235-2025 artfynd.xlsx", "S 235-2025")</f>
        <v/>
      </c>
      <c r="X143">
        <f>HYPERLINK("https://klasma.github.io/Logging_2180/kartor/S 235-2025 karta.png", "S 235-2025")</f>
        <v/>
      </c>
      <c r="Y143">
        <f>HYPERLINK("https://klasma.github.io/Logging_2180/kartor_geotiff/S 235-2025 georefererad karta.tif", "S 235-2025")</f>
        <v/>
      </c>
      <c r="AA143">
        <f>HYPERLINK("https://klasma.github.io/Logging_2180/klagomål/S 235-2025 FSC-klagomål.docx", "S 235-2025")</f>
        <v/>
      </c>
      <c r="AB143">
        <f>HYPERLINK("https://klasma.github.io/Logging_2180/klagomålsmail/S 235-2025 FSC-klagomål mail.docx", "S 235-2025")</f>
        <v/>
      </c>
      <c r="AC143">
        <f>HYPERLINK("https://klasma.github.io/Logging_2180/tillsyn/S 235-2025 tillsynsbegäran.docx", "S 235-2025")</f>
        <v/>
      </c>
      <c r="AD143">
        <f>HYPERLINK("https://klasma.github.io/Logging_2180/tillsynsmail/S 235-2025 tillsynsbegäran mail.docx", "S 235-2025")</f>
        <v/>
      </c>
    </row>
    <row r="144" ht="15" customHeight="1">
      <c r="A144" t="inlineStr">
        <is>
          <t>S 3895-2024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45562</v>
      </c>
      <c r="E144" s="1" t="n">
        <v>46301</v>
      </c>
      <c r="F144" t="inlineStr">
        <is>
          <t>GÄVLEBORGS LÄN</t>
        </is>
      </c>
      <c r="G144" t="inlineStr">
        <is>
          <t>GÄVLE</t>
        </is>
      </c>
      <c r="I144" t="n">
        <v>14.3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16</v>
      </c>
      <c r="U144" t="n">
        <v>3</v>
      </c>
      <c r="V144" s="2" t="inlineStr">
        <is>
          <t>Väddnätfjäril</t>
        </is>
      </c>
      <c r="W144">
        <f>HYPERLINK("https://klasma.github.io/Logging_2180/artfynd/S 3895-2024 artfynd.xlsx", "S 3895-2024")</f>
        <v/>
      </c>
      <c r="X144">
        <f>HYPERLINK("https://klasma.github.io/Logging_2180/kartor/S 3895-2024 karta.png", "S 3895-2024")</f>
        <v/>
      </c>
      <c r="Y144">
        <f>HYPERLINK("https://klasma.github.io/Logging_2180/kartor_geotiff/S 3895-2024 georefererad karta.tif", "S 3895-2024")</f>
        <v/>
      </c>
      <c r="AA144">
        <f>HYPERLINK("https://klasma.github.io/Logging_2180/klagomål/S 3895-2024 FSC-klagomål.docx", "S 3895-2024")</f>
        <v/>
      </c>
      <c r="AB144">
        <f>HYPERLINK("https://klasma.github.io/Logging_2180/klagomålsmail/S 3895-2024 FSC-klagomål mail.docx", "S 3895-2024")</f>
        <v/>
      </c>
      <c r="AC144">
        <f>HYPERLINK("https://klasma.github.io/Logging_2180/tillsyn/S 3895-2024 tillsynsbegäran.docx", "S 3895-2024")</f>
        <v/>
      </c>
      <c r="AD144">
        <f>HYPERLINK("https://klasma.github.io/Logging_2180/tillsynsmail/S 3895-2024 tillsynsbegäran mail.docx", "S 3895-2024")</f>
        <v/>
      </c>
    </row>
    <row r="145" ht="15" customHeight="1">
      <c r="A145" t="inlineStr">
        <is>
          <t>S 952-2026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46113</v>
      </c>
      <c r="E145" s="1" t="n">
        <v>46301</v>
      </c>
      <c r="F145" t="inlineStr">
        <is>
          <t>GÄVLEBORGS LÄN</t>
        </is>
      </c>
      <c r="G145" t="inlineStr">
        <is>
          <t>GÄVLE</t>
        </is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3</v>
      </c>
      <c r="U145" t="n">
        <v>0</v>
      </c>
      <c r="V145" s="2" t="inlineStr">
        <is>
          <t>Mosippa</t>
        </is>
      </c>
      <c r="W145">
        <f>HYPERLINK("https://klasma.github.io/Logging_2180/artfynd/S 952-2026 artfynd.xlsx", "S 952-2026")</f>
        <v/>
      </c>
      <c r="X145">
        <f>HYPERLINK("https://klasma.github.io/Logging_2180/kartor/S 952-2026 karta.png", "S 952-2026")</f>
        <v/>
      </c>
      <c r="Y145">
        <f>HYPERLINK("https://klasma.github.io/Logging_2180/kartor_geotiff/S 952-2026 georefererad karta.tif", "S 952-2026")</f>
        <v/>
      </c>
      <c r="AA145">
        <f>HYPERLINK("https://klasma.github.io/Logging_2180/klagomål/S 952-2026 FSC-klagomål.docx", "S 952-2026")</f>
        <v/>
      </c>
      <c r="AB145">
        <f>HYPERLINK("https://klasma.github.io/Logging_2180/klagomålsmail/S 952-2026 FSC-klagomål mail.docx", "S 952-2026")</f>
        <v/>
      </c>
      <c r="AC145">
        <f>HYPERLINK("https://klasma.github.io/Logging_2180/tillsyn/S 952-2026 tillsynsbegäran.docx", "S 952-2026")</f>
        <v/>
      </c>
      <c r="AD145">
        <f>HYPERLINK("https://klasma.github.io/Logging_2180/tillsynsmail/S 952-2026 tillsynsbegäran mail.docx", "S 952-2026")</f>
        <v/>
      </c>
    </row>
    <row r="146" ht="15" customHeight="1">
      <c r="A146" t="inlineStr">
        <is>
          <t>A 66494-2021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44519</v>
      </c>
      <c r="E146" s="1" t="n">
        <v>46301</v>
      </c>
      <c r="F146" t="inlineStr">
        <is>
          <t>GÄVLEBORGS LÄN</t>
        </is>
      </c>
      <c r="G146" t="inlineStr">
        <is>
          <t>GÄVLE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46301</v>
      </c>
      <c r="F147" t="inlineStr">
        <is>
          <t>GÄVLEBORGS LÄN</t>
        </is>
      </c>
      <c r="G147" t="inlineStr">
        <is>
          <t>GÄVLE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46301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46301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44629</v>
      </c>
      <c r="E150" s="1" t="n">
        <v>46301</v>
      </c>
      <c r="F150" t="inlineStr">
        <is>
          <t>GÄVLEBORGS LÄN</t>
        </is>
      </c>
      <c r="G150" t="inlineStr">
        <is>
          <t>GÄVLE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44805</v>
      </c>
      <c r="E151" s="1" t="n">
        <v>46301</v>
      </c>
      <c r="F151" t="inlineStr">
        <is>
          <t>GÄVLEBORGS LÄN</t>
        </is>
      </c>
      <c r="G151" t="inlineStr">
        <is>
          <t>GÄVLE</t>
        </is>
      </c>
      <c r="H151" t="inlineStr">
        <is>
          <t>Kyrkan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59810-2021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46301</v>
      </c>
      <c r="F152" t="inlineStr">
        <is>
          <t>GÄVLEBORGS LÄN</t>
        </is>
      </c>
      <c r="G152" t="inlineStr">
        <is>
          <t>GÄVLE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26349-2022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44735</v>
      </c>
      <c r="E153" s="1" t="n">
        <v>46301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44775</v>
      </c>
      <c r="E154" s="1" t="n">
        <v>46301</v>
      </c>
      <c r="F154" t="inlineStr">
        <is>
          <t>GÄVLEBORGS LÄN</t>
        </is>
      </c>
      <c r="G154" t="inlineStr">
        <is>
          <t>GÄVLE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44663</v>
      </c>
      <c r="E155" s="1" t="n">
        <v>46301</v>
      </c>
      <c r="F155" t="inlineStr">
        <is>
          <t>GÄVLEBORGS LÄN</t>
        </is>
      </c>
      <c r="G155" t="inlineStr">
        <is>
          <t>GÄVLE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46301</v>
      </c>
      <c r="F156" t="inlineStr">
        <is>
          <t>GÄVLEBORGS LÄN</t>
        </is>
      </c>
      <c r="G156" t="inlineStr">
        <is>
          <t>GÄVLE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46301</v>
      </c>
      <c r="F157" t="inlineStr">
        <is>
          <t>GÄVLEBORGS LÄN</t>
        </is>
      </c>
      <c r="G157" t="inlineStr">
        <is>
          <t>GÄVLE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44756</v>
      </c>
      <c r="E158" s="1" t="n">
        <v>46301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44813</v>
      </c>
      <c r="E159" s="1" t="n">
        <v>46301</v>
      </c>
      <c r="F159" t="inlineStr">
        <is>
          <t>GÄVLEBORGS LÄN</t>
        </is>
      </c>
      <c r="G159" t="inlineStr">
        <is>
          <t>GÄVLE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44671</v>
      </c>
      <c r="E160" s="1" t="n">
        <v>46301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46301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46301</v>
      </c>
      <c r="F162" t="inlineStr">
        <is>
          <t>GÄVLEBORGS LÄN</t>
        </is>
      </c>
      <c r="G162" t="inlineStr">
        <is>
          <t>GÄVLE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44658</v>
      </c>
      <c r="E163" s="1" t="n">
        <v>46301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44735</v>
      </c>
      <c r="E164" s="1" t="n">
        <v>46301</v>
      </c>
      <c r="F164" t="inlineStr">
        <is>
          <t>GÄVLEBORGS LÄN</t>
        </is>
      </c>
      <c r="G164" t="inlineStr">
        <is>
          <t>GÄVLE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46301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44571</v>
      </c>
      <c r="E166" s="1" t="n">
        <v>46301</v>
      </c>
      <c r="F166" t="inlineStr">
        <is>
          <t>GÄVLEBORGS LÄN</t>
        </is>
      </c>
      <c r="G166" t="inlineStr">
        <is>
          <t>GÄVLE</t>
        </is>
      </c>
      <c r="I166" t="n">
        <v>12.2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44788</v>
      </c>
      <c r="E167" s="1" t="n">
        <v>46301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44589</v>
      </c>
      <c r="E168" s="1" t="n">
        <v>46301</v>
      </c>
      <c r="F168" t="inlineStr">
        <is>
          <t>GÄVLEBORGS LÄN</t>
        </is>
      </c>
      <c r="G168" t="inlineStr">
        <is>
          <t>GÄVLE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61352-2021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44498</v>
      </c>
      <c r="E169" s="1" t="n">
        <v>46301</v>
      </c>
      <c r="F169" t="inlineStr">
        <is>
          <t>GÄVLEBORGS LÄN</t>
        </is>
      </c>
      <c r="G169" t="inlineStr">
        <is>
          <t>GÄVLE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44796</v>
      </c>
      <c r="E170" s="1" t="n">
        <v>46301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46301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44599</v>
      </c>
      <c r="E172" s="1" t="n">
        <v>46301</v>
      </c>
      <c r="F172" t="inlineStr">
        <is>
          <t>GÄVLEBORGS LÄN</t>
        </is>
      </c>
      <c r="G172" t="inlineStr">
        <is>
          <t>GÄVLE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44845</v>
      </c>
      <c r="E173" s="1" t="n">
        <v>46301</v>
      </c>
      <c r="F173" t="inlineStr">
        <is>
          <t>GÄVLEBORGS LÄN</t>
        </is>
      </c>
      <c r="G173" t="inlineStr">
        <is>
          <t>GÄVLE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44840</v>
      </c>
      <c r="E174" s="1" t="n">
        <v>46301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väst AB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46301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46301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46301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46301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46301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46301</v>
      </c>
      <c r="F180" t="inlineStr">
        <is>
          <t>GÄVLEBORGS LÄN</t>
        </is>
      </c>
      <c r="G180" t="inlineStr">
        <is>
          <t>GÄVLE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46301</v>
      </c>
      <c r="F181" t="inlineStr">
        <is>
          <t>GÄVLEBORGS LÄN</t>
        </is>
      </c>
      <c r="G181" t="inlineStr">
        <is>
          <t>GÄVLE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46301</v>
      </c>
      <c r="F182" t="inlineStr">
        <is>
          <t>GÄVLEBORGS LÄN</t>
        </is>
      </c>
      <c r="G182" t="inlineStr">
        <is>
          <t>GÄVLE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45232</v>
      </c>
      <c r="E183" s="1" t="n">
        <v>46301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25829-2024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45467</v>
      </c>
      <c r="E184" s="1" t="n">
        <v>46301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öst AB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46301</v>
      </c>
      <c r="F185" t="inlineStr">
        <is>
          <t>GÄVLEBORGS LÄN</t>
        </is>
      </c>
      <c r="G185" t="inlineStr">
        <is>
          <t>GÄVLE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45138</v>
      </c>
      <c r="E186" s="1" t="n">
        <v>46301</v>
      </c>
      <c r="F186" t="inlineStr">
        <is>
          <t>GÄVLEBORGS LÄN</t>
        </is>
      </c>
      <c r="G186" t="inlineStr">
        <is>
          <t>GÄVLE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15207-2024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45400</v>
      </c>
      <c r="E187" s="1" t="n">
        <v>46301</v>
      </c>
      <c r="F187" t="inlineStr">
        <is>
          <t>GÄVLEBORGS LÄN</t>
        </is>
      </c>
      <c r="G187" t="inlineStr">
        <is>
          <t>GÄVLE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46301</v>
      </c>
      <c r="F188" t="inlineStr">
        <is>
          <t>GÄVLEBORGS LÄN</t>
        </is>
      </c>
      <c r="G188" t="inlineStr">
        <is>
          <t>GÄVLE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20689-2024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45436</v>
      </c>
      <c r="E189" s="1" t="n">
        <v>46301</v>
      </c>
      <c r="F189" t="inlineStr">
        <is>
          <t>GÄVLEBORGS LÄN</t>
        </is>
      </c>
      <c r="G189" t="inlineStr">
        <is>
          <t>GÄVLE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44876</v>
      </c>
      <c r="E190" s="1" t="n">
        <v>46301</v>
      </c>
      <c r="F190" t="inlineStr">
        <is>
          <t>GÄVLEBORGS LÄN</t>
        </is>
      </c>
      <c r="G190" t="inlineStr">
        <is>
          <t>GÄVLE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46301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44841</v>
      </c>
      <c r="E192" s="1" t="n">
        <v>46301</v>
      </c>
      <c r="F192" t="inlineStr">
        <is>
          <t>GÄVLEBORGS LÄN</t>
        </is>
      </c>
      <c r="G192" t="inlineStr">
        <is>
          <t>GÄVLE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45574</v>
      </c>
      <c r="E193" s="1" t="n">
        <v>46301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öst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23638-2024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45454</v>
      </c>
      <c r="E194" s="1" t="n">
        <v>46301</v>
      </c>
      <c r="F194" t="inlineStr">
        <is>
          <t>GÄVLEBORGS LÄN</t>
        </is>
      </c>
      <c r="G194" t="inlineStr">
        <is>
          <t>GÄVLE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46301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45454</v>
      </c>
      <c r="E196" s="1" t="n">
        <v>46301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61351-2021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44498</v>
      </c>
      <c r="E197" s="1" t="n">
        <v>46301</v>
      </c>
      <c r="F197" t="inlineStr">
        <is>
          <t>GÄVLEBORGS LÄN</t>
        </is>
      </c>
      <c r="G197" t="inlineStr">
        <is>
          <t>GÄVLE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45468</v>
      </c>
      <c r="E198" s="1" t="n">
        <v>46301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44823</v>
      </c>
      <c r="E199" s="1" t="n">
        <v>46301</v>
      </c>
      <c r="F199" t="inlineStr">
        <is>
          <t>GÄVLEBORGS LÄN</t>
        </is>
      </c>
      <c r="G199" t="inlineStr">
        <is>
          <t>GÄVLE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70043-2021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44533</v>
      </c>
      <c r="E200" s="1" t="n">
        <v>46301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öst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44942</v>
      </c>
      <c r="E201" s="1" t="n">
        <v>46301</v>
      </c>
      <c r="F201" t="inlineStr">
        <is>
          <t>GÄVLEBORGS LÄN</t>
        </is>
      </c>
      <c r="G201" t="inlineStr">
        <is>
          <t>GÄVLE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45530</v>
      </c>
      <c r="E202" s="1" t="n">
        <v>46301</v>
      </c>
      <c r="F202" t="inlineStr">
        <is>
          <t>GÄVLEBORGS LÄN</t>
        </is>
      </c>
      <c r="G202" t="inlineStr">
        <is>
          <t>GÄVLE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45586</v>
      </c>
      <c r="E203" s="1" t="n">
        <v>46301</v>
      </c>
      <c r="F203" t="inlineStr">
        <is>
          <t>GÄVLEBORGS LÄN</t>
        </is>
      </c>
      <c r="G203" t="inlineStr">
        <is>
          <t>GÄVLE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46301</v>
      </c>
      <c r="F204" t="inlineStr">
        <is>
          <t>GÄVLEBORGS LÄN</t>
        </is>
      </c>
      <c r="G204" t="inlineStr">
        <is>
          <t>GÄVLE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45511</v>
      </c>
      <c r="E205" s="1" t="n">
        <v>46301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45658</v>
      </c>
      <c r="E206" s="1" t="n">
        <v>46301</v>
      </c>
      <c r="F206" t="inlineStr">
        <is>
          <t>GÄVLEBORGS LÄN</t>
        </is>
      </c>
      <c r="G206" t="inlineStr">
        <is>
          <t>GÄVLE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45540</v>
      </c>
      <c r="E207" s="1" t="n">
        <v>46301</v>
      </c>
      <c r="F207" t="inlineStr">
        <is>
          <t>GÄVLEBORGS LÄN</t>
        </is>
      </c>
      <c r="G207" t="inlineStr">
        <is>
          <t>GÄVLE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60801-2024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45644</v>
      </c>
      <c r="E208" s="1" t="n">
        <v>46301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45475</v>
      </c>
      <c r="E209" s="1" t="n">
        <v>46301</v>
      </c>
      <c r="F209" t="inlineStr">
        <is>
          <t>GÄVLEBORGS LÄN</t>
        </is>
      </c>
      <c r="G209" t="inlineStr">
        <is>
          <t>GÄVLE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45628-2022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44845</v>
      </c>
      <c r="E210" s="1" t="n">
        <v>46301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37258-2024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46301</v>
      </c>
      <c r="F211" t="inlineStr">
        <is>
          <t>GÄVLEBORGS LÄN</t>
        </is>
      </c>
      <c r="G211" t="inlineStr">
        <is>
          <t>GÄVLE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55976-2022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44889</v>
      </c>
      <c r="E212" s="1" t="n">
        <v>46301</v>
      </c>
      <c r="F212" t="inlineStr">
        <is>
          <t>GÄVLEBORGS LÄN</t>
        </is>
      </c>
      <c r="G212" t="inlineStr">
        <is>
          <t>GÄVLE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46301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65879-2021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44517</v>
      </c>
      <c r="E214" s="1" t="n">
        <v>46301</v>
      </c>
      <c r="F214" t="inlineStr">
        <is>
          <t>GÄVLEBORGS LÄN</t>
        </is>
      </c>
      <c r="G214" t="inlineStr">
        <is>
          <t>GÄVLE</t>
        </is>
      </c>
      <c r="H214" t="inlineStr">
        <is>
          <t>Kyrkan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3156-2026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46041</v>
      </c>
      <c r="E215" s="1" t="n">
        <v>46301</v>
      </c>
      <c r="F215" t="inlineStr">
        <is>
          <t>GÄVLEBORGS LÄN</t>
        </is>
      </c>
      <c r="G215" t="inlineStr">
        <is>
          <t>GÄVLE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10577-2023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44988</v>
      </c>
      <c r="E216" s="1" t="n">
        <v>46301</v>
      </c>
      <c r="F216" t="inlineStr">
        <is>
          <t>GÄVLEBORGS LÄN</t>
        </is>
      </c>
      <c r="G216" t="inlineStr">
        <is>
          <t>GÄVLE</t>
        </is>
      </c>
      <c r="H216" t="inlineStr">
        <is>
          <t>Kyrkan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44585</v>
      </c>
      <c r="E217" s="1" t="n">
        <v>46301</v>
      </c>
      <c r="F217" t="inlineStr">
        <is>
          <t>GÄVLEBORGS LÄN</t>
        </is>
      </c>
      <c r="G217" t="inlineStr">
        <is>
          <t>GÄVLE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46301</v>
      </c>
      <c r="F218" t="inlineStr">
        <is>
          <t>GÄVLEBORGS LÄN</t>
        </is>
      </c>
      <c r="G218" t="inlineStr">
        <is>
          <t>GÄVLE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46301</v>
      </c>
      <c r="F219" t="inlineStr">
        <is>
          <t>GÄVLEBORGS LÄN</t>
        </is>
      </c>
      <c r="G219" t="inlineStr">
        <is>
          <t>GÄVLE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46301</v>
      </c>
      <c r="F220" t="inlineStr">
        <is>
          <t>GÄVLEBORGS LÄN</t>
        </is>
      </c>
      <c r="G220" t="inlineStr">
        <is>
          <t>GÄVLE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46301</v>
      </c>
      <c r="F221" t="inlineStr">
        <is>
          <t>GÄVLEBORGS LÄN</t>
        </is>
      </c>
      <c r="G221" t="inlineStr">
        <is>
          <t>GÄVLE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46301</v>
      </c>
      <c r="F222" t="inlineStr">
        <is>
          <t>GÄVLEBORGS LÄN</t>
        </is>
      </c>
      <c r="G222" t="inlineStr">
        <is>
          <t>GÄVLE</t>
        </is>
      </c>
      <c r="I222" t="n">
        <v>13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46301</v>
      </c>
      <c r="F223" t="inlineStr">
        <is>
          <t>GÄVLEBORGS LÄN</t>
        </is>
      </c>
      <c r="G223" t="inlineStr">
        <is>
          <t>GÄVLE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45742</v>
      </c>
      <c r="E224" s="1" t="n">
        <v>46301</v>
      </c>
      <c r="F224" t="inlineStr">
        <is>
          <t>GÄVLEBORGS LÄN</t>
        </is>
      </c>
      <c r="G224" t="inlineStr">
        <is>
          <t>GÄVLE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46045</v>
      </c>
      <c r="E225" s="1" t="n">
        <v>46301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46301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46301</v>
      </c>
      <c r="F227" t="inlineStr">
        <is>
          <t>GÄVLEBORGS LÄN</t>
        </is>
      </c>
      <c r="G227" t="inlineStr">
        <is>
          <t>GÄVLE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45827</v>
      </c>
      <c r="E228" s="1" t="n">
        <v>46301</v>
      </c>
      <c r="F228" t="inlineStr">
        <is>
          <t>GÄVLEBORGS LÄN</t>
        </is>
      </c>
      <c r="G228" t="inlineStr">
        <is>
          <t>GÄVLE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46301</v>
      </c>
      <c r="F229" t="inlineStr">
        <is>
          <t>GÄVLEBORGS LÄN</t>
        </is>
      </c>
      <c r="G229" t="inlineStr">
        <is>
          <t>GÄVLE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30301-2025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45827</v>
      </c>
      <c r="E230" s="1" t="n">
        <v>46301</v>
      </c>
      <c r="F230" t="inlineStr">
        <is>
          <t>GÄVLEBORGS LÄN</t>
        </is>
      </c>
      <c r="G230" t="inlineStr">
        <is>
          <t>GÄVLE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30202-2025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45827</v>
      </c>
      <c r="E231" s="1" t="n">
        <v>46301</v>
      </c>
      <c r="F231" t="inlineStr">
        <is>
          <t>GÄVLEBORGS LÄN</t>
        </is>
      </c>
      <c r="G231" t="inlineStr">
        <is>
          <t>GÄVLE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46052</v>
      </c>
      <c r="E232" s="1" t="n">
        <v>46301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44959</v>
      </c>
      <c r="E233" s="1" t="n">
        <v>46301</v>
      </c>
      <c r="F233" t="inlineStr">
        <is>
          <t>GÄVLEBORGS LÄN</t>
        </is>
      </c>
      <c r="G233" t="inlineStr">
        <is>
          <t>GÄVLE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46052</v>
      </c>
      <c r="E234" s="1" t="n">
        <v>46301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öst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46301</v>
      </c>
      <c r="F235" t="inlineStr">
        <is>
          <t>GÄVLEBORGS LÄN</t>
        </is>
      </c>
      <c r="G235" t="inlineStr">
        <is>
          <t>GÄVLE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46301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19555-2022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44693</v>
      </c>
      <c r="E237" s="1" t="n">
        <v>46301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45223</v>
      </c>
      <c r="E238" s="1" t="n">
        <v>46301</v>
      </c>
      <c r="F238" t="inlineStr">
        <is>
          <t>GÄVLEBORGS LÄN</t>
        </is>
      </c>
      <c r="G238" t="inlineStr">
        <is>
          <t>GÄVLE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46301</v>
      </c>
      <c r="F239" t="inlineStr">
        <is>
          <t>GÄVLEBORGS LÄN</t>
        </is>
      </c>
      <c r="G239" t="inlineStr">
        <is>
          <t>GÄVLE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46301</v>
      </c>
      <c r="F240" t="inlineStr">
        <is>
          <t>GÄVLEBORGS LÄN</t>
        </is>
      </c>
      <c r="G240" t="inlineStr">
        <is>
          <t>GÄVLE</t>
        </is>
      </c>
      <c r="H240" t="inlineStr">
        <is>
          <t>Kyrkan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40297-2025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45895</v>
      </c>
      <c r="E241" s="1" t="n">
        <v>46301</v>
      </c>
      <c r="F241" t="inlineStr">
        <is>
          <t>GÄVLEBORGS LÄN</t>
        </is>
      </c>
      <c r="G241" t="inlineStr">
        <is>
          <t>GÄVLE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45896</v>
      </c>
      <c r="E242" s="1" t="n">
        <v>46301</v>
      </c>
      <c r="F242" t="inlineStr">
        <is>
          <t>GÄVLEBORGS LÄN</t>
        </is>
      </c>
      <c r="G242" t="inlineStr">
        <is>
          <t>GÄVLE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46052</v>
      </c>
      <c r="E243" s="1" t="n">
        <v>46301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46301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46301</v>
      </c>
      <c r="F245" t="inlineStr">
        <is>
          <t>GÄVLEBORGS LÄN</t>
        </is>
      </c>
      <c r="G245" t="inlineStr">
        <is>
          <t>GÄVLE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46301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46301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46301</v>
      </c>
      <c r="F248" t="inlineStr">
        <is>
          <t>GÄVLEBORGS LÄN</t>
        </is>
      </c>
      <c r="G248" t="inlineStr">
        <is>
          <t>GÄVLE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32022-2025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46301</v>
      </c>
      <c r="F249" t="inlineStr">
        <is>
          <t>GÄVLEBORGS LÄN</t>
        </is>
      </c>
      <c r="G249" t="inlineStr">
        <is>
          <t>GÄVLE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46301</v>
      </c>
      <c r="F250" t="inlineStr">
        <is>
          <t>GÄVLEBORGS LÄN</t>
        </is>
      </c>
      <c r="G250" t="inlineStr">
        <is>
          <t>GÄVLE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16624-2023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45030</v>
      </c>
      <c r="E251" s="1" t="n">
        <v>46301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45019</v>
      </c>
      <c r="E252" s="1" t="n">
        <v>46301</v>
      </c>
      <c r="F252" t="inlineStr">
        <is>
          <t>GÄVLEBORGS LÄN</t>
        </is>
      </c>
      <c r="G252" t="inlineStr">
        <is>
          <t>GÄVLE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40992-2025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46301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38132-2025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46301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46301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46301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61880-2024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45652</v>
      </c>
      <c r="E257" s="1" t="n">
        <v>46301</v>
      </c>
      <c r="F257" t="inlineStr">
        <is>
          <t>GÄVLEBORGS LÄN</t>
        </is>
      </c>
      <c r="G257" t="inlineStr">
        <is>
          <t>GÄVLE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45902</v>
      </c>
      <c r="E258" s="1" t="n">
        <v>46301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19095-2022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44691</v>
      </c>
      <c r="E259" s="1" t="n">
        <v>46301</v>
      </c>
      <c r="F259" t="inlineStr">
        <is>
          <t>GÄVLEBORGS LÄN</t>
        </is>
      </c>
      <c r="G259" t="inlineStr">
        <is>
          <t>GÄVLE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18017-2023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45040</v>
      </c>
      <c r="E260" s="1" t="n">
        <v>46301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45485</v>
      </c>
      <c r="E261" s="1" t="n">
        <v>46301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46301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45595</v>
      </c>
      <c r="E263" s="1" t="n">
        <v>46301</v>
      </c>
      <c r="F263" t="inlineStr">
        <is>
          <t>GÄVLEBORGS LÄN</t>
        </is>
      </c>
      <c r="G263" t="inlineStr">
        <is>
          <t>GÄVLE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34116-2025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46301</v>
      </c>
      <c r="F264" t="inlineStr">
        <is>
          <t>GÄVLEBORGS LÄN</t>
        </is>
      </c>
      <c r="G264" t="inlineStr">
        <is>
          <t>GÄVLE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46301</v>
      </c>
      <c r="F265" t="inlineStr">
        <is>
          <t>GÄVLEBORGS LÄN</t>
        </is>
      </c>
      <c r="G265" t="inlineStr">
        <is>
          <t>GÄVLE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46301</v>
      </c>
      <c r="F266" t="inlineStr">
        <is>
          <t>GÄVLEBORGS LÄN</t>
        </is>
      </c>
      <c r="G266" t="inlineStr">
        <is>
          <t>GÄVLE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46301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44951</v>
      </c>
      <c r="E268" s="1" t="n">
        <v>46301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46301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45324</v>
      </c>
      <c r="E270" s="1" t="n">
        <v>46301</v>
      </c>
      <c r="F270" t="inlineStr">
        <is>
          <t>GÄVLEBORGS LÄN</t>
        </is>
      </c>
      <c r="G270" t="inlineStr">
        <is>
          <t>GÄVLE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64871-2023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45282</v>
      </c>
      <c r="E271" s="1" t="n">
        <v>46301</v>
      </c>
      <c r="F271" t="inlineStr">
        <is>
          <t>GÄVLEBORGS LÄN</t>
        </is>
      </c>
      <c r="G271" t="inlineStr">
        <is>
          <t>GÄVLE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64875-2023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45282</v>
      </c>
      <c r="E272" s="1" t="n">
        <v>46301</v>
      </c>
      <c r="F272" t="inlineStr">
        <is>
          <t>GÄVLEBORGS LÄN</t>
        </is>
      </c>
      <c r="G272" t="inlineStr">
        <is>
          <t>GÄVLE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45848</v>
      </c>
      <c r="E273" s="1" t="n">
        <v>46301</v>
      </c>
      <c r="F273" t="inlineStr">
        <is>
          <t>GÄVLEBORGS LÄN</t>
        </is>
      </c>
      <c r="G273" t="inlineStr">
        <is>
          <t>GÄVLE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45848</v>
      </c>
      <c r="E274" s="1" t="n">
        <v>46301</v>
      </c>
      <c r="F274" t="inlineStr">
        <is>
          <t>GÄVLEBORGS LÄN</t>
        </is>
      </c>
      <c r="G274" t="inlineStr">
        <is>
          <t>GÄVLE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37253-2024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45540</v>
      </c>
      <c r="E275" s="1" t="n">
        <v>46301</v>
      </c>
      <c r="F275" t="inlineStr">
        <is>
          <t>GÄVLEBORGS LÄN</t>
        </is>
      </c>
      <c r="G275" t="inlineStr">
        <is>
          <t>GÄVLE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46056</v>
      </c>
      <c r="E276" s="1" t="n">
        <v>46301</v>
      </c>
      <c r="F276" t="inlineStr">
        <is>
          <t>GÄVLEBORGS LÄN</t>
        </is>
      </c>
      <c r="G276" t="inlineStr">
        <is>
          <t>GÄVLE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46301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46301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6681-2026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46301</v>
      </c>
      <c r="F279" t="inlineStr">
        <is>
          <t>GÄVLEBORGS LÄN</t>
        </is>
      </c>
      <c r="G279" t="inlineStr">
        <is>
          <t>GÄVLE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46056</v>
      </c>
      <c r="E280" s="1" t="n">
        <v>46301</v>
      </c>
      <c r="F280" t="inlineStr">
        <is>
          <t>GÄVLEBORGS LÄN</t>
        </is>
      </c>
      <c r="G280" t="inlineStr">
        <is>
          <t>GÄVLE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46301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22577-2022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44713</v>
      </c>
      <c r="E282" s="1" t="n">
        <v>46301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10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45330</v>
      </c>
      <c r="E283" s="1" t="n">
        <v>46301</v>
      </c>
      <c r="F283" t="inlineStr">
        <is>
          <t>GÄVLEBORGS LÄN</t>
        </is>
      </c>
      <c r="G283" t="inlineStr">
        <is>
          <t>GÄVLE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35337-2025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45854</v>
      </c>
      <c r="E284" s="1" t="n">
        <v>46301</v>
      </c>
      <c r="F284" t="inlineStr">
        <is>
          <t>GÄVLEBORGS LÄN</t>
        </is>
      </c>
      <c r="G284" t="inlineStr">
        <is>
          <t>GÄVLE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46301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45909</v>
      </c>
      <c r="E286" s="1" t="n">
        <v>46301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43356-2025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45911</v>
      </c>
      <c r="E287" s="1" t="n">
        <v>46301</v>
      </c>
      <c r="F287" t="inlineStr">
        <is>
          <t>GÄVLEBORGS LÄN</t>
        </is>
      </c>
      <c r="G287" t="inlineStr">
        <is>
          <t>GÄVLE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45859</v>
      </c>
      <c r="E288" s="1" t="n">
        <v>46301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35938-2025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45862</v>
      </c>
      <c r="E289" s="1" t="n">
        <v>46301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35878-2025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45862</v>
      </c>
      <c r="E290" s="1" t="n">
        <v>46301</v>
      </c>
      <c r="F290" t="inlineStr">
        <is>
          <t>GÄVLEBORGS LÄN</t>
        </is>
      </c>
      <c r="G290" t="inlineStr">
        <is>
          <t>GÄVLE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35919-2025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45862</v>
      </c>
      <c r="E291" s="1" t="n">
        <v>46301</v>
      </c>
      <c r="F291" t="inlineStr">
        <is>
          <t>GÄVLEBORGS LÄN</t>
        </is>
      </c>
      <c r="G291" t="inlineStr">
        <is>
          <t>GÄVLE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44708</v>
      </c>
      <c r="E292" s="1" t="n">
        <v>46301</v>
      </c>
      <c r="F292" t="inlineStr">
        <is>
          <t>GÄVLEBORGS LÄN</t>
        </is>
      </c>
      <c r="G292" t="inlineStr">
        <is>
          <t>GÄVLE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45699</v>
      </c>
      <c r="E293" s="1" t="n">
        <v>46301</v>
      </c>
      <c r="F293" t="inlineStr">
        <is>
          <t>GÄVLEBORGS LÄN</t>
        </is>
      </c>
      <c r="G293" t="inlineStr">
        <is>
          <t>GÄVLE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46301</v>
      </c>
      <c r="F294" t="inlineStr">
        <is>
          <t>GÄVLEBORGS LÄN</t>
        </is>
      </c>
      <c r="G294" t="inlineStr">
        <is>
          <t>GÄVLE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45866</v>
      </c>
      <c r="E295" s="1" t="n">
        <v>46301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45867</v>
      </c>
      <c r="E296" s="1" t="n">
        <v>46301</v>
      </c>
      <c r="F296" t="inlineStr">
        <is>
          <t>GÄVLEBORGS LÄN</t>
        </is>
      </c>
      <c r="G296" t="inlineStr">
        <is>
          <t>GÄVLE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45082</v>
      </c>
      <c r="E297" s="1" t="n">
        <v>46301</v>
      </c>
      <c r="F297" t="inlineStr">
        <is>
          <t>GÄVLEBORGS LÄN</t>
        </is>
      </c>
      <c r="G297" t="inlineStr">
        <is>
          <t>GÄVLE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36516-2025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45869</v>
      </c>
      <c r="E298" s="1" t="n">
        <v>46301</v>
      </c>
      <c r="F298" t="inlineStr">
        <is>
          <t>GÄVLEBORGS LÄN</t>
        </is>
      </c>
      <c r="G298" t="inlineStr">
        <is>
          <t>GÄVLE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36493-2025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45869</v>
      </c>
      <c r="E299" s="1" t="n">
        <v>46301</v>
      </c>
      <c r="F299" t="inlineStr">
        <is>
          <t>GÄVLEBORGS LÄN</t>
        </is>
      </c>
      <c r="G299" t="inlineStr">
        <is>
          <t>GÄVLE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25276-2024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45462</v>
      </c>
      <c r="E300" s="1" t="n">
        <v>46301</v>
      </c>
      <c r="F300" t="inlineStr">
        <is>
          <t>GÄVLEBORGS LÄN</t>
        </is>
      </c>
      <c r="G300" t="inlineStr">
        <is>
          <t>GÄVLE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46301</v>
      </c>
      <c r="F301" t="inlineStr">
        <is>
          <t>GÄVLEBORGS LÄN</t>
        </is>
      </c>
      <c r="G301" t="inlineStr">
        <is>
          <t>GÄVLE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39022-2025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46301</v>
      </c>
      <c r="F302" t="inlineStr">
        <is>
          <t>GÄVLEBORGS LÄN</t>
        </is>
      </c>
      <c r="G302" t="inlineStr">
        <is>
          <t>GÄVLE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45463</v>
      </c>
      <c r="E303" s="1" t="n">
        <v>46301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46100</v>
      </c>
      <c r="E304" s="1" t="n">
        <v>46301</v>
      </c>
      <c r="F304" t="inlineStr">
        <is>
          <t>GÄVLEBORGS LÄN</t>
        </is>
      </c>
      <c r="G304" t="inlineStr">
        <is>
          <t>GÄVLE</t>
        </is>
      </c>
      <c r="H304" t="inlineStr">
        <is>
          <t>Övriga statliga verk och myndigheter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7239-2026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46301</v>
      </c>
      <c r="F305" t="inlineStr">
        <is>
          <t>GÄVLEBORGS LÄN</t>
        </is>
      </c>
      <c r="G305" t="inlineStr">
        <is>
          <t>GÄVLE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46301</v>
      </c>
      <c r="F306" t="inlineStr">
        <is>
          <t>GÄVLEBORGS LÄN</t>
        </is>
      </c>
      <c r="G306" t="inlineStr">
        <is>
          <t>GÄVLE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46301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45850-2025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45923</v>
      </c>
      <c r="E308" s="1" t="n">
        <v>46301</v>
      </c>
      <c r="F308" t="inlineStr">
        <is>
          <t>GÄVLEBORGS LÄN</t>
        </is>
      </c>
      <c r="G308" t="inlineStr">
        <is>
          <t>GÄVLE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36680-2025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45873</v>
      </c>
      <c r="E309" s="1" t="n">
        <v>46301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45896</v>
      </c>
      <c r="E310" s="1" t="n">
        <v>46301</v>
      </c>
      <c r="F310" t="inlineStr">
        <is>
          <t>GÄVLEBORGS LÄN</t>
        </is>
      </c>
      <c r="G310" t="inlineStr">
        <is>
          <t>GÄVLE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46301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46552-2025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46301</v>
      </c>
      <c r="F312" t="inlineStr">
        <is>
          <t>GÄVLEBORGS LÄN</t>
        </is>
      </c>
      <c r="G312" t="inlineStr">
        <is>
          <t>GÄVLE</t>
        </is>
      </c>
      <c r="H312" t="inlineStr">
        <is>
          <t>Kyrkan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38240-2024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45545</v>
      </c>
      <c r="E313" s="1" t="n">
        <v>46301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45034</v>
      </c>
      <c r="E314" s="1" t="n">
        <v>46301</v>
      </c>
      <c r="F314" t="inlineStr">
        <is>
          <t>GÄVLEBORGS LÄN</t>
        </is>
      </c>
      <c r="G314" t="inlineStr">
        <is>
          <t>GÄVLE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45740</v>
      </c>
      <c r="E315" s="1" t="n">
        <v>46301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45926</v>
      </c>
      <c r="E316" s="1" t="n">
        <v>46301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46790-2025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45926</v>
      </c>
      <c r="E317" s="1" t="n">
        <v>46301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46301</v>
      </c>
      <c r="F318" t="inlineStr">
        <is>
          <t>GÄVLEBORGS LÄN</t>
        </is>
      </c>
      <c r="G318" t="inlineStr">
        <is>
          <t>GÄVLE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47172-2025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45930</v>
      </c>
      <c r="E319" s="1" t="n">
        <v>46301</v>
      </c>
      <c r="F319" t="inlineStr">
        <is>
          <t>GÄVLEBORGS LÄN</t>
        </is>
      </c>
      <c r="G319" t="inlineStr">
        <is>
          <t>GÄVLE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46301</v>
      </c>
      <c r="F320" t="inlineStr">
        <is>
          <t>GÄVLEBORGS LÄN</t>
        </is>
      </c>
      <c r="G320" t="inlineStr">
        <is>
          <t>GÄVLE</t>
        </is>
      </c>
      <c r="H320" t="inlineStr">
        <is>
          <t>Kyrkan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46301</v>
      </c>
      <c r="F321" t="inlineStr">
        <is>
          <t>GÄVLEBORGS LÄN</t>
        </is>
      </c>
      <c r="G321" t="inlineStr">
        <is>
          <t>GÄVLE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46301</v>
      </c>
      <c r="F322" t="inlineStr">
        <is>
          <t>GÄVLEBORGS LÄN</t>
        </is>
      </c>
      <c r="G322" t="inlineStr">
        <is>
          <t>GÄVLE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46301</v>
      </c>
      <c r="F323" t="inlineStr">
        <is>
          <t>GÄVLEBORGS LÄN</t>
        </is>
      </c>
      <c r="G323" t="inlineStr">
        <is>
          <t>GÄVLE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47612-2025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46301</v>
      </c>
      <c r="F324" t="inlineStr">
        <is>
          <t>GÄVLEBORGS LÄN</t>
        </is>
      </c>
      <c r="G324" t="inlineStr">
        <is>
          <t>GÄVLE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46301</v>
      </c>
      <c r="F325" t="inlineStr">
        <is>
          <t>GÄVLEBORGS LÄN</t>
        </is>
      </c>
      <c r="G325" t="inlineStr">
        <is>
          <t>GÄVLE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46301</v>
      </c>
      <c r="F326" t="inlineStr">
        <is>
          <t>GÄVLEBORGS LÄN</t>
        </is>
      </c>
      <c r="G326" t="inlineStr">
        <is>
          <t>GÄVLE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45884</v>
      </c>
      <c r="E327" s="1" t="n">
        <v>46301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8292-2026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46301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8303-2026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46301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46301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48251-2025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46301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46301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46301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25466-2023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45089</v>
      </c>
      <c r="E334" s="1" t="n">
        <v>46301</v>
      </c>
      <c r="F334" t="inlineStr">
        <is>
          <t>GÄVLEBORGS LÄN</t>
        </is>
      </c>
      <c r="G334" t="inlineStr">
        <is>
          <t>GÄVLE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46301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46301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45672</v>
      </c>
      <c r="E337" s="1" t="n">
        <v>46301</v>
      </c>
      <c r="F337" t="inlineStr">
        <is>
          <t>GÄVLEBORGS LÄN</t>
        </is>
      </c>
      <c r="G337" t="inlineStr">
        <is>
          <t>GÄVLE</t>
        </is>
      </c>
      <c r="H337" t="inlineStr">
        <is>
          <t>Kyrkan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46065</v>
      </c>
      <c r="E338" s="1" t="n">
        <v>46301</v>
      </c>
      <c r="F338" t="inlineStr">
        <is>
          <t>GÄVLEBORGS LÄN</t>
        </is>
      </c>
      <c r="G338" t="inlineStr">
        <is>
          <t>GÄVLE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45916</v>
      </c>
      <c r="E339" s="1" t="n">
        <v>46301</v>
      </c>
      <c r="F339" t="inlineStr">
        <is>
          <t>GÄVLEBORGS LÄN</t>
        </is>
      </c>
      <c r="G339" t="inlineStr">
        <is>
          <t>GÄVLE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8954-2026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46069</v>
      </c>
      <c r="E340" s="1" t="n">
        <v>46301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46301</v>
      </c>
      <c r="F341" t="inlineStr">
        <is>
          <t>GÄVLEBORGS LÄN</t>
        </is>
      </c>
      <c r="G341" t="inlineStr">
        <is>
          <t>GÄVLE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45939</v>
      </c>
      <c r="E342" s="1" t="n">
        <v>46301</v>
      </c>
      <c r="F342" t="inlineStr">
        <is>
          <t>GÄVLEBORGS LÄN</t>
        </is>
      </c>
      <c r="G342" t="inlineStr">
        <is>
          <t>GÄVLE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45940</v>
      </c>
      <c r="E343" s="1" t="n">
        <v>46301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46071</v>
      </c>
      <c r="E344" s="1" t="n">
        <v>46301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46301</v>
      </c>
      <c r="F345" t="inlineStr">
        <is>
          <t>GÄVLEBORGS LÄN</t>
        </is>
      </c>
      <c r="G345" t="inlineStr">
        <is>
          <t>GÄVLE</t>
        </is>
      </c>
      <c r="H345" t="inlineStr">
        <is>
          <t>Kyrkan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9779-2026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46072</v>
      </c>
      <c r="E346" s="1" t="n">
        <v>46301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46301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44936</v>
      </c>
      <c r="E348" s="1" t="n">
        <v>46301</v>
      </c>
      <c r="F348" t="inlineStr">
        <is>
          <t>GÄVLEBORGS LÄN</t>
        </is>
      </c>
      <c r="G348" t="inlineStr">
        <is>
          <t>GÄVLE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46301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66351-2021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44518</v>
      </c>
      <c r="E350" s="1" t="n">
        <v>46301</v>
      </c>
      <c r="F350" t="inlineStr">
        <is>
          <t>GÄVLEBORGS LÄN</t>
        </is>
      </c>
      <c r="G350" t="inlineStr">
        <is>
          <t>GÄVLE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46072</v>
      </c>
      <c r="E351" s="1" t="n">
        <v>46301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45084</v>
      </c>
      <c r="E352" s="1" t="n">
        <v>46301</v>
      </c>
      <c r="F352" t="inlineStr">
        <is>
          <t>GÄVLEBORGS LÄN</t>
        </is>
      </c>
      <c r="G352" t="inlineStr">
        <is>
          <t>GÄVLE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28005-2025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45817</v>
      </c>
      <c r="E353" s="1" t="n">
        <v>46301</v>
      </c>
      <c r="F353" t="inlineStr">
        <is>
          <t>GÄVLEBORGS LÄN</t>
        </is>
      </c>
      <c r="G353" t="inlineStr">
        <is>
          <t>GÄVLE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46301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62255-2022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44922</v>
      </c>
      <c r="E355" s="1" t="n">
        <v>46301</v>
      </c>
      <c r="F355" t="inlineStr">
        <is>
          <t>GÄVLEBORGS LÄN</t>
        </is>
      </c>
      <c r="G355" t="inlineStr">
        <is>
          <t>GÄVLE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46301</v>
      </c>
      <c r="F356" t="inlineStr">
        <is>
          <t>GÄVLEBORGS LÄN</t>
        </is>
      </c>
      <c r="G356" t="inlineStr">
        <is>
          <t>GÄVLE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46301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45014</v>
      </c>
      <c r="E358" s="1" t="n">
        <v>46301</v>
      </c>
      <c r="F358" t="inlineStr">
        <is>
          <t>GÄVLEBORGS LÄN</t>
        </is>
      </c>
      <c r="G358" t="inlineStr">
        <is>
          <t>GÄVLE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46077</v>
      </c>
      <c r="E359" s="1" t="n">
        <v>46301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51893-2025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45952</v>
      </c>
      <c r="E360" s="1" t="n">
        <v>46301</v>
      </c>
      <c r="F360" t="inlineStr">
        <is>
          <t>GÄVLEBORGS LÄN</t>
        </is>
      </c>
      <c r="G360" t="inlineStr">
        <is>
          <t>GÄVLE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31062-2023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45113</v>
      </c>
      <c r="E361" s="1" t="n">
        <v>46301</v>
      </c>
      <c r="F361" t="inlineStr">
        <is>
          <t>GÄVLEBORGS LÄN</t>
        </is>
      </c>
      <c r="G361" t="inlineStr">
        <is>
          <t>GÄVLE</t>
        </is>
      </c>
      <c r="H361" t="inlineStr">
        <is>
          <t>Kommuner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46301</v>
      </c>
      <c r="F362" t="inlineStr">
        <is>
          <t>GÄVLEBORGS LÄN</t>
        </is>
      </c>
      <c r="G362" t="inlineStr">
        <is>
          <t>GÄVLE</t>
        </is>
      </c>
      <c r="H362" t="inlineStr">
        <is>
          <t>Kommuner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45953</v>
      </c>
      <c r="E363" s="1" t="n">
        <v>46301</v>
      </c>
      <c r="F363" t="inlineStr">
        <is>
          <t>GÄVLEBORGS LÄN</t>
        </is>
      </c>
      <c r="G363" t="inlineStr">
        <is>
          <t>GÄVLE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45630</v>
      </c>
      <c r="E364" s="1" t="n">
        <v>46301</v>
      </c>
      <c r="F364" t="inlineStr">
        <is>
          <t>GÄVLEBORGS LÄN</t>
        </is>
      </c>
      <c r="G364" t="inlineStr">
        <is>
          <t>GÄVLE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45184</v>
      </c>
      <c r="E365" s="1" t="n">
        <v>46301</v>
      </c>
      <c r="F365" t="inlineStr">
        <is>
          <t>GÄVLEBORGS LÄN</t>
        </is>
      </c>
      <c r="G365" t="inlineStr">
        <is>
          <t>GÄVLE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19730-2022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44694</v>
      </c>
      <c r="E366" s="1" t="n">
        <v>46301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46301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46301</v>
      </c>
      <c r="F368" t="inlineStr">
        <is>
          <t>GÄVLEBORGS LÄN</t>
        </is>
      </c>
      <c r="G368" t="inlineStr">
        <is>
          <t>GÄVLE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45632</v>
      </c>
      <c r="E369" s="1" t="n">
        <v>46301</v>
      </c>
      <c r="F369" t="inlineStr">
        <is>
          <t>GÄVLEBORGS LÄN</t>
        </is>
      </c>
      <c r="G369" t="inlineStr">
        <is>
          <t>GÄVLE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52970-2025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45957</v>
      </c>
      <c r="E370" s="1" t="n">
        <v>46301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46085</v>
      </c>
      <c r="E371" s="1" t="n">
        <v>46301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46085</v>
      </c>
      <c r="E372" s="1" t="n">
        <v>46301</v>
      </c>
      <c r="F372" t="inlineStr">
        <is>
          <t>GÄVLEBORGS LÄN</t>
        </is>
      </c>
      <c r="G372" t="inlineStr">
        <is>
          <t>GÄVLE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45660</v>
      </c>
      <c r="E373" s="1" t="n">
        <v>46301</v>
      </c>
      <c r="F373" t="inlineStr">
        <is>
          <t>GÄVLEBORGS LÄN</t>
        </is>
      </c>
      <c r="G373" t="inlineStr">
        <is>
          <t>GÄVLE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45960</v>
      </c>
      <c r="E374" s="1" t="n">
        <v>46301</v>
      </c>
      <c r="F374" t="inlineStr">
        <is>
          <t>GÄVLEBORGS LÄN</t>
        </is>
      </c>
      <c r="G374" t="inlineStr">
        <is>
          <t>GÄVLE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29923-2022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44756</v>
      </c>
      <c r="E375" s="1" t="n">
        <v>46301</v>
      </c>
      <c r="F375" t="inlineStr">
        <is>
          <t>GÄVLEBORGS LÄN</t>
        </is>
      </c>
      <c r="G375" t="inlineStr">
        <is>
          <t>GÄVLE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29927-2022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44756</v>
      </c>
      <c r="E376" s="1" t="n">
        <v>46301</v>
      </c>
      <c r="F376" t="inlineStr">
        <is>
          <t>GÄVLEBORGS LÄN</t>
        </is>
      </c>
      <c r="G376" t="inlineStr">
        <is>
          <t>GÄVLE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13104-2026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46093</v>
      </c>
      <c r="E377" s="1" t="n">
        <v>46301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46301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46301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54135-2025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45964</v>
      </c>
      <c r="E380" s="1" t="n">
        <v>46301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14801-2023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45014</v>
      </c>
      <c r="E381" s="1" t="n">
        <v>46301</v>
      </c>
      <c r="F381" t="inlineStr">
        <is>
          <t>GÄVLEBORGS LÄN</t>
        </is>
      </c>
      <c r="G381" t="inlineStr">
        <is>
          <t>GÄVLE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12952-2026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46092</v>
      </c>
      <c r="E382" s="1" t="n">
        <v>46301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46301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13498-2026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46301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46301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13503-2026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46301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46301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13574-2026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46095</v>
      </c>
      <c r="E388" s="1" t="n">
        <v>46301</v>
      </c>
      <c r="F388" t="inlineStr">
        <is>
          <t>GÄVLEBORGS LÄN</t>
        </is>
      </c>
      <c r="G388" t="inlineStr">
        <is>
          <t>GÄVLE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46301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13329-2026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46301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54480-2025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45965</v>
      </c>
      <c r="E391" s="1" t="n">
        <v>46301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46301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13432-2026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46094</v>
      </c>
      <c r="E393" s="1" t="n">
        <v>46301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13527-2026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46301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7.5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54599-2025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45965</v>
      </c>
      <c r="E395" s="1" t="n">
        <v>46301</v>
      </c>
      <c r="F395" t="inlineStr">
        <is>
          <t>GÄVLEBORGS LÄN</t>
        </is>
      </c>
      <c r="G395" t="inlineStr">
        <is>
          <t>GÄVLE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61879-2024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45652</v>
      </c>
      <c r="E396" s="1" t="n">
        <v>46301</v>
      </c>
      <c r="F396" t="inlineStr">
        <is>
          <t>GÄVLEBORGS LÄN</t>
        </is>
      </c>
      <c r="G396" t="inlineStr">
        <is>
          <t>GÄVLE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54966-2025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45967</v>
      </c>
      <c r="E397" s="1" t="n">
        <v>46301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45968</v>
      </c>
      <c r="E398" s="1" t="n">
        <v>46301</v>
      </c>
      <c r="F398" t="inlineStr">
        <is>
          <t>GÄVLEBORGS LÄN</t>
        </is>
      </c>
      <c r="G398" t="inlineStr">
        <is>
          <t>GÄVLE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46301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14280-2026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46099</v>
      </c>
      <c r="E400" s="1" t="n">
        <v>46301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35205-2024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45530</v>
      </c>
      <c r="E401" s="1" t="n">
        <v>46301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55432-2025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45971</v>
      </c>
      <c r="E402" s="1" t="n">
        <v>46301</v>
      </c>
      <c r="F402" t="inlineStr">
        <is>
          <t>GÄVLEBORGS LÄN</t>
        </is>
      </c>
      <c r="G402" t="inlineStr">
        <is>
          <t>GÄVLE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46301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46301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46301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46301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46301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46301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14401-2026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46100</v>
      </c>
      <c r="E409" s="1" t="n">
        <v>46301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56270-2025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46301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25645-2023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45089</v>
      </c>
      <c r="E411" s="1" t="n">
        <v>46301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56121-2025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45973</v>
      </c>
      <c r="E412" s="1" t="n">
        <v>46301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15046-2026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46104</v>
      </c>
      <c r="E413" s="1" t="n">
        <v>46301</v>
      </c>
      <c r="F413" t="inlineStr">
        <is>
          <t>GÄVLEBORGS LÄN</t>
        </is>
      </c>
      <c r="G413" t="inlineStr">
        <is>
          <t>GÄVLE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45685</v>
      </c>
      <c r="E414" s="1" t="n">
        <v>46301</v>
      </c>
      <c r="F414" t="inlineStr">
        <is>
          <t>GÄVLEBORGS LÄN</t>
        </is>
      </c>
      <c r="G414" t="inlineStr">
        <is>
          <t>GÄVLE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56267-2025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46301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46301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46301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56120-2025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46301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46301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15097-2026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46105</v>
      </c>
      <c r="E420" s="1" t="n">
        <v>46301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46104</v>
      </c>
      <c r="E421" s="1" t="n">
        <v>46301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15669-2026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46301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15535-2026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46301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45660</v>
      </c>
      <c r="E424" s="1" t="n">
        <v>46301</v>
      </c>
      <c r="F424" t="inlineStr">
        <is>
          <t>GÄVLEBORGS LÄN</t>
        </is>
      </c>
      <c r="G424" t="inlineStr">
        <is>
          <t>GÄVLE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46301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45660</v>
      </c>
      <c r="E426" s="1" t="n">
        <v>46301</v>
      </c>
      <c r="F426" t="inlineStr">
        <is>
          <t>GÄVLEBORGS LÄN</t>
        </is>
      </c>
      <c r="G426" t="inlineStr">
        <is>
          <t>GÄVLE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46301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41708-2023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46301</v>
      </c>
      <c r="F428" t="inlineStr">
        <is>
          <t>GÄVLEBORGS LÄN</t>
        </is>
      </c>
      <c r="G428" t="inlineStr">
        <is>
          <t>GÄVLE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41712-2023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45176</v>
      </c>
      <c r="E429" s="1" t="n">
        <v>46301</v>
      </c>
      <c r="F429" t="inlineStr">
        <is>
          <t>GÄVLEBORGS LÄN</t>
        </is>
      </c>
      <c r="G429" t="inlineStr">
        <is>
          <t>GÄVLE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56774-2025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46301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46301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10488-2026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46077</v>
      </c>
      <c r="E432" s="1" t="n">
        <v>46301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56773-2025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46301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45681</v>
      </c>
      <c r="E434" s="1" t="n">
        <v>46301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8031-2024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45350</v>
      </c>
      <c r="E435" s="1" t="n">
        <v>46301</v>
      </c>
      <c r="F435" t="inlineStr">
        <is>
          <t>GÄVLEBORGS LÄN</t>
        </is>
      </c>
      <c r="G435" t="inlineStr">
        <is>
          <t>GÄVLE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7792-2023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44973</v>
      </c>
      <c r="E436" s="1" t="n">
        <v>46301</v>
      </c>
      <c r="F436" t="inlineStr">
        <is>
          <t>GÄVLEBORGS LÄN</t>
        </is>
      </c>
      <c r="G436" t="inlineStr">
        <is>
          <t>GÄVLE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4482-2022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44589</v>
      </c>
      <c r="E437" s="1" t="n">
        <v>46301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46301</v>
      </c>
      <c r="F438" t="inlineStr">
        <is>
          <t>GÄVLEBORGS LÄN</t>
        </is>
      </c>
      <c r="G438" t="inlineStr">
        <is>
          <t>GÄVLE</t>
        </is>
      </c>
      <c r="I438" t="n">
        <v>8.699999999999999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17471-2026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46120</v>
      </c>
      <c r="E439" s="1" t="n">
        <v>46301</v>
      </c>
      <c r="F439" t="inlineStr">
        <is>
          <t>GÄVLEBORGS LÄN</t>
        </is>
      </c>
      <c r="G439" t="inlineStr">
        <is>
          <t>GÄVLE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17974-2026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46124</v>
      </c>
      <c r="E440" s="1" t="n">
        <v>46301</v>
      </c>
      <c r="F440" t="inlineStr">
        <is>
          <t>GÄVLEBORGS LÄN</t>
        </is>
      </c>
      <c r="G440" t="inlineStr">
        <is>
          <t>GÄVLE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46124</v>
      </c>
      <c r="E441" s="1" t="n">
        <v>46301</v>
      </c>
      <c r="F441" t="inlineStr">
        <is>
          <t>GÄVLEBORGS LÄN</t>
        </is>
      </c>
      <c r="G441" t="inlineStr">
        <is>
          <t>GÄVLE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46301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46124</v>
      </c>
      <c r="E443" s="1" t="n">
        <v>46301</v>
      </c>
      <c r="F443" t="inlineStr">
        <is>
          <t>GÄVLEBORGS LÄN</t>
        </is>
      </c>
      <c r="G443" t="inlineStr">
        <is>
          <t>GÄVLE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18175-2026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46125</v>
      </c>
      <c r="E444" s="1" t="n">
        <v>46301</v>
      </c>
      <c r="F444" t="inlineStr">
        <is>
          <t>GÄVLEBORGS LÄN</t>
        </is>
      </c>
      <c r="G444" t="inlineStr">
        <is>
          <t>GÄVLE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46301</v>
      </c>
      <c r="F445" t="inlineStr">
        <is>
          <t>GÄVLEBORGS LÄN</t>
        </is>
      </c>
      <c r="G445" t="inlineStr">
        <is>
          <t>GÄVLE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13046-2026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46301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15558-2026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46301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46301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46301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46301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36.3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13492-2026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46094</v>
      </c>
      <c r="E451" s="1" t="n">
        <v>46301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46104</v>
      </c>
      <c r="E452" s="1" t="n">
        <v>46301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71249-2021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44539</v>
      </c>
      <c r="E453" s="1" t="n">
        <v>46301</v>
      </c>
      <c r="F453" t="inlineStr">
        <is>
          <t>GÄVLEBORGS LÄN</t>
        </is>
      </c>
      <c r="G453" t="inlineStr">
        <is>
          <t>GÄVLE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46132</v>
      </c>
      <c r="E454" s="1" t="n">
        <v>46301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58542-2025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45985</v>
      </c>
      <c r="E455" s="1" t="n">
        <v>46301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46301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46301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43774-2025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45912</v>
      </c>
      <c r="E458" s="1" t="n">
        <v>46301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46301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45548-2025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45922</v>
      </c>
      <c r="E460" s="1" t="n">
        <v>46301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46301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18657-2026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46301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46132</v>
      </c>
      <c r="E463" s="1" t="n">
        <v>46301</v>
      </c>
      <c r="F463" t="inlineStr">
        <is>
          <t>GÄVLEBORGS LÄN</t>
        </is>
      </c>
      <c r="G463" t="inlineStr">
        <is>
          <t>GÄVLE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16023-2023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45026</v>
      </c>
      <c r="E464" s="1" t="n">
        <v>46301</v>
      </c>
      <c r="F464" t="inlineStr">
        <is>
          <t>GÄVLEBORGS LÄN</t>
        </is>
      </c>
      <c r="G464" t="inlineStr">
        <is>
          <t>GÄVLE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46301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8.199999999999999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45546-2025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46301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45912</v>
      </c>
      <c r="E467" s="1" t="n">
        <v>46301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43780-2025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45912</v>
      </c>
      <c r="E468" s="1" t="n">
        <v>46301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46301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46301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46301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45912</v>
      </c>
      <c r="E472" s="1" t="n">
        <v>46301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19085-2026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46132</v>
      </c>
      <c r="E473" s="1" t="n">
        <v>46301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45410-2025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45922</v>
      </c>
      <c r="E474" s="1" t="n">
        <v>46301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46301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18817-2026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46128</v>
      </c>
      <c r="E476" s="1" t="n">
        <v>46301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45245</v>
      </c>
      <c r="E477" s="1" t="n">
        <v>46301</v>
      </c>
      <c r="F477" t="inlineStr">
        <is>
          <t>GÄVLEBORGS LÄN</t>
        </is>
      </c>
      <c r="G477" t="inlineStr">
        <is>
          <t>GÄVLE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59624-2025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45992</v>
      </c>
      <c r="E478" s="1" t="n">
        <v>46301</v>
      </c>
      <c r="F478" t="inlineStr">
        <is>
          <t>GÄVLEBORGS LÄN</t>
        </is>
      </c>
      <c r="G478" t="inlineStr">
        <is>
          <t>GÄVLE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45320</v>
      </c>
      <c r="E479" s="1" t="n">
        <v>46301</v>
      </c>
      <c r="F479" t="inlineStr">
        <is>
          <t>GÄVLEBORGS LÄN</t>
        </is>
      </c>
      <c r="G479" t="inlineStr">
        <is>
          <t>GÄVLE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14792-2023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45014</v>
      </c>
      <c r="E480" s="1" t="n">
        <v>46301</v>
      </c>
      <c r="F480" t="inlineStr">
        <is>
          <t>GÄVLEBORGS LÄN</t>
        </is>
      </c>
      <c r="G480" t="inlineStr">
        <is>
          <t>GÄVLE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19087-2026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46301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59627-2025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45992</v>
      </c>
      <c r="E482" s="1" t="n">
        <v>46301</v>
      </c>
      <c r="F482" t="inlineStr">
        <is>
          <t>GÄVLEBORGS LÄN</t>
        </is>
      </c>
      <c r="G482" t="inlineStr">
        <is>
          <t>GÄVLE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60038-2025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45993</v>
      </c>
      <c r="E483" s="1" t="n">
        <v>46301</v>
      </c>
      <c r="F483" t="inlineStr">
        <is>
          <t>GÄVLEBORGS LÄN</t>
        </is>
      </c>
      <c r="G483" t="inlineStr">
        <is>
          <t>GÄVLE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60105-2025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45994</v>
      </c>
      <c r="E484" s="1" t="n">
        <v>46301</v>
      </c>
      <c r="F484" t="inlineStr">
        <is>
          <t>GÄVLEBORGS LÄN</t>
        </is>
      </c>
      <c r="G484" t="inlineStr">
        <is>
          <t>GÄVLE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60536-2025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46301</v>
      </c>
      <c r="F485" t="inlineStr">
        <is>
          <t>GÄVLEBORGS LÄN</t>
        </is>
      </c>
      <c r="G485" t="inlineStr">
        <is>
          <t>GÄVLE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1252-2026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46031</v>
      </c>
      <c r="E486" s="1" t="n">
        <v>46301</v>
      </c>
      <c r="F486" t="inlineStr">
        <is>
          <t>GÄVLEBORGS LÄN</t>
        </is>
      </c>
      <c r="G486" t="inlineStr">
        <is>
          <t>GÄVLE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60532-2025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46301</v>
      </c>
      <c r="F487" t="inlineStr">
        <is>
          <t>GÄVLEBORGS LÄN</t>
        </is>
      </c>
      <c r="G487" t="inlineStr">
        <is>
          <t>GÄVLE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55217-2025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45968</v>
      </c>
      <c r="E488" s="1" t="n">
        <v>46301</v>
      </c>
      <c r="F488" t="inlineStr">
        <is>
          <t>GÄVLEBORGS LÄN</t>
        </is>
      </c>
      <c r="G488" t="inlineStr">
        <is>
          <t>GÄVLE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60364-2025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46301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61093-2025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46000</v>
      </c>
      <c r="E490" s="1" t="n">
        <v>46301</v>
      </c>
      <c r="F490" t="inlineStr">
        <is>
          <t>GÄVLEBORGS LÄN</t>
        </is>
      </c>
      <c r="G490" t="inlineStr">
        <is>
          <t>GÄVLE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19372-2026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46301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15176-2026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46105</v>
      </c>
      <c r="E492" s="1" t="n">
        <v>46301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7743-2025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45706</v>
      </c>
      <c r="E493" s="1" t="n">
        <v>46301</v>
      </c>
      <c r="F493" t="inlineStr">
        <is>
          <t>GÄVLEBORGS LÄN</t>
        </is>
      </c>
      <c r="G493" t="inlineStr">
        <is>
          <t>GÄVLE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46301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46133</v>
      </c>
      <c r="E495" s="1" t="n">
        <v>46301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47746-2023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45203</v>
      </c>
      <c r="E496" s="1" t="n">
        <v>46301</v>
      </c>
      <c r="F496" t="inlineStr">
        <is>
          <t>GÄVLEBORGS LÄN</t>
        </is>
      </c>
      <c r="G496" t="inlineStr">
        <is>
          <t>GÄVLE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14365-2026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46100</v>
      </c>
      <c r="E497" s="1" t="n">
        <v>46301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19714-2026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46301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19715-2026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46301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61648-2025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46002</v>
      </c>
      <c r="E500" s="1" t="n">
        <v>46301</v>
      </c>
      <c r="F500" t="inlineStr">
        <is>
          <t>GÄVLEBORGS LÄN</t>
        </is>
      </c>
      <c r="G500" t="inlineStr">
        <is>
          <t>GÄVLE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61651-2025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46002</v>
      </c>
      <c r="E501" s="1" t="n">
        <v>46301</v>
      </c>
      <c r="F501" t="inlineStr">
        <is>
          <t>GÄVLEBORGS LÄN</t>
        </is>
      </c>
      <c r="G501" t="inlineStr">
        <is>
          <t>GÄVLE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61650-2025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46002</v>
      </c>
      <c r="E502" s="1" t="n">
        <v>46301</v>
      </c>
      <c r="F502" t="inlineStr">
        <is>
          <t>GÄVLEBORGS LÄN</t>
        </is>
      </c>
      <c r="G502" t="inlineStr">
        <is>
          <t>GÄVLE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46301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19712-2026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46134</v>
      </c>
      <c r="E504" s="1" t="n">
        <v>46301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22466-2023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45070</v>
      </c>
      <c r="E505" s="1" t="n">
        <v>46301</v>
      </c>
      <c r="F505" t="inlineStr">
        <is>
          <t>GÄVLEBORGS LÄN</t>
        </is>
      </c>
      <c r="G505" t="inlineStr">
        <is>
          <t>GÄVLE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17605-2025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45757</v>
      </c>
      <c r="E506" s="1" t="n">
        <v>46301</v>
      </c>
      <c r="F506" t="inlineStr">
        <is>
          <t>GÄVLEBORGS LÄN</t>
        </is>
      </c>
      <c r="G506" t="inlineStr">
        <is>
          <t>GÄVLE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17607-2025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45757</v>
      </c>
      <c r="E507" s="1" t="n">
        <v>46301</v>
      </c>
      <c r="F507" t="inlineStr">
        <is>
          <t>GÄVLEBORGS LÄN</t>
        </is>
      </c>
      <c r="G507" t="inlineStr">
        <is>
          <t>GÄVLE</t>
        </is>
      </c>
      <c r="I507" t="n">
        <v>7.6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46301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25812-2023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45090</v>
      </c>
      <c r="E509" s="1" t="n">
        <v>46301</v>
      </c>
      <c r="F509" t="inlineStr">
        <is>
          <t>GÄVLEBORGS LÄN</t>
        </is>
      </c>
      <c r="G509" t="inlineStr">
        <is>
          <t>GÄVLE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14355-2026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46100</v>
      </c>
      <c r="E510" s="1" t="n">
        <v>46301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44000-2025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45915</v>
      </c>
      <c r="E511" s="1" t="n">
        <v>46301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62226-2025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46301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17404-2025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45757</v>
      </c>
      <c r="E513" s="1" t="n">
        <v>46301</v>
      </c>
      <c r="F513" t="inlineStr">
        <is>
          <t>GÄVLEBORGS LÄN</t>
        </is>
      </c>
      <c r="G513" t="inlineStr">
        <is>
          <t>GÄVLE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62983-2023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45272</v>
      </c>
      <c r="E514" s="1" t="n">
        <v>46301</v>
      </c>
      <c r="F514" t="inlineStr">
        <is>
          <t>GÄVLEBORGS LÄN</t>
        </is>
      </c>
      <c r="G514" t="inlineStr">
        <is>
          <t>GÄVLE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19713-2026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46301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19716-2026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46134</v>
      </c>
      <c r="E516" s="1" t="n">
        <v>46301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52387-2022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44874</v>
      </c>
      <c r="E517" s="1" t="n">
        <v>46301</v>
      </c>
      <c r="F517" t="inlineStr">
        <is>
          <t>GÄVLEBORGS LÄN</t>
        </is>
      </c>
      <c r="G517" t="inlineStr">
        <is>
          <t>GÄVLE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50871-2022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44867</v>
      </c>
      <c r="E518" s="1" t="n">
        <v>46301</v>
      </c>
      <c r="F518" t="inlineStr">
        <is>
          <t>GÄVLEBORGS LÄN</t>
        </is>
      </c>
      <c r="G518" t="inlineStr">
        <is>
          <t>GÄVLE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46301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62742-2025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46008</v>
      </c>
      <c r="E520" s="1" t="n">
        <v>46301</v>
      </c>
      <c r="F520" t="inlineStr">
        <is>
          <t>GÄVLEBORGS LÄN</t>
        </is>
      </c>
      <c r="G520" t="inlineStr">
        <is>
          <t>GÄVLE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45334</v>
      </c>
      <c r="E521" s="1" t="n">
        <v>46301</v>
      </c>
      <c r="F521" t="inlineStr">
        <is>
          <t>GÄVLEBORGS LÄN</t>
        </is>
      </c>
      <c r="G521" t="inlineStr">
        <is>
          <t>GÄVLE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29862-2023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45107</v>
      </c>
      <c r="E522" s="1" t="n">
        <v>46301</v>
      </c>
      <c r="F522" t="inlineStr">
        <is>
          <t>GÄVLEBORGS LÄN</t>
        </is>
      </c>
      <c r="G522" t="inlineStr">
        <is>
          <t>GÄVLE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46107</v>
      </c>
      <c r="E523" s="1" t="n">
        <v>46301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63801-2025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46019</v>
      </c>
      <c r="E524" s="1" t="n">
        <v>46301</v>
      </c>
      <c r="F524" t="inlineStr">
        <is>
          <t>GÄVLEBORGS LÄN</t>
        </is>
      </c>
      <c r="G524" t="inlineStr">
        <is>
          <t>GÄVLE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36512-2025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45869</v>
      </c>
      <c r="E525" s="1" t="n">
        <v>46301</v>
      </c>
      <c r="F525" t="inlineStr">
        <is>
          <t>GÄVLEBORGS LÄN</t>
        </is>
      </c>
      <c r="G525" t="inlineStr">
        <is>
          <t>GÄVLE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54953-2025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45967</v>
      </c>
      <c r="E526" s="1" t="n">
        <v>46301</v>
      </c>
      <c r="F526" t="inlineStr">
        <is>
          <t>GÄVLEBORGS LÄN</t>
        </is>
      </c>
      <c r="G526" t="inlineStr">
        <is>
          <t>GÄVLE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47694-2025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45931</v>
      </c>
      <c r="E527" s="1" t="n">
        <v>46301</v>
      </c>
      <c r="F527" t="inlineStr">
        <is>
          <t>GÄVLEBORGS LÄN</t>
        </is>
      </c>
      <c r="G527" t="inlineStr">
        <is>
          <t>GÄVLE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48864-2025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45937</v>
      </c>
      <c r="E528" s="1" t="n">
        <v>46301</v>
      </c>
      <c r="F528" t="inlineStr">
        <is>
          <t>GÄVLEBORGS LÄN</t>
        </is>
      </c>
      <c r="G528" t="inlineStr">
        <is>
          <t>GÄVLE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45855</v>
      </c>
      <c r="E529" s="1" t="n">
        <v>46301</v>
      </c>
      <c r="F529" t="inlineStr">
        <is>
          <t>GÄVLEBORGS LÄN</t>
        </is>
      </c>
      <c r="G529" t="inlineStr">
        <is>
          <t>GÄVLE</t>
        </is>
      </c>
      <c r="I529" t="n">
        <v>8.199999999999999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63800-2025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46019</v>
      </c>
      <c r="E530" s="1" t="n">
        <v>46301</v>
      </c>
      <c r="F530" t="inlineStr">
        <is>
          <t>GÄVLEBORGS LÄN</t>
        </is>
      </c>
      <c r="G530" t="inlineStr">
        <is>
          <t>GÄVLE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42788-2025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45908</v>
      </c>
      <c r="E531" s="1" t="n">
        <v>46301</v>
      </c>
      <c r="F531" t="inlineStr">
        <is>
          <t>GÄVLEBORGS LÄN</t>
        </is>
      </c>
      <c r="G531" t="inlineStr">
        <is>
          <t>GÄVLE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45932</v>
      </c>
      <c r="E532" s="1" t="n">
        <v>46301</v>
      </c>
      <c r="F532" t="inlineStr">
        <is>
          <t>GÄVLEBORGS LÄN</t>
        </is>
      </c>
      <c r="G532" t="inlineStr">
        <is>
          <t>GÄVLE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47981-2025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45932</v>
      </c>
      <c r="E533" s="1" t="n">
        <v>46301</v>
      </c>
      <c r="F533" t="inlineStr">
        <is>
          <t>GÄVLEBORGS LÄN</t>
        </is>
      </c>
      <c r="G533" t="inlineStr">
        <is>
          <t>GÄVLE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48928-2025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45937</v>
      </c>
      <c r="E534" s="1" t="n">
        <v>46301</v>
      </c>
      <c r="F534" t="inlineStr">
        <is>
          <t>GÄVLEBORGS LÄN</t>
        </is>
      </c>
      <c r="G534" t="inlineStr">
        <is>
          <t>GÄVLE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45862</v>
      </c>
      <c r="E535" s="1" t="n">
        <v>46301</v>
      </c>
      <c r="F535" t="inlineStr">
        <is>
          <t>GÄVLEBORGS LÄN</t>
        </is>
      </c>
      <c r="G535" t="inlineStr">
        <is>
          <t>GÄVLE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45908</v>
      </c>
      <c r="E536" s="1" t="n">
        <v>46301</v>
      </c>
      <c r="F536" t="inlineStr">
        <is>
          <t>GÄVLEBORGS LÄN</t>
        </is>
      </c>
      <c r="G536" t="inlineStr">
        <is>
          <t>GÄVLE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6331-2022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44600</v>
      </c>
      <c r="E537" s="1" t="n">
        <v>46301</v>
      </c>
      <c r="F537" t="inlineStr">
        <is>
          <t>GÄVLEBORGS LÄN</t>
        </is>
      </c>
      <c r="G537" t="inlineStr">
        <is>
          <t>GÄVLE</t>
        </is>
      </c>
      <c r="H537" t="inlineStr">
        <is>
          <t>Kyrkan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64142-2025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46022</v>
      </c>
      <c r="E538" s="1" t="n">
        <v>46301</v>
      </c>
      <c r="F538" t="inlineStr">
        <is>
          <t>GÄVLEBORGS LÄN</t>
        </is>
      </c>
      <c r="G538" t="inlineStr">
        <is>
          <t>GÄVLE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34600-2024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45526</v>
      </c>
      <c r="E539" s="1" t="n">
        <v>46301</v>
      </c>
      <c r="F539" t="inlineStr">
        <is>
          <t>GÄVLEBORGS LÄN</t>
        </is>
      </c>
      <c r="G539" t="inlineStr">
        <is>
          <t>GÄVLE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47916-2025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45932</v>
      </c>
      <c r="E540" s="1" t="n">
        <v>46301</v>
      </c>
      <c r="F540" t="inlineStr">
        <is>
          <t>GÄVLEBORGS LÄN</t>
        </is>
      </c>
      <c r="G540" t="inlineStr">
        <is>
          <t>GÄVLE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10487-2026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46077</v>
      </c>
      <c r="E541" s="1" t="n">
        <v>46301</v>
      </c>
      <c r="F541" t="inlineStr">
        <is>
          <t>GÄVLEBORGS LÄN</t>
        </is>
      </c>
      <c r="G541" t="inlineStr">
        <is>
          <t>GÄVLE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15536-2026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46106</v>
      </c>
      <c r="E542" s="1" t="n">
        <v>46301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15647-2026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46106</v>
      </c>
      <c r="E543" s="1" t="n">
        <v>46301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16076-2026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46301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46030</v>
      </c>
      <c r="E545" s="1" t="n">
        <v>46301</v>
      </c>
      <c r="F545" t="inlineStr">
        <is>
          <t>GÄVLEBORGS LÄN</t>
        </is>
      </c>
      <c r="G545" t="inlineStr">
        <is>
          <t>GÄVLE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15101-2025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45744</v>
      </c>
      <c r="E546" s="1" t="n">
        <v>46301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15801-2026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46301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46140</v>
      </c>
      <c r="E548" s="1" t="n">
        <v>46301</v>
      </c>
      <c r="F548" t="inlineStr">
        <is>
          <t>GÄVLEBORGS LÄN</t>
        </is>
      </c>
      <c r="G548" t="inlineStr">
        <is>
          <t>GÄVLE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46301</v>
      </c>
      <c r="F549" t="inlineStr">
        <is>
          <t>GÄVLEBORGS LÄN</t>
        </is>
      </c>
      <c r="G549" t="inlineStr">
        <is>
          <t>GÄVLE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61016-2024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46301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45672</v>
      </c>
      <c r="E551" s="1" t="n">
        <v>46301</v>
      </c>
      <c r="F551" t="inlineStr">
        <is>
          <t>GÄVLEBORGS LÄN</t>
        </is>
      </c>
      <c r="G551" t="inlineStr">
        <is>
          <t>GÄVLE</t>
        </is>
      </c>
      <c r="H551" t="inlineStr">
        <is>
          <t>Kyrkan</t>
        </is>
      </c>
      <c r="I551" t="n">
        <v>6.7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45660</v>
      </c>
      <c r="E552" s="1" t="n">
        <v>46301</v>
      </c>
      <c r="F552" t="inlineStr">
        <is>
          <t>GÄVLEBORGS LÄN</t>
        </is>
      </c>
      <c r="G552" t="inlineStr">
        <is>
          <t>GÄVLE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45660</v>
      </c>
      <c r="E553" s="1" t="n">
        <v>46301</v>
      </c>
      <c r="F553" t="inlineStr">
        <is>
          <t>GÄVLEBORGS LÄN</t>
        </is>
      </c>
      <c r="G553" t="inlineStr">
        <is>
          <t>GÄVLE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26094-2025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45805</v>
      </c>
      <c r="E554" s="1" t="n">
        <v>46301</v>
      </c>
      <c r="F554" t="inlineStr">
        <is>
          <t>GÄVLEBORGS LÄN</t>
        </is>
      </c>
      <c r="G554" t="inlineStr">
        <is>
          <t>GÄVLE</t>
        </is>
      </c>
      <c r="I554" t="n">
        <v>12.4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15275-2026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46105</v>
      </c>
      <c r="E555" s="1" t="n">
        <v>46301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31544-2023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45117</v>
      </c>
      <c r="E556" s="1" t="n">
        <v>46301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15324-2026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46301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46301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44935</v>
      </c>
      <c r="E559" s="1" t="n">
        <v>46301</v>
      </c>
      <c r="F559" t="inlineStr">
        <is>
          <t>GÄVLEBORGS LÄN</t>
        </is>
      </c>
      <c r="G559" t="inlineStr">
        <is>
          <t>GÄVLE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15835-2026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46107</v>
      </c>
      <c r="E560" s="1" t="n">
        <v>46301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9025-2026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46301</v>
      </c>
      <c r="F561" t="inlineStr">
        <is>
          <t>GÄVLEBORGS LÄN</t>
        </is>
      </c>
      <c r="G561" t="inlineStr">
        <is>
          <t>GÄVLE</t>
        </is>
      </c>
      <c r="I561" t="n">
        <v>12.7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1606-2026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46034</v>
      </c>
      <c r="E562" s="1" t="n">
        <v>46301</v>
      </c>
      <c r="F562" t="inlineStr">
        <is>
          <t>GÄVLEBORGS LÄN</t>
        </is>
      </c>
      <c r="G562" t="inlineStr">
        <is>
          <t>GÄVLE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46301</v>
      </c>
      <c r="F563" t="inlineStr">
        <is>
          <t>GÄVLEBORGS LÄN</t>
        </is>
      </c>
      <c r="G563" t="inlineStr">
        <is>
          <t>GÄVLE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38495-2023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45162</v>
      </c>
      <c r="E564" s="1" t="n">
        <v>46301</v>
      </c>
      <c r="F564" t="inlineStr">
        <is>
          <t>GÄVLEBORGS LÄN</t>
        </is>
      </c>
      <c r="G564" t="inlineStr">
        <is>
          <t>GÄVLE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4402-2025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45686</v>
      </c>
      <c r="E565" s="1" t="n">
        <v>46301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50314-2024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45600</v>
      </c>
      <c r="E566" s="1" t="n">
        <v>46301</v>
      </c>
      <c r="F566" t="inlineStr">
        <is>
          <t>GÄVLEBORGS LÄN</t>
        </is>
      </c>
      <c r="G566" t="inlineStr">
        <is>
          <t>GÄVLE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7441-2025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45705</v>
      </c>
      <c r="E567" s="1" t="n">
        <v>46301</v>
      </c>
      <c r="F567" t="inlineStr">
        <is>
          <t>GÄVLEBORGS LÄN</t>
        </is>
      </c>
      <c r="G567" t="inlineStr">
        <is>
          <t>GÄVLE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21966-2025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46301</v>
      </c>
      <c r="F568" t="inlineStr">
        <is>
          <t>GÄVLEBORGS LÄN</t>
        </is>
      </c>
      <c r="G568" t="inlineStr">
        <is>
          <t>GÄVLE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33449-2024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45519</v>
      </c>
      <c r="E569" s="1" t="n">
        <v>46301</v>
      </c>
      <c r="F569" t="inlineStr">
        <is>
          <t>GÄVLEBORGS LÄN</t>
        </is>
      </c>
      <c r="G569" t="inlineStr">
        <is>
          <t>GÄVLE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37146-2024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45539</v>
      </c>
      <c r="E570" s="1" t="n">
        <v>46301</v>
      </c>
      <c r="F570" t="inlineStr">
        <is>
          <t>GÄVLEBORGS LÄN</t>
        </is>
      </c>
      <c r="G570" t="inlineStr">
        <is>
          <t>GÄVLE</t>
        </is>
      </c>
      <c r="I570" t="n">
        <v>9.4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60349-2022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44910</v>
      </c>
      <c r="E571" s="1" t="n">
        <v>46301</v>
      </c>
      <c r="F571" t="inlineStr">
        <is>
          <t>GÄVLEBORGS LÄN</t>
        </is>
      </c>
      <c r="G571" t="inlineStr">
        <is>
          <t>GÄVLE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60396-2022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44910</v>
      </c>
      <c r="E572" s="1" t="n">
        <v>46301</v>
      </c>
      <c r="F572" t="inlineStr">
        <is>
          <t>GÄVLEBORGS LÄN</t>
        </is>
      </c>
      <c r="G572" t="inlineStr">
        <is>
          <t>GÄVLE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9331-2026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46301</v>
      </c>
      <c r="F573" t="inlineStr">
        <is>
          <t>GÄVLEBORGS LÄN</t>
        </is>
      </c>
      <c r="G573" t="inlineStr">
        <is>
          <t>GÄVLE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10521-2026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46077</v>
      </c>
      <c r="E574" s="1" t="n">
        <v>46301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62766-2022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44885</v>
      </c>
      <c r="E575" s="1" t="n">
        <v>46301</v>
      </c>
      <c r="F575" t="inlineStr">
        <is>
          <t>GÄVLEBORGS LÄN</t>
        </is>
      </c>
      <c r="G575" t="inlineStr">
        <is>
          <t>GÄVLE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46029</v>
      </c>
      <c r="E576" s="1" t="n">
        <v>46301</v>
      </c>
      <c r="F576" t="inlineStr">
        <is>
          <t>GÄVLEBORGS LÄN</t>
        </is>
      </c>
      <c r="G576" t="inlineStr">
        <is>
          <t>GÄVLE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50537-2025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45945</v>
      </c>
      <c r="E577" s="1" t="n">
        <v>46301</v>
      </c>
      <c r="F577" t="inlineStr">
        <is>
          <t>GÄVLEBORGS LÄN</t>
        </is>
      </c>
      <c r="G577" t="inlineStr">
        <is>
          <t>GÄVLE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15092-2026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46105</v>
      </c>
      <c r="E578" s="1" t="n">
        <v>46301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45306</v>
      </c>
      <c r="E579" s="1" t="n">
        <v>46301</v>
      </c>
      <c r="F579" t="inlineStr">
        <is>
          <t>GÄVLEBORGS LÄN</t>
        </is>
      </c>
      <c r="G579" t="inlineStr">
        <is>
          <t>GÄVLE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42592-2025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45905</v>
      </c>
      <c r="E580" s="1" t="n">
        <v>46301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38255-2023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45161</v>
      </c>
      <c r="E581" s="1" t="n">
        <v>46301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72734-2021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44546</v>
      </c>
      <c r="E582" s="1" t="n">
        <v>46301</v>
      </c>
      <c r="F582" t="inlineStr">
        <is>
          <t>GÄVLEBORGS LÄN</t>
        </is>
      </c>
      <c r="G582" t="inlineStr">
        <is>
          <t>GÄVLE</t>
        </is>
      </c>
      <c r="H582" t="inlineStr">
        <is>
          <t>Kommuner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15105-2025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45744</v>
      </c>
      <c r="E583" s="1" t="n">
        <v>46301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1328-2026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46031</v>
      </c>
      <c r="E584" s="1" t="n">
        <v>46301</v>
      </c>
      <c r="F584" t="inlineStr">
        <is>
          <t>GÄVLEBORGS LÄN</t>
        </is>
      </c>
      <c r="G584" t="inlineStr">
        <is>
          <t>GÄVLE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46033</v>
      </c>
      <c r="E585" s="1" t="n">
        <v>46301</v>
      </c>
      <c r="F585" t="inlineStr">
        <is>
          <t>GÄVLEBORGS LÄN</t>
        </is>
      </c>
      <c r="G585" t="inlineStr">
        <is>
          <t>GÄVLE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45104</v>
      </c>
      <c r="E586" s="1" t="n">
        <v>46301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8568-2026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46065</v>
      </c>
      <c r="E587" s="1" t="n">
        <v>46301</v>
      </c>
      <c r="F587" t="inlineStr">
        <is>
          <t>GÄVLEBORGS LÄN</t>
        </is>
      </c>
      <c r="G587" t="inlineStr">
        <is>
          <t>GÄVLE</t>
        </is>
      </c>
      <c r="I587" t="n">
        <v>9.5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17245-2024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45414</v>
      </c>
      <c r="E588" s="1" t="n">
        <v>46301</v>
      </c>
      <c r="F588" t="inlineStr">
        <is>
          <t>GÄVLEBORGS LÄN</t>
        </is>
      </c>
      <c r="G588" t="inlineStr">
        <is>
          <t>GÄVLE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17113-2024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45412</v>
      </c>
      <c r="E589" s="1" t="n">
        <v>46301</v>
      </c>
      <c r="F589" t="inlineStr">
        <is>
          <t>GÄVLEBORGS LÄN</t>
        </is>
      </c>
      <c r="G589" t="inlineStr">
        <is>
          <t>GÄVLE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20685-2026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46141</v>
      </c>
      <c r="E590" s="1" t="n">
        <v>46301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32353-2023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45120</v>
      </c>
      <c r="E591" s="1" t="n">
        <v>46301</v>
      </c>
      <c r="F591" t="inlineStr">
        <is>
          <t>GÄVLEBORGS LÄN</t>
        </is>
      </c>
      <c r="G591" t="inlineStr">
        <is>
          <t>GÄVLE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20736-2026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46301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46030</v>
      </c>
      <c r="E593" s="1" t="n">
        <v>46301</v>
      </c>
      <c r="F593" t="inlineStr">
        <is>
          <t>GÄVLEBORGS LÄN</t>
        </is>
      </c>
      <c r="G593" t="inlineStr">
        <is>
          <t>GÄVLE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12228-2022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44637</v>
      </c>
      <c r="E594" s="1" t="n">
        <v>46301</v>
      </c>
      <c r="F594" t="inlineStr">
        <is>
          <t>GÄVLEBORGS LÄN</t>
        </is>
      </c>
      <c r="G594" t="inlineStr">
        <is>
          <t>GÄVLE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10001-2025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45719</v>
      </c>
      <c r="E595" s="1" t="n">
        <v>46301</v>
      </c>
      <c r="F595" t="inlineStr">
        <is>
          <t>GÄVLEBORGS LÄN</t>
        </is>
      </c>
      <c r="G595" t="inlineStr">
        <is>
          <t>GÄVLE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16190-2026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46111</v>
      </c>
      <c r="E596" s="1" t="n">
        <v>46301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16263-2026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46111</v>
      </c>
      <c r="E597" s="1" t="n">
        <v>46301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20785-2026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46141</v>
      </c>
      <c r="E598" s="1" t="n">
        <v>46301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20905-2026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46142</v>
      </c>
      <c r="E599" s="1" t="n">
        <v>46301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20735-2026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46141</v>
      </c>
      <c r="E600" s="1" t="n">
        <v>46301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46142</v>
      </c>
      <c r="E601" s="1" t="n">
        <v>46301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45324</v>
      </c>
      <c r="E602" s="1" t="n">
        <v>46301</v>
      </c>
      <c r="F602" t="inlineStr">
        <is>
          <t>GÄVLEBORGS LÄN</t>
        </is>
      </c>
      <c r="G602" t="inlineStr">
        <is>
          <t>GÄVLE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42934-2023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45182</v>
      </c>
      <c r="E603" s="1" t="n">
        <v>46301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4463-2026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46045</v>
      </c>
      <c r="E604" s="1" t="n">
        <v>46301</v>
      </c>
      <c r="F604" t="inlineStr">
        <is>
          <t>GÄVLEBORGS LÄN</t>
        </is>
      </c>
      <c r="G604" t="inlineStr">
        <is>
          <t>GÄVLE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21033-2026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46146</v>
      </c>
      <c r="E605" s="1" t="n">
        <v>46301</v>
      </c>
      <c r="F605" t="inlineStr">
        <is>
          <t>GÄVLEBORGS LÄN</t>
        </is>
      </c>
      <c r="G605" t="inlineStr">
        <is>
          <t>GÄVLE</t>
        </is>
      </c>
      <c r="H605" t="inlineStr">
        <is>
          <t>Kyrkan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3472-2022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44585</v>
      </c>
      <c r="E606" s="1" t="n">
        <v>46301</v>
      </c>
      <c r="F606" t="inlineStr">
        <is>
          <t>GÄVLEBORGS LÄN</t>
        </is>
      </c>
      <c r="G606" t="inlineStr">
        <is>
          <t>GÄVLE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35440-2023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45146</v>
      </c>
      <c r="E607" s="1" t="n">
        <v>46301</v>
      </c>
      <c r="F607" t="inlineStr">
        <is>
          <t>GÄVLEBORGS LÄN</t>
        </is>
      </c>
      <c r="G607" t="inlineStr">
        <is>
          <t>GÄVLE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31866-2023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45106</v>
      </c>
      <c r="E608" s="1" t="n">
        <v>46301</v>
      </c>
      <c r="F608" t="inlineStr">
        <is>
          <t>GÄVLEBORGS LÄN</t>
        </is>
      </c>
      <c r="G608" t="inlineStr">
        <is>
          <t>GÄVLE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16144-2026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46108</v>
      </c>
      <c r="E609" s="1" t="n">
        <v>46301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21364-2026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46147</v>
      </c>
      <c r="E610" s="1" t="n">
        <v>46301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14707-2026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46101</v>
      </c>
      <c r="E611" s="1" t="n">
        <v>46301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14666-2026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46301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22342-2026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46154</v>
      </c>
      <c r="E613" s="1" t="n">
        <v>46301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46301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22111-2026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46153</v>
      </c>
      <c r="E615" s="1" t="n">
        <v>46301</v>
      </c>
      <c r="F615" t="inlineStr">
        <is>
          <t>GÄVLEBORGS LÄN</t>
        </is>
      </c>
      <c r="G615" t="inlineStr">
        <is>
          <t>GÄVLE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33901-2024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45523</v>
      </c>
      <c r="E616" s="1" t="n">
        <v>46301</v>
      </c>
      <c r="F616" t="inlineStr">
        <is>
          <t>GÄVLEBORGS LÄN</t>
        </is>
      </c>
      <c r="G616" t="inlineStr">
        <is>
          <t>GÄVLE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45660</v>
      </c>
      <c r="E617" s="1" t="n">
        <v>46301</v>
      </c>
      <c r="F617" t="inlineStr">
        <is>
          <t>GÄVLEBORGS LÄN</t>
        </is>
      </c>
      <c r="G617" t="inlineStr">
        <is>
          <t>GÄVLE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46301</v>
      </c>
      <c r="F618" t="inlineStr">
        <is>
          <t>GÄVLEBORGS LÄN</t>
        </is>
      </c>
      <c r="G618" t="inlineStr">
        <is>
          <t>GÄVLE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22584-2026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46301</v>
      </c>
      <c r="F619" t="inlineStr">
        <is>
          <t>GÄVLEBORGS LÄN</t>
        </is>
      </c>
      <c r="G619" t="inlineStr">
        <is>
          <t>GÄVLE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17300-2026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46119</v>
      </c>
      <c r="E620" s="1" t="n">
        <v>46301</v>
      </c>
      <c r="F620" t="inlineStr">
        <is>
          <t>GÄVLEBORGS LÄN</t>
        </is>
      </c>
      <c r="G620" t="inlineStr">
        <is>
          <t>GÄVLE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15152-2026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46301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46301</v>
      </c>
      <c r="F622" t="inlineStr">
        <is>
          <t>GÄVLEBORGS LÄN</t>
        </is>
      </c>
      <c r="G622" t="inlineStr">
        <is>
          <t>GÄVLE</t>
        </is>
      </c>
      <c r="H622" t="inlineStr">
        <is>
          <t>Kyrkan</t>
        </is>
      </c>
      <c r="I622" t="n">
        <v>10.1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15158-2026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46301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60792-2024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45644</v>
      </c>
      <c r="E624" s="1" t="n">
        <v>46301</v>
      </c>
      <c r="F624" t="inlineStr">
        <is>
          <t>GÄVLEBORGS LÄN</t>
        </is>
      </c>
      <c r="G624" t="inlineStr">
        <is>
          <t>GÄVLE</t>
        </is>
      </c>
      <c r="H624" t="inlineStr">
        <is>
          <t>Kyrkan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22508-2026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46155</v>
      </c>
      <c r="E625" s="1" t="n">
        <v>46301</v>
      </c>
      <c r="F625" t="inlineStr">
        <is>
          <t>GÄVLEBORGS LÄN</t>
        </is>
      </c>
      <c r="G625" t="inlineStr">
        <is>
          <t>GÄVLE</t>
        </is>
      </c>
      <c r="H625" t="inlineStr">
        <is>
          <t>Kyrkan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15167-2026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46105</v>
      </c>
      <c r="E626" s="1" t="n">
        <v>46301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15711-2026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46107</v>
      </c>
      <c r="E627" s="1" t="n">
        <v>46301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15469-2026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46106</v>
      </c>
      <c r="E628" s="1" t="n">
        <v>46301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46107</v>
      </c>
      <c r="E629" s="1" t="n">
        <v>46301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28905-2023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45104</v>
      </c>
      <c r="E630" s="1" t="n">
        <v>46301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väst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45312</v>
      </c>
      <c r="E631" s="1" t="n">
        <v>46301</v>
      </c>
      <c r="F631" t="inlineStr">
        <is>
          <t>GÄVLEBORGS LÄN</t>
        </is>
      </c>
      <c r="G631" t="inlineStr">
        <is>
          <t>GÄVLE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7235-2025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45702</v>
      </c>
      <c r="E632" s="1" t="n">
        <v>46301</v>
      </c>
      <c r="F632" t="inlineStr">
        <is>
          <t>GÄVLEBORGS LÄN</t>
        </is>
      </c>
      <c r="G632" t="inlineStr">
        <is>
          <t>GÄVLE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15765-2026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46107</v>
      </c>
      <c r="E633" s="1" t="n">
        <v>46301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30662-2022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44763</v>
      </c>
      <c r="E634" s="1" t="n">
        <v>46301</v>
      </c>
      <c r="F634" t="inlineStr">
        <is>
          <t>GÄVLEBORGS LÄN</t>
        </is>
      </c>
      <c r="G634" t="inlineStr">
        <is>
          <t>GÄVLE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23591-2026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46163</v>
      </c>
      <c r="E635" s="1" t="n">
        <v>46301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18217-2024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45420</v>
      </c>
      <c r="E636" s="1" t="n">
        <v>46301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46301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23956-2026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46167</v>
      </c>
      <c r="E638" s="1" t="n">
        <v>46301</v>
      </c>
      <c r="F638" t="inlineStr">
        <is>
          <t>GÄVLEBORGS LÄN</t>
        </is>
      </c>
      <c r="G638" t="inlineStr">
        <is>
          <t>GÄVLE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46301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20682-2023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45058</v>
      </c>
      <c r="E640" s="1" t="n">
        <v>46301</v>
      </c>
      <c r="F640" t="inlineStr">
        <is>
          <t>GÄVLEBORGS LÄN</t>
        </is>
      </c>
      <c r="G640" t="inlineStr">
        <is>
          <t>GÄVLE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8693-2024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45356</v>
      </c>
      <c r="E641" s="1" t="n">
        <v>46301</v>
      </c>
      <c r="F641" t="inlineStr">
        <is>
          <t>GÄVLEBORGS LÄN</t>
        </is>
      </c>
      <c r="G641" t="inlineStr">
        <is>
          <t>GÄVLE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44586</v>
      </c>
      <c r="E642" s="1" t="n">
        <v>46301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24089-2026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46301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24398-2026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46301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24400-2026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46169</v>
      </c>
      <c r="E645" s="1" t="n">
        <v>46301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24295-2026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46169</v>
      </c>
      <c r="E646" s="1" t="n">
        <v>46301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24306-2026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46301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61501-2024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45646</v>
      </c>
      <c r="E648" s="1" t="n">
        <v>46301</v>
      </c>
      <c r="F648" t="inlineStr">
        <is>
          <t>GÄVLEBORGS LÄN</t>
        </is>
      </c>
      <c r="G648" t="inlineStr">
        <is>
          <t>GÄVLE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24325-2026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46301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24294-2026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46169</v>
      </c>
      <c r="E650" s="1" t="n">
        <v>46301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13193-2025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45735</v>
      </c>
      <c r="E651" s="1" t="n">
        <v>46301</v>
      </c>
      <c r="F651" t="inlineStr">
        <is>
          <t>GÄVLEBORGS LÄN</t>
        </is>
      </c>
      <c r="G651" t="inlineStr">
        <is>
          <t>GÄVLE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24810-2026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46173</v>
      </c>
      <c r="E652" s="1" t="n">
        <v>46301</v>
      </c>
      <c r="F652" t="inlineStr">
        <is>
          <t>GÄVLEBORGS LÄN</t>
        </is>
      </c>
      <c r="G652" t="inlineStr">
        <is>
          <t>GÄVLE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24456-2026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46170</v>
      </c>
      <c r="E653" s="1" t="n">
        <v>46301</v>
      </c>
      <c r="F653" t="inlineStr">
        <is>
          <t>GÄVLEBORGS LÄN</t>
        </is>
      </c>
      <c r="G653" t="inlineStr">
        <is>
          <t>GÄVLE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38793-2024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45547</v>
      </c>
      <c r="E654" s="1" t="n">
        <v>46301</v>
      </c>
      <c r="F654" t="inlineStr">
        <is>
          <t>GÄVLEBORGS LÄN</t>
        </is>
      </c>
      <c r="G654" t="inlineStr">
        <is>
          <t>GÄVLE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2373-2025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45673</v>
      </c>
      <c r="E655" s="1" t="n">
        <v>46301</v>
      </c>
      <c r="F655" t="inlineStr">
        <is>
          <t>GÄVLEBORGS LÄN</t>
        </is>
      </c>
      <c r="G655" t="inlineStr">
        <is>
          <t>GÄVLE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2374-2025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45673</v>
      </c>
      <c r="E656" s="1" t="n">
        <v>46301</v>
      </c>
      <c r="F656" t="inlineStr">
        <is>
          <t>GÄVLEBORGS LÄN</t>
        </is>
      </c>
      <c r="G656" t="inlineStr">
        <is>
          <t>GÄVLE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25582-2026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46301</v>
      </c>
      <c r="F657" t="inlineStr">
        <is>
          <t>GÄVLEBORGS LÄN</t>
        </is>
      </c>
      <c r="G657" t="inlineStr">
        <is>
          <t>GÄVLE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18162-2022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44684</v>
      </c>
      <c r="E658" s="1" t="n">
        <v>46301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väst AB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25623-2026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46177</v>
      </c>
      <c r="E659" s="1" t="n">
        <v>46301</v>
      </c>
      <c r="F659" t="inlineStr">
        <is>
          <t>GÄVLEBORGS LÄN</t>
        </is>
      </c>
      <c r="G659" t="inlineStr">
        <is>
          <t>GÄVLE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20676-2026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46141</v>
      </c>
      <c r="E660" s="1" t="n">
        <v>46301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12079-2025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45728</v>
      </c>
      <c r="E661" s="1" t="n">
        <v>46301</v>
      </c>
      <c r="F661" t="inlineStr">
        <is>
          <t>GÄVLEBORGS LÄN</t>
        </is>
      </c>
      <c r="G661" t="inlineStr">
        <is>
          <t>GÄVLE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24618-2023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45084</v>
      </c>
      <c r="E662" s="1" t="n">
        <v>46301</v>
      </c>
      <c r="F662" t="inlineStr">
        <is>
          <t>GÄVLEBORGS LÄN</t>
        </is>
      </c>
      <c r="G662" t="inlineStr">
        <is>
          <t>GÄVLE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7410-2025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45705</v>
      </c>
      <c r="E663" s="1" t="n">
        <v>46301</v>
      </c>
      <c r="F663" t="inlineStr">
        <is>
          <t>GÄVLEBORGS LÄN</t>
        </is>
      </c>
      <c r="G663" t="inlineStr">
        <is>
          <t>GÄVLE</t>
        </is>
      </c>
      <c r="I663" t="n">
        <v>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25814-2023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45090</v>
      </c>
      <c r="E664" s="1" t="n">
        <v>46301</v>
      </c>
      <c r="F664" t="inlineStr">
        <is>
          <t>GÄVLEBORGS LÄN</t>
        </is>
      </c>
      <c r="G664" t="inlineStr">
        <is>
          <t>GÄVLE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25367-2026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46176</v>
      </c>
      <c r="E665" s="1" t="n">
        <v>46301</v>
      </c>
      <c r="F665" t="inlineStr">
        <is>
          <t>GÄVLEBORGS LÄN</t>
        </is>
      </c>
      <c r="G665" t="inlineStr">
        <is>
          <t>GÄVLE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25384-2026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46176</v>
      </c>
      <c r="E666" s="1" t="n">
        <v>46301</v>
      </c>
      <c r="F666" t="inlineStr">
        <is>
          <t>GÄVLEBORGS LÄN</t>
        </is>
      </c>
      <c r="G666" t="inlineStr">
        <is>
          <t>GÄVLE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18168-2022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44684</v>
      </c>
      <c r="E667" s="1" t="n">
        <v>46301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väst AB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51071-2023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45218</v>
      </c>
      <c r="E668" s="1" t="n">
        <v>46301</v>
      </c>
      <c r="F668" t="inlineStr">
        <is>
          <t>GÄVLEBORGS LÄN</t>
        </is>
      </c>
      <c r="G668" t="inlineStr">
        <is>
          <t>GÄVLE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44586</v>
      </c>
      <c r="E669" s="1" t="n">
        <v>46301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25829-2026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46301</v>
      </c>
      <c r="F670" t="inlineStr">
        <is>
          <t>GÄVLEBORGS LÄN</t>
        </is>
      </c>
      <c r="G670" t="inlineStr">
        <is>
          <t>GÄVLE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45666</v>
      </c>
      <c r="E671" s="1" t="n">
        <v>46301</v>
      </c>
      <c r="F671" t="inlineStr">
        <is>
          <t>GÄVLEBORGS LÄN</t>
        </is>
      </c>
      <c r="G671" t="inlineStr">
        <is>
          <t>GÄVLE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26599-2026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46183</v>
      </c>
      <c r="E672" s="1" t="n">
        <v>46301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57168-2023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45245</v>
      </c>
      <c r="E673" s="1" t="n">
        <v>46301</v>
      </c>
      <c r="F673" t="inlineStr">
        <is>
          <t>GÄVLEBORGS LÄN</t>
        </is>
      </c>
      <c r="G673" t="inlineStr">
        <is>
          <t>GÄVLE</t>
        </is>
      </c>
      <c r="H673" t="inlineStr">
        <is>
          <t>Kyrkan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46183</v>
      </c>
      <c r="E674" s="1" t="n">
        <v>46301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33880-2022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44790</v>
      </c>
      <c r="E675" s="1" t="n">
        <v>46301</v>
      </c>
      <c r="F675" t="inlineStr">
        <is>
          <t>GÄVLEBORGS LÄN</t>
        </is>
      </c>
      <c r="G675" t="inlineStr">
        <is>
          <t>GÄVLE</t>
        </is>
      </c>
      <c r="I675" t="n">
        <v>9.4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27057-2026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46301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27052-2026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46301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27053-2026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46301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27060-2026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46301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27042-2026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46301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27056-2026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46301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27041-2026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46301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27055-2026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46301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26658-2026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46184</v>
      </c>
      <c r="E684" s="1" t="n">
        <v>46301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26249-2022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44735</v>
      </c>
      <c r="E685" s="1" t="n">
        <v>46301</v>
      </c>
      <c r="F685" t="inlineStr">
        <is>
          <t>GÄVLEBORGS LÄN</t>
        </is>
      </c>
      <c r="G685" t="inlineStr">
        <is>
          <t>GÄVLE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46301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46301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46301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20999-2022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44701</v>
      </c>
      <c r="E689" s="1" t="n">
        <v>46301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väst AB</t>
        </is>
      </c>
      <c r="I689" t="n">
        <v>26.3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26942-2026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46301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26991-2026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46301</v>
      </c>
      <c r="F691" t="inlineStr">
        <is>
          <t>GÄVLEBORGS LÄN</t>
        </is>
      </c>
      <c r="G691" t="inlineStr">
        <is>
          <t>GÄVLE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27068-2026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46301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27059-2026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46301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27061-2026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46301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46301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27067-2026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46301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27359-2026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46188</v>
      </c>
      <c r="E697" s="1" t="n">
        <v>46301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27360-2026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46301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27182-2022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44741</v>
      </c>
      <c r="E699" s="1" t="n">
        <v>46301</v>
      </c>
      <c r="F699" t="inlineStr">
        <is>
          <t>GÄVLEBORGS LÄN</t>
        </is>
      </c>
      <c r="G699" t="inlineStr">
        <is>
          <t>GÄVLE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27361-2026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46188</v>
      </c>
      <c r="E700" s="1" t="n">
        <v>46301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35761-2022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44800</v>
      </c>
      <c r="E701" s="1" t="n">
        <v>46301</v>
      </c>
      <c r="F701" t="inlineStr">
        <is>
          <t>GÄVLEBORGS LÄN</t>
        </is>
      </c>
      <c r="G701" t="inlineStr">
        <is>
          <t>GÄVLE</t>
        </is>
      </c>
      <c r="I701" t="n">
        <v>8.199999999999999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46301</v>
      </c>
      <c r="F702" t="inlineStr">
        <is>
          <t>GÄVLEBORGS LÄN</t>
        </is>
      </c>
      <c r="G702" t="inlineStr">
        <is>
          <t>GÄVLE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59322-2022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44904</v>
      </c>
      <c r="E703" s="1" t="n">
        <v>46301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28140-2026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46195</v>
      </c>
      <c r="E704" s="1" t="n">
        <v>46301</v>
      </c>
      <c r="F704" t="inlineStr">
        <is>
          <t>GÄVLEBORGS LÄN</t>
        </is>
      </c>
      <c r="G704" t="inlineStr">
        <is>
          <t>GÄVLE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29494-2026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46301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61672-2023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45265</v>
      </c>
      <c r="E706" s="1" t="n">
        <v>46301</v>
      </c>
      <c r="F706" t="inlineStr">
        <is>
          <t>GÄVLEBORGS LÄN</t>
        </is>
      </c>
      <c r="G706" t="inlineStr">
        <is>
          <t>GÄVLE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29506-2026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46301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52.7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28379-2026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46196</v>
      </c>
      <c r="E708" s="1" t="n">
        <v>46301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28485-2026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46197</v>
      </c>
      <c r="E709" s="1" t="n">
        <v>46301</v>
      </c>
      <c r="F709" t="inlineStr">
        <is>
          <t>GÄVLEBORGS LÄN</t>
        </is>
      </c>
      <c r="G709" t="inlineStr">
        <is>
          <t>GÄVLE</t>
        </is>
      </c>
      <c r="H709" t="inlineStr">
        <is>
          <t>BillerudKorsnäs AB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28332-2026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46301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28334-2026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46196</v>
      </c>
      <c r="E711" s="1" t="n">
        <v>46301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30875-2022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44767</v>
      </c>
      <c r="E712" s="1" t="n">
        <v>46301</v>
      </c>
      <c r="F712" t="inlineStr">
        <is>
          <t>GÄVLEBORGS LÄN</t>
        </is>
      </c>
      <c r="G712" t="inlineStr">
        <is>
          <t>GÄVLE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22968-2026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46160</v>
      </c>
      <c r="E713" s="1" t="n">
        <v>46301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28331-2026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46301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9426-2025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45715</v>
      </c>
      <c r="E715" s="1" t="n">
        <v>46301</v>
      </c>
      <c r="F715" t="inlineStr">
        <is>
          <t>GÄVLEBORGS LÄN</t>
        </is>
      </c>
      <c r="G715" t="inlineStr">
        <is>
          <t>GÄVLE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60885-2023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45261</v>
      </c>
      <c r="E716" s="1" t="n">
        <v>46301</v>
      </c>
      <c r="F716" t="inlineStr">
        <is>
          <t>GÄVLEBORGS LÄN</t>
        </is>
      </c>
      <c r="G716" t="inlineStr">
        <is>
          <t>GÄVLE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28654-2026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46301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45312</v>
      </c>
      <c r="E718" s="1" t="n">
        <v>46301</v>
      </c>
      <c r="F718" t="inlineStr">
        <is>
          <t>GÄVLEBORGS LÄN</t>
        </is>
      </c>
      <c r="G718" t="inlineStr">
        <is>
          <t>GÄVLE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28655-2026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46301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46301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28658-2026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46301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28656-2026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46301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46301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46301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46202</v>
      </c>
      <c r="E725" s="1" t="n">
        <v>46301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29364-2026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46203</v>
      </c>
      <c r="E726" s="1" t="n">
        <v>46301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16401-2025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45751</v>
      </c>
      <c r="E727" s="1" t="n">
        <v>46301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väst AB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64868-2023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45282</v>
      </c>
      <c r="E728" s="1" t="n">
        <v>46301</v>
      </c>
      <c r="F728" t="inlineStr">
        <is>
          <t>GÄVLEBORGS LÄN</t>
        </is>
      </c>
      <c r="G728" t="inlineStr">
        <is>
          <t>GÄVLE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64873-2023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45282</v>
      </c>
      <c r="E729" s="1" t="n">
        <v>46301</v>
      </c>
      <c r="F729" t="inlineStr">
        <is>
          <t>GÄVLEBORGS LÄN</t>
        </is>
      </c>
      <c r="G729" t="inlineStr">
        <is>
          <t>GÄVLE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31019-2026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46206</v>
      </c>
      <c r="E730" s="1" t="n">
        <v>46301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13961-2024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45392</v>
      </c>
      <c r="E731" s="1" t="n">
        <v>46301</v>
      </c>
      <c r="F731" t="inlineStr">
        <is>
          <t>GÄVLEBORGS LÄN</t>
        </is>
      </c>
      <c r="G731" t="inlineStr">
        <is>
          <t>GÄVLE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15444-2024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45401</v>
      </c>
      <c r="E732" s="1" t="n">
        <v>46301</v>
      </c>
      <c r="F732" t="inlineStr">
        <is>
          <t>GÄVLEBORGS LÄN</t>
        </is>
      </c>
      <c r="G732" t="inlineStr">
        <is>
          <t>GÄVLE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34668-2024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45526</v>
      </c>
      <c r="E733" s="1" t="n">
        <v>46301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61301-2024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45645</v>
      </c>
      <c r="E734" s="1" t="n">
        <v>46301</v>
      </c>
      <c r="F734" t="inlineStr">
        <is>
          <t>GÄVLEBORGS LÄN</t>
        </is>
      </c>
      <c r="G734" t="inlineStr">
        <is>
          <t>GÄVLE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51758-2025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45950</v>
      </c>
      <c r="E735" s="1" t="n">
        <v>46301</v>
      </c>
      <c r="F735" t="inlineStr">
        <is>
          <t>GÄVLEBORGS LÄN</t>
        </is>
      </c>
      <c r="G735" t="inlineStr">
        <is>
          <t>GÄVLE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44806-2024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45574</v>
      </c>
      <c r="E736" s="1" t="n">
        <v>46301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15456-2026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46106</v>
      </c>
      <c r="E737" s="1" t="n">
        <v>46301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47458-2022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44853</v>
      </c>
      <c r="E738" s="1" t="n">
        <v>46301</v>
      </c>
      <c r="F738" t="inlineStr">
        <is>
          <t>GÄVLEBORGS LÄN</t>
        </is>
      </c>
      <c r="G738" t="inlineStr">
        <is>
          <t>GÄVLE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22363-2026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46154</v>
      </c>
      <c r="E739" s="1" t="n">
        <v>46301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30324-2026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46207</v>
      </c>
      <c r="E740" s="1" t="n">
        <v>46301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33635-2024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45520</v>
      </c>
      <c r="E741" s="1" t="n">
        <v>46301</v>
      </c>
      <c r="F741" t="inlineStr">
        <is>
          <t>GÄVLEBORGS LÄN</t>
        </is>
      </c>
      <c r="G741" t="inlineStr">
        <is>
          <t>GÄVLE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33637-2024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45520</v>
      </c>
      <c r="E742" s="1" t="n">
        <v>46301</v>
      </c>
      <c r="F742" t="inlineStr">
        <is>
          <t>GÄVLEBORGS LÄN</t>
        </is>
      </c>
      <c r="G742" t="inlineStr">
        <is>
          <t>GÄVLE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46210</v>
      </c>
      <c r="E743" s="1" t="n">
        <v>46301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3.7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30951-2026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46213</v>
      </c>
      <c r="E744" s="1" t="n">
        <v>46301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30967-2026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46213</v>
      </c>
      <c r="E745" s="1" t="n">
        <v>46301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11410-2025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45726</v>
      </c>
      <c r="E746" s="1" t="n">
        <v>46301</v>
      </c>
      <c r="F746" t="inlineStr">
        <is>
          <t>GÄVLEBORGS LÄN</t>
        </is>
      </c>
      <c r="G746" t="inlineStr">
        <is>
          <t>GÄVLE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61492-2024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45646</v>
      </c>
      <c r="E747" s="1" t="n">
        <v>46301</v>
      </c>
      <c r="F747" t="inlineStr">
        <is>
          <t>GÄVLEBORGS LÄN</t>
        </is>
      </c>
      <c r="G747" t="inlineStr">
        <is>
          <t>GÄVLE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53138-2024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45611</v>
      </c>
      <c r="E748" s="1" t="n">
        <v>46301</v>
      </c>
      <c r="F748" t="inlineStr">
        <is>
          <t>GÄVLEBORGS LÄN</t>
        </is>
      </c>
      <c r="G748" t="inlineStr">
        <is>
          <t>GÄVLE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30969-2026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46213</v>
      </c>
      <c r="E749" s="1" t="n">
        <v>46301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66493-2021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44519</v>
      </c>
      <c r="E750" s="1" t="n">
        <v>46301</v>
      </c>
      <c r="F750" t="inlineStr">
        <is>
          <t>GÄVLEBORGS LÄN</t>
        </is>
      </c>
      <c r="G750" t="inlineStr">
        <is>
          <t>GÄVLE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7060-2022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44603</v>
      </c>
      <c r="E751" s="1" t="n">
        <v>46301</v>
      </c>
      <c r="F751" t="inlineStr">
        <is>
          <t>GÄVLEBORGS LÄN</t>
        </is>
      </c>
      <c r="G751" t="inlineStr">
        <is>
          <t>GÄVLE</t>
        </is>
      </c>
      <c r="I751" t="n">
        <v>10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31445-2026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46217</v>
      </c>
      <c r="E752" s="1" t="n">
        <v>46301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7998-2023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44973</v>
      </c>
      <c r="E753" s="1" t="n">
        <v>46301</v>
      </c>
      <c r="F753" t="inlineStr">
        <is>
          <t>GÄVLEBORGS LÄN</t>
        </is>
      </c>
      <c r="G753" t="inlineStr">
        <is>
          <t>GÄVLE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31234-2026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46217</v>
      </c>
      <c r="E754" s="1" t="n">
        <v>46301</v>
      </c>
      <c r="F754" t="inlineStr">
        <is>
          <t>GÄVLEBORGS LÄN</t>
        </is>
      </c>
      <c r="G754" t="inlineStr">
        <is>
          <t>GÄVLE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35120-2026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46260</v>
      </c>
      <c r="E755" s="1" t="n">
        <v>46301</v>
      </c>
      <c r="F755" t="inlineStr">
        <is>
          <t>GÄVLEBORGS LÄN</t>
        </is>
      </c>
      <c r="G755" t="inlineStr">
        <is>
          <t>GÄVLE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5408-2023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44959</v>
      </c>
      <c r="E756" s="1" t="n">
        <v>46301</v>
      </c>
      <c r="F756" t="inlineStr">
        <is>
          <t>GÄVLEBORGS LÄN</t>
        </is>
      </c>
      <c r="G756" t="inlineStr">
        <is>
          <t>GÄVLE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60442-2022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44911</v>
      </c>
      <c r="E757" s="1" t="n">
        <v>46301</v>
      </c>
      <c r="F757" t="inlineStr">
        <is>
          <t>GÄVLEBORGS LÄN</t>
        </is>
      </c>
      <c r="G757" t="inlineStr">
        <is>
          <t>GÄVLE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26334-2022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44735</v>
      </c>
      <c r="E758" s="1" t="n">
        <v>46301</v>
      </c>
      <c r="F758" t="inlineStr">
        <is>
          <t>GÄVLEBORGS LÄN</t>
        </is>
      </c>
      <c r="G758" t="inlineStr">
        <is>
          <t>GÄVLE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35561-2026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46262</v>
      </c>
      <c r="E759" s="1" t="n">
        <v>46301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väst AB</t>
        </is>
      </c>
      <c r="I759" t="n">
        <v>4.5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5462-2023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44960</v>
      </c>
      <c r="E760" s="1" t="n">
        <v>46301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35326-2026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46261</v>
      </c>
      <c r="E761" s="1" t="n">
        <v>46301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5.2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31528-2026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46220</v>
      </c>
      <c r="E762" s="1" t="n">
        <v>46301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väst AB</t>
        </is>
      </c>
      <c r="I762" t="n">
        <v>11.4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35388-2026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46261</v>
      </c>
      <c r="E763" s="1" t="n">
        <v>46301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35577-2026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46262</v>
      </c>
      <c r="E764" s="1" t="n">
        <v>46301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35387-2026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46301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35302-2026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46301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35541-2026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46262</v>
      </c>
      <c r="E767" s="1" t="n">
        <v>46301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35495-2026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46262</v>
      </c>
      <c r="E768" s="1" t="n">
        <v>46301</v>
      </c>
      <c r="F768" t="inlineStr">
        <is>
          <t>GÄVLEBORGS LÄN</t>
        </is>
      </c>
      <c r="G768" t="inlineStr">
        <is>
          <t>GÄVLE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19424-2022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44693</v>
      </c>
      <c r="E769" s="1" t="n">
        <v>46301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31566-2026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46223</v>
      </c>
      <c r="E770" s="1" t="n">
        <v>46301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10.2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35780-2026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46265</v>
      </c>
      <c r="E771" s="1" t="n">
        <v>46301</v>
      </c>
      <c r="F771" t="inlineStr">
        <is>
          <t>GÄVLEBORGS LÄN</t>
        </is>
      </c>
      <c r="G771" t="inlineStr">
        <is>
          <t>GÄVLE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37534-2023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45158</v>
      </c>
      <c r="E772" s="1" t="n">
        <v>46301</v>
      </c>
      <c r="F772" t="inlineStr">
        <is>
          <t>GÄVLEBORGS LÄN</t>
        </is>
      </c>
      <c r="G772" t="inlineStr">
        <is>
          <t>GÄVLE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37538-2023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45158</v>
      </c>
      <c r="E773" s="1" t="n">
        <v>46301</v>
      </c>
      <c r="F773" t="inlineStr">
        <is>
          <t>GÄVLEBORGS LÄN</t>
        </is>
      </c>
      <c r="G773" t="inlineStr">
        <is>
          <t>GÄVLE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14750-2022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44656</v>
      </c>
      <c r="E774" s="1" t="n">
        <v>46301</v>
      </c>
      <c r="F774" t="inlineStr">
        <is>
          <t>GÄVLEBORGS LÄN</t>
        </is>
      </c>
      <c r="G774" t="inlineStr">
        <is>
          <t>GÄVLE</t>
        </is>
      </c>
      <c r="I774" t="n">
        <v>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14735-2024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45397</v>
      </c>
      <c r="E775" s="1" t="n">
        <v>46301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35818-2026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46265</v>
      </c>
      <c r="E776" s="1" t="n">
        <v>46301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19712-2022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44694</v>
      </c>
      <c r="E777" s="1" t="n">
        <v>46301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14173-2022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44651</v>
      </c>
      <c r="E778" s="1" t="n">
        <v>46301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väst AB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36086-2026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46267</v>
      </c>
      <c r="E779" s="1" t="n">
        <v>46301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9307-2022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44616</v>
      </c>
      <c r="E780" s="1" t="n">
        <v>46301</v>
      </c>
      <c r="F780" t="inlineStr">
        <is>
          <t>GÄVLEBORGS LÄN</t>
        </is>
      </c>
      <c r="G780" t="inlineStr">
        <is>
          <t>GÄVLE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36091-2026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46301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36132-2026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46267</v>
      </c>
      <c r="E782" s="1" t="n">
        <v>46301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36093-2026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46267</v>
      </c>
      <c r="E783" s="1" t="n">
        <v>46301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5.4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36089-2026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46267</v>
      </c>
      <c r="E784" s="1" t="n">
        <v>46301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5728-2023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44962</v>
      </c>
      <c r="E785" s="1" t="n">
        <v>46301</v>
      </c>
      <c r="F785" t="inlineStr">
        <is>
          <t>GÄVLEBORGS LÄN</t>
        </is>
      </c>
      <c r="G785" t="inlineStr">
        <is>
          <t>GÄVLE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36512-2026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46301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36530-2026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46301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36558-2026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46269</v>
      </c>
      <c r="E788" s="1" t="n">
        <v>46301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18361-2024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45422</v>
      </c>
      <c r="E789" s="1" t="n">
        <v>46301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44927</v>
      </c>
      <c r="E790" s="1" t="n">
        <v>46301</v>
      </c>
      <c r="F790" t="inlineStr">
        <is>
          <t>GÄVLEBORGS LÄN</t>
        </is>
      </c>
      <c r="G790" t="inlineStr">
        <is>
          <t>GÄVLE</t>
        </is>
      </c>
      <c r="I790" t="n">
        <v>4.4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33015-2023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45125</v>
      </c>
      <c r="E791" s="1" t="n">
        <v>46301</v>
      </c>
      <c r="F791" t="inlineStr">
        <is>
          <t>GÄVLEBORGS LÄN</t>
        </is>
      </c>
      <c r="G791" t="inlineStr">
        <is>
          <t>GÄVLE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36522-2026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46269</v>
      </c>
      <c r="E792" s="1" t="n">
        <v>46301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36784-2026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46272</v>
      </c>
      <c r="E793" s="1" t="n">
        <v>46301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64878-2023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45282</v>
      </c>
      <c r="E794" s="1" t="n">
        <v>46301</v>
      </c>
      <c r="F794" t="inlineStr">
        <is>
          <t>GÄVLEBORGS LÄN</t>
        </is>
      </c>
      <c r="G794" t="inlineStr">
        <is>
          <t>GÄVLE</t>
        </is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36739-2026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46272</v>
      </c>
      <c r="E795" s="1" t="n">
        <v>46301</v>
      </c>
      <c r="F795" t="inlineStr">
        <is>
          <t>GÄVLEBORGS LÄN</t>
        </is>
      </c>
      <c r="G795" t="inlineStr">
        <is>
          <t>GÄVLE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36732-2026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46272</v>
      </c>
      <c r="E796" s="1" t="n">
        <v>46301</v>
      </c>
      <c r="F796" t="inlineStr">
        <is>
          <t>GÄVLEBORGS LÄN</t>
        </is>
      </c>
      <c r="G796" t="inlineStr">
        <is>
          <t>GÄVLE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37223-2026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46274</v>
      </c>
      <c r="E797" s="1" t="n">
        <v>46301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9235-2022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44616</v>
      </c>
      <c r="E798" s="1" t="n">
        <v>46301</v>
      </c>
      <c r="F798" t="inlineStr">
        <is>
          <t>GÄVLEBORGS LÄN</t>
        </is>
      </c>
      <c r="G798" t="inlineStr">
        <is>
          <t>GÄVLE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36920-2026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46273</v>
      </c>
      <c r="E799" s="1" t="n">
        <v>46301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37134-2026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46274</v>
      </c>
      <c r="E800" s="1" t="n">
        <v>46301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37150-2026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46274</v>
      </c>
      <c r="E801" s="1" t="n">
        <v>46301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36945-2026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46273</v>
      </c>
      <c r="E802" s="1" t="n">
        <v>46301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36957-2026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46273</v>
      </c>
      <c r="E803" s="1" t="n">
        <v>46301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36962-2026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46273</v>
      </c>
      <c r="E804" s="1" t="n">
        <v>46301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36909-2026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46273</v>
      </c>
      <c r="E805" s="1" t="n">
        <v>46301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5.2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36935-2026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46273</v>
      </c>
      <c r="E806" s="1" t="n">
        <v>46301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6.1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35445-2023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45146</v>
      </c>
      <c r="E807" s="1" t="n">
        <v>46301</v>
      </c>
      <c r="F807" t="inlineStr">
        <is>
          <t>GÄVLEBORGS LÄN</t>
        </is>
      </c>
      <c r="G807" t="inlineStr">
        <is>
          <t>GÄVLE</t>
        </is>
      </c>
      <c r="I807" t="n">
        <v>6.2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37553-2026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46276</v>
      </c>
      <c r="E808" s="1" t="n">
        <v>46301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17088-2023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45034</v>
      </c>
      <c r="E809" s="1" t="n">
        <v>46301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37611-2026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46276</v>
      </c>
      <c r="E810" s="1" t="n">
        <v>46301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32255-2023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45120</v>
      </c>
      <c r="E811" s="1" t="n">
        <v>46301</v>
      </c>
      <c r="F811" t="inlineStr">
        <is>
          <t>GÄVLEBORGS LÄN</t>
        </is>
      </c>
      <c r="G811" t="inlineStr">
        <is>
          <t>GÄVLE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37391-2026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46275</v>
      </c>
      <c r="E812" s="1" t="n">
        <v>46301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37401-2026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46275</v>
      </c>
      <c r="E813" s="1" t="n">
        <v>46301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19.1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37640-2026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46276</v>
      </c>
      <c r="E814" s="1" t="n">
        <v>46301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37573-2026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46276</v>
      </c>
      <c r="E815" s="1" t="n">
        <v>46301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37937-2026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46280</v>
      </c>
      <c r="E816" s="1" t="n">
        <v>46301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2247-2023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44942</v>
      </c>
      <c r="E817" s="1" t="n">
        <v>46301</v>
      </c>
      <c r="F817" t="inlineStr">
        <is>
          <t>GÄVLEBORGS LÄN</t>
        </is>
      </c>
      <c r="G817" t="inlineStr">
        <is>
          <t>GÄVLE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38012-2026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46280</v>
      </c>
      <c r="E818" s="1" t="n">
        <v>46301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37934-2026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46280</v>
      </c>
      <c r="E819" s="1" t="n">
        <v>46301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37935-2026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46280</v>
      </c>
      <c r="E820" s="1" t="n">
        <v>46301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37759-2026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46279</v>
      </c>
      <c r="E821" s="1" t="n">
        <v>46301</v>
      </c>
      <c r="F821" t="inlineStr">
        <is>
          <t>GÄVLEBORGS LÄN</t>
        </is>
      </c>
      <c r="G821" t="inlineStr">
        <is>
          <t>GÄVLE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37765-2026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46279</v>
      </c>
      <c r="E822" s="1" t="n">
        <v>46301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37938-2026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46280</v>
      </c>
      <c r="E823" s="1" t="n">
        <v>46301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38045-2026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46280</v>
      </c>
      <c r="E824" s="1" t="n">
        <v>46301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38049-2026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46280</v>
      </c>
      <c r="E825" s="1" t="n">
        <v>46301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38014-2026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46280</v>
      </c>
      <c r="E826" s="1" t="n">
        <v>46301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38558-2023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45162</v>
      </c>
      <c r="E827" s="1" t="n">
        <v>46301</v>
      </c>
      <c r="F827" t="inlineStr">
        <is>
          <t>GÄVLEBORGS LÄN</t>
        </is>
      </c>
      <c r="G827" t="inlineStr">
        <is>
          <t>GÄVLE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38144-2026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46281</v>
      </c>
      <c r="E828" s="1" t="n">
        <v>46301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32437-2026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46239</v>
      </c>
      <c r="E829" s="1" t="n">
        <v>46301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52250-2024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45608</v>
      </c>
      <c r="E830" s="1" t="n">
        <v>46301</v>
      </c>
      <c r="F830" t="inlineStr">
        <is>
          <t>GÄVLEBORGS LÄN</t>
        </is>
      </c>
      <c r="G830" t="inlineStr">
        <is>
          <t>GÄVLE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38333-2026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46282</v>
      </c>
      <c r="E831" s="1" t="n">
        <v>46301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38335-2026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46282</v>
      </c>
      <c r="E832" s="1" t="n">
        <v>46301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38393-2026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46282</v>
      </c>
      <c r="E833" s="1" t="n">
        <v>46301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19.8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7748-2025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45706</v>
      </c>
      <c r="E834" s="1" t="n">
        <v>46301</v>
      </c>
      <c r="F834" t="inlineStr">
        <is>
          <t>GÄVLEBORGS LÄN</t>
        </is>
      </c>
      <c r="G834" t="inlineStr">
        <is>
          <t>GÄVLE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38195-2026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46281</v>
      </c>
      <c r="E835" s="1" t="n">
        <v>46301</v>
      </c>
      <c r="F835" t="inlineStr">
        <is>
          <t>GÄVLEBORGS LÄN</t>
        </is>
      </c>
      <c r="G835" t="inlineStr">
        <is>
          <t>GÄVLE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3712-2023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44951</v>
      </c>
      <c r="E836" s="1" t="n">
        <v>46301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38331-2026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46282</v>
      </c>
      <c r="E837" s="1" t="n">
        <v>46301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38334-2026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46282</v>
      </c>
      <c r="E838" s="1" t="n">
        <v>46301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32436-2026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46239</v>
      </c>
      <c r="E839" s="1" t="n">
        <v>46301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26129-2024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45468</v>
      </c>
      <c r="E840" s="1" t="n">
        <v>46301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9.9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41100-2024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45559</v>
      </c>
      <c r="E841" s="1" t="n">
        <v>46301</v>
      </c>
      <c r="F841" t="inlineStr">
        <is>
          <t>GÄVLEBORGS LÄN</t>
        </is>
      </c>
      <c r="G841" t="inlineStr">
        <is>
          <t>GÄVLE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38336-2026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46282</v>
      </c>
      <c r="E842" s="1" t="n">
        <v>46301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38130-2026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46281</v>
      </c>
      <c r="E843" s="1" t="n">
        <v>46301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5.8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45278-2022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44840</v>
      </c>
      <c r="E844" s="1" t="n">
        <v>46301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8.5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24720-2023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45084</v>
      </c>
      <c r="E845" s="1" t="n">
        <v>46301</v>
      </c>
      <c r="F845" t="inlineStr">
        <is>
          <t>GÄVLEBORGS LÄN</t>
        </is>
      </c>
      <c r="G845" t="inlineStr">
        <is>
          <t>GÄVLE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38386-2026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46282</v>
      </c>
      <c r="E846" s="1" t="n">
        <v>46301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38552-2026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46283</v>
      </c>
      <c r="E847" s="1" t="n">
        <v>46301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väst AB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71215-2021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44539</v>
      </c>
      <c r="E848" s="1" t="n">
        <v>46301</v>
      </c>
      <c r="F848" t="inlineStr">
        <is>
          <t>GÄVLEBORGS LÄN</t>
        </is>
      </c>
      <c r="G848" t="inlineStr">
        <is>
          <t>GÄVLE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38653-2026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46283</v>
      </c>
      <c r="E849" s="1" t="n">
        <v>46301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38612-2026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46283</v>
      </c>
      <c r="E850" s="1" t="n">
        <v>46301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38524-2026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46283</v>
      </c>
      <c r="E851" s="1" t="n">
        <v>46301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väst AB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38588-2026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46283</v>
      </c>
      <c r="E852" s="1" t="n">
        <v>46301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5.7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38979-2026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46286</v>
      </c>
      <c r="E853" s="1" t="n">
        <v>46301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56138-2023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45240</v>
      </c>
      <c r="E854" s="1" t="n">
        <v>46301</v>
      </c>
      <c r="F854" t="inlineStr">
        <is>
          <t>GÄVLEBORGS LÄN</t>
        </is>
      </c>
      <c r="G854" t="inlineStr">
        <is>
          <t>GÄVLE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25768-2022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44733</v>
      </c>
      <c r="E855" s="1" t="n">
        <v>46301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38584-2026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46283</v>
      </c>
      <c r="E856" s="1" t="n">
        <v>46301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38568-2026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46283</v>
      </c>
      <c r="E857" s="1" t="n">
        <v>46301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50582-2023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45217</v>
      </c>
      <c r="E858" s="1" t="n">
        <v>46301</v>
      </c>
      <c r="F858" t="inlineStr">
        <is>
          <t>GÄVLEBORGS LÄN</t>
        </is>
      </c>
      <c r="G858" t="inlineStr">
        <is>
          <t>GÄVLE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38586-2026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46283</v>
      </c>
      <c r="E859" s="1" t="n">
        <v>46301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38587-2026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46283</v>
      </c>
      <c r="E860" s="1" t="n">
        <v>46301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48834-2024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45593</v>
      </c>
      <c r="E861" s="1" t="n">
        <v>46301</v>
      </c>
      <c r="F861" t="inlineStr">
        <is>
          <t>GÄVLEBORGS LÄN</t>
        </is>
      </c>
      <c r="G861" t="inlineStr">
        <is>
          <t>GÄVLE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58192-2024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45632</v>
      </c>
      <c r="E862" s="1" t="n">
        <v>46301</v>
      </c>
      <c r="F862" t="inlineStr">
        <is>
          <t>GÄVLEBORGS LÄN</t>
        </is>
      </c>
      <c r="G862" t="inlineStr">
        <is>
          <t>GÄVLE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38551-2026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46283</v>
      </c>
      <c r="E863" s="1" t="n">
        <v>46301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38952-2026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46286</v>
      </c>
      <c r="E864" s="1" t="n">
        <v>46301</v>
      </c>
      <c r="F864" t="inlineStr">
        <is>
          <t>GÄVLEBORGS LÄN</t>
        </is>
      </c>
      <c r="G864" t="inlineStr">
        <is>
          <t>GÄVLE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38562-2026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46283</v>
      </c>
      <c r="E865" s="1" t="n">
        <v>46301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38623-2026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46283</v>
      </c>
      <c r="E866" s="1" t="n">
        <v>46301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8.5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38624-2026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46283</v>
      </c>
      <c r="E867" s="1" t="n">
        <v>46301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42876-2023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45182</v>
      </c>
      <c r="E868" s="1" t="n">
        <v>46301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22.7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38609-2026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46283</v>
      </c>
      <c r="E869" s="1" t="n">
        <v>46301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38582-2026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46283</v>
      </c>
      <c r="E870" s="1" t="n">
        <v>46301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12.8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39120-2026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46287</v>
      </c>
      <c r="E871" s="1" t="n">
        <v>46301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39083-2026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46287</v>
      </c>
      <c r="E872" s="1" t="n">
        <v>46301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väst AB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39437-2026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46288</v>
      </c>
      <c r="E873" s="1" t="n">
        <v>46301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väst AB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32887-2026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46244</v>
      </c>
      <c r="E874" s="1" t="n">
        <v>46301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39021-2026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46287</v>
      </c>
      <c r="E875" s="1" t="n">
        <v>46301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61786-2024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45649</v>
      </c>
      <c r="E876" s="1" t="n">
        <v>46301</v>
      </c>
      <c r="F876" t="inlineStr">
        <is>
          <t>GÄVLEBORGS LÄN</t>
        </is>
      </c>
      <c r="G876" t="inlineStr">
        <is>
          <t>GÄVLE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39031-2026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46287</v>
      </c>
      <c r="E877" s="1" t="n">
        <v>46301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32888-2026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46244</v>
      </c>
      <c r="E878" s="1" t="n">
        <v>46301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61300-2024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45645</v>
      </c>
      <c r="E879" s="1" t="n">
        <v>46301</v>
      </c>
      <c r="F879" t="inlineStr">
        <is>
          <t>GÄVLEBORGS LÄN</t>
        </is>
      </c>
      <c r="G879" t="inlineStr">
        <is>
          <t>GÄVLE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32890-2026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46244</v>
      </c>
      <c r="E880" s="1" t="n">
        <v>46301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39227-2026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46287</v>
      </c>
      <c r="E881" s="1" t="n">
        <v>46301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17.4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38997-2026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46287</v>
      </c>
      <c r="E882" s="1" t="n">
        <v>46301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6.5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27048-2026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46185</v>
      </c>
      <c r="E883" s="1" t="n">
        <v>46301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33348-2026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46246</v>
      </c>
      <c r="E884" s="1" t="n">
        <v>46301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33350-2026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46246</v>
      </c>
      <c r="E885" s="1" t="n">
        <v>46301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39509-2022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44818</v>
      </c>
      <c r="E886" s="1" t="n">
        <v>46301</v>
      </c>
      <c r="F886" t="inlineStr">
        <is>
          <t>GÄVLEBORGS LÄN</t>
        </is>
      </c>
      <c r="G886" t="inlineStr">
        <is>
          <t>GÄVLE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40091-2023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45168</v>
      </c>
      <c r="E887" s="1" t="n">
        <v>46301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33265-2026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46246</v>
      </c>
      <c r="E888" s="1" t="n">
        <v>46301</v>
      </c>
      <c r="F888" t="inlineStr">
        <is>
          <t>GÄVLEBORGS LÄN</t>
        </is>
      </c>
      <c r="G888" t="inlineStr">
        <is>
          <t>GÄVLE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33231-2026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46246</v>
      </c>
      <c r="E889" s="1" t="n">
        <v>46301</v>
      </c>
      <c r="F889" t="inlineStr">
        <is>
          <t>GÄVLEBORGS LÄN</t>
        </is>
      </c>
      <c r="G889" t="inlineStr">
        <is>
          <t>GÄVLE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39729-2026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46290</v>
      </c>
      <c r="E890" s="1" t="n">
        <v>46301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20.9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39766-2026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46290</v>
      </c>
      <c r="E891" s="1" t="n">
        <v>46301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39534-2026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46289</v>
      </c>
      <c r="E892" s="1" t="n">
        <v>46301</v>
      </c>
      <c r="F892" t="inlineStr">
        <is>
          <t>GÄVLEBORGS LÄN</t>
        </is>
      </c>
      <c r="G892" t="inlineStr">
        <is>
          <t>GÄVLE</t>
        </is>
      </c>
      <c r="I892" t="n">
        <v>7.1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6370-2025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45699</v>
      </c>
      <c r="E893" s="1" t="n">
        <v>46301</v>
      </c>
      <c r="F893" t="inlineStr">
        <is>
          <t>GÄVLEBORGS LÄN</t>
        </is>
      </c>
      <c r="G893" t="inlineStr">
        <is>
          <t>GÄVLE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33346-2026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46246</v>
      </c>
      <c r="E894" s="1" t="n">
        <v>46301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33349-2026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46246</v>
      </c>
      <c r="E895" s="1" t="n">
        <v>46301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33347-2026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46246</v>
      </c>
      <c r="E896" s="1" t="n">
        <v>46301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39685-2026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46289</v>
      </c>
      <c r="E897" s="1" t="n">
        <v>46301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39891-2026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46290</v>
      </c>
      <c r="E898" s="1" t="n">
        <v>46301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28624-2025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45819</v>
      </c>
      <c r="E899" s="1" t="n">
        <v>46301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väst AB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15935-2025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45749</v>
      </c>
      <c r="E900" s="1" t="n">
        <v>46301</v>
      </c>
      <c r="F900" t="inlineStr">
        <is>
          <t>GÄVLEBORGS LÄN</t>
        </is>
      </c>
      <c r="G900" t="inlineStr">
        <is>
          <t>GÄVLE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39684-2026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46289</v>
      </c>
      <c r="E901" s="1" t="n">
        <v>46301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3.9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39702-2026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46290</v>
      </c>
      <c r="E902" s="1" t="n">
        <v>46301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39805-2026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46290</v>
      </c>
      <c r="E903" s="1" t="n">
        <v>46301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7.4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29929-2022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44756</v>
      </c>
      <c r="E904" s="1" t="n">
        <v>46301</v>
      </c>
      <c r="F904" t="inlineStr">
        <is>
          <t>GÄVLEBORGS LÄN</t>
        </is>
      </c>
      <c r="G904" t="inlineStr">
        <is>
          <t>GÄVLE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40118-2026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46293</v>
      </c>
      <c r="E905" s="1" t="n">
        <v>46301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40375-2026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46294</v>
      </c>
      <c r="E906" s="1" t="n">
        <v>46301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10352-2025</t>
        </is>
      </c>
      <c r="B907" t="inlineStr">
        <is>
          <t>avverkningsanmälan</t>
        </is>
      </c>
      <c r="C907" t="inlineStr">
        <is>
          <t>Avverkning för att bevara och utveckla /försöksver</t>
        </is>
      </c>
      <c r="D907" s="1" t="n">
        <v>45720</v>
      </c>
      <c r="E907" s="1" t="n">
        <v>46301</v>
      </c>
      <c r="F907" t="inlineStr">
        <is>
          <t>GÄVLEBORGS LÄN</t>
        </is>
      </c>
      <c r="G907" t="inlineStr">
        <is>
          <t>GÄVLE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33662-2026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46248</v>
      </c>
      <c r="E908" s="1" t="n">
        <v>46301</v>
      </c>
      <c r="F908" t="inlineStr">
        <is>
          <t>GÄVLEBORGS LÄN</t>
        </is>
      </c>
      <c r="G908" t="inlineStr">
        <is>
          <t>GÄVLE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33664-2026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46248</v>
      </c>
      <c r="E909" s="1" t="n">
        <v>46301</v>
      </c>
      <c r="F909" t="inlineStr">
        <is>
          <t>GÄVLEBORGS LÄN</t>
        </is>
      </c>
      <c r="G909" t="inlineStr">
        <is>
          <t>GÄVLE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24367-2026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46169</v>
      </c>
      <c r="E910" s="1" t="n">
        <v>46301</v>
      </c>
      <c r="F910" t="inlineStr">
        <is>
          <t>GÄVLEBORGS LÄN</t>
        </is>
      </c>
      <c r="G910" t="inlineStr">
        <is>
          <t>GÄVLE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33585-2026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46248</v>
      </c>
      <c r="E911" s="1" t="n">
        <v>46301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9.5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33586-2026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46248</v>
      </c>
      <c r="E912" s="1" t="n">
        <v>46301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58445-2021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44488</v>
      </c>
      <c r="E913" s="1" t="n">
        <v>46301</v>
      </c>
      <c r="F913" t="inlineStr">
        <is>
          <t>GÄVLEBORGS LÄN</t>
        </is>
      </c>
      <c r="G913" t="inlineStr">
        <is>
          <t>GÄVLE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40052-2026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46293</v>
      </c>
      <c r="E914" s="1" t="n">
        <v>46301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35206-2024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45530</v>
      </c>
      <c r="E915" s="1" t="n">
        <v>46301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14974-2026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46104</v>
      </c>
      <c r="E916" s="1" t="n">
        <v>46301</v>
      </c>
      <c r="F916" t="inlineStr">
        <is>
          <t>GÄVLEBORGS LÄN</t>
        </is>
      </c>
      <c r="G916" t="inlineStr">
        <is>
          <t>GÄVLE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23117-2026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46161</v>
      </c>
      <c r="E917" s="1" t="n">
        <v>46301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61918-2023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45266</v>
      </c>
      <c r="E918" s="1" t="n">
        <v>46301</v>
      </c>
      <c r="F918" t="inlineStr">
        <is>
          <t>GÄVLEBORGS LÄN</t>
        </is>
      </c>
      <c r="G918" t="inlineStr">
        <is>
          <t>GÄVLE</t>
        </is>
      </c>
      <c r="I918" t="n">
        <v>5.3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2458-2024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45312</v>
      </c>
      <c r="E919" s="1" t="n">
        <v>46301</v>
      </c>
      <c r="F919" t="inlineStr">
        <is>
          <t>GÄVLEBORGS LÄN</t>
        </is>
      </c>
      <c r="G919" t="inlineStr">
        <is>
          <t>GÄVLE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40173-2026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46293</v>
      </c>
      <c r="E920" s="1" t="n">
        <v>46301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40180-2026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46293</v>
      </c>
      <c r="E921" s="1" t="n">
        <v>46301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21300-2024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45440</v>
      </c>
      <c r="E922" s="1" t="n">
        <v>46301</v>
      </c>
      <c r="F922" t="inlineStr">
        <is>
          <t>GÄVLEBORGS LÄN</t>
        </is>
      </c>
      <c r="G922" t="inlineStr">
        <is>
          <t>GÄVLE</t>
        </is>
      </c>
      <c r="I922" t="n">
        <v>8.6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61843-2023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45266</v>
      </c>
      <c r="E923" s="1" t="n">
        <v>46301</v>
      </c>
      <c r="F923" t="inlineStr">
        <is>
          <t>GÄVLEBORGS LÄN</t>
        </is>
      </c>
      <c r="G923" t="inlineStr">
        <is>
          <t>GÄVLE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45660</v>
      </c>
      <c r="E924" s="1" t="n">
        <v>46301</v>
      </c>
      <c r="F924" t="inlineStr">
        <is>
          <t>GÄVLEBORGS LÄN</t>
        </is>
      </c>
      <c r="G924" t="inlineStr">
        <is>
          <t>GÄVLE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49401-2024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45595</v>
      </c>
      <c r="E925" s="1" t="n">
        <v>46301</v>
      </c>
      <c r="F925" t="inlineStr">
        <is>
          <t>GÄVLEBORGS LÄN</t>
        </is>
      </c>
      <c r="G925" t="inlineStr">
        <is>
          <t>GÄVLE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45938-2024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45580</v>
      </c>
      <c r="E926" s="1" t="n">
        <v>46301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5.3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20621-2025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45776</v>
      </c>
      <c r="E927" s="1" t="n">
        <v>46301</v>
      </c>
      <c r="F927" t="inlineStr">
        <is>
          <t>GÄVLEBORGS LÄN</t>
        </is>
      </c>
      <c r="G927" t="inlineStr">
        <is>
          <t>GÄVLE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21431-2025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45782</v>
      </c>
      <c r="E928" s="1" t="n">
        <v>46301</v>
      </c>
      <c r="F928" t="inlineStr">
        <is>
          <t>GÄVLEBORGS LÄN</t>
        </is>
      </c>
      <c r="G928" t="inlineStr">
        <is>
          <t>GÄVLE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40790-2026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46296</v>
      </c>
      <c r="E929" s="1" t="n">
        <v>46301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3.3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40791-2026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46296</v>
      </c>
      <c r="E930" s="1" t="n">
        <v>46301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33719-2026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46251</v>
      </c>
      <c r="E931" s="1" t="n">
        <v>46301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59044-2023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45252</v>
      </c>
      <c r="E932" s="1" t="n">
        <v>46301</v>
      </c>
      <c r="F932" t="inlineStr">
        <is>
          <t>GÄVLEBORGS LÄN</t>
        </is>
      </c>
      <c r="G932" t="inlineStr">
        <is>
          <t>GÄVLE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7451-2025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45705</v>
      </c>
      <c r="E933" s="1" t="n">
        <v>46301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7202-2025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45702</v>
      </c>
      <c r="E934" s="1" t="n">
        <v>46301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40504-2026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46295</v>
      </c>
      <c r="E935" s="1" t="n">
        <v>46301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5.2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40507-2026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46295</v>
      </c>
      <c r="E936" s="1" t="n">
        <v>46301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34033-2026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46252</v>
      </c>
      <c r="E937" s="1" t="n">
        <v>46301</v>
      </c>
      <c r="F937" t="inlineStr">
        <is>
          <t>GÄVLEBORGS LÄN</t>
        </is>
      </c>
      <c r="G937" t="inlineStr">
        <is>
          <t>GÄVLE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40505-2026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46295</v>
      </c>
      <c r="E938" s="1" t="n">
        <v>46301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54960-2025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45967</v>
      </c>
      <c r="E939" s="1" t="n">
        <v>46301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50345-2025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45944</v>
      </c>
      <c r="E940" s="1" t="n">
        <v>46301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väst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22923-2025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45790</v>
      </c>
      <c r="E941" s="1" t="n">
        <v>46301</v>
      </c>
      <c r="F941" t="inlineStr">
        <is>
          <t>GÄVLEBORGS LÄN</t>
        </is>
      </c>
      <c r="G941" t="inlineStr">
        <is>
          <t>GÄVLE</t>
        </is>
      </c>
      <c r="I941" t="n">
        <v>20.8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22879-2025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45790</v>
      </c>
      <c r="E942" s="1" t="n">
        <v>46301</v>
      </c>
      <c r="F942" t="inlineStr">
        <is>
          <t>GÄVLEBORGS LÄN</t>
        </is>
      </c>
      <c r="G942" t="inlineStr">
        <is>
          <t>GÄVLE</t>
        </is>
      </c>
      <c r="I942" t="n">
        <v>3.9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34591-2026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46255</v>
      </c>
      <c r="E943" s="1" t="n">
        <v>46301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58925-2025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45987</v>
      </c>
      <c r="E944" s="1" t="n">
        <v>46301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255-2025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45660</v>
      </c>
      <c r="E945" s="1" t="n">
        <v>46301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väst AB</t>
        </is>
      </c>
      <c r="I945" t="n">
        <v>3.7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41106-2026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46300</v>
      </c>
      <c r="E946" s="1" t="n">
        <v>46301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23324-2025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45791</v>
      </c>
      <c r="E947" s="1" t="n">
        <v>46301</v>
      </c>
      <c r="F947" t="inlineStr">
        <is>
          <t>GÄVLEBORGS LÄN</t>
        </is>
      </c>
      <c r="G947" t="inlineStr">
        <is>
          <t>GÄVLE</t>
        </is>
      </c>
      <c r="I947" t="n">
        <v>6.2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27051-2026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46185</v>
      </c>
      <c r="E948" s="1" t="n">
        <v>46301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13500-2026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46094</v>
      </c>
      <c r="E949" s="1" t="n">
        <v>46301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54959-2025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45967</v>
      </c>
      <c r="E950" s="1" t="n">
        <v>46301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40896-2026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46297</v>
      </c>
      <c r="E951" s="1" t="n">
        <v>46301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34686-2026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46258</v>
      </c>
      <c r="E952" s="1" t="n">
        <v>46301</v>
      </c>
      <c r="F952" t="inlineStr">
        <is>
          <t>GÄVLEBORGS LÄN</t>
        </is>
      </c>
      <c r="G952" t="inlineStr">
        <is>
          <t>GÄVLE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8298-2026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46063</v>
      </c>
      <c r="E953" s="1" t="n">
        <v>46301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väst AB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21367-2026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46147</v>
      </c>
      <c r="E954" s="1" t="n">
        <v>46301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12.8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23291-2025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45791</v>
      </c>
      <c r="E955" s="1" t="n">
        <v>46301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väst AB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40943-2026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46297</v>
      </c>
      <c r="E956" s="1" t="n">
        <v>46301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40947-2026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46297</v>
      </c>
      <c r="E957" s="1" t="n">
        <v>46301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23232-2025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45791</v>
      </c>
      <c r="E958" s="1" t="n">
        <v>46301</v>
      </c>
      <c r="F958" t="inlineStr">
        <is>
          <t>GÄVLEBORGS LÄN</t>
        </is>
      </c>
      <c r="G958" t="inlineStr">
        <is>
          <t>GÄVLE</t>
        </is>
      </c>
      <c r="I958" t="n">
        <v>10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34432-2026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46254</v>
      </c>
      <c r="E959" s="1" t="n">
        <v>46301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48913-2024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45594</v>
      </c>
      <c r="E960" s="1" t="n">
        <v>46301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38051-2026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46280</v>
      </c>
      <c r="E961" s="1" t="n">
        <v>46301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47143-2024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45586</v>
      </c>
      <c r="E962" s="1" t="n">
        <v>46301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4.2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34415-2026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46254</v>
      </c>
      <c r="E963" s="1" t="n">
        <v>46301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34822-2026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46258</v>
      </c>
      <c r="E964" s="1" t="n">
        <v>46301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26016-2026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46181</v>
      </c>
      <c r="E965" s="1" t="n">
        <v>46301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27040-2026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46185</v>
      </c>
      <c r="E966" s="1" t="n">
        <v>46301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34590-2026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46255</v>
      </c>
      <c r="E967" s="1" t="n">
        <v>46301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34593-2026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46255</v>
      </c>
      <c r="E968" s="1" t="n">
        <v>46301</v>
      </c>
      <c r="F968" t="inlineStr">
        <is>
          <t>GÄVLEBORGS LÄN</t>
        </is>
      </c>
      <c r="G968" t="inlineStr">
        <is>
          <t>GÄVLE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55878-2024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45623</v>
      </c>
      <c r="E969" s="1" t="n">
        <v>46301</v>
      </c>
      <c r="F969" t="inlineStr">
        <is>
          <t>GÄVLEBORGS LÄN</t>
        </is>
      </c>
      <c r="G969" t="inlineStr">
        <is>
          <t>GÄVLE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40948-2026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46297</v>
      </c>
      <c r="E970" s="1" t="n">
        <v>46301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40949-2026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46297</v>
      </c>
      <c r="E971" s="1" t="n">
        <v>46301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öst AB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58373-2024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45632</v>
      </c>
      <c r="E972" s="1" t="n">
        <v>46301</v>
      </c>
      <c r="F972" t="inlineStr">
        <is>
          <t>GÄVLEBORGS LÄN</t>
        </is>
      </c>
      <c r="G972" t="inlineStr">
        <is>
          <t>GÄVLE</t>
        </is>
      </c>
      <c r="I972" t="n">
        <v>13.1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21365-2026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46147</v>
      </c>
      <c r="E973" s="1" t="n">
        <v>46301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24225-2025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45797</v>
      </c>
      <c r="E974" s="1" t="n">
        <v>46301</v>
      </c>
      <c r="F974" t="inlineStr">
        <is>
          <t>GÄVLEBORGS LÄN</t>
        </is>
      </c>
      <c r="G974" t="inlineStr">
        <is>
          <t>GÄVLE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24614-2025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45798</v>
      </c>
      <c r="E975" s="1" t="n">
        <v>46301</v>
      </c>
      <c r="F975" t="inlineStr">
        <is>
          <t>GÄVLEBORGS LÄN</t>
        </is>
      </c>
      <c r="G975" t="inlineStr">
        <is>
          <t>GÄVLE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40938-2026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46297</v>
      </c>
      <c r="E976" s="1" t="n">
        <v>46301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4.2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40941-2026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46297</v>
      </c>
      <c r="E977" s="1" t="n">
        <v>46301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24228-2025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45797</v>
      </c>
      <c r="E978" s="1" t="n">
        <v>46301</v>
      </c>
      <c r="F978" t="inlineStr">
        <is>
          <t>GÄVLEBORGS LÄN</t>
        </is>
      </c>
      <c r="G978" t="inlineStr">
        <is>
          <t>GÄVLE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31367-2024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45505</v>
      </c>
      <c r="E979" s="1" t="n">
        <v>46301</v>
      </c>
      <c r="F979" t="inlineStr">
        <is>
          <t>GÄVLEBORGS LÄN</t>
        </is>
      </c>
      <c r="G979" t="inlineStr">
        <is>
          <t>GÄVLE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30600-2026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46210</v>
      </c>
      <c r="E980" s="1" t="n">
        <v>46301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25808-2026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46178</v>
      </c>
      <c r="E981" s="1" t="n">
        <v>46301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26564-2022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44739</v>
      </c>
      <c r="E982" s="1" t="n">
        <v>46301</v>
      </c>
      <c r="F982" t="inlineStr">
        <is>
          <t>GÄVLEBORGS LÄN</t>
        </is>
      </c>
      <c r="G982" t="inlineStr">
        <is>
          <t>GÄVLE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25878-2025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45804</v>
      </c>
      <c r="E983" s="1" t="n">
        <v>46301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S 3425-2023</t>
        </is>
      </c>
      <c r="B984" t="inlineStr">
        <is>
          <t>samrådsanmälan</t>
        </is>
      </c>
      <c r="C984" t="inlineStr">
        <is>
          <t>Annan skogsbruksåtgärd</t>
        </is>
      </c>
      <c r="D984" s="1" t="n">
        <v>45205</v>
      </c>
      <c r="E984" s="1" t="n">
        <v>46301</v>
      </c>
      <c r="F984" t="inlineStr">
        <is>
          <t>GÄVLEBORGS LÄN</t>
        </is>
      </c>
      <c r="G984" t="inlineStr">
        <is>
          <t>GÄVLE</t>
        </is>
      </c>
      <c r="I984" t="n">
        <v>0.2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  <c r="Z984">
        <f>HYPERLINK("https://klasma.github.io/Logging_2180/knärot/S 3425-2023 karta knärot.png", "S 3425-2023")</f>
        <v/>
      </c>
      <c r="AA984">
        <f>HYPERLINK("https://klasma.github.io/Logging_2180/klagomål/S 3425-2023 FSC-klagomål.docx", "S 3425-2023")</f>
        <v/>
      </c>
      <c r="AB984">
        <f>HYPERLINK("https://klasma.github.io/Logging_2180/klagomålsmail/S 3425-2023 FSC-klagomål mail.docx", "S 3425-2023")</f>
        <v/>
      </c>
      <c r="AC984">
        <f>HYPERLINK("https://klasma.github.io/Logging_2180/tillsyn/S 3425-2023 tillsynsbegäran.docx", "S 3425-2023")</f>
        <v/>
      </c>
      <c r="AD984">
        <f>HYPERLINK("https://klasma.github.io/Logging_2180/tillsynsmail/S 3425-2023 tillsynsbegäran mail.docx", "S 3425-2023")</f>
        <v/>
      </c>
    </row>
    <row r="985" ht="15" customHeight="1">
      <c r="A985" t="inlineStr">
        <is>
          <t>S 889-2023</t>
        </is>
      </c>
      <c r="B985" t="inlineStr">
        <is>
          <t>samrådsanmälan</t>
        </is>
      </c>
      <c r="C985" t="inlineStr">
        <is>
          <t>Skogsgödsling</t>
        </is>
      </c>
      <c r="D985" s="1" t="n">
        <v>44995</v>
      </c>
      <c r="E985" s="1" t="n">
        <v>46301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13.3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S 886-2024</t>
        </is>
      </c>
      <c r="B986" t="inlineStr">
        <is>
          <t>samrådsanmälan</t>
        </is>
      </c>
      <c r="C986" t="inlineStr">
        <is>
          <t>Annan skogsbruksåtgärd</t>
        </is>
      </c>
      <c r="D986" s="1" t="n">
        <v>45376</v>
      </c>
      <c r="E986" s="1" t="n">
        <v>46301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11.9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S 2464-2024</t>
        </is>
      </c>
      <c r="B987" t="inlineStr">
        <is>
          <t>samrådsanmälan</t>
        </is>
      </c>
      <c r="C987" t="inlineStr">
        <is>
          <t>Skogsbilväg</t>
        </is>
      </c>
      <c r="D987" s="1" t="n">
        <v>45470</v>
      </c>
      <c r="E987" s="1" t="n">
        <v>46301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väst AB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>
      <c r="A988" t="inlineStr">
        <is>
          <t>S 644-2026</t>
        </is>
      </c>
      <c r="B988" t="inlineStr">
        <is>
          <t>samrådsanmälan</t>
        </is>
      </c>
      <c r="C988" t="inlineStr">
        <is>
          <t>Skogsgödsling</t>
        </is>
      </c>
      <c r="D988" s="1" t="n">
        <v>46089</v>
      </c>
      <c r="E988" s="1" t="n">
        <v>46301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29.2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2026-10-06T01:53:39Z</dcterms:created>
  <dcterms:modified xmlns:dcterms="http://purl.org/dc/terms/" xmlns:xsi="http://www.w3.org/2001/XMLSchema-instance" xsi:type="dcterms:W3CDTF">2026-10-06T01:53:40Z</dcterms:modified>
</cp:coreProperties>
</file>