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46260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46260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46260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46260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46260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46260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46260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46260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46260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46260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46260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46260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46260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46260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46260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46260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6080-2026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46052</v>
      </c>
      <c r="E28" s="1" t="n">
        <v>46260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2</v>
      </c>
      <c r="J28" t="n">
        <v>0</v>
      </c>
      <c r="K28" t="n">
        <v>0</v>
      </c>
      <c r="L28" t="n">
        <v>1</v>
      </c>
      <c r="M28" t="n">
        <v>3</v>
      </c>
      <c r="N28" t="n">
        <v>0</v>
      </c>
      <c r="O28" t="n">
        <v>0</v>
      </c>
      <c r="P28" t="n">
        <v>0</v>
      </c>
      <c r="Q28" t="n">
        <v>4</v>
      </c>
      <c r="R28" t="n">
        <v>3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Ängsblåvinge
Storfläckig kungsnattslända</t>
        </is>
      </c>
      <c r="W28">
        <f>HYPERLINK("https://klasma.github.io/Logging_2180/artfynd/A 6080-2026 artfynd.xlsx", "A 6080-2026")</f>
        <v/>
      </c>
      <c r="X28">
        <f>HYPERLINK("https://klasma.github.io/Logging_2180/kartor/A 6080-2026 karta.png", "A 6080-2026")</f>
        <v/>
      </c>
      <c r="Y28">
        <f>HYPERLINK("https://klasma.github.io/Logging_2180/kartor_geotiff/A 6080-2026 georefererad karta.tif", "A 6080-2026")</f>
        <v/>
      </c>
      <c r="AA28">
        <f>HYPERLINK("https://klasma.github.io/Logging_2180/klagomål/A 6080-2026 FSC-klagomål.docx", "A 6080-2026")</f>
        <v/>
      </c>
      <c r="AB28">
        <f>HYPERLINK("https://klasma.github.io/Logging_2180/klagomålsmail/A 6080-2026 FSC-klagomål mail.docx", "A 6080-2026")</f>
        <v/>
      </c>
      <c r="AC28">
        <f>HYPERLINK("https://klasma.github.io/Logging_2180/tillsyn/A 6080-2026 tillsynsbegäran.docx", "A 6080-2026")</f>
        <v/>
      </c>
      <c r="AD28">
        <f>HYPERLINK("https://klasma.github.io/Logging_2180/tillsynsmail/A 6080-2026 tillsynsbegäran mail.docx", "A 6080-2026")</f>
        <v/>
      </c>
    </row>
    <row r="29" ht="15" customHeight="1">
      <c r="A29" t="inlineStr">
        <is>
          <t>A 41028-2025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46260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Kolflarnlav
Reliktbock
Vedflamlav
Vedskivlav</t>
        </is>
      </c>
      <c r="W29">
        <f>HYPERLINK("https://klasma.github.io/Logging_2180/artfynd/A 41028-2025 artfynd.xlsx", "A 41028-2025")</f>
        <v/>
      </c>
      <c r="X29">
        <f>HYPERLINK("https://klasma.github.io/Logging_2180/kartor/A 41028-2025 karta.png", "A 41028-2025")</f>
        <v/>
      </c>
      <c r="Y29">
        <f>HYPERLINK("https://klasma.github.io/Logging_2180/kartor_geotiff/A 41028-2025 georefererad karta.tif", "A 41028-2025")</f>
        <v/>
      </c>
      <c r="AA29">
        <f>HYPERLINK("https://klasma.github.io/Logging_2180/klagomål/A 41028-2025 FSC-klagomål.docx", "A 41028-2025")</f>
        <v/>
      </c>
      <c r="AB29">
        <f>HYPERLINK("https://klasma.github.io/Logging_2180/klagomålsmail/A 41028-2025 FSC-klagomål mail.docx", "A 41028-2025")</f>
        <v/>
      </c>
      <c r="AC29">
        <f>HYPERLINK("https://klasma.github.io/Logging_2180/tillsyn/A 41028-2025 tillsynsbegäran.docx", "A 41028-2025")</f>
        <v/>
      </c>
      <c r="AD29">
        <f>HYPERLINK("https://klasma.github.io/Logging_2180/tillsynsmail/A 41028-2025 tillsynsbegäran mail.docx", "A 41028-2025")</f>
        <v/>
      </c>
    </row>
    <row r="30" ht="15" customHeight="1">
      <c r="A30" t="inlineStr">
        <is>
          <t>A 53571-2024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46260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4.9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Skogsbräsma
Svavelriska
Blåsippa
Vanlig padda</t>
        </is>
      </c>
      <c r="W30">
        <f>HYPERLINK("https://klasma.github.io/Logging_2180/artfynd/A 53571-2024 artfynd.xlsx", "A 53571-2024")</f>
        <v/>
      </c>
      <c r="X30">
        <f>HYPERLINK("https://klasma.github.io/Logging_2180/kartor/A 53571-2024 karta.png", "A 53571-2024")</f>
        <v/>
      </c>
      <c r="Y30">
        <f>HYPERLINK("https://klasma.github.io/Logging_2180/kartor_geotiff/A 53571-2024 georefererad karta.tif", "A 53571-2024")</f>
        <v/>
      </c>
      <c r="AA30">
        <f>HYPERLINK("https://klasma.github.io/Logging_2180/klagomål/A 53571-2024 FSC-klagomål.docx", "A 53571-2024")</f>
        <v/>
      </c>
      <c r="AB30">
        <f>HYPERLINK("https://klasma.github.io/Logging_2180/klagomålsmail/A 53571-2024 FSC-klagomål mail.docx", "A 53571-2024")</f>
        <v/>
      </c>
      <c r="AC30">
        <f>HYPERLINK("https://klasma.github.io/Logging_2180/tillsyn/A 53571-2024 tillsynsbegäran.docx", "A 53571-2024")</f>
        <v/>
      </c>
      <c r="AD30">
        <f>HYPERLINK("https://klasma.github.io/Logging_2180/tillsynsmail/A 53571-2024 tillsynsbegäran mail.docx", "A 53571-2024")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46260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46260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46260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46260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46260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46260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46260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46260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46260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46260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15093-2026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46105</v>
      </c>
      <c r="E41" s="1" t="n">
        <v>46260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0.8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Lunglav
Bårdlav</t>
        </is>
      </c>
      <c r="W41">
        <f>HYPERLINK("https://klasma.github.io/Logging_2180/artfynd/A 15093-2026 artfynd.xlsx", "A 15093-2026")</f>
        <v/>
      </c>
      <c r="X41">
        <f>HYPERLINK("https://klasma.github.io/Logging_2180/kartor/A 15093-2026 karta.png", "A 15093-2026")</f>
        <v/>
      </c>
      <c r="Y41">
        <f>HYPERLINK("https://klasma.github.io/Logging_2180/kartor_geotiff/A 15093-2026 georefererad karta.tif", "A 15093-2026")</f>
        <v/>
      </c>
      <c r="AA41">
        <f>HYPERLINK("https://klasma.github.io/Logging_2180/klagomål/A 15093-2026 FSC-klagomål.docx", "A 15093-2026")</f>
        <v/>
      </c>
      <c r="AB41">
        <f>HYPERLINK("https://klasma.github.io/Logging_2180/klagomålsmail/A 15093-2026 FSC-klagomål mail.docx", "A 15093-2026")</f>
        <v/>
      </c>
      <c r="AC41">
        <f>HYPERLINK("https://klasma.github.io/Logging_2180/tillsyn/A 15093-2026 tillsynsbegäran.docx", "A 15093-2026")</f>
        <v/>
      </c>
      <c r="AD41">
        <f>HYPERLINK("https://klasma.github.io/Logging_2180/tillsynsmail/A 15093-2026 tillsynsbegäran mail.docx", "A 15093-2026")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46260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46260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14891-2024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45398</v>
      </c>
      <c r="E44" s="1" t="n">
        <v>46260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10.8</v>
      </c>
      <c r="J44" t="n">
        <v>0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Ask
Kattfotslav
Svavelriska</t>
        </is>
      </c>
      <c r="W44">
        <f>HYPERLINK("https://klasma.github.io/Logging_2180/artfynd/A 14891-2024 artfynd.xlsx", "A 14891-2024")</f>
        <v/>
      </c>
      <c r="X44">
        <f>HYPERLINK("https://klasma.github.io/Logging_2180/kartor/A 14891-2024 karta.png", "A 14891-2024")</f>
        <v/>
      </c>
      <c r="Y44">
        <f>HYPERLINK("https://klasma.github.io/Logging_2180/kartor_geotiff/A 14891-2024 georefererad karta.tif", "A 14891-2024")</f>
        <v/>
      </c>
      <c r="AA44">
        <f>HYPERLINK("https://klasma.github.io/Logging_2180/klagomål/A 14891-2024 FSC-klagomål.docx", "A 14891-2024")</f>
        <v/>
      </c>
      <c r="AB44">
        <f>HYPERLINK("https://klasma.github.io/Logging_2180/klagomålsmail/A 14891-2024 FSC-klagomål mail.docx", "A 14891-2024")</f>
        <v/>
      </c>
      <c r="AC44">
        <f>HYPERLINK("https://klasma.github.io/Logging_2180/tillsyn/A 14891-2024 tillsynsbegäran.docx", "A 14891-2024")</f>
        <v/>
      </c>
      <c r="AD44">
        <f>HYPERLINK("https://klasma.github.io/Logging_2180/tillsynsmail/A 14891-2024 tillsynsbegäran mail.docx", "A 14891-2024")</f>
        <v/>
      </c>
    </row>
    <row r="45" ht="15" customHeight="1">
      <c r="A45" t="inlineStr">
        <is>
          <t>A 18215-2024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46260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68.59999999999999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Brunklöver
Tjäder
Huggorm</t>
        </is>
      </c>
      <c r="W45">
        <f>HYPERLINK("https://klasma.github.io/Logging_2180/artfynd/A 18215-2024 artfynd.xlsx", "A 18215-2024")</f>
        <v/>
      </c>
      <c r="X45">
        <f>HYPERLINK("https://klasma.github.io/Logging_2180/kartor/A 18215-2024 karta.png", "A 18215-2024")</f>
        <v/>
      </c>
      <c r="Y45">
        <f>HYPERLINK("https://klasma.github.io/Logging_2180/kartor_geotiff/A 18215-2024 georefererad karta.tif", "A 18215-2024")</f>
        <v/>
      </c>
      <c r="AA45">
        <f>HYPERLINK("https://klasma.github.io/Logging_2180/klagomål/A 18215-2024 FSC-klagomål.docx", "A 18215-2024")</f>
        <v/>
      </c>
      <c r="AB45">
        <f>HYPERLINK("https://klasma.github.io/Logging_2180/klagomålsmail/A 18215-2024 FSC-klagomål mail.docx", "A 18215-2024")</f>
        <v/>
      </c>
      <c r="AC45">
        <f>HYPERLINK("https://klasma.github.io/Logging_2180/tillsyn/A 18215-2024 tillsynsbegäran.docx", "A 18215-2024")</f>
        <v/>
      </c>
      <c r="AD45">
        <f>HYPERLINK("https://klasma.github.io/Logging_2180/tillsynsmail/A 18215-2024 tillsynsbegäran mail.docx", "A 18215-2024")</f>
        <v/>
      </c>
      <c r="AE45">
        <f>HYPERLINK("https://klasma.github.io/Logging_2180/fåglar/A 18215-2024 prioriterade fågelarter.docx", "A 18215-2024")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46260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46260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46260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46260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46260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Ullticka
Järpe</t>
        </is>
      </c>
      <c r="W50">
        <f>HYPERLINK("https://klasma.github.io/Logging_2180/artfynd/A 13727-2025 artfynd.xlsx", "A 13727-2025")</f>
        <v/>
      </c>
      <c r="X50">
        <f>HYPERLINK("https://klasma.github.io/Logging_2180/kartor/A 13727-2025 karta.png", "A 13727-2025")</f>
        <v/>
      </c>
      <c r="Y50">
        <f>HYPERLINK("https://klasma.github.io/Logging_2180/kartor_geotiff/A 13727-2025 georefererad karta.tif", "A 13727-2025")</f>
        <v/>
      </c>
      <c r="AA50">
        <f>HYPERLINK("https://klasma.github.io/Logging_2180/klagomål/A 13727-2025 FSC-klagomål.docx", "A 13727-2025")</f>
        <v/>
      </c>
      <c r="AB50">
        <f>HYPERLINK("https://klasma.github.io/Logging_2180/klagomålsmail/A 13727-2025 FSC-klagomål mail.docx", "A 13727-2025")</f>
        <v/>
      </c>
      <c r="AC50">
        <f>HYPERLINK("https://klasma.github.io/Logging_2180/tillsyn/A 13727-2025 tillsynsbegäran.docx", "A 13727-2025")</f>
        <v/>
      </c>
      <c r="AD50">
        <f>HYPERLINK("https://klasma.github.io/Logging_2180/tillsynsmail/A 13727-2025 tillsynsbegäran mail.docx", "A 13727-2025")</f>
        <v/>
      </c>
      <c r="AE50">
        <f>HYPERLINK("https://klasma.github.io/Logging_2180/fåglar/A 13727-2025 prioriterade fågelarter.docx", "A 13727-2025")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46260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14554-2026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46260</v>
      </c>
      <c r="F52" t="inlineStr">
        <is>
          <t>GÄVLEBORGS LÄN</t>
        </is>
      </c>
      <c r="G52" t="inlineStr">
        <is>
          <t>GÄVLE</t>
        </is>
      </c>
      <c r="H52" t="inlineStr">
        <is>
          <t>Övriga statliga verk och myndigheter</t>
        </is>
      </c>
      <c r="I52" t="n">
        <v>6.6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121</v>
      </c>
      <c r="U52" t="n">
        <v>0</v>
      </c>
      <c r="V52" s="2" t="inlineStr">
        <is>
          <t>Väddnätfjäril
Sotnätfjäril</t>
        </is>
      </c>
      <c r="W52">
        <f>HYPERLINK("https://klasma.github.io/Logging_2180/artfynd/A 14554-2026 artfynd.xlsx", "A 14554-2026")</f>
        <v/>
      </c>
      <c r="X52">
        <f>HYPERLINK("https://klasma.github.io/Logging_2180/kartor/A 14554-2026 karta.png", "A 14554-2026")</f>
        <v/>
      </c>
      <c r="Y52">
        <f>HYPERLINK("https://klasma.github.io/Logging_2180/kartor_geotiff/A 14554-2026 georefererad karta.tif", "A 14554-2026")</f>
        <v/>
      </c>
      <c r="AA52">
        <f>HYPERLINK("https://klasma.github.io/Logging_2180/klagomål/A 14554-2026 FSC-klagomål.docx", "A 14554-2026")</f>
        <v/>
      </c>
      <c r="AB52">
        <f>HYPERLINK("https://klasma.github.io/Logging_2180/klagomålsmail/A 14554-2026 FSC-klagomål mail.docx", "A 14554-2026")</f>
        <v/>
      </c>
      <c r="AC52">
        <f>HYPERLINK("https://klasma.github.io/Logging_2180/tillsyn/A 14554-2026 tillsynsbegäran.docx", "A 14554-2026")</f>
        <v/>
      </c>
      <c r="AD52">
        <f>HYPERLINK("https://klasma.github.io/Logging_2180/tillsynsmail/A 14554-2026 tillsynsbegäran mail.docx", "A 14554-2026")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46260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32328-2024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46260</v>
      </c>
      <c r="F54" t="inlineStr">
        <is>
          <t>GÄVLEBORGS LÄN</t>
        </is>
      </c>
      <c r="G54" t="inlineStr">
        <is>
          <t>GÄVLE</t>
        </is>
      </c>
      <c r="I54" t="n">
        <v>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Spillkråka
Orre</t>
        </is>
      </c>
      <c r="W54">
        <f>HYPERLINK("https://klasma.github.io/Logging_2180/artfynd/A 32328-2024 artfynd.xlsx", "A 32328-2024")</f>
        <v/>
      </c>
      <c r="X54">
        <f>HYPERLINK("https://klasma.github.io/Logging_2180/kartor/A 32328-2024 karta.png", "A 32328-2024")</f>
        <v/>
      </c>
      <c r="Y54">
        <f>HYPERLINK("https://klasma.github.io/Logging_2180/kartor_geotiff/A 32328-2024 georefererad karta.tif", "A 32328-2024")</f>
        <v/>
      </c>
      <c r="AA54">
        <f>HYPERLINK("https://klasma.github.io/Logging_2180/klagomål/A 32328-2024 FSC-klagomål.docx", "A 32328-2024")</f>
        <v/>
      </c>
      <c r="AB54">
        <f>HYPERLINK("https://klasma.github.io/Logging_2180/klagomålsmail/A 32328-2024 FSC-klagomål mail.docx", "A 32328-2024")</f>
        <v/>
      </c>
      <c r="AC54">
        <f>HYPERLINK("https://klasma.github.io/Logging_2180/tillsyn/A 32328-2024 tillsynsbegäran.docx", "A 32328-2024")</f>
        <v/>
      </c>
      <c r="AD54">
        <f>HYPERLINK("https://klasma.github.io/Logging_2180/tillsynsmail/A 32328-2024 tillsynsbegäran mail.docx", "A 32328-2024")</f>
        <v/>
      </c>
      <c r="AE54">
        <f>HYPERLINK("https://klasma.github.io/Logging_2180/fåglar/A 32328-2024 prioriterade fågelarter.docx", "A 32328-2024")</f>
        <v/>
      </c>
    </row>
    <row r="55" ht="15" customHeight="1">
      <c r="A55" t="inlineStr">
        <is>
          <t>A 13487-2026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46260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0.6</v>
      </c>
      <c r="J55" t="n">
        <v>2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Pärluggla
Sparvuggla</t>
        </is>
      </c>
      <c r="W55">
        <f>HYPERLINK("https://klasma.github.io/Logging_2180/artfynd/A 13487-2026 artfynd.xlsx", "A 13487-2026")</f>
        <v/>
      </c>
      <c r="X55">
        <f>HYPERLINK("https://klasma.github.io/Logging_2180/kartor/A 13487-2026 karta.png", "A 13487-2026")</f>
        <v/>
      </c>
      <c r="Y55">
        <f>HYPERLINK("https://klasma.github.io/Logging_2180/kartor_geotiff/A 13487-2026 georefererad karta.tif", "A 13487-2026")</f>
        <v/>
      </c>
      <c r="AA55">
        <f>HYPERLINK("https://klasma.github.io/Logging_2180/klagomål/A 13487-2026 FSC-klagomål.docx", "A 13487-2026")</f>
        <v/>
      </c>
      <c r="AB55">
        <f>HYPERLINK("https://klasma.github.io/Logging_2180/klagomålsmail/A 13487-2026 FSC-klagomål mail.docx", "A 13487-2026")</f>
        <v/>
      </c>
      <c r="AC55">
        <f>HYPERLINK("https://klasma.github.io/Logging_2180/tillsyn/A 13487-2026 tillsynsbegäran.docx", "A 13487-2026")</f>
        <v/>
      </c>
      <c r="AD55">
        <f>HYPERLINK("https://klasma.github.io/Logging_2180/tillsynsmail/A 13487-2026 tillsynsbegäran mail.docx", "A 13487-2026")</f>
        <v/>
      </c>
      <c r="AE55">
        <f>HYPERLINK("https://klasma.github.io/Logging_2180/fåglar/A 13487-2026 prioriterade fågelarter.docx", "A 13487-2026")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46260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46260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46260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56538-2022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46260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Dropptaggsvamp
Blåsippa</t>
        </is>
      </c>
      <c r="W59">
        <f>HYPERLINK("https://klasma.github.io/Logging_2180/artfynd/A 56538-2022 artfynd.xlsx", "A 56538-2022")</f>
        <v/>
      </c>
      <c r="X59">
        <f>HYPERLINK("https://klasma.github.io/Logging_2180/kartor/A 56538-2022 karta.png", "A 56538-2022")</f>
        <v/>
      </c>
      <c r="Y59">
        <f>HYPERLINK("https://klasma.github.io/Logging_2180/kartor_geotiff/A 56538-2022 georefererad karta.tif", "A 56538-2022")</f>
        <v/>
      </c>
      <c r="AA59">
        <f>HYPERLINK("https://klasma.github.io/Logging_2180/klagomål/A 56538-2022 FSC-klagomål.docx", "A 56538-2022")</f>
        <v/>
      </c>
      <c r="AB59">
        <f>HYPERLINK("https://klasma.github.io/Logging_2180/klagomålsmail/A 56538-2022 FSC-klagomål mail.docx", "A 56538-2022")</f>
        <v/>
      </c>
      <c r="AC59">
        <f>HYPERLINK("https://klasma.github.io/Logging_2180/tillsyn/A 56538-2022 tillsynsbegäran.docx", "A 56538-2022")</f>
        <v/>
      </c>
      <c r="AD59">
        <f>HYPERLINK("https://klasma.github.io/Logging_2180/tillsynsmail/A 56538-2022 tillsynsbegäran mail.docx", "A 56538-2022")</f>
        <v/>
      </c>
    </row>
    <row r="60" ht="15" customHeight="1">
      <c r="A60" t="inlineStr">
        <is>
          <t>A 18218-2024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46260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13.1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Blåsippa
Havsörn</t>
        </is>
      </c>
      <c r="W60">
        <f>HYPERLINK("https://klasma.github.io/Logging_2180/artfynd/A 18218-2024 artfynd.xlsx", "A 18218-2024")</f>
        <v/>
      </c>
      <c r="X60">
        <f>HYPERLINK("https://klasma.github.io/Logging_2180/kartor/A 18218-2024 karta.png", "A 18218-2024")</f>
        <v/>
      </c>
      <c r="Y60">
        <f>HYPERLINK("https://klasma.github.io/Logging_2180/kartor_geotiff/A 18218-2024 georefererad karta.tif", "A 18218-2024")</f>
        <v/>
      </c>
      <c r="AA60">
        <f>HYPERLINK("https://klasma.github.io/Logging_2180/klagomål/A 18218-2024 FSC-klagomål.docx", "A 18218-2024")</f>
        <v/>
      </c>
      <c r="AB60">
        <f>HYPERLINK("https://klasma.github.io/Logging_2180/klagomålsmail/A 18218-2024 FSC-klagomål mail.docx", "A 18218-2024")</f>
        <v/>
      </c>
      <c r="AC60">
        <f>HYPERLINK("https://klasma.github.io/Logging_2180/tillsyn/A 18218-2024 tillsynsbegäran.docx", "A 18218-2024")</f>
        <v/>
      </c>
      <c r="AD60">
        <f>HYPERLINK("https://klasma.github.io/Logging_2180/tillsynsmail/A 18218-2024 tillsynsbegäran mail.docx", "A 18218-2024")</f>
        <v/>
      </c>
      <c r="AE60">
        <f>HYPERLINK("https://klasma.github.io/Logging_2180/fåglar/A 18218-2024 prioriterade fågelarter.docx", "A 18218-2024")</f>
        <v/>
      </c>
    </row>
    <row r="61" ht="15" customHeight="1">
      <c r="A61" t="inlineStr">
        <is>
          <t>A 64533-2023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46260</v>
      </c>
      <c r="F61" t="inlineStr">
        <is>
          <t>GÄVLEBORGS LÄN</t>
        </is>
      </c>
      <c r="G61" t="inlineStr">
        <is>
          <t>GÄVLE</t>
        </is>
      </c>
      <c r="I61" t="n">
        <v>1.1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4</v>
      </c>
      <c r="U61" t="n">
        <v>0</v>
      </c>
      <c r="V61" s="2" t="inlineStr">
        <is>
          <t>Aspvedgnagare
Jättesvampmal</t>
        </is>
      </c>
      <c r="W61">
        <f>HYPERLINK("https://klasma.github.io/Logging_2180/artfynd/A 64533-2023 artfynd.xlsx", "A 64533-2023")</f>
        <v/>
      </c>
      <c r="X61">
        <f>HYPERLINK("https://klasma.github.io/Logging_2180/kartor/A 64533-2023 karta.png", "A 64533-2023")</f>
        <v/>
      </c>
      <c r="Y61">
        <f>HYPERLINK("https://klasma.github.io/Logging_2180/kartor_geotiff/A 64533-2023 georefererad karta.tif", "A 64533-2023")</f>
        <v/>
      </c>
      <c r="AA61">
        <f>HYPERLINK("https://klasma.github.io/Logging_2180/klagomål/A 64533-2023 FSC-klagomål.docx", "A 64533-2023")</f>
        <v/>
      </c>
      <c r="AB61">
        <f>HYPERLINK("https://klasma.github.io/Logging_2180/klagomålsmail/A 64533-2023 FSC-klagomål mail.docx", "A 64533-2023")</f>
        <v/>
      </c>
      <c r="AC61">
        <f>HYPERLINK("https://klasma.github.io/Logging_2180/tillsyn/A 64533-2023 tillsynsbegäran.docx", "A 64533-2023")</f>
        <v/>
      </c>
      <c r="AD61">
        <f>HYPERLINK("https://klasma.github.io/Logging_2180/tillsynsmail/A 64533-2023 tillsynsbegäran mail.docx", "A 64533-2023")</f>
        <v/>
      </c>
    </row>
    <row r="62" ht="15" customHeight="1">
      <c r="A62" t="inlineStr">
        <is>
          <t>A 20323-2026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46260</v>
      </c>
      <c r="F62" t="inlineStr">
        <is>
          <t>GÄVLEBORGS LÄN</t>
        </is>
      </c>
      <c r="G62" t="inlineStr">
        <is>
          <t>GÄVLE</t>
        </is>
      </c>
      <c r="I62" t="n">
        <v>1.4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Grön sköldmossa
Tjäder</t>
        </is>
      </c>
      <c r="W62">
        <f>HYPERLINK("https://klasma.github.io/Logging_2180/artfynd/A 20323-2026 artfynd.xlsx", "A 20323-2026")</f>
        <v/>
      </c>
      <c r="X62">
        <f>HYPERLINK("https://klasma.github.io/Logging_2180/kartor/A 20323-2026 karta.png", "A 20323-2026")</f>
        <v/>
      </c>
      <c r="Y62">
        <f>HYPERLINK("https://klasma.github.io/Logging_2180/kartor_geotiff/A 20323-2026 georefererad karta.tif", "A 20323-2026")</f>
        <v/>
      </c>
      <c r="AA62">
        <f>HYPERLINK("https://klasma.github.io/Logging_2180/klagomål/A 20323-2026 FSC-klagomål.docx", "A 20323-2026")</f>
        <v/>
      </c>
      <c r="AB62">
        <f>HYPERLINK("https://klasma.github.io/Logging_2180/klagomålsmail/A 20323-2026 FSC-klagomål mail.docx", "A 20323-2026")</f>
        <v/>
      </c>
      <c r="AC62">
        <f>HYPERLINK("https://klasma.github.io/Logging_2180/tillsyn/A 20323-2026 tillsynsbegäran.docx", "A 20323-2026")</f>
        <v/>
      </c>
      <c r="AD62">
        <f>HYPERLINK("https://klasma.github.io/Logging_2180/tillsynsmail/A 20323-2026 tillsynsbegäran mail.docx", "A 20323-2026")</f>
        <v/>
      </c>
      <c r="AE62">
        <f>HYPERLINK("https://klasma.github.io/Logging_2180/fåglar/A 20323-2026 prioriterade fågelarter.docx", "A 20323-2026")</f>
        <v/>
      </c>
    </row>
    <row r="63" ht="15" customHeight="1">
      <c r="A63" t="inlineStr">
        <is>
          <t>A 60202-2025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46260</v>
      </c>
      <c r="F63" t="inlineStr">
        <is>
          <t>GÄVLEBORGS LÄN</t>
        </is>
      </c>
      <c r="G63" t="inlineStr">
        <is>
          <t>GÄVLE</t>
        </is>
      </c>
      <c r="I63" t="n">
        <v>4.3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Spillkråka</t>
        </is>
      </c>
      <c r="W63">
        <f>HYPERLINK("https://klasma.github.io/Logging_2180/artfynd/A 60202-2025 artfynd.xlsx", "A 60202-2025")</f>
        <v/>
      </c>
      <c r="X63">
        <f>HYPERLINK("https://klasma.github.io/Logging_2180/kartor/A 60202-2025 karta.png", "A 60202-2025")</f>
        <v/>
      </c>
      <c r="Y63">
        <f>HYPERLINK("https://klasma.github.io/Logging_2180/kartor_geotiff/A 60202-2025 georefererad karta.tif", "A 60202-2025")</f>
        <v/>
      </c>
      <c r="AA63">
        <f>HYPERLINK("https://klasma.github.io/Logging_2180/klagomål/A 60202-2025 FSC-klagomål.docx", "A 60202-2025")</f>
        <v/>
      </c>
      <c r="AB63">
        <f>HYPERLINK("https://klasma.github.io/Logging_2180/klagomålsmail/A 60202-2025 FSC-klagomål mail.docx", "A 60202-2025")</f>
        <v/>
      </c>
      <c r="AC63">
        <f>HYPERLINK("https://klasma.github.io/Logging_2180/tillsyn/A 60202-2025 tillsynsbegäran.docx", "A 60202-2025")</f>
        <v/>
      </c>
      <c r="AD63">
        <f>HYPERLINK("https://klasma.github.io/Logging_2180/tillsynsmail/A 60202-2025 tillsynsbegäran mail.docx", "A 60202-2025")</f>
        <v/>
      </c>
      <c r="AE63">
        <f>HYPERLINK("https://klasma.github.io/Logging_2180/fåglar/A 60202-2025 prioriterade fågelarter.docx", "A 60202-2025")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46260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46260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46260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Vedtrappmossa
Rödgul trumpetsvamp</t>
        </is>
      </c>
      <c r="W66">
        <f>HYPERLINK("https://klasma.github.io/Logging_2180/artfynd/A 22149-2026 artfynd.xlsx", "A 22149-2026")</f>
        <v/>
      </c>
      <c r="X66">
        <f>HYPERLINK("https://klasma.github.io/Logging_2180/kartor/A 22149-2026 karta.png", "A 22149-2026")</f>
        <v/>
      </c>
      <c r="Y66">
        <f>HYPERLINK("https://klasma.github.io/Logging_2180/kartor_geotiff/A 22149-2026 georefererad karta.tif", "A 22149-2026")</f>
        <v/>
      </c>
      <c r="AA66">
        <f>HYPERLINK("https://klasma.github.io/Logging_2180/klagomål/A 22149-2026 FSC-klagomål.docx", "A 22149-2026")</f>
        <v/>
      </c>
      <c r="AB66">
        <f>HYPERLINK("https://klasma.github.io/Logging_2180/klagomålsmail/A 22149-2026 FSC-klagomål mail.docx", "A 22149-2026")</f>
        <v/>
      </c>
      <c r="AC66">
        <f>HYPERLINK("https://klasma.github.io/Logging_2180/tillsyn/A 22149-2026 tillsynsbegäran.docx", "A 22149-2026")</f>
        <v/>
      </c>
      <c r="AD66">
        <f>HYPERLINK("https://klasma.github.io/Logging_2180/tillsynsmail/A 22149-2026 tillsynsbegäran mail.docx", "A 22149-2026")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46260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46260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6473-2024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46260</v>
      </c>
      <c r="F69" t="inlineStr">
        <is>
          <t>GÄVLEBORGS LÄN</t>
        </is>
      </c>
      <c r="G69" t="inlineStr">
        <is>
          <t>GÄVLE</t>
        </is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Tibast
Nattviol</t>
        </is>
      </c>
      <c r="W69">
        <f>HYPERLINK("https://klasma.github.io/Logging_2180/artfynd/A 6473-2024 artfynd.xlsx", "A 6473-2024")</f>
        <v/>
      </c>
      <c r="X69">
        <f>HYPERLINK("https://klasma.github.io/Logging_2180/kartor/A 6473-2024 karta.png", "A 6473-2024")</f>
        <v/>
      </c>
      <c r="Y69">
        <f>HYPERLINK("https://klasma.github.io/Logging_2180/kartor_geotiff/A 6473-2024 georefererad karta.tif", "A 6473-2024")</f>
        <v/>
      </c>
      <c r="AA69">
        <f>HYPERLINK("https://klasma.github.io/Logging_2180/klagomål/A 6473-2024 FSC-klagomål.docx", "A 6473-2024")</f>
        <v/>
      </c>
      <c r="AB69">
        <f>HYPERLINK("https://klasma.github.io/Logging_2180/klagomålsmail/A 6473-2024 FSC-klagomål mail.docx", "A 6473-2024")</f>
        <v/>
      </c>
      <c r="AC69">
        <f>HYPERLINK("https://klasma.github.io/Logging_2180/tillsyn/A 6473-2024 tillsynsbegäran.docx", "A 6473-2024")</f>
        <v/>
      </c>
      <c r="AD69">
        <f>HYPERLINK("https://klasma.github.io/Logging_2180/tillsynsmail/A 6473-2024 tillsynsbegäran mail.docx", "A 6473-2024")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46260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46260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27054-2026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46260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27054-2026 artfynd.xlsx", "A 27054-2026")</f>
        <v/>
      </c>
      <c r="X72">
        <f>HYPERLINK("https://klasma.github.io/Logging_2180/kartor/A 27054-2026 karta.png", "A 27054-2026")</f>
        <v/>
      </c>
      <c r="Y72">
        <f>HYPERLINK("https://klasma.github.io/Logging_2180/kartor_geotiff/A 27054-2026 georefererad karta.tif", "A 27054-2026")</f>
        <v/>
      </c>
      <c r="AA72">
        <f>HYPERLINK("https://klasma.github.io/Logging_2180/klagomål/A 27054-2026 FSC-klagomål.docx", "A 27054-2026")</f>
        <v/>
      </c>
      <c r="AB72">
        <f>HYPERLINK("https://klasma.github.io/Logging_2180/klagomålsmail/A 27054-2026 FSC-klagomål mail.docx", "A 27054-2026")</f>
        <v/>
      </c>
      <c r="AC72">
        <f>HYPERLINK("https://klasma.github.io/Logging_2180/tillsyn/A 27054-2026 tillsynsbegäran.docx", "A 27054-2026")</f>
        <v/>
      </c>
      <c r="AD72">
        <f>HYPERLINK("https://klasma.github.io/Logging_2180/tillsynsmail/A 27054-2026 tillsynsbegäran mail.docx", "A 27054-2026")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46260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46260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46260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A 23447-2025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46260</v>
      </c>
      <c r="F76" t="inlineStr">
        <is>
          <t>GÄVLEBORGS LÄN</t>
        </is>
      </c>
      <c r="G76" t="inlineStr">
        <is>
          <t>GÄVLE</t>
        </is>
      </c>
      <c r="I76" t="n">
        <v>1.1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Kopparödla
Fläcknycklar</t>
        </is>
      </c>
      <c r="W76">
        <f>HYPERLINK("https://klasma.github.io/Logging_2180/artfynd/A 23447-2025 artfynd.xlsx", "A 23447-2025")</f>
        <v/>
      </c>
      <c r="X76">
        <f>HYPERLINK("https://klasma.github.io/Logging_2180/kartor/A 23447-2025 karta.png", "A 23447-2025")</f>
        <v/>
      </c>
      <c r="Y76">
        <f>HYPERLINK("https://klasma.github.io/Logging_2180/kartor_geotiff/A 23447-2025 georefererad karta.tif", "A 23447-2025")</f>
        <v/>
      </c>
      <c r="AA76">
        <f>HYPERLINK("https://klasma.github.io/Logging_2180/klagomål/A 23447-2025 FSC-klagomål.docx", "A 23447-2025")</f>
        <v/>
      </c>
      <c r="AB76">
        <f>HYPERLINK("https://klasma.github.io/Logging_2180/klagomålsmail/A 23447-2025 FSC-klagomål mail.docx", "A 23447-2025")</f>
        <v/>
      </c>
      <c r="AC76">
        <f>HYPERLINK("https://klasma.github.io/Logging_2180/tillsyn/A 23447-2025 tillsynsbegäran.docx", "A 23447-2025")</f>
        <v/>
      </c>
      <c r="AD76">
        <f>HYPERLINK("https://klasma.github.io/Logging_2180/tillsynsmail/A 23447-2025 tillsynsbegäran mail.docx", "A 23447-2025")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46260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46260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46260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46260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46260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46260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46260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46260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33812-2022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44790</v>
      </c>
      <c r="E85" s="1" t="n">
        <v>46260</v>
      </c>
      <c r="F85" t="inlineStr">
        <is>
          <t>GÄVLEBORGS LÄN</t>
        </is>
      </c>
      <c r="G85" t="inlineStr">
        <is>
          <t>GÄVLE</t>
        </is>
      </c>
      <c r="I85" t="n">
        <v>2.1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Myskmadra</t>
        </is>
      </c>
      <c r="W85">
        <f>HYPERLINK("https://klasma.github.io/Logging_2180/artfynd/A 33812-2022 artfynd.xlsx", "A 33812-2022")</f>
        <v/>
      </c>
      <c r="X85">
        <f>HYPERLINK("https://klasma.github.io/Logging_2180/kartor/A 33812-2022 karta.png", "A 33812-2022")</f>
        <v/>
      </c>
      <c r="Y85">
        <f>HYPERLINK("https://klasma.github.io/Logging_2180/kartor_geotiff/A 33812-2022 georefererad karta.tif", "A 33812-2022")</f>
        <v/>
      </c>
      <c r="AA85">
        <f>HYPERLINK("https://klasma.github.io/Logging_2180/klagomål/A 33812-2022 FSC-klagomål.docx", "A 33812-2022")</f>
        <v/>
      </c>
      <c r="AB85">
        <f>HYPERLINK("https://klasma.github.io/Logging_2180/klagomålsmail/A 33812-2022 FSC-klagomål mail.docx", "A 33812-2022")</f>
        <v/>
      </c>
      <c r="AC85">
        <f>HYPERLINK("https://klasma.github.io/Logging_2180/tillsyn/A 33812-2022 tillsynsbegäran.docx", "A 33812-2022")</f>
        <v/>
      </c>
      <c r="AD85">
        <f>HYPERLINK("https://klasma.github.io/Logging_2180/tillsynsmail/A 33812-2022 tillsynsbegäran mail.docx", "A 33812-2022")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46260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46260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12338-2025 artfynd.xlsx", "A 12338-2025")</f>
        <v/>
      </c>
      <c r="X87">
        <f>HYPERLINK("https://klasma.github.io/Logging_2180/kartor/A 12338-2025 karta.png", "A 12338-2025")</f>
        <v/>
      </c>
      <c r="Y87">
        <f>HYPERLINK("https://klasma.github.io/Logging_2180/kartor_geotiff/A 12338-2025 georefererad karta.tif", "A 12338-2025")</f>
        <v/>
      </c>
      <c r="AA87">
        <f>HYPERLINK("https://klasma.github.io/Logging_2180/klagomål/A 12338-2025 FSC-klagomål.docx", "A 12338-2025")</f>
        <v/>
      </c>
      <c r="AB87">
        <f>HYPERLINK("https://klasma.github.io/Logging_2180/klagomålsmail/A 12338-2025 FSC-klagomål mail.docx", "A 12338-2025")</f>
        <v/>
      </c>
      <c r="AC87">
        <f>HYPERLINK("https://klasma.github.io/Logging_2180/tillsyn/A 12338-2025 tillsynsbegäran.docx", "A 12338-2025")</f>
        <v/>
      </c>
      <c r="AD87">
        <f>HYPERLINK("https://klasma.github.io/Logging_2180/tillsynsmail/A 12338-2025 tillsynsbegäran mail.docx", "A 12338-2025")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46260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63288-2025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46010</v>
      </c>
      <c r="E89" s="1" t="n">
        <v>46260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5.3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Scharlakansskål</t>
        </is>
      </c>
      <c r="W89">
        <f>HYPERLINK("https://klasma.github.io/Logging_2180/artfynd/A 63288-2025 artfynd.xlsx", "A 63288-2025")</f>
        <v/>
      </c>
      <c r="X89">
        <f>HYPERLINK("https://klasma.github.io/Logging_2180/kartor/A 63288-2025 karta.png", "A 63288-2025")</f>
        <v/>
      </c>
      <c r="Y89">
        <f>HYPERLINK("https://klasma.github.io/Logging_2180/kartor_geotiff/A 63288-2025 georefererad karta.tif", "A 63288-2025")</f>
        <v/>
      </c>
      <c r="AA89">
        <f>HYPERLINK("https://klasma.github.io/Logging_2180/klagomål/A 63288-2025 FSC-klagomål.docx", "A 63288-2025")</f>
        <v/>
      </c>
      <c r="AB89">
        <f>HYPERLINK("https://klasma.github.io/Logging_2180/klagomålsmail/A 63288-2025 FSC-klagomål mail.docx", "A 63288-2025")</f>
        <v/>
      </c>
      <c r="AC89">
        <f>HYPERLINK("https://klasma.github.io/Logging_2180/tillsyn/A 63288-2025 tillsynsbegäran.docx", "A 63288-2025")</f>
        <v/>
      </c>
      <c r="AD89">
        <f>HYPERLINK("https://klasma.github.io/Logging_2180/tillsynsmail/A 63288-2025 tillsynsbegäran mail.docx", "A 63288-2025")</f>
        <v/>
      </c>
    </row>
    <row r="90" ht="15" customHeight="1">
      <c r="A90" t="inlineStr">
        <is>
          <t>A 50052-2025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46260</v>
      </c>
      <c r="F90" t="inlineStr">
        <is>
          <t>GÄVLEBORGS LÄN</t>
        </is>
      </c>
      <c r="G90" t="inlineStr">
        <is>
          <t>GÄVLE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Mosippa</t>
        </is>
      </c>
      <c r="W90">
        <f>HYPERLINK("https://klasma.github.io/Logging_2180/artfynd/A 50052-2025 artfynd.xlsx", "A 50052-2025")</f>
        <v/>
      </c>
      <c r="X90">
        <f>HYPERLINK("https://klasma.github.io/Logging_2180/kartor/A 50052-2025 karta.png", "A 50052-2025")</f>
        <v/>
      </c>
      <c r="Y90">
        <f>HYPERLINK("https://klasma.github.io/Logging_2180/kartor_geotiff/A 50052-2025 georefererad karta.tif", "A 50052-2025")</f>
        <v/>
      </c>
      <c r="AA90">
        <f>HYPERLINK("https://klasma.github.io/Logging_2180/klagomål/A 50052-2025 FSC-klagomål.docx", "A 50052-2025")</f>
        <v/>
      </c>
      <c r="AB90">
        <f>HYPERLINK("https://klasma.github.io/Logging_2180/klagomålsmail/A 50052-2025 FSC-klagomål mail.docx", "A 50052-2025")</f>
        <v/>
      </c>
      <c r="AC90">
        <f>HYPERLINK("https://klasma.github.io/Logging_2180/tillsyn/A 50052-2025 tillsynsbegäran.docx", "A 50052-2025")</f>
        <v/>
      </c>
      <c r="AD90">
        <f>HYPERLINK("https://klasma.github.io/Logging_2180/tillsynsmail/A 50052-2025 tillsynsbegäran mail.docx", "A 50052-2025")</f>
        <v/>
      </c>
    </row>
    <row r="91" ht="15" customHeight="1">
      <c r="A91" t="inlineStr">
        <is>
          <t>A 45241-2022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46260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22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45241-2022 artfynd.xlsx", "A 45241-2022")</f>
        <v/>
      </c>
      <c r="X91">
        <f>HYPERLINK("https://klasma.github.io/Logging_2180/kartor/A 45241-2022 karta.png", "A 45241-2022")</f>
        <v/>
      </c>
      <c r="Y91">
        <f>HYPERLINK("https://klasma.github.io/Logging_2180/kartor_geotiff/A 45241-2022 georefererad karta.tif", "A 45241-2022")</f>
        <v/>
      </c>
      <c r="AA91">
        <f>HYPERLINK("https://klasma.github.io/Logging_2180/klagomål/A 45241-2022 FSC-klagomål.docx", "A 45241-2022")</f>
        <v/>
      </c>
      <c r="AB91">
        <f>HYPERLINK("https://klasma.github.io/Logging_2180/klagomålsmail/A 45241-2022 FSC-klagomål mail.docx", "A 45241-2022")</f>
        <v/>
      </c>
      <c r="AC91">
        <f>HYPERLINK("https://klasma.github.io/Logging_2180/tillsyn/A 45241-2022 tillsynsbegäran.docx", "A 45241-2022")</f>
        <v/>
      </c>
      <c r="AD91">
        <f>HYPERLINK("https://klasma.github.io/Logging_2180/tillsynsmail/A 45241-2022 tillsynsbegäran mail.docx", "A 45241-2022")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46260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13684-2026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46260</v>
      </c>
      <c r="F93" t="inlineStr">
        <is>
          <t>GÄVLEBORGS LÄN</t>
        </is>
      </c>
      <c r="G93" t="inlineStr">
        <is>
          <t>GÄVLE</t>
        </is>
      </c>
      <c r="I93" t="n">
        <v>21.3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Igelkott</t>
        </is>
      </c>
      <c r="W93">
        <f>HYPERLINK("https://klasma.github.io/Logging_2180/artfynd/A 13684-2026 artfynd.xlsx", "A 13684-2026")</f>
        <v/>
      </c>
      <c r="X93">
        <f>HYPERLINK("https://klasma.github.io/Logging_2180/kartor/A 13684-2026 karta.png", "A 13684-2026")</f>
        <v/>
      </c>
      <c r="Y93">
        <f>HYPERLINK("https://klasma.github.io/Logging_2180/kartor_geotiff/A 13684-2026 georefererad karta.tif", "A 13684-2026")</f>
        <v/>
      </c>
      <c r="AA93">
        <f>HYPERLINK("https://klasma.github.io/Logging_2180/klagomål/A 13684-2026 FSC-klagomål.docx", "A 13684-2026")</f>
        <v/>
      </c>
      <c r="AB93">
        <f>HYPERLINK("https://klasma.github.io/Logging_2180/klagomålsmail/A 13684-2026 FSC-klagomål mail.docx", "A 13684-2026")</f>
        <v/>
      </c>
      <c r="AC93">
        <f>HYPERLINK("https://klasma.github.io/Logging_2180/tillsyn/A 13684-2026 tillsynsbegäran.docx", "A 13684-2026")</f>
        <v/>
      </c>
      <c r="AD93">
        <f>HYPERLINK("https://klasma.github.io/Logging_2180/tillsynsmail/A 13684-2026 tillsynsbegäran mail.docx", "A 13684-2026")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46260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30302-2025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46260</v>
      </c>
      <c r="F95" t="inlineStr">
        <is>
          <t>GÄVLEBORGS LÄN</t>
        </is>
      </c>
      <c r="G95" t="inlineStr">
        <is>
          <t>GÄVLE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Fläcknycklar</t>
        </is>
      </c>
      <c r="W95">
        <f>HYPERLINK("https://klasma.github.io/Logging_2180/artfynd/A 30302-2025 artfynd.xlsx", "A 30302-2025")</f>
        <v/>
      </c>
      <c r="X95">
        <f>HYPERLINK("https://klasma.github.io/Logging_2180/kartor/A 30302-2025 karta.png", "A 30302-2025")</f>
        <v/>
      </c>
      <c r="Y95">
        <f>HYPERLINK("https://klasma.github.io/Logging_2180/kartor_geotiff/A 30302-2025 georefererad karta.tif", "A 30302-2025")</f>
        <v/>
      </c>
      <c r="AA95">
        <f>HYPERLINK("https://klasma.github.io/Logging_2180/klagomål/A 30302-2025 FSC-klagomål.docx", "A 30302-2025")</f>
        <v/>
      </c>
      <c r="AB95">
        <f>HYPERLINK("https://klasma.github.io/Logging_2180/klagomålsmail/A 30302-2025 FSC-klagomål mail.docx", "A 30302-2025")</f>
        <v/>
      </c>
      <c r="AC95">
        <f>HYPERLINK("https://klasma.github.io/Logging_2180/tillsyn/A 30302-2025 tillsynsbegäran.docx", "A 30302-2025")</f>
        <v/>
      </c>
      <c r="AD95">
        <f>HYPERLINK("https://klasma.github.io/Logging_2180/tillsynsmail/A 30302-2025 tillsynsbegäran mail.docx", "A 30302-2025")</f>
        <v/>
      </c>
    </row>
    <row r="96" ht="15" customHeight="1">
      <c r="A96" t="inlineStr">
        <is>
          <t>A 63036-2023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46260</v>
      </c>
      <c r="F96" t="inlineStr">
        <is>
          <t>GÄVLEBORGS LÄN</t>
        </is>
      </c>
      <c r="G96" t="inlineStr">
        <is>
          <t>GÄVLE</t>
        </is>
      </c>
      <c r="I96" t="n">
        <v>12.7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HYPERLINK("https://klasma.github.io/Logging_2180/artfynd/A 63036-2023 artfynd.xlsx", "A 63036-2023")</f>
        <v/>
      </c>
      <c r="X96">
        <f>HYPERLINK("https://klasma.github.io/Logging_2180/kartor/A 63036-2023 karta.png", "A 63036-2023")</f>
        <v/>
      </c>
      <c r="Y96">
        <f>HYPERLINK("https://klasma.github.io/Logging_2180/kartor_geotiff/A 63036-2023 georefererad karta.tif", "A 63036-2023")</f>
        <v/>
      </c>
      <c r="AA96">
        <f>HYPERLINK("https://klasma.github.io/Logging_2180/klagomål/A 63036-2023 FSC-klagomål.docx", "A 63036-2023")</f>
        <v/>
      </c>
      <c r="AB96">
        <f>HYPERLINK("https://klasma.github.io/Logging_2180/klagomålsmail/A 63036-2023 FSC-klagomål mail.docx", "A 63036-2023")</f>
        <v/>
      </c>
      <c r="AC96">
        <f>HYPERLINK("https://klasma.github.io/Logging_2180/tillsyn/A 63036-2023 tillsynsbegäran.docx", "A 63036-2023")</f>
        <v/>
      </c>
      <c r="AD96">
        <f>HYPERLINK("https://klasma.github.io/Logging_2180/tillsynsmail/A 63036-2023 tillsynsbegäran mail.docx", "A 63036-2023")</f>
        <v/>
      </c>
    </row>
    <row r="97" ht="15" customHeight="1">
      <c r="A97" t="inlineStr">
        <is>
          <t>A 17251-2026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46260</v>
      </c>
      <c r="F97" t="inlineStr">
        <is>
          <t>GÄVLEBORGS LÄN</t>
        </is>
      </c>
      <c r="G97" t="inlineStr">
        <is>
          <t>GÄVLE</t>
        </is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HYPERLINK("https://klasma.github.io/Logging_2180/artfynd/A 17251-2026 artfynd.xlsx", "A 17251-2026")</f>
        <v/>
      </c>
      <c r="X97">
        <f>HYPERLINK("https://klasma.github.io/Logging_2180/kartor/A 17251-2026 karta.png", "A 17251-2026")</f>
        <v/>
      </c>
      <c r="Y97">
        <f>HYPERLINK("https://klasma.github.io/Logging_2180/kartor_geotiff/A 17251-2026 georefererad karta.tif", "A 17251-2026")</f>
        <v/>
      </c>
      <c r="AA97">
        <f>HYPERLINK("https://klasma.github.io/Logging_2180/klagomål/A 17251-2026 FSC-klagomål.docx", "A 17251-2026")</f>
        <v/>
      </c>
      <c r="AB97">
        <f>HYPERLINK("https://klasma.github.io/Logging_2180/klagomålsmail/A 17251-2026 FSC-klagomål mail.docx", "A 17251-2026")</f>
        <v/>
      </c>
      <c r="AC97">
        <f>HYPERLINK("https://klasma.github.io/Logging_2180/tillsyn/A 17251-2026 tillsynsbegäran.docx", "A 17251-2026")</f>
        <v/>
      </c>
      <c r="AD97">
        <f>HYPERLINK("https://klasma.github.io/Logging_2180/tillsynsmail/A 17251-2026 tillsynsbegäran mail.docx", "A 17251-2026")</f>
        <v/>
      </c>
    </row>
    <row r="98" ht="15" customHeight="1">
      <c r="A98" t="inlineStr">
        <is>
          <t>A 19635-2026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46260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Skinnlav</t>
        </is>
      </c>
      <c r="W98">
        <f>HYPERLINK("https://klasma.github.io/Logging_2180/artfynd/A 19635-2026 artfynd.xlsx", "A 19635-2026")</f>
        <v/>
      </c>
      <c r="X98">
        <f>HYPERLINK("https://klasma.github.io/Logging_2180/kartor/A 19635-2026 karta.png", "A 19635-2026")</f>
        <v/>
      </c>
      <c r="Y98">
        <f>HYPERLINK("https://klasma.github.io/Logging_2180/kartor_geotiff/A 19635-2026 georefererad karta.tif", "A 19635-2026")</f>
        <v/>
      </c>
      <c r="AA98">
        <f>HYPERLINK("https://klasma.github.io/Logging_2180/klagomål/A 19635-2026 FSC-klagomål.docx", "A 19635-2026")</f>
        <v/>
      </c>
      <c r="AB98">
        <f>HYPERLINK("https://klasma.github.io/Logging_2180/klagomålsmail/A 19635-2026 FSC-klagomål mail.docx", "A 19635-2026")</f>
        <v/>
      </c>
      <c r="AC98">
        <f>HYPERLINK("https://klasma.github.io/Logging_2180/tillsyn/A 19635-2026 tillsynsbegäran.docx", "A 19635-2026")</f>
        <v/>
      </c>
      <c r="AD98">
        <f>HYPERLINK("https://klasma.github.io/Logging_2180/tillsynsmail/A 19635-2026 tillsynsbegäran mail.docx", "A 19635-2026")</f>
        <v/>
      </c>
    </row>
    <row r="99" ht="15" customHeight="1">
      <c r="A99" t="inlineStr">
        <is>
          <t>A 54252-2025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46260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HYPERLINK("https://klasma.github.io/Logging_2180/artfynd/A 54252-2025 artfynd.xlsx", "A 54252-2025")</f>
        <v/>
      </c>
      <c r="X99">
        <f>HYPERLINK("https://klasma.github.io/Logging_2180/kartor/A 54252-2025 karta.png", "A 54252-2025")</f>
        <v/>
      </c>
      <c r="Y99">
        <f>HYPERLINK("https://klasma.github.io/Logging_2180/kartor_geotiff/A 54252-2025 georefererad karta.tif", "A 54252-2025")</f>
        <v/>
      </c>
      <c r="AA99">
        <f>HYPERLINK("https://klasma.github.io/Logging_2180/klagomål/A 54252-2025 FSC-klagomål.docx", "A 54252-2025")</f>
        <v/>
      </c>
      <c r="AB99">
        <f>HYPERLINK("https://klasma.github.io/Logging_2180/klagomålsmail/A 54252-2025 FSC-klagomål mail.docx", "A 54252-2025")</f>
        <v/>
      </c>
      <c r="AC99">
        <f>HYPERLINK("https://klasma.github.io/Logging_2180/tillsyn/A 54252-2025 tillsynsbegäran.docx", "A 54252-2025")</f>
        <v/>
      </c>
      <c r="AD99">
        <f>HYPERLINK("https://klasma.github.io/Logging_2180/tillsynsmail/A 54252-2025 tillsynsbegäran mail.docx", "A 54252-2025")</f>
        <v/>
      </c>
    </row>
    <row r="100" ht="15" customHeight="1">
      <c r="A100" t="inlineStr">
        <is>
          <t>A 54963-2025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45967</v>
      </c>
      <c r="E100" s="1" t="n">
        <v>46260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7.9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HYPERLINK("https://klasma.github.io/Logging_2180/artfynd/A 54963-2025 artfynd.xlsx", "A 54963-2025")</f>
        <v/>
      </c>
      <c r="X100">
        <f>HYPERLINK("https://klasma.github.io/Logging_2180/kartor/A 54963-2025 karta.png", "A 54963-2025")</f>
        <v/>
      </c>
      <c r="Y100">
        <f>HYPERLINK("https://klasma.github.io/Logging_2180/kartor_geotiff/A 54963-2025 georefererad karta.tif", "A 54963-2025")</f>
        <v/>
      </c>
      <c r="AA100">
        <f>HYPERLINK("https://klasma.github.io/Logging_2180/klagomål/A 54963-2025 FSC-klagomål.docx", "A 54963-2025")</f>
        <v/>
      </c>
      <c r="AB100">
        <f>HYPERLINK("https://klasma.github.io/Logging_2180/klagomålsmail/A 54963-2025 FSC-klagomål mail.docx", "A 54963-2025")</f>
        <v/>
      </c>
      <c r="AC100">
        <f>HYPERLINK("https://klasma.github.io/Logging_2180/tillsyn/A 54963-2025 tillsynsbegäran.docx", "A 54963-2025")</f>
        <v/>
      </c>
      <c r="AD100">
        <f>HYPERLINK("https://klasma.github.io/Logging_2180/tillsynsmail/A 54963-2025 tillsynsbegäran mail.docx", "A 54963-2025")</f>
        <v/>
      </c>
    </row>
    <row r="101" ht="15" customHeight="1">
      <c r="A101" t="inlineStr">
        <is>
          <t>A 13396-2026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46260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HYPERLINK("https://klasma.github.io/Logging_2180/artfynd/A 13396-2026 artfynd.xlsx", "A 13396-2026")</f>
        <v/>
      </c>
      <c r="X101">
        <f>HYPERLINK("https://klasma.github.io/Logging_2180/kartor/A 13396-2026 karta.png", "A 13396-2026")</f>
        <v/>
      </c>
      <c r="Y101">
        <f>HYPERLINK("https://klasma.github.io/Logging_2180/kartor_geotiff/A 13396-2026 georefererad karta.tif", "A 13396-2026")</f>
        <v/>
      </c>
      <c r="AA101">
        <f>HYPERLINK("https://klasma.github.io/Logging_2180/klagomål/A 13396-2026 FSC-klagomål.docx", "A 13396-2026")</f>
        <v/>
      </c>
      <c r="AB101">
        <f>HYPERLINK("https://klasma.github.io/Logging_2180/klagomålsmail/A 13396-2026 FSC-klagomål mail.docx", "A 13396-2026")</f>
        <v/>
      </c>
      <c r="AC101">
        <f>HYPERLINK("https://klasma.github.io/Logging_2180/tillsyn/A 13396-2026 tillsynsbegäran.docx", "A 13396-2026")</f>
        <v/>
      </c>
      <c r="AD101">
        <f>HYPERLINK("https://klasma.github.io/Logging_2180/tillsynsmail/A 13396-2026 tillsynsbegäran mail.docx", "A 13396-2026")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46260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58204-2025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45984</v>
      </c>
      <c r="E103" s="1" t="n">
        <v>46260</v>
      </c>
      <c r="F103" t="inlineStr">
        <is>
          <t>GÄVLEBORGS LÄN</t>
        </is>
      </c>
      <c r="G103" t="inlineStr">
        <is>
          <t>GÄVLE</t>
        </is>
      </c>
      <c r="I103" t="n">
        <v>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HYPERLINK("https://klasma.github.io/Logging_2180/artfynd/A 58204-2025 artfynd.xlsx", "A 58204-2025")</f>
        <v/>
      </c>
      <c r="X103">
        <f>HYPERLINK("https://klasma.github.io/Logging_2180/kartor/A 58204-2025 karta.png", "A 58204-2025")</f>
        <v/>
      </c>
      <c r="Y103">
        <f>HYPERLINK("https://klasma.github.io/Logging_2180/kartor_geotiff/A 58204-2025 georefererad karta.tif", "A 58204-2025")</f>
        <v/>
      </c>
      <c r="AA103">
        <f>HYPERLINK("https://klasma.github.io/Logging_2180/klagomål/A 58204-2025 FSC-klagomål.docx", "A 58204-2025")</f>
        <v/>
      </c>
      <c r="AB103">
        <f>HYPERLINK("https://klasma.github.io/Logging_2180/klagomålsmail/A 58204-2025 FSC-klagomål mail.docx", "A 58204-2025")</f>
        <v/>
      </c>
      <c r="AC103">
        <f>HYPERLINK("https://klasma.github.io/Logging_2180/tillsyn/A 58204-2025 tillsynsbegäran.docx", "A 58204-2025")</f>
        <v/>
      </c>
      <c r="AD103">
        <f>HYPERLINK("https://klasma.github.io/Logging_2180/tillsynsmail/A 58204-2025 tillsynsbegäran mail.docx", "A 58204-2025")</f>
        <v/>
      </c>
      <c r="AE103">
        <f>HYPERLINK("https://klasma.github.io/Logging_2180/fåglar/A 58204-2025 prioriterade fågelarter.docx", "A 58204-2025")</f>
        <v/>
      </c>
    </row>
    <row r="104" ht="15" customHeight="1">
      <c r="A104" t="inlineStr">
        <is>
          <t>A 14714-2026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46260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Tjäder</t>
        </is>
      </c>
      <c r="W104">
        <f>HYPERLINK("https://klasma.github.io/Logging_2180/artfynd/A 14714-2026 artfynd.xlsx", "A 14714-2026")</f>
        <v/>
      </c>
      <c r="X104">
        <f>HYPERLINK("https://klasma.github.io/Logging_2180/kartor/A 14714-2026 karta.png", "A 14714-2026")</f>
        <v/>
      </c>
      <c r="Y104">
        <f>HYPERLINK("https://klasma.github.io/Logging_2180/kartor_geotiff/A 14714-2026 georefererad karta.tif", "A 14714-2026")</f>
        <v/>
      </c>
      <c r="AA104">
        <f>HYPERLINK("https://klasma.github.io/Logging_2180/klagomål/A 14714-2026 FSC-klagomål.docx", "A 14714-2026")</f>
        <v/>
      </c>
      <c r="AB104">
        <f>HYPERLINK("https://klasma.github.io/Logging_2180/klagomålsmail/A 14714-2026 FSC-klagomål mail.docx", "A 14714-2026")</f>
        <v/>
      </c>
      <c r="AC104">
        <f>HYPERLINK("https://klasma.github.io/Logging_2180/tillsyn/A 14714-2026 tillsynsbegäran.docx", "A 14714-2026")</f>
        <v/>
      </c>
      <c r="AD104">
        <f>HYPERLINK("https://klasma.github.io/Logging_2180/tillsynsmail/A 14714-2026 tillsynsbegäran mail.docx", "A 14714-2026")</f>
        <v/>
      </c>
      <c r="AE104">
        <f>HYPERLINK("https://klasma.github.io/Logging_2180/fåglar/A 14714-2026 prioriterade fågelarter.docx", "A 14714-2026")</f>
        <v/>
      </c>
    </row>
    <row r="105" ht="15" customHeight="1">
      <c r="A105" t="inlineStr">
        <is>
          <t>A 14711-2026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46260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Blanksvart spiklav</t>
        </is>
      </c>
      <c r="W105">
        <f>HYPERLINK("https://klasma.github.io/Logging_2180/artfynd/A 14711-2026 artfynd.xlsx", "A 14711-2026")</f>
        <v/>
      </c>
      <c r="X105">
        <f>HYPERLINK("https://klasma.github.io/Logging_2180/kartor/A 14711-2026 karta.png", "A 14711-2026")</f>
        <v/>
      </c>
      <c r="Y105">
        <f>HYPERLINK("https://klasma.github.io/Logging_2180/kartor_geotiff/A 14711-2026 georefererad karta.tif", "A 14711-2026")</f>
        <v/>
      </c>
      <c r="AA105">
        <f>HYPERLINK("https://klasma.github.io/Logging_2180/klagomål/A 14711-2026 FSC-klagomål.docx", "A 14711-2026")</f>
        <v/>
      </c>
      <c r="AB105">
        <f>HYPERLINK("https://klasma.github.io/Logging_2180/klagomålsmail/A 14711-2026 FSC-klagomål mail.docx", "A 14711-2026")</f>
        <v/>
      </c>
      <c r="AC105">
        <f>HYPERLINK("https://klasma.github.io/Logging_2180/tillsyn/A 14711-2026 tillsynsbegäran.docx", "A 14711-2026")</f>
        <v/>
      </c>
      <c r="AD105">
        <f>HYPERLINK("https://klasma.github.io/Logging_2180/tillsynsmail/A 14711-2026 tillsynsbegäran mail.docx", "A 14711-2026")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46260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46260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46260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46260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22052-2026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46260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22052-2026 artfynd.xlsx", "A 22052-2026")</f>
        <v/>
      </c>
      <c r="X110">
        <f>HYPERLINK("https://klasma.github.io/Logging_2180/kartor/A 22052-2026 karta.png", "A 22052-2026")</f>
        <v/>
      </c>
      <c r="Y110">
        <f>HYPERLINK("https://klasma.github.io/Logging_2180/kartor_geotiff/A 22052-2026 georefererad karta.tif", "A 22052-2026")</f>
        <v/>
      </c>
      <c r="AA110">
        <f>HYPERLINK("https://klasma.github.io/Logging_2180/klagomål/A 22052-2026 FSC-klagomål.docx", "A 22052-2026")</f>
        <v/>
      </c>
      <c r="AB110">
        <f>HYPERLINK("https://klasma.github.io/Logging_2180/klagomålsmail/A 22052-2026 FSC-klagomål mail.docx", "A 22052-2026")</f>
        <v/>
      </c>
      <c r="AC110">
        <f>HYPERLINK("https://klasma.github.io/Logging_2180/tillsyn/A 22052-2026 tillsynsbegäran.docx", "A 22052-2026")</f>
        <v/>
      </c>
      <c r="AD110">
        <f>HYPERLINK("https://klasma.github.io/Logging_2180/tillsynsmail/A 22052-2026 tillsynsbegäran mail.docx", "A 22052-2026")</f>
        <v/>
      </c>
    </row>
    <row r="111" ht="15" customHeight="1">
      <c r="A111" t="inlineStr">
        <is>
          <t>A 51508-2024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45604</v>
      </c>
      <c r="E111" s="1" t="n">
        <v>46260</v>
      </c>
      <c r="F111" t="inlineStr">
        <is>
          <t>GÄVLEBORGS LÄN</t>
        </is>
      </c>
      <c r="G111" t="inlineStr">
        <is>
          <t>GÄVLE</t>
        </is>
      </c>
      <c r="I111" t="n">
        <v>0.9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Tibast</t>
        </is>
      </c>
      <c r="W111">
        <f>HYPERLINK("https://klasma.github.io/Logging_2180/artfynd/A 51508-2024 artfynd.xlsx", "A 51508-2024")</f>
        <v/>
      </c>
      <c r="X111">
        <f>HYPERLINK("https://klasma.github.io/Logging_2180/kartor/A 51508-2024 karta.png", "A 51508-2024")</f>
        <v/>
      </c>
      <c r="Y111">
        <f>HYPERLINK("https://klasma.github.io/Logging_2180/kartor_geotiff/A 51508-2024 georefererad karta.tif", "A 51508-2024")</f>
        <v/>
      </c>
      <c r="AA111">
        <f>HYPERLINK("https://klasma.github.io/Logging_2180/klagomål/A 51508-2024 FSC-klagomål.docx", "A 51508-2024")</f>
        <v/>
      </c>
      <c r="AB111">
        <f>HYPERLINK("https://klasma.github.io/Logging_2180/klagomålsmail/A 51508-2024 FSC-klagomål mail.docx", "A 51508-2024")</f>
        <v/>
      </c>
      <c r="AC111">
        <f>HYPERLINK("https://klasma.github.io/Logging_2180/tillsyn/A 51508-2024 tillsynsbegäran.docx", "A 51508-2024")</f>
        <v/>
      </c>
      <c r="AD111">
        <f>HYPERLINK("https://klasma.github.io/Logging_2180/tillsynsmail/A 51508-2024 tillsynsbegäran mail.docx", "A 51508-2024")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46260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23003-2026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46160</v>
      </c>
      <c r="E113" s="1" t="n">
        <v>46260</v>
      </c>
      <c r="F113" t="inlineStr">
        <is>
          <t>GÄVLEBORGS LÄN</t>
        </is>
      </c>
      <c r="G113" t="inlineStr">
        <is>
          <t>GÄVLE</t>
        </is>
      </c>
      <c r="I113" t="n">
        <v>12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Tjäder</t>
        </is>
      </c>
      <c r="W113">
        <f>HYPERLINK("https://klasma.github.io/Logging_2180/artfynd/A 23003-2026 artfynd.xlsx", "A 23003-2026")</f>
        <v/>
      </c>
      <c r="X113">
        <f>HYPERLINK("https://klasma.github.io/Logging_2180/kartor/A 23003-2026 karta.png", "A 23003-2026")</f>
        <v/>
      </c>
      <c r="Y113">
        <f>HYPERLINK("https://klasma.github.io/Logging_2180/kartor_geotiff/A 23003-2026 georefererad karta.tif", "A 23003-2026")</f>
        <v/>
      </c>
      <c r="AA113">
        <f>HYPERLINK("https://klasma.github.io/Logging_2180/klagomål/A 23003-2026 FSC-klagomål.docx", "A 23003-2026")</f>
        <v/>
      </c>
      <c r="AB113">
        <f>HYPERLINK("https://klasma.github.io/Logging_2180/klagomålsmail/A 23003-2026 FSC-klagomål mail.docx", "A 23003-2026")</f>
        <v/>
      </c>
      <c r="AC113">
        <f>HYPERLINK("https://klasma.github.io/Logging_2180/tillsyn/A 23003-2026 tillsynsbegäran.docx", "A 23003-2026")</f>
        <v/>
      </c>
      <c r="AD113">
        <f>HYPERLINK("https://klasma.github.io/Logging_2180/tillsynsmail/A 23003-2026 tillsynsbegäran mail.docx", "A 23003-2026")</f>
        <v/>
      </c>
      <c r="AE113">
        <f>HYPERLINK("https://klasma.github.io/Logging_2180/fåglar/A 23003-2026 prioriterade fågelarter.docx", "A 23003-2026")</f>
        <v/>
      </c>
    </row>
    <row r="114" ht="15" customHeight="1">
      <c r="A114" t="inlineStr">
        <is>
          <t>A 12437-2024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45379</v>
      </c>
      <c r="E114" s="1" t="n">
        <v>46260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Mindre bastardsvärmare</t>
        </is>
      </c>
      <c r="W114">
        <f>HYPERLINK("https://klasma.github.io/Logging_2180/artfynd/A 12437-2024 artfynd.xlsx", "A 12437-2024")</f>
        <v/>
      </c>
      <c r="X114">
        <f>HYPERLINK("https://klasma.github.io/Logging_2180/kartor/A 12437-2024 karta.png", "A 12437-2024")</f>
        <v/>
      </c>
      <c r="Y114">
        <f>HYPERLINK("https://klasma.github.io/Logging_2180/kartor_geotiff/A 12437-2024 georefererad karta.tif", "A 12437-2024")</f>
        <v/>
      </c>
      <c r="AA114">
        <f>HYPERLINK("https://klasma.github.io/Logging_2180/klagomål/A 12437-2024 FSC-klagomål.docx", "A 12437-2024")</f>
        <v/>
      </c>
      <c r="AB114">
        <f>HYPERLINK("https://klasma.github.io/Logging_2180/klagomålsmail/A 12437-2024 FSC-klagomål mail.docx", "A 12437-2024")</f>
        <v/>
      </c>
      <c r="AC114">
        <f>HYPERLINK("https://klasma.github.io/Logging_2180/tillsyn/A 12437-2024 tillsynsbegäran.docx", "A 12437-2024")</f>
        <v/>
      </c>
      <c r="AD114">
        <f>HYPERLINK("https://klasma.github.io/Logging_2180/tillsynsmail/A 12437-2024 tillsynsbegäran mail.docx", "A 12437-2024")</f>
        <v/>
      </c>
    </row>
    <row r="115" ht="15" customHeight="1">
      <c r="A115" t="inlineStr">
        <is>
          <t>A 10333-2025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46260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Tjäder</t>
        </is>
      </c>
      <c r="W115">
        <f>HYPERLINK("https://klasma.github.io/Logging_2180/artfynd/A 10333-2025 artfynd.xlsx", "A 10333-2025")</f>
        <v/>
      </c>
      <c r="X115">
        <f>HYPERLINK("https://klasma.github.io/Logging_2180/kartor/A 10333-2025 karta.png", "A 10333-2025")</f>
        <v/>
      </c>
      <c r="Y115">
        <f>HYPERLINK("https://klasma.github.io/Logging_2180/kartor_geotiff/A 10333-2025 georefererad karta.tif", "A 10333-2025")</f>
        <v/>
      </c>
      <c r="AA115">
        <f>HYPERLINK("https://klasma.github.io/Logging_2180/klagomål/A 10333-2025 FSC-klagomål.docx", "A 10333-2025")</f>
        <v/>
      </c>
      <c r="AB115">
        <f>HYPERLINK("https://klasma.github.io/Logging_2180/klagomålsmail/A 10333-2025 FSC-klagomål mail.docx", "A 10333-2025")</f>
        <v/>
      </c>
      <c r="AC115">
        <f>HYPERLINK("https://klasma.github.io/Logging_2180/tillsyn/A 10333-2025 tillsynsbegäran.docx", "A 10333-2025")</f>
        <v/>
      </c>
      <c r="AD115">
        <f>HYPERLINK("https://klasma.github.io/Logging_2180/tillsynsmail/A 10333-2025 tillsynsbegäran mail.docx", "A 10333-2025")</f>
        <v/>
      </c>
      <c r="AE115">
        <f>HYPERLINK("https://klasma.github.io/Logging_2180/fåglar/A 10333-2025 prioriterade fågelarter.docx", "A 10333-2025")</f>
        <v/>
      </c>
    </row>
    <row r="116" ht="15" customHeight="1">
      <c r="A116" t="inlineStr">
        <is>
          <t>A 11411-2025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46260</v>
      </c>
      <c r="F116" t="inlineStr">
        <is>
          <t>GÄVLEBORGS LÄN</t>
        </is>
      </c>
      <c r="G116" t="inlineStr">
        <is>
          <t>GÄVLE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Blåsippa</t>
        </is>
      </c>
      <c r="W116">
        <f>HYPERLINK("https://klasma.github.io/Logging_2180/artfynd/A 11411-2025 artfynd.xlsx", "A 11411-2025")</f>
        <v/>
      </c>
      <c r="X116">
        <f>HYPERLINK("https://klasma.github.io/Logging_2180/kartor/A 11411-2025 karta.png", "A 11411-2025")</f>
        <v/>
      </c>
      <c r="Y116">
        <f>HYPERLINK("https://klasma.github.io/Logging_2180/kartor_geotiff/A 11411-2025 georefererad karta.tif", "A 11411-2025")</f>
        <v/>
      </c>
      <c r="AA116">
        <f>HYPERLINK("https://klasma.github.io/Logging_2180/klagomål/A 11411-2025 FSC-klagomål.docx", "A 11411-2025")</f>
        <v/>
      </c>
      <c r="AB116">
        <f>HYPERLINK("https://klasma.github.io/Logging_2180/klagomålsmail/A 11411-2025 FSC-klagomål mail.docx", "A 11411-2025")</f>
        <v/>
      </c>
      <c r="AC116">
        <f>HYPERLINK("https://klasma.github.io/Logging_2180/tillsyn/A 11411-2025 tillsynsbegäran.docx", "A 11411-2025")</f>
        <v/>
      </c>
      <c r="AD116">
        <f>HYPERLINK("https://klasma.github.io/Logging_2180/tillsynsmail/A 11411-2025 tillsynsbegäran mail.docx", "A 11411-2025")</f>
        <v/>
      </c>
    </row>
    <row r="117" ht="15" customHeight="1">
      <c r="A117" t="inlineStr">
        <is>
          <t>A 12381-2023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44999</v>
      </c>
      <c r="E117" s="1" t="n">
        <v>46260</v>
      </c>
      <c r="F117" t="inlineStr">
        <is>
          <t>GÄVLEBORGS LÄN</t>
        </is>
      </c>
      <c r="G117" t="inlineStr">
        <is>
          <t>GÄVLE</t>
        </is>
      </c>
      <c r="I117" t="n">
        <v>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Brunlångöra</t>
        </is>
      </c>
      <c r="W117">
        <f>HYPERLINK("https://klasma.github.io/Logging_2180/artfynd/A 12381-2023 artfynd.xlsx", "A 12381-2023")</f>
        <v/>
      </c>
      <c r="X117">
        <f>HYPERLINK("https://klasma.github.io/Logging_2180/kartor/A 12381-2023 karta.png", "A 12381-2023")</f>
        <v/>
      </c>
      <c r="Y117">
        <f>HYPERLINK("https://klasma.github.io/Logging_2180/kartor_geotiff/A 12381-2023 georefererad karta.tif", "A 12381-2023")</f>
        <v/>
      </c>
      <c r="AA117">
        <f>HYPERLINK("https://klasma.github.io/Logging_2180/klagomål/A 12381-2023 FSC-klagomål.docx", "A 12381-2023")</f>
        <v/>
      </c>
      <c r="AB117">
        <f>HYPERLINK("https://klasma.github.io/Logging_2180/klagomålsmail/A 12381-2023 FSC-klagomål mail.docx", "A 12381-2023")</f>
        <v/>
      </c>
      <c r="AC117">
        <f>HYPERLINK("https://klasma.github.io/Logging_2180/tillsyn/A 12381-2023 tillsynsbegäran.docx", "A 12381-2023")</f>
        <v/>
      </c>
      <c r="AD117">
        <f>HYPERLINK("https://klasma.github.io/Logging_2180/tillsynsmail/A 12381-2023 tillsynsbegäran mail.docx", "A 12381-2023")</f>
        <v/>
      </c>
    </row>
    <row r="118" ht="15" customHeight="1">
      <c r="A118" t="inlineStr">
        <is>
          <t>A 21282-2024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46260</v>
      </c>
      <c r="F118" t="inlineStr">
        <is>
          <t>GÄVLEBORGS LÄN</t>
        </is>
      </c>
      <c r="G118" t="inlineStr">
        <is>
          <t>GÄVLE</t>
        </is>
      </c>
      <c r="I118" t="n">
        <v>7.4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1</v>
      </c>
      <c r="V118" s="2" t="inlineStr">
        <is>
          <t>Skogsklocka</t>
        </is>
      </c>
      <c r="W118">
        <f>HYPERLINK("https://klasma.github.io/Logging_2180/artfynd/A 21282-2024 artfynd.xlsx", "A 21282-2024")</f>
        <v/>
      </c>
      <c r="X118">
        <f>HYPERLINK("https://klasma.github.io/Logging_2180/kartor/A 21282-2024 karta.png", "A 21282-2024")</f>
        <v/>
      </c>
      <c r="Y118">
        <f>HYPERLINK("https://klasma.github.io/Logging_2180/kartor_geotiff/A 21282-2024 georefererad karta.tif", "A 21282-2024")</f>
        <v/>
      </c>
      <c r="AA118">
        <f>HYPERLINK("https://klasma.github.io/Logging_2180/klagomål/A 21282-2024 FSC-klagomål.docx", "A 21282-2024")</f>
        <v/>
      </c>
      <c r="AB118">
        <f>HYPERLINK("https://klasma.github.io/Logging_2180/klagomålsmail/A 21282-2024 FSC-klagomål mail.docx", "A 21282-2024")</f>
        <v/>
      </c>
      <c r="AC118">
        <f>HYPERLINK("https://klasma.github.io/Logging_2180/tillsyn/A 21282-2024 tillsynsbegäran.docx", "A 21282-2024")</f>
        <v/>
      </c>
      <c r="AD118">
        <f>HYPERLINK("https://klasma.github.io/Logging_2180/tillsynsmail/A 21282-2024 tillsynsbegäran mail.docx", "A 21282-2024")</f>
        <v/>
      </c>
    </row>
    <row r="119" ht="15" customHeight="1">
      <c r="A119" t="inlineStr">
        <is>
          <t>A 57932-2024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45631</v>
      </c>
      <c r="E119" s="1" t="n">
        <v>46260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48.7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Tjäder</t>
        </is>
      </c>
      <c r="W119">
        <f>HYPERLINK("https://klasma.github.io/Logging_2180/artfynd/A 57932-2024 artfynd.xlsx", "A 57932-2024")</f>
        <v/>
      </c>
      <c r="X119">
        <f>HYPERLINK("https://klasma.github.io/Logging_2180/kartor/A 57932-2024 karta.png", "A 57932-2024")</f>
        <v/>
      </c>
      <c r="Y119">
        <f>HYPERLINK("https://klasma.github.io/Logging_2180/kartor_geotiff/A 57932-2024 georefererad karta.tif", "A 57932-2024")</f>
        <v/>
      </c>
      <c r="AA119">
        <f>HYPERLINK("https://klasma.github.io/Logging_2180/klagomål/A 57932-2024 FSC-klagomål.docx", "A 57932-2024")</f>
        <v/>
      </c>
      <c r="AB119">
        <f>HYPERLINK("https://klasma.github.io/Logging_2180/klagomålsmail/A 57932-2024 FSC-klagomål mail.docx", "A 57932-2024")</f>
        <v/>
      </c>
      <c r="AC119">
        <f>HYPERLINK("https://klasma.github.io/Logging_2180/tillsyn/A 57932-2024 tillsynsbegäran.docx", "A 57932-2024")</f>
        <v/>
      </c>
      <c r="AD119">
        <f>HYPERLINK("https://klasma.github.io/Logging_2180/tillsynsmail/A 57932-2024 tillsynsbegäran mail.docx", "A 57932-2024")</f>
        <v/>
      </c>
      <c r="AE119">
        <f>HYPERLINK("https://klasma.github.io/Logging_2180/fåglar/A 57932-2024 prioriterade fågelarter.docx", "A 57932-2024")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46260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26871-2026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46260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HYPERLINK("https://klasma.github.io/Logging_2180/artfynd/A 26871-2026 artfynd.xlsx", "A 26871-2026")</f>
        <v/>
      </c>
      <c r="X121">
        <f>HYPERLINK("https://klasma.github.io/Logging_2180/kartor/A 26871-2026 karta.png", "A 26871-2026")</f>
        <v/>
      </c>
      <c r="Y121">
        <f>HYPERLINK("https://klasma.github.io/Logging_2180/kartor_geotiff/A 26871-2026 georefererad karta.tif", "A 26871-2026")</f>
        <v/>
      </c>
      <c r="AA121">
        <f>HYPERLINK("https://klasma.github.io/Logging_2180/klagomål/A 26871-2026 FSC-klagomål.docx", "A 26871-2026")</f>
        <v/>
      </c>
      <c r="AB121">
        <f>HYPERLINK("https://klasma.github.io/Logging_2180/klagomålsmail/A 26871-2026 FSC-klagomål mail.docx", "A 26871-2026")</f>
        <v/>
      </c>
      <c r="AC121">
        <f>HYPERLINK("https://klasma.github.io/Logging_2180/tillsyn/A 26871-2026 tillsynsbegäran.docx", "A 26871-2026")</f>
        <v/>
      </c>
      <c r="AD121">
        <f>HYPERLINK("https://klasma.github.io/Logging_2180/tillsynsmail/A 26871-2026 tillsynsbegäran mail.docx", "A 26871-2026")</f>
        <v/>
      </c>
    </row>
    <row r="122" ht="15" customHeight="1">
      <c r="A122" t="inlineStr">
        <is>
          <t>A 27058-2026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46260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Gullpudra</t>
        </is>
      </c>
      <c r="W122">
        <f>HYPERLINK("https://klasma.github.io/Logging_2180/artfynd/A 27058-2026 artfynd.xlsx", "A 27058-2026")</f>
        <v/>
      </c>
      <c r="X122">
        <f>HYPERLINK("https://klasma.github.io/Logging_2180/kartor/A 27058-2026 karta.png", "A 27058-2026")</f>
        <v/>
      </c>
      <c r="Y122">
        <f>HYPERLINK("https://klasma.github.io/Logging_2180/kartor_geotiff/A 27058-2026 georefererad karta.tif", "A 27058-2026")</f>
        <v/>
      </c>
      <c r="AA122">
        <f>HYPERLINK("https://klasma.github.io/Logging_2180/klagomål/A 27058-2026 FSC-klagomål.docx", "A 27058-2026")</f>
        <v/>
      </c>
      <c r="AB122">
        <f>HYPERLINK("https://klasma.github.io/Logging_2180/klagomålsmail/A 27058-2026 FSC-klagomål mail.docx", "A 27058-2026")</f>
        <v/>
      </c>
      <c r="AC122">
        <f>HYPERLINK("https://klasma.github.io/Logging_2180/tillsyn/A 27058-2026 tillsynsbegäran.docx", "A 27058-2026")</f>
        <v/>
      </c>
      <c r="AD122">
        <f>HYPERLINK("https://klasma.github.io/Logging_2180/tillsynsmail/A 27058-2026 tillsynsbegäran mail.docx", "A 27058-2026")</f>
        <v/>
      </c>
    </row>
    <row r="123" ht="15" customHeight="1">
      <c r="A123" t="inlineStr">
        <is>
          <t>A 27043-2026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46260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27043-2026 artfynd.xlsx", "A 27043-2026")</f>
        <v/>
      </c>
      <c r="X123">
        <f>HYPERLINK("https://klasma.github.io/Logging_2180/kartor/A 27043-2026 karta.png", "A 27043-2026")</f>
        <v/>
      </c>
      <c r="Y123">
        <f>HYPERLINK("https://klasma.github.io/Logging_2180/kartor_geotiff/A 27043-2026 georefererad karta.tif", "A 27043-2026")</f>
        <v/>
      </c>
      <c r="AA123">
        <f>HYPERLINK("https://klasma.github.io/Logging_2180/klagomål/A 27043-2026 FSC-klagomål.docx", "A 27043-2026")</f>
        <v/>
      </c>
      <c r="AB123">
        <f>HYPERLINK("https://klasma.github.io/Logging_2180/klagomålsmail/A 27043-2026 FSC-klagomål mail.docx", "A 27043-2026")</f>
        <v/>
      </c>
      <c r="AC123">
        <f>HYPERLINK("https://klasma.github.io/Logging_2180/tillsyn/A 27043-2026 tillsynsbegäran.docx", "A 27043-2026")</f>
        <v/>
      </c>
      <c r="AD123">
        <f>HYPERLINK("https://klasma.github.io/Logging_2180/tillsynsmail/A 27043-2026 tillsynsbegäran mail.docx", "A 27043-2026")</f>
        <v/>
      </c>
    </row>
    <row r="124" ht="15" customHeight="1">
      <c r="A124" t="inlineStr">
        <is>
          <t>A 28546-2026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46260</v>
      </c>
      <c r="F124" t="inlineStr">
        <is>
          <t>GÄVLEBORGS LÄN</t>
        </is>
      </c>
      <c r="G124" t="inlineStr">
        <is>
          <t>GÄVLE</t>
        </is>
      </c>
      <c r="H124" t="inlineStr">
        <is>
          <t>BillerudKorsnäs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Fiskgjuse</t>
        </is>
      </c>
      <c r="W124">
        <f>HYPERLINK("https://klasma.github.io/Logging_2180/artfynd/A 28546-2026 artfynd.xlsx", "A 28546-2026")</f>
        <v/>
      </c>
      <c r="X124">
        <f>HYPERLINK("https://klasma.github.io/Logging_2180/kartor/A 28546-2026 karta.png", "A 28546-2026")</f>
        <v/>
      </c>
      <c r="Y124">
        <f>HYPERLINK("https://klasma.github.io/Logging_2180/kartor_geotiff/A 28546-2026 georefererad karta.tif", "A 28546-2026")</f>
        <v/>
      </c>
      <c r="AA124">
        <f>HYPERLINK("https://klasma.github.io/Logging_2180/klagomål/A 28546-2026 FSC-klagomål.docx", "A 28546-2026")</f>
        <v/>
      </c>
      <c r="AB124">
        <f>HYPERLINK("https://klasma.github.io/Logging_2180/klagomålsmail/A 28546-2026 FSC-klagomål mail.docx", "A 28546-2026")</f>
        <v/>
      </c>
      <c r="AC124">
        <f>HYPERLINK("https://klasma.github.io/Logging_2180/tillsyn/A 28546-2026 tillsynsbegäran.docx", "A 28546-2026")</f>
        <v/>
      </c>
      <c r="AD124">
        <f>HYPERLINK("https://klasma.github.io/Logging_2180/tillsynsmail/A 28546-2026 tillsynsbegäran mail.docx", "A 28546-2026")</f>
        <v/>
      </c>
      <c r="AE124">
        <f>HYPERLINK("https://klasma.github.io/Logging_2180/fåglar/A 28546-2026 prioriterade fågelarter.docx", "A 28546-2026")</f>
        <v/>
      </c>
    </row>
    <row r="125" ht="15" customHeight="1">
      <c r="A125" t="inlineStr">
        <is>
          <t>A 33832-2026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46251</v>
      </c>
      <c r="E125" s="1" t="n">
        <v>46260</v>
      </c>
      <c r="F125" t="inlineStr">
        <is>
          <t>GÄVLEBORGS LÄN</t>
        </is>
      </c>
      <c r="G125" t="inlineStr">
        <is>
          <t>GÄVLE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HYPERLINK("https://klasma.github.io/Logging_2180/artfynd/A 33832-2026 artfynd.xlsx", "A 33832-2026")</f>
        <v/>
      </c>
      <c r="X125">
        <f>HYPERLINK("https://klasma.github.io/Logging_2180/kartor/A 33832-2026 karta.png", "A 33832-2026")</f>
        <v/>
      </c>
      <c r="Y125">
        <f>HYPERLINK("https://klasma.github.io/Logging_2180/kartor_geotiff/A 33832-2026 georefererad karta.tif", "A 33832-2026")</f>
        <v/>
      </c>
      <c r="AA125">
        <f>HYPERLINK("https://klasma.github.io/Logging_2180/klagomål/A 33832-2026 FSC-klagomål.docx", "A 33832-2026")</f>
        <v/>
      </c>
      <c r="AB125">
        <f>HYPERLINK("https://klasma.github.io/Logging_2180/klagomålsmail/A 33832-2026 FSC-klagomål mail.docx", "A 33832-2026")</f>
        <v/>
      </c>
      <c r="AC125">
        <f>HYPERLINK("https://klasma.github.io/Logging_2180/tillsyn/A 33832-2026 tillsynsbegäran.docx", "A 33832-2026")</f>
        <v/>
      </c>
      <c r="AD125">
        <f>HYPERLINK("https://klasma.github.io/Logging_2180/tillsynsmail/A 33832-2026 tillsynsbegäran mail.docx", "A 33832-2026")</f>
        <v/>
      </c>
    </row>
    <row r="126" ht="15" customHeight="1">
      <c r="A126" t="inlineStr">
        <is>
          <t>A 11407-2025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46260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1.5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Myskmadra</t>
        </is>
      </c>
      <c r="W126">
        <f>HYPERLINK("https://klasma.github.io/Logging_2180/artfynd/A 11407-2025 artfynd.xlsx", "A 11407-2025")</f>
        <v/>
      </c>
      <c r="X126">
        <f>HYPERLINK("https://klasma.github.io/Logging_2180/kartor/A 11407-2025 karta.png", "A 11407-2025")</f>
        <v/>
      </c>
      <c r="Y126">
        <f>HYPERLINK("https://klasma.github.io/Logging_2180/kartor_geotiff/A 11407-2025 georefererad karta.tif", "A 11407-2025")</f>
        <v/>
      </c>
      <c r="AA126">
        <f>HYPERLINK("https://klasma.github.io/Logging_2180/klagomål/A 11407-2025 FSC-klagomål.docx", "A 11407-2025")</f>
        <v/>
      </c>
      <c r="AB126">
        <f>HYPERLINK("https://klasma.github.io/Logging_2180/klagomålsmail/A 11407-2025 FSC-klagomål mail.docx", "A 11407-2025")</f>
        <v/>
      </c>
      <c r="AC126">
        <f>HYPERLINK("https://klasma.github.io/Logging_2180/tillsyn/A 11407-2025 tillsynsbegäran.docx", "A 11407-2025")</f>
        <v/>
      </c>
      <c r="AD126">
        <f>HYPERLINK("https://klasma.github.io/Logging_2180/tillsynsmail/A 11407-2025 tillsynsbegäran mail.docx", "A 11407-2025")</f>
        <v/>
      </c>
    </row>
    <row r="127" ht="15" customHeight="1">
      <c r="A127" t="inlineStr">
        <is>
          <t>A 34086-2026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46252</v>
      </c>
      <c r="E127" s="1" t="n">
        <v>46260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6.1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Gullgröppa</t>
        </is>
      </c>
      <c r="W127">
        <f>HYPERLINK("https://klasma.github.io/Logging_2180/artfynd/A 34086-2026 artfynd.xlsx", "A 34086-2026")</f>
        <v/>
      </c>
      <c r="X127">
        <f>HYPERLINK("https://klasma.github.io/Logging_2180/kartor/A 34086-2026 karta.png", "A 34086-2026")</f>
        <v/>
      </c>
      <c r="Y127">
        <f>HYPERLINK("https://klasma.github.io/Logging_2180/kartor_geotiff/A 34086-2026 georefererad karta.tif", "A 34086-2026")</f>
        <v/>
      </c>
      <c r="AA127">
        <f>HYPERLINK("https://klasma.github.io/Logging_2180/klagomål/A 34086-2026 FSC-klagomål.docx", "A 34086-2026")</f>
        <v/>
      </c>
      <c r="AB127">
        <f>HYPERLINK("https://klasma.github.io/Logging_2180/klagomålsmail/A 34086-2026 FSC-klagomål mail.docx", "A 34086-2026")</f>
        <v/>
      </c>
      <c r="AC127">
        <f>HYPERLINK("https://klasma.github.io/Logging_2180/tillsyn/A 34086-2026 tillsynsbegäran.docx", "A 34086-2026")</f>
        <v/>
      </c>
      <c r="AD127">
        <f>HYPERLINK("https://klasma.github.io/Logging_2180/tillsynsmail/A 34086-2026 tillsynsbegäran mail.docx", "A 34086-2026")</f>
        <v/>
      </c>
    </row>
    <row r="128" ht="15" customHeight="1">
      <c r="A128" t="inlineStr">
        <is>
          <t>A 34589-2026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46255</v>
      </c>
      <c r="E128" s="1" t="n">
        <v>46260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15.3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HYPERLINK("https://klasma.github.io/Logging_2180/artfynd/A 34589-2026 artfynd.xlsx", "A 34589-2026")</f>
        <v/>
      </c>
      <c r="X128">
        <f>HYPERLINK("https://klasma.github.io/Logging_2180/kartor/A 34589-2026 karta.png", "A 34589-2026")</f>
        <v/>
      </c>
      <c r="Y128">
        <f>HYPERLINK("https://klasma.github.io/Logging_2180/kartor_geotiff/A 34589-2026 georefererad karta.tif", "A 34589-2026")</f>
        <v/>
      </c>
      <c r="AA128">
        <f>HYPERLINK("https://klasma.github.io/Logging_2180/klagomål/A 34589-2026 FSC-klagomål.docx", "A 34589-2026")</f>
        <v/>
      </c>
      <c r="AB128">
        <f>HYPERLINK("https://klasma.github.io/Logging_2180/klagomålsmail/A 34589-2026 FSC-klagomål mail.docx", "A 34589-2026")</f>
        <v/>
      </c>
      <c r="AC128">
        <f>HYPERLINK("https://klasma.github.io/Logging_2180/tillsyn/A 34589-2026 tillsynsbegäran.docx", "A 34589-2026")</f>
        <v/>
      </c>
      <c r="AD128">
        <f>HYPERLINK("https://klasma.github.io/Logging_2180/tillsynsmail/A 34589-2026 tillsynsbegäran mail.docx", "A 34589-2026")</f>
        <v/>
      </c>
    </row>
    <row r="129" ht="15" customHeight="1">
      <c r="A129" t="inlineStr">
        <is>
          <t>A 31448-2026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46217</v>
      </c>
      <c r="E129" s="1" t="n">
        <v>46260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6.8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Mindre tåtelsmygare</t>
        </is>
      </c>
      <c r="W129">
        <f>HYPERLINK("https://klasma.github.io/Logging_2180/artfynd/A 31448-2026 artfynd.xlsx", "A 31448-2026")</f>
        <v/>
      </c>
      <c r="X129">
        <f>HYPERLINK("https://klasma.github.io/Logging_2180/kartor/A 31448-2026 karta.png", "A 31448-2026")</f>
        <v/>
      </c>
      <c r="Y129">
        <f>HYPERLINK("https://klasma.github.io/Logging_2180/kartor_geotiff/A 31448-2026 georefererad karta.tif", "A 31448-2026")</f>
        <v/>
      </c>
      <c r="AA129">
        <f>HYPERLINK("https://klasma.github.io/Logging_2180/klagomål/A 31448-2026 FSC-klagomål.docx", "A 31448-2026")</f>
        <v/>
      </c>
      <c r="AB129">
        <f>HYPERLINK("https://klasma.github.io/Logging_2180/klagomålsmail/A 31448-2026 FSC-klagomål mail.docx", "A 31448-2026")</f>
        <v/>
      </c>
      <c r="AC129">
        <f>HYPERLINK("https://klasma.github.io/Logging_2180/tillsyn/A 31448-2026 tillsynsbegäran.docx", "A 31448-2026")</f>
        <v/>
      </c>
      <c r="AD129">
        <f>HYPERLINK("https://klasma.github.io/Logging_2180/tillsynsmail/A 31448-2026 tillsynsbegäran mail.docx", "A 31448-2026")</f>
        <v/>
      </c>
    </row>
    <row r="130" ht="15" customHeight="1">
      <c r="A130" t="inlineStr">
        <is>
          <t>A 34890-2026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46259</v>
      </c>
      <c r="E130" s="1" t="n">
        <v>46260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18.3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4</v>
      </c>
      <c r="U130" t="n">
        <v>0</v>
      </c>
      <c r="V130" s="2" t="inlineStr">
        <is>
          <t>Spillkråka</t>
        </is>
      </c>
      <c r="W130">
        <f>HYPERLINK("https://klasma.github.io/Logging_2180/artfynd/A 34890-2026 artfynd.xlsx", "A 34890-2026")</f>
        <v/>
      </c>
      <c r="X130">
        <f>HYPERLINK("https://klasma.github.io/Logging_2180/kartor/A 34890-2026 karta.png", "A 34890-2026")</f>
        <v/>
      </c>
      <c r="Y130">
        <f>HYPERLINK("https://klasma.github.io/Logging_2180/kartor_geotiff/A 34890-2026 georefererad karta.tif", "A 34890-2026")</f>
        <v/>
      </c>
      <c r="AA130">
        <f>HYPERLINK("https://klasma.github.io/Logging_2180/klagomål/A 34890-2026 FSC-klagomål.docx", "A 34890-2026")</f>
        <v/>
      </c>
      <c r="AB130">
        <f>HYPERLINK("https://klasma.github.io/Logging_2180/klagomålsmail/A 34890-2026 FSC-klagomål mail.docx", "A 34890-2026")</f>
        <v/>
      </c>
      <c r="AC130">
        <f>HYPERLINK("https://klasma.github.io/Logging_2180/tillsyn/A 34890-2026 tillsynsbegäran.docx", "A 34890-2026")</f>
        <v/>
      </c>
      <c r="AD130">
        <f>HYPERLINK("https://klasma.github.io/Logging_2180/tillsynsmail/A 34890-2026 tillsynsbegäran mail.docx", "A 34890-2026")</f>
        <v/>
      </c>
      <c r="AE130">
        <f>HYPERLINK("https://klasma.github.io/Logging_2180/fåglar/A 34890-2026 prioriterade fågelarter.docx", "A 34890-2026")</f>
        <v/>
      </c>
    </row>
    <row r="131" ht="15" customHeight="1">
      <c r="A131" t="inlineStr">
        <is>
          <t>A 18216-2024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45420</v>
      </c>
      <c r="E131" s="1" t="n">
        <v>46260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Dofttaggsvamp</t>
        </is>
      </c>
      <c r="W131">
        <f>HYPERLINK("https://klasma.github.io/Logging_2180/artfynd/A 18216-2024 artfynd.xlsx", "A 18216-2024")</f>
        <v/>
      </c>
      <c r="X131">
        <f>HYPERLINK("https://klasma.github.io/Logging_2180/kartor/A 18216-2024 karta.png", "A 18216-2024")</f>
        <v/>
      </c>
      <c r="Y131">
        <f>HYPERLINK("https://klasma.github.io/Logging_2180/kartor_geotiff/A 18216-2024 georefererad karta.tif", "A 18216-2024")</f>
        <v/>
      </c>
      <c r="AA131">
        <f>HYPERLINK("https://klasma.github.io/Logging_2180/klagomål/A 18216-2024 FSC-klagomål.docx", "A 18216-2024")</f>
        <v/>
      </c>
      <c r="AB131">
        <f>HYPERLINK("https://klasma.github.io/Logging_2180/klagomålsmail/A 18216-2024 FSC-klagomål mail.docx", "A 18216-2024")</f>
        <v/>
      </c>
      <c r="AC131">
        <f>HYPERLINK("https://klasma.github.io/Logging_2180/tillsyn/A 18216-2024 tillsynsbegäran.docx", "A 18216-2024")</f>
        <v/>
      </c>
      <c r="AD131">
        <f>HYPERLINK("https://klasma.github.io/Logging_2180/tillsynsmail/A 18216-2024 tillsynsbegäran mail.docx", "A 18216-2024")</f>
        <v/>
      </c>
    </row>
    <row r="132" ht="15" customHeight="1">
      <c r="A132" t="inlineStr">
        <is>
          <t>A 37927-2022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44811</v>
      </c>
      <c r="E132" s="1" t="n">
        <v>46260</v>
      </c>
      <c r="F132" t="inlineStr">
        <is>
          <t>GÄVLEBORGS LÄN</t>
        </is>
      </c>
      <c r="G132" t="inlineStr">
        <is>
          <t>GÄVLE</t>
        </is>
      </c>
      <c r="I132" t="n">
        <v>1.6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10</v>
      </c>
      <c r="U132" t="n">
        <v>10</v>
      </c>
      <c r="V132" s="2" t="inlineStr">
        <is>
          <t>Knärot</t>
        </is>
      </c>
      <c r="W132">
        <f>HYPERLINK("https://klasma.github.io/Logging_2180/artfynd/A 37927-2022 artfynd.xlsx", "A 37927-2022")</f>
        <v/>
      </c>
      <c r="X132">
        <f>HYPERLINK("https://klasma.github.io/Logging_2180/kartor/A 37927-2022 karta.png", "A 37927-2022")</f>
        <v/>
      </c>
      <c r="Y132">
        <f>HYPERLINK("https://klasma.github.io/Logging_2180/kartor_geotiff/A 37927-2022 georefererad karta.tif", "A 37927-2022")</f>
        <v/>
      </c>
      <c r="Z132">
        <f>HYPERLINK("https://klasma.github.io/Logging_2180/knärot/A 37927-2022 karta knärot.png", "A 37927-2022")</f>
        <v/>
      </c>
      <c r="AA132">
        <f>HYPERLINK("https://klasma.github.io/Logging_2180/klagomål/A 37927-2022 FSC-klagomål.docx", "A 37927-2022")</f>
        <v/>
      </c>
      <c r="AB132">
        <f>HYPERLINK("https://klasma.github.io/Logging_2180/klagomålsmail/A 37927-2022 FSC-klagomål mail.docx", "A 37927-2022")</f>
        <v/>
      </c>
      <c r="AC132">
        <f>HYPERLINK("https://klasma.github.io/Logging_2180/tillsyn/A 37927-2022 tillsynsbegäran.docx", "A 37927-2022")</f>
        <v/>
      </c>
      <c r="AD132">
        <f>HYPERLINK("https://klasma.github.io/Logging_2180/tillsynsmail/A 37927-2022 tillsynsbegäran mail.docx", "A 37927-2022")</f>
        <v/>
      </c>
    </row>
    <row r="133" ht="15" customHeight="1">
      <c r="A133" t="inlineStr">
        <is>
          <t>A 12083-2025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46260</v>
      </c>
      <c r="F133" t="inlineStr">
        <is>
          <t>GÄVLEBORGS LÄN</t>
        </is>
      </c>
      <c r="G133" t="inlineStr">
        <is>
          <t>GÄVLE</t>
        </is>
      </c>
      <c r="I133" t="n">
        <v>6.3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Grönsiska</t>
        </is>
      </c>
      <c r="W133">
        <f>HYPERLINK("https://klasma.github.io/Logging_2180/artfynd/A 12083-2025 artfynd.xlsx", "A 12083-2025")</f>
        <v/>
      </c>
      <c r="X133">
        <f>HYPERLINK("https://klasma.github.io/Logging_2180/kartor/A 12083-2025 karta.png", "A 12083-2025")</f>
        <v/>
      </c>
      <c r="Y133">
        <f>HYPERLINK("https://klasma.github.io/Logging_2180/kartor_geotiff/A 12083-2025 georefererad karta.tif", "A 12083-2025")</f>
        <v/>
      </c>
      <c r="AA133">
        <f>HYPERLINK("https://klasma.github.io/Logging_2180/klagomål/A 12083-2025 FSC-klagomål.docx", "A 12083-2025")</f>
        <v/>
      </c>
      <c r="AB133">
        <f>HYPERLINK("https://klasma.github.io/Logging_2180/klagomålsmail/A 12083-2025 FSC-klagomål mail.docx", "A 12083-2025")</f>
        <v/>
      </c>
      <c r="AC133">
        <f>HYPERLINK("https://klasma.github.io/Logging_2180/tillsyn/A 12083-2025 tillsynsbegäran.docx", "A 12083-2025")</f>
        <v/>
      </c>
      <c r="AD133">
        <f>HYPERLINK("https://klasma.github.io/Logging_2180/tillsynsmail/A 12083-2025 tillsynsbegäran mail.docx", "A 12083-2025")</f>
        <v/>
      </c>
    </row>
    <row r="134" ht="15" customHeight="1">
      <c r="A134" t="inlineStr">
        <is>
          <t>A 13227-2024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46260</v>
      </c>
      <c r="F134" t="inlineStr">
        <is>
          <t>GÄVLEBORGS LÄN</t>
        </is>
      </c>
      <c r="G134" t="inlineStr">
        <is>
          <t>GÄVLE</t>
        </is>
      </c>
      <c r="H134" t="inlineStr">
        <is>
          <t>Övriga statliga verk och myndigheter</t>
        </is>
      </c>
      <c r="I134" t="n">
        <v>5.9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Större vattensalamander</t>
        </is>
      </c>
      <c r="W134">
        <f>HYPERLINK("https://klasma.github.io/Logging_2180/artfynd/A 13227-2024 artfynd.xlsx", "A 13227-2024")</f>
        <v/>
      </c>
      <c r="X134">
        <f>HYPERLINK("https://klasma.github.io/Logging_2180/kartor/A 13227-2024 karta.png", "A 13227-2024")</f>
        <v/>
      </c>
      <c r="Y134">
        <f>HYPERLINK("https://klasma.github.io/Logging_2180/kartor_geotiff/A 13227-2024 georefererad karta.tif", "A 13227-2024")</f>
        <v/>
      </c>
      <c r="AA134">
        <f>HYPERLINK("https://klasma.github.io/Logging_2180/klagomål/A 13227-2024 FSC-klagomål.docx", "A 13227-2024")</f>
        <v/>
      </c>
      <c r="AB134">
        <f>HYPERLINK("https://klasma.github.io/Logging_2180/klagomålsmail/A 13227-2024 FSC-klagomål mail.docx", "A 13227-2024")</f>
        <v/>
      </c>
      <c r="AC134">
        <f>HYPERLINK("https://klasma.github.io/Logging_2180/tillsyn/A 13227-2024 tillsynsbegäran.docx", "A 13227-2024")</f>
        <v/>
      </c>
      <c r="AD134">
        <f>HYPERLINK("https://klasma.github.io/Logging_2180/tillsynsmail/A 13227-2024 tillsynsbegäran mail.docx", "A 13227-2024")</f>
        <v/>
      </c>
    </row>
    <row r="135" ht="15" customHeight="1">
      <c r="A135" t="inlineStr">
        <is>
          <t>A 47642-2024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45588</v>
      </c>
      <c r="E135" s="1" t="n">
        <v>46260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8.199999999999999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Orre</t>
        </is>
      </c>
      <c r="W135">
        <f>HYPERLINK("https://klasma.github.io/Logging_2180/artfynd/A 47642-2024 artfynd.xlsx", "A 47642-2024")</f>
        <v/>
      </c>
      <c r="X135">
        <f>HYPERLINK("https://klasma.github.io/Logging_2180/kartor/A 47642-2024 karta.png", "A 47642-2024")</f>
        <v/>
      </c>
      <c r="Y135">
        <f>HYPERLINK("https://klasma.github.io/Logging_2180/kartor_geotiff/A 47642-2024 georefererad karta.tif", "A 47642-2024")</f>
        <v/>
      </c>
      <c r="AA135">
        <f>HYPERLINK("https://klasma.github.io/Logging_2180/klagomål/A 47642-2024 FSC-klagomål.docx", "A 47642-2024")</f>
        <v/>
      </c>
      <c r="AB135">
        <f>HYPERLINK("https://klasma.github.io/Logging_2180/klagomålsmail/A 47642-2024 FSC-klagomål mail.docx", "A 47642-2024")</f>
        <v/>
      </c>
      <c r="AC135">
        <f>HYPERLINK("https://klasma.github.io/Logging_2180/tillsyn/A 47642-2024 tillsynsbegäran.docx", "A 47642-2024")</f>
        <v/>
      </c>
      <c r="AD135">
        <f>HYPERLINK("https://klasma.github.io/Logging_2180/tillsynsmail/A 47642-2024 tillsynsbegäran mail.docx", "A 47642-2024")</f>
        <v/>
      </c>
      <c r="AE135">
        <f>HYPERLINK("https://klasma.github.io/Logging_2180/fåglar/A 47642-2024 prioriterade fågelarter.docx", "A 47642-2024")</f>
        <v/>
      </c>
    </row>
    <row r="136" ht="15" customHeight="1">
      <c r="A136" t="inlineStr">
        <is>
          <t>S 399-2022</t>
        </is>
      </c>
      <c r="B136" t="inlineStr">
        <is>
          <t>samrådsanmälan</t>
        </is>
      </c>
      <c r="C136" t="inlineStr">
        <is>
          <t>Skogsgödsling</t>
        </is>
      </c>
      <c r="D136" s="1" t="n">
        <v>44585</v>
      </c>
      <c r="E136" s="1" t="n">
        <v>46260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44.4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HYPERLINK("https://klasma.github.io/Logging_2180/artfynd/S 399-2022 artfynd.xlsx", "S 399-2022")</f>
        <v/>
      </c>
      <c r="X136">
        <f>HYPERLINK("https://klasma.github.io/Logging_2180/kartor/S 399-2022 karta.png", "S 399-2022")</f>
        <v/>
      </c>
      <c r="Y136">
        <f>HYPERLINK("https://klasma.github.io/Logging_2180/kartor_geotiff/S 399-2022 georefererad karta.tif", "S 399-2022")</f>
        <v/>
      </c>
      <c r="AA136">
        <f>HYPERLINK("https://klasma.github.io/Logging_2180/klagomål/S 399-2022 FSC-klagomål.docx", "S 399-2022")</f>
        <v/>
      </c>
      <c r="AB136">
        <f>HYPERLINK("https://klasma.github.io/Logging_2180/klagomålsmail/S 399-2022 FSC-klagomål mail.docx", "S 399-2022")</f>
        <v/>
      </c>
      <c r="AC136">
        <f>HYPERLINK("https://klasma.github.io/Logging_2180/tillsyn/S 399-2022 tillsynsbegäran.docx", "S 399-2022")</f>
        <v/>
      </c>
      <c r="AD136">
        <f>HYPERLINK("https://klasma.github.io/Logging_2180/tillsynsmail/S 399-2022 tillsynsbegäran mail.docx", "S 399-2022")</f>
        <v/>
      </c>
    </row>
    <row r="137" ht="15" customHeight="1">
      <c r="A137" t="inlineStr">
        <is>
          <t>S 235-2025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45680</v>
      </c>
      <c r="E137" s="1" t="n">
        <v>46260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HYPERLINK("https://klasma.github.io/Logging_2180/artfynd/S 235-2025 artfynd.xlsx", "S 235-2025")</f>
        <v/>
      </c>
      <c r="X137">
        <f>HYPERLINK("https://klasma.github.io/Logging_2180/kartor/S 235-2025 karta.png", "S 235-2025")</f>
        <v/>
      </c>
      <c r="Y137">
        <f>HYPERLINK("https://klasma.github.io/Logging_2180/kartor_geotiff/S 235-2025 georefererad karta.tif", "S 235-2025")</f>
        <v/>
      </c>
      <c r="AA137">
        <f>HYPERLINK("https://klasma.github.io/Logging_2180/klagomål/S 235-2025 FSC-klagomål.docx", "S 235-2025")</f>
        <v/>
      </c>
      <c r="AB137">
        <f>HYPERLINK("https://klasma.github.io/Logging_2180/klagomålsmail/S 235-2025 FSC-klagomål mail.docx", "S 235-2025")</f>
        <v/>
      </c>
      <c r="AC137">
        <f>HYPERLINK("https://klasma.github.io/Logging_2180/tillsyn/S 235-2025 tillsynsbegäran.docx", "S 235-2025")</f>
        <v/>
      </c>
      <c r="AD137">
        <f>HYPERLINK("https://klasma.github.io/Logging_2180/tillsynsmail/S 235-2025 tillsynsbegäran mail.docx", "S 235-2025")</f>
        <v/>
      </c>
    </row>
    <row r="138" ht="15" customHeight="1">
      <c r="A138" t="inlineStr">
        <is>
          <t>S 3895-2024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45562</v>
      </c>
      <c r="E138" s="1" t="n">
        <v>46260</v>
      </c>
      <c r="F138" t="inlineStr">
        <is>
          <t>GÄVLEBORGS LÄN</t>
        </is>
      </c>
      <c r="G138" t="inlineStr">
        <is>
          <t>GÄVLE</t>
        </is>
      </c>
      <c r="I138" t="n">
        <v>14.3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16</v>
      </c>
      <c r="U138" t="n">
        <v>3</v>
      </c>
      <c r="V138" s="2" t="inlineStr">
        <is>
          <t>Väddnätfjäril</t>
        </is>
      </c>
      <c r="W138">
        <f>HYPERLINK("https://klasma.github.io/Logging_2180/artfynd/S 3895-2024 artfynd.xlsx", "S 3895-2024")</f>
        <v/>
      </c>
      <c r="X138">
        <f>HYPERLINK("https://klasma.github.io/Logging_2180/kartor/S 3895-2024 karta.png", "S 3895-2024")</f>
        <v/>
      </c>
      <c r="Y138">
        <f>HYPERLINK("https://klasma.github.io/Logging_2180/kartor_geotiff/S 3895-2024 georefererad karta.tif", "S 3895-2024")</f>
        <v/>
      </c>
      <c r="AA138">
        <f>HYPERLINK("https://klasma.github.io/Logging_2180/klagomål/S 3895-2024 FSC-klagomål.docx", "S 3895-2024")</f>
        <v/>
      </c>
      <c r="AB138">
        <f>HYPERLINK("https://klasma.github.io/Logging_2180/klagomålsmail/S 3895-2024 FSC-klagomål mail.docx", "S 3895-2024")</f>
        <v/>
      </c>
      <c r="AC138">
        <f>HYPERLINK("https://klasma.github.io/Logging_2180/tillsyn/S 3895-2024 tillsynsbegäran.docx", "S 3895-2024")</f>
        <v/>
      </c>
      <c r="AD138">
        <f>HYPERLINK("https://klasma.github.io/Logging_2180/tillsynsmail/S 3895-2024 tillsynsbegäran mail.docx", "S 3895-2024")</f>
        <v/>
      </c>
    </row>
    <row r="139" ht="15" customHeight="1">
      <c r="A139" t="inlineStr">
        <is>
          <t>S 952-2026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46113</v>
      </c>
      <c r="E139" s="1" t="n">
        <v>46260</v>
      </c>
      <c r="F139" t="inlineStr">
        <is>
          <t>GÄVLEBORGS LÄN</t>
        </is>
      </c>
      <c r="G139" t="inlineStr">
        <is>
          <t>GÄVLE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Mosippa</t>
        </is>
      </c>
      <c r="W139">
        <f>HYPERLINK("https://klasma.github.io/Logging_2180/artfynd/S 952-2026 artfynd.xlsx", "S 952-2026")</f>
        <v/>
      </c>
      <c r="X139">
        <f>HYPERLINK("https://klasma.github.io/Logging_2180/kartor/S 952-2026 karta.png", "S 952-2026")</f>
        <v/>
      </c>
      <c r="Y139">
        <f>HYPERLINK("https://klasma.github.io/Logging_2180/kartor_geotiff/S 952-2026 georefererad karta.tif", "S 952-2026")</f>
        <v/>
      </c>
      <c r="AA139">
        <f>HYPERLINK("https://klasma.github.io/Logging_2180/klagomål/S 952-2026 FSC-klagomål.docx", "S 952-2026")</f>
        <v/>
      </c>
      <c r="AB139">
        <f>HYPERLINK("https://klasma.github.io/Logging_2180/klagomålsmail/S 952-2026 FSC-klagomål mail.docx", "S 952-2026")</f>
        <v/>
      </c>
      <c r="AC139">
        <f>HYPERLINK("https://klasma.github.io/Logging_2180/tillsyn/S 952-2026 tillsynsbegäran.docx", "S 952-2026")</f>
        <v/>
      </c>
      <c r="AD139">
        <f>HYPERLINK("https://klasma.github.io/Logging_2180/tillsynsmail/S 952-2026 tillsynsbegäran mail.docx", "S 952-2026")</f>
        <v/>
      </c>
    </row>
    <row r="140" ht="15" customHeight="1">
      <c r="A140" t="inlineStr">
        <is>
          <t>A 66494-2021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46260</v>
      </c>
      <c r="F140" t="inlineStr">
        <is>
          <t>GÄVLEBORGS LÄN</t>
        </is>
      </c>
      <c r="G140" t="inlineStr">
        <is>
          <t>GÄVLE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46260</v>
      </c>
      <c r="F141" t="inlineStr">
        <is>
          <t>GÄVLEBORGS LÄN</t>
        </is>
      </c>
      <c r="G141" t="inlineStr">
        <is>
          <t>GÄVLE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46260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46260</v>
      </c>
      <c r="F143" t="inlineStr">
        <is>
          <t>GÄVLEBORGS LÄN</t>
        </is>
      </c>
      <c r="G143" t="inlineStr">
        <is>
          <t>GÄVLE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46260</v>
      </c>
      <c r="F144" t="inlineStr">
        <is>
          <t>GÄVLEBORGS LÄN</t>
        </is>
      </c>
      <c r="G144" t="inlineStr">
        <is>
          <t>GÄVLE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44805</v>
      </c>
      <c r="E145" s="1" t="n">
        <v>46260</v>
      </c>
      <c r="F145" t="inlineStr">
        <is>
          <t>GÄVLEBORGS LÄN</t>
        </is>
      </c>
      <c r="G145" t="inlineStr">
        <is>
          <t>GÄVLE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46260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26349-2022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46260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46260</v>
      </c>
      <c r="F148" t="inlineStr">
        <is>
          <t>GÄVLEBORGS LÄN</t>
        </is>
      </c>
      <c r="G148" t="inlineStr">
        <is>
          <t>GÄVLE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44462</v>
      </c>
      <c r="E149" s="1" t="n">
        <v>46260</v>
      </c>
      <c r="F149" t="inlineStr">
        <is>
          <t>GÄVLEBORGS LÄN</t>
        </is>
      </c>
      <c r="G149" t="inlineStr">
        <is>
          <t>GÄVLE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46260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46260</v>
      </c>
      <c r="F151" t="inlineStr">
        <is>
          <t>GÄVLEBORGS LÄN</t>
        </is>
      </c>
      <c r="G151" t="inlineStr">
        <is>
          <t>GÄVLE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46260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44756</v>
      </c>
      <c r="E153" s="1" t="n">
        <v>46260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44813</v>
      </c>
      <c r="E154" s="1" t="n">
        <v>46260</v>
      </c>
      <c r="F154" t="inlineStr">
        <is>
          <t>GÄVLEBORGS LÄN</t>
        </is>
      </c>
      <c r="G154" t="inlineStr">
        <is>
          <t>GÄVLE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46260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46260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44459</v>
      </c>
      <c r="E157" s="1" t="n">
        <v>46260</v>
      </c>
      <c r="F157" t="inlineStr">
        <is>
          <t>GÄVLEBORGS LÄN</t>
        </is>
      </c>
      <c r="G157" t="inlineStr">
        <is>
          <t>GÄVLE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44654-2021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44437</v>
      </c>
      <c r="E158" s="1" t="n">
        <v>46260</v>
      </c>
      <c r="F158" t="inlineStr">
        <is>
          <t>GÄVLEBORGS LÄN</t>
        </is>
      </c>
      <c r="G158" t="inlineStr">
        <is>
          <t>GÄVLE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46260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44658</v>
      </c>
      <c r="E160" s="1" t="n">
        <v>46260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44735</v>
      </c>
      <c r="E161" s="1" t="n">
        <v>46260</v>
      </c>
      <c r="F161" t="inlineStr">
        <is>
          <t>GÄVLEBORGS LÄN</t>
        </is>
      </c>
      <c r="G161" t="inlineStr">
        <is>
          <t>GÄVLE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46260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46260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46260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46260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46260</v>
      </c>
      <c r="F166" t="inlineStr">
        <is>
          <t>GÄVLEBORGS LÄN</t>
        </is>
      </c>
      <c r="G166" t="inlineStr">
        <is>
          <t>GÄVLE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46260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46260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46260</v>
      </c>
      <c r="F169" t="inlineStr">
        <is>
          <t>GÄVLEBORGS LÄN</t>
        </is>
      </c>
      <c r="G169" t="inlineStr">
        <is>
          <t>GÄVLE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44599</v>
      </c>
      <c r="E170" s="1" t="n">
        <v>46260</v>
      </c>
      <c r="F170" t="inlineStr">
        <is>
          <t>GÄVLEBORGS LÄN</t>
        </is>
      </c>
      <c r="G170" t="inlineStr">
        <is>
          <t>GÄVLE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45134-2021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46260</v>
      </c>
      <c r="F171" t="inlineStr">
        <is>
          <t>GÄVLEBORGS LÄN</t>
        </is>
      </c>
      <c r="G171" t="inlineStr">
        <is>
          <t>GÄVLE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44448</v>
      </c>
      <c r="E172" s="1" t="n">
        <v>46260</v>
      </c>
      <c r="F172" t="inlineStr">
        <is>
          <t>GÄVLEBORGS LÄN</t>
        </is>
      </c>
      <c r="G172" t="inlineStr">
        <is>
          <t>GÄVLE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46260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46260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öst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46260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46260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46260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46260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46260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46260</v>
      </c>
      <c r="F180" t="inlineStr">
        <is>
          <t>GÄVLEBORGS LÄN</t>
        </is>
      </c>
      <c r="G180" t="inlineStr">
        <is>
          <t>GÄVLE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46260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46260</v>
      </c>
      <c r="F182" t="inlineStr">
        <is>
          <t>GÄVLEBORGS LÄN</t>
        </is>
      </c>
      <c r="G182" t="inlineStr">
        <is>
          <t>GÄVLE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45454</v>
      </c>
      <c r="E183" s="1" t="n">
        <v>46260</v>
      </c>
      <c r="F183" t="inlineStr">
        <is>
          <t>GÄVLEBORGS LÄN</t>
        </is>
      </c>
      <c r="G183" t="inlineStr">
        <is>
          <t>GÄVLE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46260</v>
      </c>
      <c r="F184" t="inlineStr">
        <is>
          <t>GÄVLEBORGS LÄN</t>
        </is>
      </c>
      <c r="G184" t="inlineStr">
        <is>
          <t>GÄVLE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46260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45014</v>
      </c>
      <c r="E186" s="1" t="n">
        <v>46260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46260</v>
      </c>
      <c r="F187" t="inlineStr">
        <is>
          <t>GÄVLEBORGS LÄN</t>
        </is>
      </c>
      <c r="G187" t="inlineStr">
        <is>
          <t>GÄVLE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44637</v>
      </c>
      <c r="E188" s="1" t="n">
        <v>46260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46260</v>
      </c>
      <c r="F189" t="inlineStr">
        <is>
          <t>GÄVLEBORGS LÄN</t>
        </is>
      </c>
      <c r="G189" t="inlineStr">
        <is>
          <t>GÄVLE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44656</v>
      </c>
      <c r="E190" s="1" t="n">
        <v>46260</v>
      </c>
      <c r="F190" t="inlineStr">
        <is>
          <t>GÄVLEBORGS LÄN</t>
        </is>
      </c>
      <c r="G190" t="inlineStr">
        <is>
          <t>GÄVLE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46260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45666</v>
      </c>
      <c r="E192" s="1" t="n">
        <v>46260</v>
      </c>
      <c r="F192" t="inlineStr">
        <is>
          <t>GÄVLEBORGS LÄN</t>
        </is>
      </c>
      <c r="G192" t="inlineStr">
        <is>
          <t>GÄVLE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46260</v>
      </c>
      <c r="F193" t="inlineStr">
        <is>
          <t>GÄVLEBORGS LÄN</t>
        </is>
      </c>
      <c r="G193" t="inlineStr">
        <is>
          <t>GÄVLE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46260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46260</v>
      </c>
      <c r="F195" t="inlineStr">
        <is>
          <t>GÄVLEBORGS LÄN</t>
        </is>
      </c>
      <c r="G195" t="inlineStr">
        <is>
          <t>GÄVLE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46260</v>
      </c>
      <c r="F196" t="inlineStr">
        <is>
          <t>GÄVLEBORGS LÄN</t>
        </is>
      </c>
      <c r="G196" t="inlineStr">
        <is>
          <t>GÄVLE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45158</v>
      </c>
      <c r="E197" s="1" t="n">
        <v>46260</v>
      </c>
      <c r="F197" t="inlineStr">
        <is>
          <t>GÄVLEBORGS LÄN</t>
        </is>
      </c>
      <c r="G197" t="inlineStr">
        <is>
          <t>GÄVLE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46260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21795-2022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44708</v>
      </c>
      <c r="E199" s="1" t="n">
        <v>46260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45040</v>
      </c>
      <c r="E200" s="1" t="n">
        <v>46260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45660</v>
      </c>
      <c r="E201" s="1" t="n">
        <v>46260</v>
      </c>
      <c r="F201" t="inlineStr">
        <is>
          <t>GÄVLEBORGS LÄN</t>
        </is>
      </c>
      <c r="G201" t="inlineStr">
        <is>
          <t>GÄVLE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46260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46260</v>
      </c>
      <c r="F203" t="inlineStr">
        <is>
          <t>GÄVLEBORGS LÄN</t>
        </is>
      </c>
      <c r="G203" t="inlineStr">
        <is>
          <t>GÄVLE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46260</v>
      </c>
      <c r="F204" t="inlineStr">
        <is>
          <t>GÄVLEBORGS LÄN</t>
        </is>
      </c>
      <c r="G204" t="inlineStr">
        <is>
          <t>GÄVLE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45278-2022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44840</v>
      </c>
      <c r="E205" s="1" t="n">
        <v>46260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44942</v>
      </c>
      <c r="E206" s="1" t="n">
        <v>46260</v>
      </c>
      <c r="F206" t="inlineStr">
        <is>
          <t>GÄVLEBORGS LÄN</t>
        </is>
      </c>
      <c r="G206" t="inlineStr">
        <is>
          <t>GÄVLE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19095-2022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44691</v>
      </c>
      <c r="E207" s="1" t="n">
        <v>46260</v>
      </c>
      <c r="F207" t="inlineStr">
        <is>
          <t>GÄVLEBORGS LÄN</t>
        </is>
      </c>
      <c r="G207" t="inlineStr">
        <is>
          <t>GÄVLE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46260</v>
      </c>
      <c r="F208" t="inlineStr">
        <is>
          <t>GÄVLEBORGS LÄN</t>
        </is>
      </c>
      <c r="G208" t="inlineStr">
        <is>
          <t>GÄVLE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46260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46260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46260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46260</v>
      </c>
      <c r="F212" t="inlineStr">
        <is>
          <t>GÄVLEBORGS LÄN</t>
        </is>
      </c>
      <c r="G212" t="inlineStr">
        <is>
          <t>GÄVLE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46260</v>
      </c>
      <c r="F213" t="inlineStr">
        <is>
          <t>GÄVLEBORGS LÄN</t>
        </is>
      </c>
      <c r="G213" t="inlineStr">
        <is>
          <t>GÄVLE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45125</v>
      </c>
      <c r="E214" s="1" t="n">
        <v>46260</v>
      </c>
      <c r="F214" t="inlineStr">
        <is>
          <t>GÄVLEBORGS LÄN</t>
        </is>
      </c>
      <c r="G214" t="inlineStr">
        <is>
          <t>GÄVLE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71249-2021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44539</v>
      </c>
      <c r="E215" s="1" t="n">
        <v>46260</v>
      </c>
      <c r="F215" t="inlineStr">
        <is>
          <t>GÄVLEBORGS LÄN</t>
        </is>
      </c>
      <c r="G215" t="inlineStr">
        <is>
          <t>GÄVLE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44693</v>
      </c>
      <c r="E216" s="1" t="n">
        <v>46260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46260</v>
      </c>
      <c r="F217" t="inlineStr">
        <is>
          <t>GÄVLEBORGS LÄN</t>
        </is>
      </c>
      <c r="G217" t="inlineStr">
        <is>
          <t>GÄVLE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50871-2022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44867</v>
      </c>
      <c r="E218" s="1" t="n">
        <v>46260</v>
      </c>
      <c r="F218" t="inlineStr">
        <is>
          <t>GÄVLEBORGS LÄN</t>
        </is>
      </c>
      <c r="G218" t="inlineStr">
        <is>
          <t>GÄVLE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46260</v>
      </c>
      <c r="F219" t="inlineStr">
        <is>
          <t>GÄVLEBORGS LÄN</t>
        </is>
      </c>
      <c r="G219" t="inlineStr">
        <is>
          <t>GÄVLE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46260</v>
      </c>
      <c r="F220" t="inlineStr">
        <is>
          <t>GÄVLEBORGS LÄN</t>
        </is>
      </c>
      <c r="G220" t="inlineStr">
        <is>
          <t>GÄVLE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45540</v>
      </c>
      <c r="E221" s="1" t="n">
        <v>46260</v>
      </c>
      <c r="F221" t="inlineStr">
        <is>
          <t>GÄVLEBORGS LÄN</t>
        </is>
      </c>
      <c r="G221" t="inlineStr">
        <is>
          <t>GÄVLE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44733</v>
      </c>
      <c r="E222" s="1" t="n">
        <v>46260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46260</v>
      </c>
      <c r="F223" t="inlineStr">
        <is>
          <t>GÄVLEBORGS LÄN</t>
        </is>
      </c>
      <c r="G223" t="inlineStr">
        <is>
          <t>GÄVLE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46041</v>
      </c>
      <c r="E224" s="1" t="n">
        <v>46260</v>
      </c>
      <c r="F224" t="inlineStr">
        <is>
          <t>GÄVLEBORGS LÄN</t>
        </is>
      </c>
      <c r="G224" t="inlineStr">
        <is>
          <t>GÄVLE</t>
        </is>
      </c>
      <c r="I224" t="n">
        <v>9.699999999999999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45652</v>
      </c>
      <c r="E225" s="1" t="n">
        <v>46260</v>
      </c>
      <c r="F225" t="inlineStr">
        <is>
          <t>GÄVLEBORGS LÄN</t>
        </is>
      </c>
      <c r="G225" t="inlineStr">
        <is>
          <t>GÄVLE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46260</v>
      </c>
      <c r="F226" t="inlineStr">
        <is>
          <t>GÄVLEBORGS LÄN</t>
        </is>
      </c>
      <c r="G226" t="inlineStr">
        <is>
          <t>GÄVLE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44823</v>
      </c>
      <c r="E227" s="1" t="n">
        <v>46260</v>
      </c>
      <c r="F227" t="inlineStr">
        <is>
          <t>GÄVLEBORGS LÄN</t>
        </is>
      </c>
      <c r="G227" t="inlineStr">
        <is>
          <t>GÄVLE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27666-2025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45813</v>
      </c>
      <c r="E228" s="1" t="n">
        <v>46260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44988</v>
      </c>
      <c r="E229" s="1" t="n">
        <v>46260</v>
      </c>
      <c r="F229" t="inlineStr">
        <is>
          <t>GÄVLEBORGS LÄN</t>
        </is>
      </c>
      <c r="G229" t="inlineStr">
        <is>
          <t>GÄVLE</t>
        </is>
      </c>
      <c r="H229" t="inlineStr">
        <is>
          <t>Kyrkan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46260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46260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46260</v>
      </c>
      <c r="F232" t="inlineStr">
        <is>
          <t>GÄVLEBORGS LÄN</t>
        </is>
      </c>
      <c r="G232" t="inlineStr">
        <is>
          <t>GÄVLE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16624-2023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45030</v>
      </c>
      <c r="E233" s="1" t="n">
        <v>46260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46260</v>
      </c>
      <c r="F234" t="inlineStr">
        <is>
          <t>GÄVLEBORGS LÄN</t>
        </is>
      </c>
      <c r="G234" t="inlineStr">
        <is>
          <t>GÄVLE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46260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46260</v>
      </c>
      <c r="F236" t="inlineStr">
        <is>
          <t>GÄVLEBORGS LÄN</t>
        </is>
      </c>
      <c r="G236" t="inlineStr">
        <is>
          <t>GÄVLE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44589</v>
      </c>
      <c r="E237" s="1" t="n">
        <v>46260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öst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46260</v>
      </c>
      <c r="F238" t="inlineStr">
        <is>
          <t>GÄVLEBORGS LÄN</t>
        </is>
      </c>
      <c r="G238" t="inlineStr">
        <is>
          <t>GÄVLE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46260</v>
      </c>
      <c r="F239" t="inlineStr">
        <is>
          <t>GÄVLEBORGS LÄN</t>
        </is>
      </c>
      <c r="G239" t="inlineStr">
        <is>
          <t>GÄVLE</t>
        </is>
      </c>
      <c r="I239" t="n">
        <v>13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45891</v>
      </c>
      <c r="E240" s="1" t="n">
        <v>46260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46260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45146</v>
      </c>
      <c r="E242" s="1" t="n">
        <v>46260</v>
      </c>
      <c r="F242" t="inlineStr">
        <is>
          <t>GÄVLEBORGS LÄN</t>
        </is>
      </c>
      <c r="G242" t="inlineStr">
        <is>
          <t>GÄVLE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45468</v>
      </c>
      <c r="E243" s="1" t="n">
        <v>46260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46052</v>
      </c>
      <c r="E244" s="1" t="n">
        <v>46260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45530</v>
      </c>
      <c r="E245" s="1" t="n">
        <v>46260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46260</v>
      </c>
      <c r="F246" t="inlineStr">
        <is>
          <t>GÄVLEBORGS LÄN</t>
        </is>
      </c>
      <c r="G246" t="inlineStr">
        <is>
          <t>GÄVLE</t>
        </is>
      </c>
      <c r="H246" t="inlineStr">
        <is>
          <t>Kyrkan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40297-2025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45895</v>
      </c>
      <c r="E247" s="1" t="n">
        <v>46260</v>
      </c>
      <c r="F247" t="inlineStr">
        <is>
          <t>GÄVLEBORGS LÄN</t>
        </is>
      </c>
      <c r="G247" t="inlineStr">
        <is>
          <t>GÄVLE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46260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46260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46260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46260</v>
      </c>
      <c r="F251" t="inlineStr">
        <is>
          <t>GÄVLEBORGS LÄN</t>
        </is>
      </c>
      <c r="G251" t="inlineStr">
        <is>
          <t>GÄVLE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46260</v>
      </c>
      <c r="F252" t="inlineStr">
        <is>
          <t>GÄVLEBORGS LÄN</t>
        </is>
      </c>
      <c r="G252" t="inlineStr">
        <is>
          <t>GÄVLE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46056</v>
      </c>
      <c r="E253" s="1" t="n">
        <v>46260</v>
      </c>
      <c r="F253" t="inlineStr">
        <is>
          <t>GÄVLEBORGS LÄN</t>
        </is>
      </c>
      <c r="G253" t="inlineStr">
        <is>
          <t>GÄVLE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46260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46260</v>
      </c>
      <c r="F255" t="inlineStr">
        <is>
          <t>GÄVLEBORGS LÄN</t>
        </is>
      </c>
      <c r="G255" t="inlineStr">
        <is>
          <t>GÄVLE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46260</v>
      </c>
      <c r="F256" t="inlineStr">
        <is>
          <t>GÄVLEBORGS LÄN</t>
        </is>
      </c>
      <c r="G256" t="inlineStr">
        <is>
          <t>GÄVLE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46260</v>
      </c>
      <c r="F257" t="inlineStr">
        <is>
          <t>GÄVLEBORGS LÄN</t>
        </is>
      </c>
      <c r="G257" t="inlineStr">
        <is>
          <t>GÄVLE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46260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7239-2026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46058</v>
      </c>
      <c r="E259" s="1" t="n">
        <v>46260</v>
      </c>
      <c r="F259" t="inlineStr">
        <is>
          <t>GÄVLEBORGS LÄN</t>
        </is>
      </c>
      <c r="G259" t="inlineStr">
        <is>
          <t>GÄVLE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46260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46260</v>
      </c>
      <c r="F261" t="inlineStr">
        <is>
          <t>GÄVLEBORGS LÄN</t>
        </is>
      </c>
      <c r="G261" t="inlineStr">
        <is>
          <t>GÄVLE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46260</v>
      </c>
      <c r="F262" t="inlineStr">
        <is>
          <t>GÄVLEBORGS LÄN</t>
        </is>
      </c>
      <c r="G262" t="inlineStr">
        <is>
          <t>GÄVLE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46260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46100</v>
      </c>
      <c r="E264" s="1" t="n">
        <v>46260</v>
      </c>
      <c r="F264" t="inlineStr">
        <is>
          <t>GÄVLEBORGS LÄN</t>
        </is>
      </c>
      <c r="G264" t="inlineStr">
        <is>
          <t>GÄVLE</t>
        </is>
      </c>
      <c r="H264" t="inlineStr">
        <is>
          <t>Övriga statliga verk och myndigheter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46260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46260</v>
      </c>
      <c r="F266" t="inlineStr">
        <is>
          <t>GÄVLEBORGS LÄN</t>
        </is>
      </c>
      <c r="G266" t="inlineStr">
        <is>
          <t>GÄVLE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46260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40993-2025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46260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46260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46260</v>
      </c>
      <c r="F270" t="inlineStr">
        <is>
          <t>GÄVLEBORGS LÄN</t>
        </is>
      </c>
      <c r="G270" t="inlineStr">
        <is>
          <t>GÄVLE</t>
        </is>
      </c>
      <c r="H270" t="inlineStr">
        <is>
          <t>Kyrkan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8292-2026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46260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46260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45485</v>
      </c>
      <c r="E273" s="1" t="n">
        <v>46260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46260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46260</v>
      </c>
      <c r="F275" t="inlineStr">
        <is>
          <t>GÄVLEBORGS LÄN</t>
        </is>
      </c>
      <c r="G275" t="inlineStr">
        <is>
          <t>GÄVLE</t>
        </is>
      </c>
      <c r="H275" t="inlineStr">
        <is>
          <t>Kyrkan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46260</v>
      </c>
      <c r="F276" t="inlineStr">
        <is>
          <t>GÄVLEBORGS LÄN</t>
        </is>
      </c>
      <c r="G276" t="inlineStr">
        <is>
          <t>GÄVLE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45261</v>
      </c>
      <c r="E277" s="1" t="n">
        <v>46260</v>
      </c>
      <c r="F277" t="inlineStr">
        <is>
          <t>GÄVLEBORGS LÄN</t>
        </is>
      </c>
      <c r="G277" t="inlineStr">
        <is>
          <t>GÄVLE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46260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41683-2025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45902</v>
      </c>
      <c r="E279" s="1" t="n">
        <v>46260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46260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46260</v>
      </c>
      <c r="F281" t="inlineStr">
        <is>
          <t>GÄVLEBORGS LÄN</t>
        </is>
      </c>
      <c r="G281" t="inlineStr">
        <is>
          <t>GÄVLE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46260</v>
      </c>
      <c r="F282" t="inlineStr">
        <is>
          <t>GÄVLEBORGS LÄN</t>
        </is>
      </c>
      <c r="G282" t="inlineStr">
        <is>
          <t>GÄVLE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46260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46260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46260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46260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46260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47143-2024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46260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9534-2026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46260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46260</v>
      </c>
      <c r="F290" t="inlineStr">
        <is>
          <t>GÄVLEBORGS LÄN</t>
        </is>
      </c>
      <c r="G290" t="inlineStr">
        <is>
          <t>GÄVLE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45908</v>
      </c>
      <c r="E291" s="1" t="n">
        <v>46260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46260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46260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46260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46260</v>
      </c>
      <c r="F295" t="inlineStr">
        <is>
          <t>GÄVLEBORGS LÄN</t>
        </is>
      </c>
      <c r="G295" t="inlineStr">
        <is>
          <t>GÄVLE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46260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46260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46260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46260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46077</v>
      </c>
      <c r="E300" s="1" t="n">
        <v>46260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44951</v>
      </c>
      <c r="E301" s="1" t="n">
        <v>46260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46079</v>
      </c>
      <c r="E302" s="1" t="n">
        <v>46260</v>
      </c>
      <c r="F302" t="inlineStr">
        <is>
          <t>GÄVLEBORGS LÄN</t>
        </is>
      </c>
      <c r="G302" t="inlineStr">
        <is>
          <t>GÄVLE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46260</v>
      </c>
      <c r="F303" t="inlineStr">
        <is>
          <t>GÄVLEBORGS LÄN</t>
        </is>
      </c>
      <c r="G303" t="inlineStr">
        <is>
          <t>GÄVLE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18217-2024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45420</v>
      </c>
      <c r="E304" s="1" t="n">
        <v>46260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45850-2025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45923</v>
      </c>
      <c r="E305" s="1" t="n">
        <v>46260</v>
      </c>
      <c r="F305" t="inlineStr">
        <is>
          <t>GÄVLEBORGS LÄN</t>
        </is>
      </c>
      <c r="G305" t="inlineStr">
        <is>
          <t>GÄVLE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46260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46260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46260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46260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46260</v>
      </c>
      <c r="F310" t="inlineStr">
        <is>
          <t>GÄVLEBORGS LÄN</t>
        </is>
      </c>
      <c r="G310" t="inlineStr">
        <is>
          <t>GÄVLE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44935</v>
      </c>
      <c r="E311" s="1" t="n">
        <v>46260</v>
      </c>
      <c r="F311" t="inlineStr">
        <is>
          <t>GÄVLEBORGS LÄN</t>
        </is>
      </c>
      <c r="G311" t="inlineStr">
        <is>
          <t>GÄVLE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46260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46260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46092</v>
      </c>
      <c r="E314" s="1" t="n">
        <v>46260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45926</v>
      </c>
      <c r="E315" s="1" t="n">
        <v>46260</v>
      </c>
      <c r="F315" t="inlineStr">
        <is>
          <t>GÄVLEBORGS LÄN</t>
        </is>
      </c>
      <c r="G315" t="inlineStr">
        <is>
          <t>GÄVLE</t>
        </is>
      </c>
      <c r="H315" t="inlineStr">
        <is>
          <t>Kyrkan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46260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46260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46260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46260</v>
      </c>
      <c r="F319" t="inlineStr">
        <is>
          <t>GÄVLEBORGS LÄN</t>
        </is>
      </c>
      <c r="G319" t="inlineStr">
        <is>
          <t>GÄVLE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46260</v>
      </c>
      <c r="F320" t="inlineStr">
        <is>
          <t>GÄVLEBORGS LÄN</t>
        </is>
      </c>
      <c r="G320" t="inlineStr">
        <is>
          <t>GÄVLE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46260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10352-2025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45720</v>
      </c>
      <c r="E322" s="1" t="n">
        <v>46260</v>
      </c>
      <c r="F322" t="inlineStr">
        <is>
          <t>GÄVLEBORGS LÄN</t>
        </is>
      </c>
      <c r="G322" t="inlineStr">
        <is>
          <t>GÄVLE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13498-2026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46260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46260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46260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46260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46260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47171-2025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46260</v>
      </c>
      <c r="F328" t="inlineStr">
        <is>
          <t>GÄVLEBORGS LÄN</t>
        </is>
      </c>
      <c r="G328" t="inlineStr">
        <is>
          <t>GÄVLE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47172-2025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46260</v>
      </c>
      <c r="F329" t="inlineStr">
        <is>
          <t>GÄVLEBORGS LÄN</t>
        </is>
      </c>
      <c r="G329" t="inlineStr">
        <is>
          <t>GÄVLE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46260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46260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46260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46260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46260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46260</v>
      </c>
      <c r="F335" t="inlineStr">
        <is>
          <t>GÄVLEBORGS LÄN</t>
        </is>
      </c>
      <c r="G335" t="inlineStr">
        <is>
          <t>GÄVLE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46260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46260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7.5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45933</v>
      </c>
      <c r="E338" s="1" t="n">
        <v>46260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46095</v>
      </c>
      <c r="E339" s="1" t="n">
        <v>46260</v>
      </c>
      <c r="F339" t="inlineStr">
        <is>
          <t>GÄVLEBORGS LÄN</t>
        </is>
      </c>
      <c r="G339" t="inlineStr">
        <is>
          <t>GÄVLE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46260</v>
      </c>
      <c r="F340" t="inlineStr">
        <is>
          <t>GÄVLEBORGS LÄN</t>
        </is>
      </c>
      <c r="G340" t="inlineStr">
        <is>
          <t>GÄVLE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46260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46260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46260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48002-2025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45932</v>
      </c>
      <c r="E344" s="1" t="n">
        <v>46260</v>
      </c>
      <c r="F344" t="inlineStr">
        <is>
          <t>GÄVLEBORGS LÄN</t>
        </is>
      </c>
      <c r="G344" t="inlineStr">
        <is>
          <t>GÄVLE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45932</v>
      </c>
      <c r="E345" s="1" t="n">
        <v>46260</v>
      </c>
      <c r="F345" t="inlineStr">
        <is>
          <t>GÄVLEBORGS LÄN</t>
        </is>
      </c>
      <c r="G345" t="inlineStr">
        <is>
          <t>GÄVLE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45933</v>
      </c>
      <c r="E346" s="1" t="n">
        <v>46260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46260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46260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45356</v>
      </c>
      <c r="E349" s="1" t="n">
        <v>46260</v>
      </c>
      <c r="F349" t="inlineStr">
        <is>
          <t>GÄVLEBORGS LÄN</t>
        </is>
      </c>
      <c r="G349" t="inlineStr">
        <is>
          <t>GÄVLE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46260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65879-2021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44517</v>
      </c>
      <c r="E351" s="1" t="n">
        <v>46260</v>
      </c>
      <c r="F351" t="inlineStr">
        <is>
          <t>GÄVLEBORGS LÄN</t>
        </is>
      </c>
      <c r="G351" t="inlineStr">
        <is>
          <t>GÄVLE</t>
        </is>
      </c>
      <c r="H351" t="inlineStr">
        <is>
          <t>Kyrkan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45937</v>
      </c>
      <c r="E352" s="1" t="n">
        <v>46260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14963-2026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46104</v>
      </c>
      <c r="E353" s="1" t="n">
        <v>46260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46260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46260</v>
      </c>
      <c r="F355" t="inlineStr">
        <is>
          <t>GÄVLEBORGS LÄN</t>
        </is>
      </c>
      <c r="G355" t="inlineStr">
        <is>
          <t>GÄVLE</t>
        </is>
      </c>
      <c r="H355" t="inlineStr">
        <is>
          <t>Kyrkan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46101</v>
      </c>
      <c r="E356" s="1" t="n">
        <v>46260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45916</v>
      </c>
      <c r="E357" s="1" t="n">
        <v>46260</v>
      </c>
      <c r="F357" t="inlineStr">
        <is>
          <t>GÄVLEBORGS LÄN</t>
        </is>
      </c>
      <c r="G357" t="inlineStr">
        <is>
          <t>GÄVLE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46260</v>
      </c>
      <c r="F358" t="inlineStr">
        <is>
          <t>GÄVLEBORGS LÄN</t>
        </is>
      </c>
      <c r="G358" t="inlineStr">
        <is>
          <t>GÄVLE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46260</v>
      </c>
      <c r="F359" t="inlineStr">
        <is>
          <t>GÄVLEBORGS LÄN</t>
        </is>
      </c>
      <c r="G359" t="inlineStr">
        <is>
          <t>GÄVLE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46260</v>
      </c>
      <c r="F360" t="inlineStr">
        <is>
          <t>GÄVLEBORGS LÄN</t>
        </is>
      </c>
      <c r="G360" t="inlineStr">
        <is>
          <t>GÄVLE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70043-2021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44533</v>
      </c>
      <c r="E361" s="1" t="n">
        <v>46260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46260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45940</v>
      </c>
      <c r="E363" s="1" t="n">
        <v>46260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45940</v>
      </c>
      <c r="E364" s="1" t="n">
        <v>46260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46260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46260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46260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30202-2025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45827</v>
      </c>
      <c r="E368" s="1" t="n">
        <v>46260</v>
      </c>
      <c r="F368" t="inlineStr">
        <is>
          <t>GÄVLEBORGS LÄN</t>
        </is>
      </c>
      <c r="G368" t="inlineStr">
        <is>
          <t>GÄVLE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45943</v>
      </c>
      <c r="E369" s="1" t="n">
        <v>46260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45526</v>
      </c>
      <c r="E370" s="1" t="n">
        <v>46260</v>
      </c>
      <c r="F370" t="inlineStr">
        <is>
          <t>GÄVLEBORGS LÄN</t>
        </is>
      </c>
      <c r="G370" t="inlineStr">
        <is>
          <t>GÄVLE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46260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46260</v>
      </c>
      <c r="F372" t="inlineStr">
        <is>
          <t>GÄVLEBORGS LÄN</t>
        </is>
      </c>
      <c r="G372" t="inlineStr">
        <is>
          <t>GÄVLE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46260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45741</v>
      </c>
      <c r="E374" s="1" t="n">
        <v>46260</v>
      </c>
      <c r="F374" t="inlineStr">
        <is>
          <t>GÄVLEBORGS LÄN</t>
        </is>
      </c>
      <c r="G374" t="inlineStr">
        <is>
          <t>GÄVLE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46260</v>
      </c>
      <c r="F375" t="inlineStr">
        <is>
          <t>GÄVLEBORGS LÄN</t>
        </is>
      </c>
      <c r="G375" t="inlineStr">
        <is>
          <t>GÄVLE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46260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46260</v>
      </c>
      <c r="F377" t="inlineStr">
        <is>
          <t>GÄVLEBORGS LÄN</t>
        </is>
      </c>
      <c r="G377" t="inlineStr">
        <is>
          <t>GÄVLE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45468</v>
      </c>
      <c r="E378" s="1" t="n">
        <v>46260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46260</v>
      </c>
      <c r="F379" t="inlineStr">
        <is>
          <t>GÄVLEBORGS LÄN</t>
        </is>
      </c>
      <c r="G379" t="inlineStr">
        <is>
          <t>GÄVLE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46260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45245</v>
      </c>
      <c r="E381" s="1" t="n">
        <v>46260</v>
      </c>
      <c r="F381" t="inlineStr">
        <is>
          <t>GÄVLEBORGS LÄN</t>
        </is>
      </c>
      <c r="G381" t="inlineStr">
        <is>
          <t>GÄVLE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18162-2022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44684</v>
      </c>
      <c r="E382" s="1" t="n">
        <v>46260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48247-2025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46260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45952</v>
      </c>
      <c r="E384" s="1" t="n">
        <v>46260</v>
      </c>
      <c r="F384" t="inlineStr">
        <is>
          <t>GÄVLEBORGS LÄN</t>
        </is>
      </c>
      <c r="G384" t="inlineStr">
        <is>
          <t>GÄVLE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17471-2026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46260</v>
      </c>
      <c r="F385" t="inlineStr">
        <is>
          <t>GÄVLEBORGS LÄN</t>
        </is>
      </c>
      <c r="G385" t="inlineStr">
        <is>
          <t>GÄVLE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46260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52970-2025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45957</v>
      </c>
      <c r="E387" s="1" t="n">
        <v>46260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46122</v>
      </c>
      <c r="E388" s="1" t="n">
        <v>46260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46077</v>
      </c>
      <c r="E389" s="1" t="n">
        <v>46260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52801-2025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45957</v>
      </c>
      <c r="E390" s="1" t="n">
        <v>46260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52897-2025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45957</v>
      </c>
      <c r="E391" s="1" t="n">
        <v>46260</v>
      </c>
      <c r="F391" t="inlineStr">
        <is>
          <t>GÄVLEBORGS LÄN</t>
        </is>
      </c>
      <c r="G391" t="inlineStr">
        <is>
          <t>GÄVLE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46260</v>
      </c>
      <c r="F392" t="inlineStr">
        <is>
          <t>GÄVLEBORGS LÄN</t>
        </is>
      </c>
      <c r="G392" t="inlineStr">
        <is>
          <t>GÄVLE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46260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18175-2026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46125</v>
      </c>
      <c r="E394" s="1" t="n">
        <v>46260</v>
      </c>
      <c r="F394" t="inlineStr">
        <is>
          <t>GÄVLEBORGS LÄN</t>
        </is>
      </c>
      <c r="G394" t="inlineStr">
        <is>
          <t>GÄVLE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46260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17976-2026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46124</v>
      </c>
      <c r="E396" s="1" t="n">
        <v>46260</v>
      </c>
      <c r="F396" t="inlineStr">
        <is>
          <t>GÄVLEBORGS LÄN</t>
        </is>
      </c>
      <c r="G396" t="inlineStr">
        <is>
          <t>GÄVLE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17977-2026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46124</v>
      </c>
      <c r="E397" s="1" t="n">
        <v>46260</v>
      </c>
      <c r="F397" t="inlineStr">
        <is>
          <t>GÄVLEBORGS LÄN</t>
        </is>
      </c>
      <c r="G397" t="inlineStr">
        <is>
          <t>GÄVLE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46124</v>
      </c>
      <c r="E398" s="1" t="n">
        <v>46260</v>
      </c>
      <c r="F398" t="inlineStr">
        <is>
          <t>GÄVLEBORGS LÄN</t>
        </is>
      </c>
      <c r="G398" t="inlineStr">
        <is>
          <t>GÄVLE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46260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31062-2023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45113</v>
      </c>
      <c r="E400" s="1" t="n">
        <v>46260</v>
      </c>
      <c r="F400" t="inlineStr">
        <is>
          <t>GÄVLEBORGS LÄN</t>
        </is>
      </c>
      <c r="G400" t="inlineStr">
        <is>
          <t>GÄVLE</t>
        </is>
      </c>
      <c r="H400" t="inlineStr">
        <is>
          <t>Kommuner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46260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46260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53541-2025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45960</v>
      </c>
      <c r="E403" s="1" t="n">
        <v>46260</v>
      </c>
      <c r="F403" t="inlineStr">
        <is>
          <t>GÄVLEBORGS LÄN</t>
        </is>
      </c>
      <c r="G403" t="inlineStr">
        <is>
          <t>GÄVLE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26249-2022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44735</v>
      </c>
      <c r="E404" s="1" t="n">
        <v>46260</v>
      </c>
      <c r="F404" t="inlineStr">
        <is>
          <t>GÄVLEBORGS LÄN</t>
        </is>
      </c>
      <c r="G404" t="inlineStr">
        <is>
          <t>GÄVLE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45223</v>
      </c>
      <c r="E405" s="1" t="n">
        <v>46260</v>
      </c>
      <c r="F405" t="inlineStr">
        <is>
          <t>GÄVLEBORGS LÄN</t>
        </is>
      </c>
      <c r="G405" t="inlineStr">
        <is>
          <t>GÄVLE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46260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18817-2026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46128</v>
      </c>
      <c r="E407" s="1" t="n">
        <v>46260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45715</v>
      </c>
      <c r="E408" s="1" t="n">
        <v>46260</v>
      </c>
      <c r="F408" t="inlineStr">
        <is>
          <t>GÄVLEBORGS LÄN</t>
        </is>
      </c>
      <c r="G408" t="inlineStr">
        <is>
          <t>GÄVLE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54135-2025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45964</v>
      </c>
      <c r="E409" s="1" t="n">
        <v>46260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46094</v>
      </c>
      <c r="E410" s="1" t="n">
        <v>46260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45719</v>
      </c>
      <c r="E411" s="1" t="n">
        <v>46260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46260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15568-2026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46260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46260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46260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36.3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10095-2025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46260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44693</v>
      </c>
      <c r="E417" s="1" t="n">
        <v>46260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46260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45401</v>
      </c>
      <c r="E419" s="1" t="n">
        <v>46260</v>
      </c>
      <c r="F419" t="inlineStr">
        <is>
          <t>GÄVLEBORGS LÄN</t>
        </is>
      </c>
      <c r="G419" t="inlineStr">
        <is>
          <t>GÄVLE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46260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45967</v>
      </c>
      <c r="E421" s="1" t="n">
        <v>46260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46260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19088-2026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46260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46260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46260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19371-2026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46260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19370-2026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46133</v>
      </c>
      <c r="E427" s="1" t="n">
        <v>46260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45967</v>
      </c>
      <c r="E428" s="1" t="n">
        <v>46260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46260</v>
      </c>
      <c r="F429" t="inlineStr">
        <is>
          <t>GÄVLEBORGS LÄN</t>
        </is>
      </c>
      <c r="G429" t="inlineStr">
        <is>
          <t>GÄVLE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46260</v>
      </c>
      <c r="F430" t="inlineStr">
        <is>
          <t>GÄVLEBORGS LÄN</t>
        </is>
      </c>
      <c r="G430" t="inlineStr">
        <is>
          <t>GÄVLE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46260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46260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46090</v>
      </c>
      <c r="E433" s="1" t="n">
        <v>46260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45971</v>
      </c>
      <c r="E434" s="1" t="n">
        <v>46260</v>
      </c>
      <c r="F434" t="inlineStr">
        <is>
          <t>GÄVLEBORGS LÄN</t>
        </is>
      </c>
      <c r="G434" t="inlineStr">
        <is>
          <t>GÄVLE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46260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46260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46260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23638-2024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45454</v>
      </c>
      <c r="E438" s="1" t="n">
        <v>46260</v>
      </c>
      <c r="F438" t="inlineStr">
        <is>
          <t>GÄVLEBORGS LÄN</t>
        </is>
      </c>
      <c r="G438" t="inlineStr">
        <is>
          <t>GÄVLE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49380-2024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45595</v>
      </c>
      <c r="E439" s="1" t="n">
        <v>46260</v>
      </c>
      <c r="F439" t="inlineStr">
        <is>
          <t>GÄVLEBORGS LÄN</t>
        </is>
      </c>
      <c r="G439" t="inlineStr">
        <is>
          <t>GÄVLE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14606-2025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45742</v>
      </c>
      <c r="E440" s="1" t="n">
        <v>46260</v>
      </c>
      <c r="F440" t="inlineStr">
        <is>
          <t>GÄVLEBORGS LÄN</t>
        </is>
      </c>
      <c r="G440" t="inlineStr">
        <is>
          <t>GÄVLE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45968</v>
      </c>
      <c r="E441" s="1" t="n">
        <v>46260</v>
      </c>
      <c r="F441" t="inlineStr">
        <is>
          <t>GÄVLEBORGS LÄN</t>
        </is>
      </c>
      <c r="G441" t="inlineStr">
        <is>
          <t>GÄVLE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19712-2026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46260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46260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46260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56121-2025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46260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46549-2021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44445</v>
      </c>
      <c r="E446" s="1" t="n">
        <v>46260</v>
      </c>
      <c r="F446" t="inlineStr">
        <is>
          <t>GÄVLEBORGS LÄN</t>
        </is>
      </c>
      <c r="G446" t="inlineStr">
        <is>
          <t>GÄVLE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44585</v>
      </c>
      <c r="E447" s="1" t="n">
        <v>46260</v>
      </c>
      <c r="F447" t="inlineStr">
        <is>
          <t>GÄVLEBORGS LÄN</t>
        </is>
      </c>
      <c r="G447" t="inlineStr">
        <is>
          <t>GÄVLE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46134</v>
      </c>
      <c r="E448" s="1" t="n">
        <v>46260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46260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56122-2025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45973</v>
      </c>
      <c r="E450" s="1" t="n">
        <v>46260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46260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10.5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44000-2025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45915</v>
      </c>
      <c r="E452" s="1" t="n">
        <v>46260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46260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46260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46260</v>
      </c>
      <c r="F455" t="inlineStr">
        <is>
          <t>GÄVLEBORGS LÄN</t>
        </is>
      </c>
      <c r="G455" t="inlineStr">
        <is>
          <t>GÄVLE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46260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46260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56272-2025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46260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46260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46260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56268-2025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46260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45974</v>
      </c>
      <c r="E462" s="1" t="n">
        <v>46260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46260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56270-2025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45974</v>
      </c>
      <c r="E464" s="1" t="n">
        <v>46260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45686</v>
      </c>
      <c r="E465" s="1" t="n">
        <v>46260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56774-2025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46260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56776-2025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46260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45832</v>
      </c>
      <c r="E468" s="1" t="n">
        <v>46260</v>
      </c>
      <c r="F468" t="inlineStr">
        <is>
          <t>GÄVLEBORGS LÄN</t>
        </is>
      </c>
      <c r="G468" t="inlineStr">
        <is>
          <t>GÄVLE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26334-2022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44735</v>
      </c>
      <c r="E469" s="1" t="n">
        <v>46260</v>
      </c>
      <c r="F469" t="inlineStr">
        <is>
          <t>GÄVLEBORGS LÄN</t>
        </is>
      </c>
      <c r="G469" t="inlineStr">
        <is>
          <t>GÄVLE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45945</v>
      </c>
      <c r="E470" s="1" t="n">
        <v>46260</v>
      </c>
      <c r="F470" t="inlineStr">
        <is>
          <t>GÄVLEBORGS LÄN</t>
        </is>
      </c>
      <c r="G470" t="inlineStr">
        <is>
          <t>GÄVLE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46260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20999-2022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44701</v>
      </c>
      <c r="E472" s="1" t="n">
        <v>46260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26.3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46260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32143-2024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45511</v>
      </c>
      <c r="E474" s="1" t="n">
        <v>46260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26094-2025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45805</v>
      </c>
      <c r="E475" s="1" t="n">
        <v>46260</v>
      </c>
      <c r="F475" t="inlineStr">
        <is>
          <t>GÄVLEBORGS LÄN</t>
        </is>
      </c>
      <c r="G475" t="inlineStr">
        <is>
          <t>GÄVLE</t>
        </is>
      </c>
      <c r="I475" t="n">
        <v>12.4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57570-2024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45630</v>
      </c>
      <c r="E476" s="1" t="n">
        <v>46260</v>
      </c>
      <c r="F476" t="inlineStr">
        <is>
          <t>GÄVLEBORGS LÄN</t>
        </is>
      </c>
      <c r="G476" t="inlineStr">
        <is>
          <t>GÄVLE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46260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45862</v>
      </c>
      <c r="E478" s="1" t="n">
        <v>46260</v>
      </c>
      <c r="F478" t="inlineStr">
        <is>
          <t>GÄVLEBORGS LÄN</t>
        </is>
      </c>
      <c r="G478" t="inlineStr">
        <is>
          <t>GÄVLE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46260</v>
      </c>
      <c r="F479" t="inlineStr">
        <is>
          <t>GÄVLEBORGS LÄN</t>
        </is>
      </c>
      <c r="G479" t="inlineStr">
        <is>
          <t>GÄVLE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15101-2025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45744</v>
      </c>
      <c r="E480" s="1" t="n">
        <v>46260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42592-2025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45905</v>
      </c>
      <c r="E481" s="1" t="n">
        <v>46260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43771-2025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46260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43780-2025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45912</v>
      </c>
      <c r="E483" s="1" t="n">
        <v>46260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46260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45922</v>
      </c>
      <c r="E485" s="1" t="n">
        <v>46260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45548-2025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45922</v>
      </c>
      <c r="E486" s="1" t="n">
        <v>46260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45410-2025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46260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46260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46260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46260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46260</v>
      </c>
      <c r="F491" t="inlineStr">
        <is>
          <t>GÄVLEBORGS LÄN</t>
        </is>
      </c>
      <c r="G491" t="inlineStr">
        <is>
          <t>GÄVLE</t>
        </is>
      </c>
      <c r="H491" t="inlineStr">
        <is>
          <t>Kyrkan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43774-2025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45912</v>
      </c>
      <c r="E492" s="1" t="n">
        <v>46260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46260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22.4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45922</v>
      </c>
      <c r="E494" s="1" t="n">
        <v>46260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8.199999999999999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45546-2025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45922</v>
      </c>
      <c r="E495" s="1" t="n">
        <v>46260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46077</v>
      </c>
      <c r="E496" s="1" t="n">
        <v>46260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45922</v>
      </c>
      <c r="E497" s="1" t="n">
        <v>46260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46260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46260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45922</v>
      </c>
      <c r="E500" s="1" t="n">
        <v>46260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45456-2025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45922</v>
      </c>
      <c r="E501" s="1" t="n">
        <v>46260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18168-2022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44684</v>
      </c>
      <c r="E502" s="1" t="n">
        <v>46260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45987</v>
      </c>
      <c r="E503" s="1" t="n">
        <v>46260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43764-2025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45912</v>
      </c>
      <c r="E504" s="1" t="n">
        <v>46260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45744</v>
      </c>
      <c r="E505" s="1" t="n">
        <v>46260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46070</v>
      </c>
      <c r="E506" s="1" t="n">
        <v>46260</v>
      </c>
      <c r="F506" t="inlineStr">
        <is>
          <t>GÄVLEBORGS LÄN</t>
        </is>
      </c>
      <c r="G506" t="inlineStr">
        <is>
          <t>GÄVLE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8568-2026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46260</v>
      </c>
      <c r="F507" t="inlineStr">
        <is>
          <t>GÄVLEBORGS LÄN</t>
        </is>
      </c>
      <c r="G507" t="inlineStr">
        <is>
          <t>GÄVLE</t>
        </is>
      </c>
      <c r="I507" t="n">
        <v>9.5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44694</v>
      </c>
      <c r="E508" s="1" t="n">
        <v>46260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46260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15275-2026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46260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45992</v>
      </c>
      <c r="E511" s="1" t="n">
        <v>46260</v>
      </c>
      <c r="F511" t="inlineStr">
        <is>
          <t>GÄVLEBORGS LÄN</t>
        </is>
      </c>
      <c r="G511" t="inlineStr">
        <is>
          <t>GÄVLE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45138</v>
      </c>
      <c r="E512" s="1" t="n">
        <v>46260</v>
      </c>
      <c r="F512" t="inlineStr">
        <is>
          <t>GÄVLEBORGS LÄN</t>
        </is>
      </c>
      <c r="G512" t="inlineStr">
        <is>
          <t>GÄVLE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46260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45168</v>
      </c>
      <c r="E514" s="1" t="n">
        <v>46260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59627-2025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45992</v>
      </c>
      <c r="E515" s="1" t="n">
        <v>46260</v>
      </c>
      <c r="F515" t="inlineStr">
        <is>
          <t>GÄVLEBORGS LÄN</t>
        </is>
      </c>
      <c r="G515" t="inlineStr">
        <is>
          <t>GÄVLE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44951</v>
      </c>
      <c r="E516" s="1" t="n">
        <v>46260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44951</v>
      </c>
      <c r="E517" s="1" t="n">
        <v>46260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46260</v>
      </c>
      <c r="F518" t="inlineStr">
        <is>
          <t>GÄVLEBORGS LÄN</t>
        </is>
      </c>
      <c r="G518" t="inlineStr">
        <is>
          <t>GÄVLE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60364-2025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46260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46260</v>
      </c>
      <c r="F520" t="inlineStr">
        <is>
          <t>GÄVLEBORGS LÄN</t>
        </is>
      </c>
      <c r="G520" t="inlineStr">
        <is>
          <t>GÄVLE</t>
        </is>
      </c>
      <c r="I520" t="n">
        <v>12.7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60532-2025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46260</v>
      </c>
      <c r="F521" t="inlineStr">
        <is>
          <t>GÄVLEBORGS LÄN</t>
        </is>
      </c>
      <c r="G521" t="inlineStr">
        <is>
          <t>GÄVLE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55217-2025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46260</v>
      </c>
      <c r="F522" t="inlineStr">
        <is>
          <t>GÄVLEBORGS LÄN</t>
        </is>
      </c>
      <c r="G522" t="inlineStr">
        <is>
          <t>GÄVLE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60536-2025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45995</v>
      </c>
      <c r="E523" s="1" t="n">
        <v>46260</v>
      </c>
      <c r="F523" t="inlineStr">
        <is>
          <t>GÄVLEBORGS LÄN</t>
        </is>
      </c>
      <c r="G523" t="inlineStr">
        <is>
          <t>GÄVLE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36512-2025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45869</v>
      </c>
      <c r="E524" s="1" t="n">
        <v>46260</v>
      </c>
      <c r="F524" t="inlineStr">
        <is>
          <t>GÄVLEBORGS LÄN</t>
        </is>
      </c>
      <c r="G524" t="inlineStr">
        <is>
          <t>GÄVLE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60922-2025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45999</v>
      </c>
      <c r="E525" s="1" t="n">
        <v>46260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46031</v>
      </c>
      <c r="E526" s="1" t="n">
        <v>46260</v>
      </c>
      <c r="F526" t="inlineStr">
        <is>
          <t>GÄVLEBORGS LÄN</t>
        </is>
      </c>
      <c r="G526" t="inlineStr">
        <is>
          <t>GÄVLE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46000</v>
      </c>
      <c r="E527" s="1" t="n">
        <v>46260</v>
      </c>
      <c r="F527" t="inlineStr">
        <is>
          <t>GÄVLEBORGS LÄN</t>
        </is>
      </c>
      <c r="G527" t="inlineStr">
        <is>
          <t>GÄVLE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59322-2022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46260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44962</v>
      </c>
      <c r="E529" s="1" t="n">
        <v>46260</v>
      </c>
      <c r="F529" t="inlineStr">
        <is>
          <t>GÄVLEBORGS LÄN</t>
        </is>
      </c>
      <c r="G529" t="inlineStr">
        <is>
          <t>GÄVLE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45660</v>
      </c>
      <c r="E530" s="1" t="n">
        <v>46260</v>
      </c>
      <c r="F530" t="inlineStr">
        <is>
          <t>GÄVLEBORGS LÄN</t>
        </is>
      </c>
      <c r="G530" t="inlineStr">
        <is>
          <t>GÄVLE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14355-2026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46100</v>
      </c>
      <c r="E531" s="1" t="n">
        <v>46260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45834</v>
      </c>
      <c r="E532" s="1" t="n">
        <v>46260</v>
      </c>
      <c r="F532" t="inlineStr">
        <is>
          <t>GÄVLEBORGS LÄN</t>
        </is>
      </c>
      <c r="G532" t="inlineStr">
        <is>
          <t>GÄVLE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61449-2025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46001</v>
      </c>
      <c r="E533" s="1" t="n">
        <v>46260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61880-2025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46260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44942</v>
      </c>
      <c r="E535" s="1" t="n">
        <v>46260</v>
      </c>
      <c r="F535" t="inlineStr">
        <is>
          <t>GÄVLEBORGS LÄN</t>
        </is>
      </c>
      <c r="G535" t="inlineStr">
        <is>
          <t>GÄVLE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61650-2025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46002</v>
      </c>
      <c r="E536" s="1" t="n">
        <v>46260</v>
      </c>
      <c r="F536" t="inlineStr">
        <is>
          <t>GÄVLEBORGS LÄN</t>
        </is>
      </c>
      <c r="G536" t="inlineStr">
        <is>
          <t>GÄVLE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47108-2024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45586</v>
      </c>
      <c r="E537" s="1" t="n">
        <v>46260</v>
      </c>
      <c r="F537" t="inlineStr">
        <is>
          <t>GÄVLEBORGS LÄN</t>
        </is>
      </c>
      <c r="G537" t="inlineStr">
        <is>
          <t>GÄVLE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61648-2025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46002</v>
      </c>
      <c r="E538" s="1" t="n">
        <v>46260</v>
      </c>
      <c r="F538" t="inlineStr">
        <is>
          <t>GÄVLEBORGS LÄN</t>
        </is>
      </c>
      <c r="G538" t="inlineStr">
        <is>
          <t>GÄVLE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61651-2025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46002</v>
      </c>
      <c r="E539" s="1" t="n">
        <v>46260</v>
      </c>
      <c r="F539" t="inlineStr">
        <is>
          <t>GÄVLEBORGS LÄN</t>
        </is>
      </c>
      <c r="G539" t="inlineStr">
        <is>
          <t>GÄVLE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21300-2024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45440</v>
      </c>
      <c r="E540" s="1" t="n">
        <v>46260</v>
      </c>
      <c r="F540" t="inlineStr">
        <is>
          <t>GÄVLEBORGS LÄN</t>
        </is>
      </c>
      <c r="G540" t="inlineStr">
        <is>
          <t>GÄVLE</t>
        </is>
      </c>
      <c r="I540" t="n">
        <v>8.6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61879-2025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46003</v>
      </c>
      <c r="E541" s="1" t="n">
        <v>46260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47746-2023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45203</v>
      </c>
      <c r="E542" s="1" t="n">
        <v>46260</v>
      </c>
      <c r="F542" t="inlineStr">
        <is>
          <t>GÄVLEBORGS LÄN</t>
        </is>
      </c>
      <c r="G542" t="inlineStr">
        <is>
          <t>GÄVLE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44600</v>
      </c>
      <c r="E543" s="1" t="n">
        <v>46260</v>
      </c>
      <c r="F543" t="inlineStr">
        <is>
          <t>GÄVLEBORGS LÄN</t>
        </is>
      </c>
      <c r="G543" t="inlineStr">
        <is>
          <t>GÄVLE</t>
        </is>
      </c>
      <c r="H543" t="inlineStr">
        <is>
          <t>Kyrkan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46260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58192-2024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45632</v>
      </c>
      <c r="E545" s="1" t="n">
        <v>46260</v>
      </c>
      <c r="F545" t="inlineStr">
        <is>
          <t>GÄVLEBORGS LÄN</t>
        </is>
      </c>
      <c r="G545" t="inlineStr">
        <is>
          <t>GÄVLE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52495-2021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44466</v>
      </c>
      <c r="E546" s="1" t="n">
        <v>46260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46260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46260</v>
      </c>
      <c r="F548" t="inlineStr">
        <is>
          <t>GÄVLEBORGS LÄN</t>
        </is>
      </c>
      <c r="G548" t="inlineStr">
        <is>
          <t>GÄVLE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46260</v>
      </c>
      <c r="F549" t="inlineStr">
        <is>
          <t>GÄVLEBORGS LÄN</t>
        </is>
      </c>
      <c r="G549" t="inlineStr">
        <is>
          <t>GÄVLE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34668-2024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45526</v>
      </c>
      <c r="E550" s="1" t="n">
        <v>46260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46260</v>
      </c>
      <c r="F551" t="inlineStr">
        <is>
          <t>GÄVLEBORGS LÄN</t>
        </is>
      </c>
      <c r="G551" t="inlineStr">
        <is>
          <t>GÄVLE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46260</v>
      </c>
      <c r="F552" t="inlineStr">
        <is>
          <t>GÄVLEBORGS LÄN</t>
        </is>
      </c>
      <c r="G552" t="inlineStr">
        <is>
          <t>GÄVLE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46111</v>
      </c>
      <c r="E553" s="1" t="n">
        <v>46260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16263-2026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46260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20689-2024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45436</v>
      </c>
      <c r="E555" s="1" t="n">
        <v>46260</v>
      </c>
      <c r="F555" t="inlineStr">
        <is>
          <t>GÄVLEBORGS LÄN</t>
        </is>
      </c>
      <c r="G555" t="inlineStr">
        <is>
          <t>GÄVLE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46108</v>
      </c>
      <c r="E556" s="1" t="n">
        <v>46260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45835</v>
      </c>
      <c r="E557" s="1" t="n">
        <v>46260</v>
      </c>
      <c r="F557" t="inlineStr">
        <is>
          <t>GÄVLEBORGS LÄN</t>
        </is>
      </c>
      <c r="G557" t="inlineStr">
        <is>
          <t>GÄVLE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62742-2025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46008</v>
      </c>
      <c r="E558" s="1" t="n">
        <v>46260</v>
      </c>
      <c r="F558" t="inlineStr">
        <is>
          <t>GÄVLEBORGS LÄN</t>
        </is>
      </c>
      <c r="G558" t="inlineStr">
        <is>
          <t>GÄVLE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45120</v>
      </c>
      <c r="E559" s="1" t="n">
        <v>46260</v>
      </c>
      <c r="F559" t="inlineStr">
        <is>
          <t>GÄVLEBORGS LÄN</t>
        </is>
      </c>
      <c r="G559" t="inlineStr">
        <is>
          <t>GÄVLE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20736-2026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46260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46033</v>
      </c>
      <c r="E561" s="1" t="n">
        <v>46260</v>
      </c>
      <c r="F561" t="inlineStr">
        <is>
          <t>GÄVLEBORGS LÄN</t>
        </is>
      </c>
      <c r="G561" t="inlineStr">
        <is>
          <t>GÄVLE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20785-2026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46141</v>
      </c>
      <c r="E562" s="1" t="n">
        <v>46260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7441-2025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46260</v>
      </c>
      <c r="F563" t="inlineStr">
        <is>
          <t>GÄVLEBORGS LÄN</t>
        </is>
      </c>
      <c r="G563" t="inlineStr">
        <is>
          <t>GÄVLE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46260</v>
      </c>
      <c r="F564" t="inlineStr">
        <is>
          <t>GÄVLEBORGS LÄN</t>
        </is>
      </c>
      <c r="G564" t="inlineStr">
        <is>
          <t>GÄVLE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46141</v>
      </c>
      <c r="E565" s="1" t="n">
        <v>46260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20735-2026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46260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61301-2024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45645</v>
      </c>
      <c r="E567" s="1" t="n">
        <v>46260</v>
      </c>
      <c r="F567" t="inlineStr">
        <is>
          <t>GÄVLEBORGS LÄN</t>
        </is>
      </c>
      <c r="G567" t="inlineStr">
        <is>
          <t>GÄVLE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46260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46260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64868-2023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45282</v>
      </c>
      <c r="E570" s="1" t="n">
        <v>46260</v>
      </c>
      <c r="F570" t="inlineStr">
        <is>
          <t>GÄVLEBORGS LÄN</t>
        </is>
      </c>
      <c r="G570" t="inlineStr">
        <is>
          <t>GÄVLE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35450-2025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45855</v>
      </c>
      <c r="E571" s="1" t="n">
        <v>46260</v>
      </c>
      <c r="F571" t="inlineStr">
        <is>
          <t>GÄVLEBORGS LÄN</t>
        </is>
      </c>
      <c r="G571" t="inlineStr">
        <is>
          <t>GÄVLE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63801-2025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46019</v>
      </c>
      <c r="E572" s="1" t="n">
        <v>46260</v>
      </c>
      <c r="F572" t="inlineStr">
        <is>
          <t>GÄVLEBORGS LÄN</t>
        </is>
      </c>
      <c r="G572" t="inlineStr">
        <is>
          <t>GÄVLE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54953-2025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45967</v>
      </c>
      <c r="E573" s="1" t="n">
        <v>46260</v>
      </c>
      <c r="F573" t="inlineStr">
        <is>
          <t>GÄVLEBORGS LÄN</t>
        </is>
      </c>
      <c r="G573" t="inlineStr">
        <is>
          <t>GÄVLE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45932</v>
      </c>
      <c r="E574" s="1" t="n">
        <v>46260</v>
      </c>
      <c r="F574" t="inlineStr">
        <is>
          <t>GÄVLEBORGS LÄN</t>
        </is>
      </c>
      <c r="G574" t="inlineStr">
        <is>
          <t>GÄVLE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47981-2025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45932</v>
      </c>
      <c r="E575" s="1" t="n">
        <v>46260</v>
      </c>
      <c r="F575" t="inlineStr">
        <is>
          <t>GÄVLEBORGS LÄN</t>
        </is>
      </c>
      <c r="G575" t="inlineStr">
        <is>
          <t>GÄVLE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45672</v>
      </c>
      <c r="E576" s="1" t="n">
        <v>46260</v>
      </c>
      <c r="F576" t="inlineStr">
        <is>
          <t>GÄVLEBORGS LÄN</t>
        </is>
      </c>
      <c r="G576" t="inlineStr">
        <is>
          <t>GÄVLE</t>
        </is>
      </c>
      <c r="H576" t="inlineStr">
        <is>
          <t>Kyrkan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63800-2025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46019</v>
      </c>
      <c r="E577" s="1" t="n">
        <v>46260</v>
      </c>
      <c r="F577" t="inlineStr">
        <is>
          <t>GÄVLEBORGS LÄN</t>
        </is>
      </c>
      <c r="G577" t="inlineStr">
        <is>
          <t>GÄVLE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42788-2025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45908</v>
      </c>
      <c r="E578" s="1" t="n">
        <v>46260</v>
      </c>
      <c r="F578" t="inlineStr">
        <is>
          <t>GÄVLEBORGS LÄN</t>
        </is>
      </c>
      <c r="G578" t="inlineStr">
        <is>
          <t>GÄVLE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48928-2025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45937</v>
      </c>
      <c r="E579" s="1" t="n">
        <v>46260</v>
      </c>
      <c r="F579" t="inlineStr">
        <is>
          <t>GÄVLEBORGS LÄN</t>
        </is>
      </c>
      <c r="G579" t="inlineStr">
        <is>
          <t>GÄVLE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48864-2025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45937</v>
      </c>
      <c r="E580" s="1" t="n">
        <v>46260</v>
      </c>
      <c r="F580" t="inlineStr">
        <is>
          <t>GÄVLEBORGS LÄN</t>
        </is>
      </c>
      <c r="G580" t="inlineStr">
        <is>
          <t>GÄVLE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46260</v>
      </c>
      <c r="F581" t="inlineStr">
        <is>
          <t>GÄVLEBORGS LÄN</t>
        </is>
      </c>
      <c r="G581" t="inlineStr">
        <is>
          <t>GÄVLE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42692-2025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45908</v>
      </c>
      <c r="E582" s="1" t="n">
        <v>46260</v>
      </c>
      <c r="F582" t="inlineStr">
        <is>
          <t>GÄVLEBORGS LÄN</t>
        </is>
      </c>
      <c r="G582" t="inlineStr">
        <is>
          <t>GÄVLE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47694-2025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45931</v>
      </c>
      <c r="E583" s="1" t="n">
        <v>46260</v>
      </c>
      <c r="F583" t="inlineStr">
        <is>
          <t>GÄVLEBORGS LÄN</t>
        </is>
      </c>
      <c r="G583" t="inlineStr">
        <is>
          <t>GÄVLE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47916-2025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45932</v>
      </c>
      <c r="E584" s="1" t="n">
        <v>46260</v>
      </c>
      <c r="F584" t="inlineStr">
        <is>
          <t>GÄVLEBORGS LÄN</t>
        </is>
      </c>
      <c r="G584" t="inlineStr">
        <is>
          <t>GÄVLE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64142-2025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46022</v>
      </c>
      <c r="E585" s="1" t="n">
        <v>46260</v>
      </c>
      <c r="F585" t="inlineStr">
        <is>
          <t>GÄVLEBORGS LÄN</t>
        </is>
      </c>
      <c r="G585" t="inlineStr">
        <is>
          <t>GÄVLE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21364-2026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46260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61016-2024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45645</v>
      </c>
      <c r="E587" s="1" t="n">
        <v>46260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18361-2024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45422</v>
      </c>
      <c r="E588" s="1" t="n">
        <v>46260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21033-2026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46260</v>
      </c>
      <c r="F589" t="inlineStr">
        <is>
          <t>GÄVLEBORGS LÄN</t>
        </is>
      </c>
      <c r="G589" t="inlineStr">
        <is>
          <t>GÄVLE</t>
        </is>
      </c>
      <c r="H589" t="inlineStr">
        <is>
          <t>Kyrkan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38495-2023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45162</v>
      </c>
      <c r="E590" s="1" t="n">
        <v>46260</v>
      </c>
      <c r="F590" t="inlineStr">
        <is>
          <t>GÄVLEBORGS LÄN</t>
        </is>
      </c>
      <c r="G590" t="inlineStr">
        <is>
          <t>GÄVLE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46101</v>
      </c>
      <c r="E591" s="1" t="n">
        <v>46260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16144-2026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46260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20682-2023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45058</v>
      </c>
      <c r="E593" s="1" t="n">
        <v>46260</v>
      </c>
      <c r="F593" t="inlineStr">
        <is>
          <t>GÄVLEBORGS LÄN</t>
        </is>
      </c>
      <c r="G593" t="inlineStr">
        <is>
          <t>GÄVLE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46260</v>
      </c>
      <c r="F594" t="inlineStr">
        <is>
          <t>GÄVLEBORGS LÄN</t>
        </is>
      </c>
      <c r="G594" t="inlineStr">
        <is>
          <t>GÄVLE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44586</v>
      </c>
      <c r="E595" s="1" t="n">
        <v>46260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22111-2026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46260</v>
      </c>
      <c r="F596" t="inlineStr">
        <is>
          <t>GÄVLEBORGS LÄN</t>
        </is>
      </c>
      <c r="G596" t="inlineStr">
        <is>
          <t>GÄVLE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46153</v>
      </c>
      <c r="E597" s="1" t="n">
        <v>46260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8.5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61878-2025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46260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46030</v>
      </c>
      <c r="E599" s="1" t="n">
        <v>46260</v>
      </c>
      <c r="F599" t="inlineStr">
        <is>
          <t>GÄVLEBORGS LÄN</t>
        </is>
      </c>
      <c r="G599" t="inlineStr">
        <is>
          <t>GÄVLE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45658</v>
      </c>
      <c r="E600" s="1" t="n">
        <v>46260</v>
      </c>
      <c r="F600" t="inlineStr">
        <is>
          <t>GÄVLEBORGS LÄN</t>
        </is>
      </c>
      <c r="G600" t="inlineStr">
        <is>
          <t>GÄVLE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22053-2026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46153</v>
      </c>
      <c r="E601" s="1" t="n">
        <v>46260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66351-2021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44518</v>
      </c>
      <c r="E602" s="1" t="n">
        <v>46260</v>
      </c>
      <c r="F602" t="inlineStr">
        <is>
          <t>GÄVLEBORGS LÄN</t>
        </is>
      </c>
      <c r="G602" t="inlineStr">
        <is>
          <t>GÄVLE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46260</v>
      </c>
      <c r="F603" t="inlineStr">
        <is>
          <t>GÄVLEBORGS LÄN</t>
        </is>
      </c>
      <c r="G603" t="inlineStr">
        <is>
          <t>GÄVLE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22075-2026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46260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46260</v>
      </c>
      <c r="F605" t="inlineStr">
        <is>
          <t>GÄVLEBORGS LÄN</t>
        </is>
      </c>
      <c r="G605" t="inlineStr">
        <is>
          <t>GÄVLE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46260</v>
      </c>
      <c r="F606" t="inlineStr">
        <is>
          <t>GÄVLEBORGS LÄN</t>
        </is>
      </c>
      <c r="G606" t="inlineStr">
        <is>
          <t>GÄVLE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17300-2026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46260</v>
      </c>
      <c r="F607" t="inlineStr">
        <is>
          <t>GÄVLEBORGS LÄN</t>
        </is>
      </c>
      <c r="G607" t="inlineStr">
        <is>
          <t>GÄVLE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15158-2026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46260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22545-2026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46260</v>
      </c>
      <c r="F609" t="inlineStr">
        <is>
          <t>GÄVLEBORGS LÄN</t>
        </is>
      </c>
      <c r="G609" t="inlineStr">
        <is>
          <t>GÄVLE</t>
        </is>
      </c>
      <c r="H609" t="inlineStr">
        <is>
          <t>Kyrkan</t>
        </is>
      </c>
      <c r="I609" t="n">
        <v>10.1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29929-2022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44756</v>
      </c>
      <c r="E610" s="1" t="n">
        <v>46260</v>
      </c>
      <c r="F610" t="inlineStr">
        <is>
          <t>GÄVLEBORGS LÄN</t>
        </is>
      </c>
      <c r="G610" t="inlineStr">
        <is>
          <t>GÄVLE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38673-2024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45547</v>
      </c>
      <c r="E611" s="1" t="n">
        <v>46260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46260</v>
      </c>
      <c r="F612" t="inlineStr">
        <is>
          <t>GÄVLEBORGS LÄN</t>
        </is>
      </c>
      <c r="G612" t="inlineStr">
        <is>
          <t>GÄVLE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44936</v>
      </c>
      <c r="E613" s="1" t="n">
        <v>46260</v>
      </c>
      <c r="F613" t="inlineStr">
        <is>
          <t>GÄVLEBORGS LÄN</t>
        </is>
      </c>
      <c r="G613" t="inlineStr">
        <is>
          <t>GÄVLE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21978-2025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45784</v>
      </c>
      <c r="E614" s="1" t="n">
        <v>46260</v>
      </c>
      <c r="F614" t="inlineStr">
        <is>
          <t>GÄVLEBORGS LÄN</t>
        </is>
      </c>
      <c r="G614" t="inlineStr">
        <is>
          <t>GÄVLE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46260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60442-2022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44911</v>
      </c>
      <c r="E616" s="1" t="n">
        <v>46260</v>
      </c>
      <c r="F616" t="inlineStr">
        <is>
          <t>GÄVLEBORGS LÄN</t>
        </is>
      </c>
      <c r="G616" t="inlineStr">
        <is>
          <t>GÄVLE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50314-2024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45600</v>
      </c>
      <c r="E617" s="1" t="n">
        <v>46260</v>
      </c>
      <c r="F617" t="inlineStr">
        <is>
          <t>GÄVLEBORGS LÄN</t>
        </is>
      </c>
      <c r="G617" t="inlineStr">
        <is>
          <t>GÄVLE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14666-2026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46260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61786-2024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45649</v>
      </c>
      <c r="E619" s="1" t="n">
        <v>46260</v>
      </c>
      <c r="F619" t="inlineStr">
        <is>
          <t>GÄVLEBORGS LÄN</t>
        </is>
      </c>
      <c r="G619" t="inlineStr">
        <is>
          <t>GÄVLE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22342-2026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46154</v>
      </c>
      <c r="E620" s="1" t="n">
        <v>46260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46260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34116-2025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45845</v>
      </c>
      <c r="E622" s="1" t="n">
        <v>46260</v>
      </c>
      <c r="F622" t="inlineStr">
        <is>
          <t>GÄVLEBORGS LÄN</t>
        </is>
      </c>
      <c r="G622" t="inlineStr">
        <is>
          <t>GÄVLE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46260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34113-2025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45845</v>
      </c>
      <c r="E624" s="1" t="n">
        <v>46260</v>
      </c>
      <c r="F624" t="inlineStr">
        <is>
          <t>GÄVLEBORGS LÄN</t>
        </is>
      </c>
      <c r="G624" t="inlineStr">
        <is>
          <t>GÄVLE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45312</v>
      </c>
      <c r="E625" s="1" t="n">
        <v>46260</v>
      </c>
      <c r="F625" t="inlineStr">
        <is>
          <t>GÄVLEBORGS LÄN</t>
        </is>
      </c>
      <c r="G625" t="inlineStr">
        <is>
          <t>GÄVLE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45320</v>
      </c>
      <c r="E626" s="1" t="n">
        <v>46260</v>
      </c>
      <c r="F626" t="inlineStr">
        <is>
          <t>GÄVLEBORGS LÄN</t>
        </is>
      </c>
      <c r="G626" t="inlineStr">
        <is>
          <t>GÄVLE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46260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46105</v>
      </c>
      <c r="E628" s="1" t="n">
        <v>46260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46260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46260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23117-2026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46260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23591-2026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46163</v>
      </c>
      <c r="E632" s="1" t="n">
        <v>46260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väst AB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45848</v>
      </c>
      <c r="E633" s="1" t="n">
        <v>46260</v>
      </c>
      <c r="F633" t="inlineStr">
        <is>
          <t>GÄVLEBORGS LÄN</t>
        </is>
      </c>
      <c r="G633" t="inlineStr">
        <is>
          <t>GÄVLE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46104</v>
      </c>
      <c r="E634" s="1" t="n">
        <v>46260</v>
      </c>
      <c r="F634" t="inlineStr">
        <is>
          <t>GÄVLEBORGS LÄN</t>
        </is>
      </c>
      <c r="G634" t="inlineStr">
        <is>
          <t>GÄVLE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45848</v>
      </c>
      <c r="E635" s="1" t="n">
        <v>46260</v>
      </c>
      <c r="F635" t="inlineStr">
        <is>
          <t>GÄVLEBORGS LÄN</t>
        </is>
      </c>
      <c r="G635" t="inlineStr">
        <is>
          <t>GÄVLE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37253-2024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45540</v>
      </c>
      <c r="E636" s="1" t="n">
        <v>46260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32255-2023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45120</v>
      </c>
      <c r="E637" s="1" t="n">
        <v>46260</v>
      </c>
      <c r="F637" t="inlineStr">
        <is>
          <t>GÄVLEBORGS LÄN</t>
        </is>
      </c>
      <c r="G637" t="inlineStr">
        <is>
          <t>GÄVLE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23956-2026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46167</v>
      </c>
      <c r="E638" s="1" t="n">
        <v>46260</v>
      </c>
      <c r="F638" t="inlineStr">
        <is>
          <t>GÄVLEBORGS LÄN</t>
        </is>
      </c>
      <c r="G638" t="inlineStr">
        <is>
          <t>GÄVLE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44800-2024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45574</v>
      </c>
      <c r="E639" s="1" t="n">
        <v>46260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45312</v>
      </c>
      <c r="E640" s="1" t="n">
        <v>46260</v>
      </c>
      <c r="F640" t="inlineStr">
        <is>
          <t>GÄVLEBORGS LÄN</t>
        </is>
      </c>
      <c r="G640" t="inlineStr">
        <is>
          <t>GÄVLE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35337-2025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45854</v>
      </c>
      <c r="E641" s="1" t="n">
        <v>46260</v>
      </c>
      <c r="F641" t="inlineStr">
        <is>
          <t>GÄVLEBORGS LÄN</t>
        </is>
      </c>
      <c r="G641" t="inlineStr">
        <is>
          <t>GÄVLE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24325-2026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46260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24398-2026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46260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46260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59817-2023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46260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24295-2026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46260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24306-2026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46260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45859</v>
      </c>
      <c r="E648" s="1" t="n">
        <v>46260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24089-2026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46260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46169</v>
      </c>
      <c r="E650" s="1" t="n">
        <v>46260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14173-2022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44651</v>
      </c>
      <c r="E651" s="1" t="n">
        <v>46260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24090-2026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46260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24373-2026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46169</v>
      </c>
      <c r="E653" s="1" t="n">
        <v>46260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24099-2026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46168</v>
      </c>
      <c r="E654" s="1" t="n">
        <v>46260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42876-2023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45182</v>
      </c>
      <c r="E655" s="1" t="n">
        <v>46260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22.7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35878-2025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45862</v>
      </c>
      <c r="E656" s="1" t="n">
        <v>46260</v>
      </c>
      <c r="F656" t="inlineStr">
        <is>
          <t>GÄVLEBORGS LÄN</t>
        </is>
      </c>
      <c r="G656" t="inlineStr">
        <is>
          <t>GÄVLE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35938-2025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45862</v>
      </c>
      <c r="E657" s="1" t="n">
        <v>46260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46260</v>
      </c>
      <c r="F658" t="inlineStr">
        <is>
          <t>GÄVLEBORGS LÄN</t>
        </is>
      </c>
      <c r="G658" t="inlineStr">
        <is>
          <t>GÄVLE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35919-2025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45862</v>
      </c>
      <c r="E659" s="1" t="n">
        <v>46260</v>
      </c>
      <c r="F659" t="inlineStr">
        <is>
          <t>GÄVLEBORGS LÄN</t>
        </is>
      </c>
      <c r="G659" t="inlineStr">
        <is>
          <t>GÄVLE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17404-2025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45757</v>
      </c>
      <c r="E660" s="1" t="n">
        <v>46260</v>
      </c>
      <c r="F660" t="inlineStr">
        <is>
          <t>GÄVLEBORGS LÄN</t>
        </is>
      </c>
      <c r="G660" t="inlineStr">
        <is>
          <t>GÄVLE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24810-2026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46173</v>
      </c>
      <c r="E661" s="1" t="n">
        <v>46260</v>
      </c>
      <c r="F661" t="inlineStr">
        <is>
          <t>GÄVLEBORGS LÄN</t>
        </is>
      </c>
      <c r="G661" t="inlineStr">
        <is>
          <t>GÄVLE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36106-2025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45866</v>
      </c>
      <c r="E662" s="1" t="n">
        <v>46260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36255-2025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45867</v>
      </c>
      <c r="E663" s="1" t="n">
        <v>46260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37146-2024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45539</v>
      </c>
      <c r="E664" s="1" t="n">
        <v>46260</v>
      </c>
      <c r="F664" t="inlineStr">
        <is>
          <t>GÄVLEBORGS LÄN</t>
        </is>
      </c>
      <c r="G664" t="inlineStr">
        <is>
          <t>GÄVLE</t>
        </is>
      </c>
      <c r="I664" t="n">
        <v>9.4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45660</v>
      </c>
      <c r="E665" s="1" t="n">
        <v>46260</v>
      </c>
      <c r="F665" t="inlineStr">
        <is>
          <t>GÄVLEBORGS LÄN</t>
        </is>
      </c>
      <c r="G665" t="inlineStr">
        <is>
          <t>GÄVLE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36493-2025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45869</v>
      </c>
      <c r="E666" s="1" t="n">
        <v>46260</v>
      </c>
      <c r="F666" t="inlineStr">
        <is>
          <t>GÄVLEBORGS LÄN</t>
        </is>
      </c>
      <c r="G666" t="inlineStr">
        <is>
          <t>GÄVLE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45869</v>
      </c>
      <c r="E667" s="1" t="n">
        <v>46260</v>
      </c>
      <c r="F667" t="inlineStr">
        <is>
          <t>GÄVLEBORGS LÄN</t>
        </is>
      </c>
      <c r="G667" t="inlineStr">
        <is>
          <t>GÄVLE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46171</v>
      </c>
      <c r="E668" s="1" t="n">
        <v>46260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väst AB</t>
        </is>
      </c>
      <c r="I668" t="n">
        <v>21.4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46260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25384-2026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46176</v>
      </c>
      <c r="E670" s="1" t="n">
        <v>46260</v>
      </c>
      <c r="F670" t="inlineStr">
        <is>
          <t>GÄVLEBORGS LÄN</t>
        </is>
      </c>
      <c r="G670" t="inlineStr">
        <is>
          <t>GÄVLE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46260</v>
      </c>
      <c r="F671" t="inlineStr">
        <is>
          <t>GÄVLEBORGS LÄN</t>
        </is>
      </c>
      <c r="G671" t="inlineStr">
        <is>
          <t>GÄVLE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45673</v>
      </c>
      <c r="E672" s="1" t="n">
        <v>46260</v>
      </c>
      <c r="F672" t="inlineStr">
        <is>
          <t>GÄVLEBORGS LÄN</t>
        </is>
      </c>
      <c r="G672" t="inlineStr">
        <is>
          <t>GÄVLE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45873</v>
      </c>
      <c r="E673" s="1" t="n">
        <v>46260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25367-2026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46260</v>
      </c>
      <c r="F674" t="inlineStr">
        <is>
          <t>GÄVLEBORGS LÄN</t>
        </is>
      </c>
      <c r="G674" t="inlineStr">
        <is>
          <t>GÄVLE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61501-2024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45646</v>
      </c>
      <c r="E675" s="1" t="n">
        <v>46260</v>
      </c>
      <c r="F675" t="inlineStr">
        <is>
          <t>GÄVLEBORGS LÄN</t>
        </is>
      </c>
      <c r="G675" t="inlineStr">
        <is>
          <t>GÄVLE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47458-2022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44853</v>
      </c>
      <c r="E676" s="1" t="n">
        <v>46260</v>
      </c>
      <c r="F676" t="inlineStr">
        <is>
          <t>GÄVLEBORGS LÄN</t>
        </is>
      </c>
      <c r="G676" t="inlineStr">
        <is>
          <t>GÄVLE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44938-2022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44841</v>
      </c>
      <c r="E677" s="1" t="n">
        <v>46260</v>
      </c>
      <c r="F677" t="inlineStr">
        <is>
          <t>GÄVLEBORGS LÄN</t>
        </is>
      </c>
      <c r="G677" t="inlineStr">
        <is>
          <t>GÄVLE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25808-2026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46178</v>
      </c>
      <c r="E678" s="1" t="n">
        <v>46260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21367-2026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46147</v>
      </c>
      <c r="E679" s="1" t="n">
        <v>46260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5241-2024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45330</v>
      </c>
      <c r="E680" s="1" t="n">
        <v>46260</v>
      </c>
      <c r="F680" t="inlineStr">
        <is>
          <t>GÄVLEBORGS LÄN</t>
        </is>
      </c>
      <c r="G680" t="inlineStr">
        <is>
          <t>GÄVLE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46177</v>
      </c>
      <c r="E681" s="1" t="n">
        <v>46260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20676-2026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46260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31528-2026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46220</v>
      </c>
      <c r="E683" s="1" t="n">
        <v>46260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11.4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38240-2024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45545</v>
      </c>
      <c r="E684" s="1" t="n">
        <v>46260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25513-2026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46177</v>
      </c>
      <c r="E685" s="1" t="n">
        <v>46260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25582-2026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46260</v>
      </c>
      <c r="F686" t="inlineStr">
        <is>
          <t>GÄVLEBORGS LÄN</t>
        </is>
      </c>
      <c r="G686" t="inlineStr">
        <is>
          <t>GÄVLE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46260</v>
      </c>
      <c r="F687" t="inlineStr">
        <is>
          <t>GÄVLEBORGS LÄN</t>
        </is>
      </c>
      <c r="G687" t="inlineStr">
        <is>
          <t>GÄVLE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14093-2025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46260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46260</v>
      </c>
      <c r="F689" t="inlineStr">
        <is>
          <t>GÄVLEBORGS LÄN</t>
        </is>
      </c>
      <c r="G689" t="inlineStr">
        <is>
          <t>GÄVLE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50582-2023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45217</v>
      </c>
      <c r="E690" s="1" t="n">
        <v>46260</v>
      </c>
      <c r="F690" t="inlineStr">
        <is>
          <t>GÄVLEBORGS LÄN</t>
        </is>
      </c>
      <c r="G690" t="inlineStr">
        <is>
          <t>GÄVLE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45884</v>
      </c>
      <c r="E691" s="1" t="n">
        <v>46260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26281-2026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46260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9235-2022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44616</v>
      </c>
      <c r="E693" s="1" t="n">
        <v>46260</v>
      </c>
      <c r="F693" t="inlineStr">
        <is>
          <t>GÄVLEBORGS LÄN</t>
        </is>
      </c>
      <c r="G693" t="inlineStr">
        <is>
          <t>GÄVLE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53082-2022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44876</v>
      </c>
      <c r="E694" s="1" t="n">
        <v>46260</v>
      </c>
      <c r="F694" t="inlineStr">
        <is>
          <t>GÄVLEBORGS LÄN</t>
        </is>
      </c>
      <c r="G694" t="inlineStr">
        <is>
          <t>GÄVLE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26016-2026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46260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72734-2021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44546</v>
      </c>
      <c r="E696" s="1" t="n">
        <v>46260</v>
      </c>
      <c r="F696" t="inlineStr">
        <is>
          <t>GÄVLEBORGS LÄN</t>
        </is>
      </c>
      <c r="G696" t="inlineStr">
        <is>
          <t>GÄVLE</t>
        </is>
      </c>
      <c r="H696" t="inlineStr">
        <is>
          <t>Kommuner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53432-2021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44468</v>
      </c>
      <c r="E697" s="1" t="n">
        <v>46260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31566-2026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46223</v>
      </c>
      <c r="E698" s="1" t="n">
        <v>46260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58445-2021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44488</v>
      </c>
      <c r="E699" s="1" t="n">
        <v>46260</v>
      </c>
      <c r="F699" t="inlineStr">
        <is>
          <t>GÄVLEBORGS LÄN</t>
        </is>
      </c>
      <c r="G699" t="inlineStr">
        <is>
          <t>GÄVLE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46260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66493-2021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44519</v>
      </c>
      <c r="E701" s="1" t="n">
        <v>46260</v>
      </c>
      <c r="F701" t="inlineStr">
        <is>
          <t>GÄVLEBORGS LÄN</t>
        </is>
      </c>
      <c r="G701" t="inlineStr">
        <is>
          <t>GÄVLE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26599-2026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46183</v>
      </c>
      <c r="E702" s="1" t="n">
        <v>46260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26658-2026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46184</v>
      </c>
      <c r="E703" s="1" t="n">
        <v>46260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26991-2026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46260</v>
      </c>
      <c r="F704" t="inlineStr">
        <is>
          <t>GÄVLEBORGS LÄN</t>
        </is>
      </c>
      <c r="G704" t="inlineStr">
        <is>
          <t>GÄVLE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27048-2026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46260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27052-2026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46260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27065-2026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46260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46260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27053-2026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46260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46260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27057-2026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46260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46260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46260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46260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27051-2026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46260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46260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27056-2026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46260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46260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46260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27359-2026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46188</v>
      </c>
      <c r="E720" s="1" t="n">
        <v>46260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27360-2026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46260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46260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26942-2026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46260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väst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27046-2026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46260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46260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27055-2026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46185</v>
      </c>
      <c r="E726" s="1" t="n">
        <v>46260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46260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27061-2026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46260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25812-2023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45090</v>
      </c>
      <c r="E729" s="1" t="n">
        <v>46260</v>
      </c>
      <c r="F729" t="inlineStr">
        <is>
          <t>GÄVLEBORGS LÄN</t>
        </is>
      </c>
      <c r="G729" t="inlineStr">
        <is>
          <t>GÄVLE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19164-2026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46132</v>
      </c>
      <c r="E730" s="1" t="n">
        <v>46260</v>
      </c>
      <c r="F730" t="inlineStr">
        <is>
          <t>GÄVLEBORGS LÄN</t>
        </is>
      </c>
      <c r="G730" t="inlineStr">
        <is>
          <t>GÄVLE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1238-2023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44936</v>
      </c>
      <c r="E731" s="1" t="n">
        <v>46260</v>
      </c>
      <c r="F731" t="inlineStr">
        <is>
          <t>GÄVLEBORGS LÄN</t>
        </is>
      </c>
      <c r="G731" t="inlineStr">
        <is>
          <t>GÄVLE</t>
        </is>
      </c>
      <c r="I731" t="n">
        <v>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45312</v>
      </c>
      <c r="E732" s="1" t="n">
        <v>46260</v>
      </c>
      <c r="F732" t="inlineStr">
        <is>
          <t>GÄVLEBORGS LÄN</t>
        </is>
      </c>
      <c r="G732" t="inlineStr">
        <is>
          <t>GÄVLE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28332-2026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46196</v>
      </c>
      <c r="E733" s="1" t="n">
        <v>46260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28334-2026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46196</v>
      </c>
      <c r="E734" s="1" t="n">
        <v>46260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51071-2023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45218</v>
      </c>
      <c r="E735" s="1" t="n">
        <v>46260</v>
      </c>
      <c r="F735" t="inlineStr">
        <is>
          <t>GÄVLEBORGS LÄN</t>
        </is>
      </c>
      <c r="G735" t="inlineStr">
        <is>
          <t>GÄVLE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28379-2026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46196</v>
      </c>
      <c r="E736" s="1" t="n">
        <v>46260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17113-2024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45412</v>
      </c>
      <c r="E737" s="1" t="n">
        <v>46260</v>
      </c>
      <c r="F737" t="inlineStr">
        <is>
          <t>GÄVLEBORGS LÄN</t>
        </is>
      </c>
      <c r="G737" t="inlineStr">
        <is>
          <t>GÄVLE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28331-2026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46196</v>
      </c>
      <c r="E738" s="1" t="n">
        <v>46260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32437-2026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46239</v>
      </c>
      <c r="E739" s="1" t="n">
        <v>46260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49401-2024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45595</v>
      </c>
      <c r="E740" s="1" t="n">
        <v>46260</v>
      </c>
      <c r="F740" t="inlineStr">
        <is>
          <t>GÄVLEBORGS LÄN</t>
        </is>
      </c>
      <c r="G740" t="inlineStr">
        <is>
          <t>GÄVLE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46539-2021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44445</v>
      </c>
      <c r="E741" s="1" t="n">
        <v>46260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28140-2026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46195</v>
      </c>
      <c r="E742" s="1" t="n">
        <v>46260</v>
      </c>
      <c r="F742" t="inlineStr">
        <is>
          <t>GÄVLEBORGS LÄN</t>
        </is>
      </c>
      <c r="G742" t="inlineStr">
        <is>
          <t>GÄVLE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64871-2023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45282</v>
      </c>
      <c r="E743" s="1" t="n">
        <v>46260</v>
      </c>
      <c r="F743" t="inlineStr">
        <is>
          <t>GÄVLEBORGS LÄN</t>
        </is>
      </c>
      <c r="G743" t="inlineStr">
        <is>
          <t>GÄVLE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64875-2023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45282</v>
      </c>
      <c r="E744" s="1" t="n">
        <v>46260</v>
      </c>
      <c r="F744" t="inlineStr">
        <is>
          <t>GÄVLEBORGS LÄN</t>
        </is>
      </c>
      <c r="G744" t="inlineStr">
        <is>
          <t>GÄVLE</t>
        </is>
      </c>
      <c r="I744" t="n">
        <v>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64878-2023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45282</v>
      </c>
      <c r="E745" s="1" t="n">
        <v>46260</v>
      </c>
      <c r="F745" t="inlineStr">
        <is>
          <t>GÄVLEBORGS LÄN</t>
        </is>
      </c>
      <c r="G745" t="inlineStr">
        <is>
          <t>GÄVLE</t>
        </is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32436-2026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46239</v>
      </c>
      <c r="E746" s="1" t="n">
        <v>46260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22968-2026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46160</v>
      </c>
      <c r="E747" s="1" t="n">
        <v>46260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29494-2026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46198</v>
      </c>
      <c r="E748" s="1" t="n">
        <v>46260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29506-2026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46260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52.7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46260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28485-2026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46197</v>
      </c>
      <c r="E751" s="1" t="n">
        <v>46260</v>
      </c>
      <c r="F751" t="inlineStr">
        <is>
          <t>GÄVLEBORGS LÄN</t>
        </is>
      </c>
      <c r="G751" t="inlineStr">
        <is>
          <t>GÄVLE</t>
        </is>
      </c>
      <c r="H751" t="inlineStr">
        <is>
          <t>BillerudKorsnäs AB</t>
        </is>
      </c>
      <c r="I751" t="n">
        <v>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28656-2026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46198</v>
      </c>
      <c r="E752" s="1" t="n">
        <v>46260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28659-2026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46260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42934-2023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45182</v>
      </c>
      <c r="E754" s="1" t="n">
        <v>46260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väst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36638-2022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44804</v>
      </c>
      <c r="E755" s="1" t="n">
        <v>46260</v>
      </c>
      <c r="F755" t="inlineStr">
        <is>
          <t>GÄVLEBORGS LÄN</t>
        </is>
      </c>
      <c r="G755" t="inlineStr">
        <is>
          <t>GÄVLE</t>
        </is>
      </c>
      <c r="I755" t="n">
        <v>4.2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45628-2022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44845</v>
      </c>
      <c r="E756" s="1" t="n">
        <v>46260</v>
      </c>
      <c r="F756" t="inlineStr">
        <is>
          <t>GÄVLEBORGS LÄN</t>
        </is>
      </c>
      <c r="G756" t="inlineStr">
        <is>
          <t>GÄVLE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28655-2026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46260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28657-2026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46260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46198</v>
      </c>
      <c r="E759" s="1" t="n">
        <v>46260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32890-2026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46244</v>
      </c>
      <c r="E760" s="1" t="n">
        <v>46260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60792-2024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45644</v>
      </c>
      <c r="E761" s="1" t="n">
        <v>46260</v>
      </c>
      <c r="F761" t="inlineStr">
        <is>
          <t>GÄVLEBORGS LÄN</t>
        </is>
      </c>
      <c r="G761" t="inlineStr">
        <is>
          <t>GÄVLE</t>
        </is>
      </c>
      <c r="H761" t="inlineStr">
        <is>
          <t>Kyrkan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60801-2024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45644</v>
      </c>
      <c r="E762" s="1" t="n">
        <v>46260</v>
      </c>
      <c r="F762" t="inlineStr">
        <is>
          <t>GÄVLEBORGS LÄN</t>
        </is>
      </c>
      <c r="G762" t="inlineStr">
        <is>
          <t>GÄVLE</t>
        </is>
      </c>
      <c r="H762" t="inlineStr">
        <is>
          <t>Kyrkan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29142-2026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46202</v>
      </c>
      <c r="E763" s="1" t="n">
        <v>46260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46202</v>
      </c>
      <c r="E764" s="1" t="n">
        <v>46260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22577-2022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44713</v>
      </c>
      <c r="E765" s="1" t="n">
        <v>46260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46244</v>
      </c>
      <c r="E766" s="1" t="n">
        <v>46260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57168-2023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45245</v>
      </c>
      <c r="E767" s="1" t="n">
        <v>46260</v>
      </c>
      <c r="F767" t="inlineStr">
        <is>
          <t>GÄVLEBORGS LÄN</t>
        </is>
      </c>
      <c r="G767" t="inlineStr">
        <is>
          <t>GÄVLE</t>
        </is>
      </c>
      <c r="H767" t="inlineStr">
        <is>
          <t>Kyrkan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32888-2026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46244</v>
      </c>
      <c r="E768" s="1" t="n">
        <v>46260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15207-2024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45400</v>
      </c>
      <c r="E769" s="1" t="n">
        <v>46260</v>
      </c>
      <c r="F769" t="inlineStr">
        <is>
          <t>GÄVLEBORGS LÄN</t>
        </is>
      </c>
      <c r="G769" t="inlineStr">
        <is>
          <t>GÄVLE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29016-2023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45104</v>
      </c>
      <c r="E770" s="1" t="n">
        <v>46260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6.8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60396-2022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44910</v>
      </c>
      <c r="E771" s="1" t="n">
        <v>46260</v>
      </c>
      <c r="F771" t="inlineStr">
        <is>
          <t>GÄVLEBORGS LÄN</t>
        </is>
      </c>
      <c r="G771" t="inlineStr">
        <is>
          <t>GÄVLE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25276-2024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45462</v>
      </c>
      <c r="E772" s="1" t="n">
        <v>46260</v>
      </c>
      <c r="F772" t="inlineStr">
        <is>
          <t>GÄVLEBORGS LÄN</t>
        </is>
      </c>
      <c r="G772" t="inlineStr">
        <is>
          <t>GÄVLE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45660</v>
      </c>
      <c r="E773" s="1" t="n">
        <v>46260</v>
      </c>
      <c r="F773" t="inlineStr">
        <is>
          <t>GÄVLEBORGS LÄN</t>
        </is>
      </c>
      <c r="G773" t="inlineStr">
        <is>
          <t>GÄVLE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45660</v>
      </c>
      <c r="E774" s="1" t="n">
        <v>46260</v>
      </c>
      <c r="F774" t="inlineStr">
        <is>
          <t>GÄVLEBORGS LÄN</t>
        </is>
      </c>
      <c r="G774" t="inlineStr">
        <is>
          <t>GÄVLE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46260</v>
      </c>
      <c r="F775" t="inlineStr">
        <is>
          <t>GÄVLEBORGS LÄN</t>
        </is>
      </c>
      <c r="G775" t="inlineStr">
        <is>
          <t>GÄVLE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27182-2022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44741</v>
      </c>
      <c r="E776" s="1" t="n">
        <v>46260</v>
      </c>
      <c r="F776" t="inlineStr">
        <is>
          <t>GÄVLEBORGS LÄN</t>
        </is>
      </c>
      <c r="G776" t="inlineStr">
        <is>
          <t>GÄVLE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29364-2026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46203</v>
      </c>
      <c r="E777" s="1" t="n">
        <v>46260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5.6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46260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46246</v>
      </c>
      <c r="E779" s="1" t="n">
        <v>46260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33349-2026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46246</v>
      </c>
      <c r="E780" s="1" t="n">
        <v>46260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8031-2024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45350</v>
      </c>
      <c r="E781" s="1" t="n">
        <v>46260</v>
      </c>
      <c r="F781" t="inlineStr">
        <is>
          <t>GÄVLEBORGS LÄN</t>
        </is>
      </c>
      <c r="G781" t="inlineStr">
        <is>
          <t>GÄVLE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61351-2021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44498</v>
      </c>
      <c r="E782" s="1" t="n">
        <v>46260</v>
      </c>
      <c r="F782" t="inlineStr">
        <is>
          <t>GÄVLEBORGS LÄN</t>
        </is>
      </c>
      <c r="G782" t="inlineStr">
        <is>
          <t>GÄVLE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33231-2026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46246</v>
      </c>
      <c r="E783" s="1" t="n">
        <v>46260</v>
      </c>
      <c r="F783" t="inlineStr">
        <is>
          <t>GÄVLEBORGS LÄN</t>
        </is>
      </c>
      <c r="G783" t="inlineStr">
        <is>
          <t>GÄVLE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46246</v>
      </c>
      <c r="E784" s="1" t="n">
        <v>46260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33348-2026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46260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33719-2026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46251</v>
      </c>
      <c r="E786" s="1" t="n">
        <v>46260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15456-2026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46106</v>
      </c>
      <c r="E787" s="1" t="n">
        <v>46260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51758-2025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45950</v>
      </c>
      <c r="E788" s="1" t="n">
        <v>46260</v>
      </c>
      <c r="F788" t="inlineStr">
        <is>
          <t>GÄVLEBORGS LÄN</t>
        </is>
      </c>
      <c r="G788" t="inlineStr">
        <is>
          <t>GÄVLE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53281-2024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45614</v>
      </c>
      <c r="E789" s="1" t="n">
        <v>46260</v>
      </c>
      <c r="F789" t="inlineStr">
        <is>
          <t>GÄVLEBORGS LÄN</t>
        </is>
      </c>
      <c r="G789" t="inlineStr">
        <is>
          <t>GÄVLE</t>
        </is>
      </c>
      <c r="I789" t="n">
        <v>6.5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60879-2023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45261</v>
      </c>
      <c r="E790" s="1" t="n">
        <v>46260</v>
      </c>
      <c r="F790" t="inlineStr">
        <is>
          <t>GÄVLEBORGS LÄN</t>
        </is>
      </c>
      <c r="G790" t="inlineStr">
        <is>
          <t>GÄVLE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33586-2026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46248</v>
      </c>
      <c r="E791" s="1" t="n">
        <v>46260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46260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15312-2023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45019</v>
      </c>
      <c r="E793" s="1" t="n">
        <v>46260</v>
      </c>
      <c r="F793" t="inlineStr">
        <is>
          <t>GÄVLEBORGS LÄN</t>
        </is>
      </c>
      <c r="G793" t="inlineStr">
        <is>
          <t>GÄVLE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30324-2026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46207</v>
      </c>
      <c r="E794" s="1" t="n">
        <v>46260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22363-2026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46154</v>
      </c>
      <c r="E795" s="1" t="n">
        <v>46260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52387-2022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44874</v>
      </c>
      <c r="E796" s="1" t="n">
        <v>46260</v>
      </c>
      <c r="F796" t="inlineStr">
        <is>
          <t>GÄVLEBORGS LÄN</t>
        </is>
      </c>
      <c r="G796" t="inlineStr">
        <is>
          <t>GÄVLE</t>
        </is>
      </c>
      <c r="H796" t="inlineStr">
        <is>
          <t>Kommuner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31011-2023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45113</v>
      </c>
      <c r="E797" s="1" t="n">
        <v>46260</v>
      </c>
      <c r="F797" t="inlineStr">
        <is>
          <t>GÄVLEBORGS LÄN</t>
        </is>
      </c>
      <c r="G797" t="inlineStr">
        <is>
          <t>GÄVLE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33664-2026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46248</v>
      </c>
      <c r="E798" s="1" t="n">
        <v>46260</v>
      </c>
      <c r="F798" t="inlineStr">
        <is>
          <t>GÄVLEBORGS LÄN</t>
        </is>
      </c>
      <c r="G798" t="inlineStr">
        <is>
          <t>GÄVLE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22466-2023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45070</v>
      </c>
      <c r="E799" s="1" t="n">
        <v>46260</v>
      </c>
      <c r="F799" t="inlineStr">
        <is>
          <t>GÄVLEBORGS LÄN</t>
        </is>
      </c>
      <c r="G799" t="inlineStr">
        <is>
          <t>GÄVLE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33662-2026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46248</v>
      </c>
      <c r="E800" s="1" t="n">
        <v>46260</v>
      </c>
      <c r="F800" t="inlineStr">
        <is>
          <t>GÄVLEBORGS LÄN</t>
        </is>
      </c>
      <c r="G800" t="inlineStr">
        <is>
          <t>GÄVLE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33585-2026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46260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9.5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16023-2023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45026</v>
      </c>
      <c r="E802" s="1" t="n">
        <v>46260</v>
      </c>
      <c r="F802" t="inlineStr">
        <is>
          <t>GÄVLEBORGS LÄN</t>
        </is>
      </c>
      <c r="G802" t="inlineStr">
        <is>
          <t>GÄVLE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25829-2024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45467</v>
      </c>
      <c r="E803" s="1" t="n">
        <v>46260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7235-2025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45702</v>
      </c>
      <c r="E804" s="1" t="n">
        <v>46260</v>
      </c>
      <c r="F804" t="inlineStr">
        <is>
          <t>GÄVLEBORGS LÄN</t>
        </is>
      </c>
      <c r="G804" t="inlineStr">
        <is>
          <t>GÄVLE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24367-2026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46169</v>
      </c>
      <c r="E805" s="1" t="n">
        <v>46260</v>
      </c>
      <c r="F805" t="inlineStr">
        <is>
          <t>GÄVLEBORGS LÄN</t>
        </is>
      </c>
      <c r="G805" t="inlineStr">
        <is>
          <t>GÄVLE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71215-2021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44539</v>
      </c>
      <c r="E806" s="1" t="n">
        <v>46260</v>
      </c>
      <c r="F806" t="inlineStr">
        <is>
          <t>GÄVLEBORGS LÄN</t>
        </is>
      </c>
      <c r="G806" t="inlineStr">
        <is>
          <t>GÄVLE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46252</v>
      </c>
      <c r="E807" s="1" t="n">
        <v>46260</v>
      </c>
      <c r="F807" t="inlineStr">
        <is>
          <t>GÄVLEBORGS LÄN</t>
        </is>
      </c>
      <c r="G807" t="inlineStr">
        <is>
          <t>GÄVLE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61879-2024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45652</v>
      </c>
      <c r="E808" s="1" t="n">
        <v>46260</v>
      </c>
      <c r="F808" t="inlineStr">
        <is>
          <t>GÄVLEBORGS LÄN</t>
        </is>
      </c>
      <c r="G808" t="inlineStr">
        <is>
          <t>GÄVLE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46260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46260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19712-2022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44694</v>
      </c>
      <c r="E811" s="1" t="n">
        <v>46260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39509-2022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44818</v>
      </c>
      <c r="E812" s="1" t="n">
        <v>46260</v>
      </c>
      <c r="F812" t="inlineStr">
        <is>
          <t>GÄVLEBORGS LÄN</t>
        </is>
      </c>
      <c r="G812" t="inlineStr">
        <is>
          <t>GÄVLE</t>
        </is>
      </c>
      <c r="I812" t="n">
        <v>4.2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30662-2022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44763</v>
      </c>
      <c r="E813" s="1" t="n">
        <v>46260</v>
      </c>
      <c r="F813" t="inlineStr">
        <is>
          <t>GÄVLEBORGS LÄN</t>
        </is>
      </c>
      <c r="G813" t="inlineStr">
        <is>
          <t>GÄVLE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61004-2024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45645</v>
      </c>
      <c r="E814" s="1" t="n">
        <v>46260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34415-2026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46254</v>
      </c>
      <c r="E815" s="1" t="n">
        <v>46260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34590-2026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46255</v>
      </c>
      <c r="E816" s="1" t="n">
        <v>46260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37352-2024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45540</v>
      </c>
      <c r="E817" s="1" t="n">
        <v>46260</v>
      </c>
      <c r="F817" t="inlineStr">
        <is>
          <t>GÄVLEBORGS LÄN</t>
        </is>
      </c>
      <c r="G817" t="inlineStr">
        <is>
          <t>GÄVLE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17605-2025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45757</v>
      </c>
      <c r="E818" s="1" t="n">
        <v>46260</v>
      </c>
      <c r="F818" t="inlineStr">
        <is>
          <t>GÄVLEBORGS LÄN</t>
        </is>
      </c>
      <c r="G818" t="inlineStr">
        <is>
          <t>GÄVLE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17607-2025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45757</v>
      </c>
      <c r="E819" s="1" t="n">
        <v>46260</v>
      </c>
      <c r="F819" t="inlineStr">
        <is>
          <t>GÄVLEBORGS LÄN</t>
        </is>
      </c>
      <c r="G819" t="inlineStr">
        <is>
          <t>GÄVLE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34591-2026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46255</v>
      </c>
      <c r="E820" s="1" t="n">
        <v>46260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34593-2026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46255</v>
      </c>
      <c r="E821" s="1" t="n">
        <v>46260</v>
      </c>
      <c r="F821" t="inlineStr">
        <is>
          <t>GÄVLEBORGS LÄN</t>
        </is>
      </c>
      <c r="G821" t="inlineStr">
        <is>
          <t>GÄVLE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56487-2023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45243</v>
      </c>
      <c r="E822" s="1" t="n">
        <v>46260</v>
      </c>
      <c r="F822" t="inlineStr">
        <is>
          <t>GÄVLEBORGS LÄN</t>
        </is>
      </c>
      <c r="G822" t="inlineStr">
        <is>
          <t>GÄVLE</t>
        </is>
      </c>
      <c r="I822" t="n">
        <v>8.699999999999999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9307-2022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44616</v>
      </c>
      <c r="E823" s="1" t="n">
        <v>46260</v>
      </c>
      <c r="F823" t="inlineStr">
        <is>
          <t>GÄVLEBORGS LÄN</t>
        </is>
      </c>
      <c r="G823" t="inlineStr">
        <is>
          <t>GÄVLE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34432-2026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46254</v>
      </c>
      <c r="E824" s="1" t="n">
        <v>46260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13193-2025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45735</v>
      </c>
      <c r="E825" s="1" t="n">
        <v>46260</v>
      </c>
      <c r="F825" t="inlineStr">
        <is>
          <t>GÄVLEBORGS LÄN</t>
        </is>
      </c>
      <c r="G825" t="inlineStr">
        <is>
          <t>GÄVLE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31866-2023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45106</v>
      </c>
      <c r="E826" s="1" t="n">
        <v>46260</v>
      </c>
      <c r="F826" t="inlineStr">
        <is>
          <t>GÄVLEBORGS LÄN</t>
        </is>
      </c>
      <c r="G826" t="inlineStr">
        <is>
          <t>GÄVLE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30967-2026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46213</v>
      </c>
      <c r="E827" s="1" t="n">
        <v>46260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34733-2026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46258</v>
      </c>
      <c r="E828" s="1" t="n">
        <v>46260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11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14807-2023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45014</v>
      </c>
      <c r="E829" s="1" t="n">
        <v>46260</v>
      </c>
      <c r="F829" t="inlineStr">
        <is>
          <t>GÄVLEBORGS LÄN</t>
        </is>
      </c>
      <c r="G829" t="inlineStr">
        <is>
          <t>GÄVLE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31234-2026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46217</v>
      </c>
      <c r="E830" s="1" t="n">
        <v>46260</v>
      </c>
      <c r="F830" t="inlineStr">
        <is>
          <t>GÄVLEBORGS LÄN</t>
        </is>
      </c>
      <c r="G830" t="inlineStr">
        <is>
          <t>GÄVLE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34822-2026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46258</v>
      </c>
      <c r="E831" s="1" t="n">
        <v>46260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31445-2026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46217</v>
      </c>
      <c r="E832" s="1" t="n">
        <v>46260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33880-2022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44790</v>
      </c>
      <c r="E833" s="1" t="n">
        <v>46260</v>
      </c>
      <c r="F833" t="inlineStr">
        <is>
          <t>GÄVLEBORGS LÄN</t>
        </is>
      </c>
      <c r="G833" t="inlineStr">
        <is>
          <t>GÄVLE</t>
        </is>
      </c>
      <c r="I833" t="n">
        <v>9.4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6370-2025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45699</v>
      </c>
      <c r="E834" s="1" t="n">
        <v>46260</v>
      </c>
      <c r="F834" t="inlineStr">
        <is>
          <t>GÄVLEBORGS LÄN</t>
        </is>
      </c>
      <c r="G834" t="inlineStr">
        <is>
          <t>GÄVLE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30948-2026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46213</v>
      </c>
      <c r="E835" s="1" t="n">
        <v>46260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34686-2026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46258</v>
      </c>
      <c r="E836" s="1" t="n">
        <v>46260</v>
      </c>
      <c r="F836" t="inlineStr">
        <is>
          <t>GÄVLEBORGS LÄN</t>
        </is>
      </c>
      <c r="G836" t="inlineStr">
        <is>
          <t>GÄVLE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46800-2021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44446</v>
      </c>
      <c r="E837" s="1" t="n">
        <v>46260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30969-2026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46213</v>
      </c>
      <c r="E838" s="1" t="n">
        <v>46260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11691-2024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45373</v>
      </c>
      <c r="E839" s="1" t="n">
        <v>46260</v>
      </c>
      <c r="F839" t="inlineStr">
        <is>
          <t>GÄVLEBORGS LÄN</t>
        </is>
      </c>
      <c r="G839" t="inlineStr">
        <is>
          <t>GÄVLE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62766-2022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44885</v>
      </c>
      <c r="E840" s="1" t="n">
        <v>46260</v>
      </c>
      <c r="F840" t="inlineStr">
        <is>
          <t>GÄVLEBORGS LÄN</t>
        </is>
      </c>
      <c r="G840" t="inlineStr">
        <is>
          <t>GÄVLE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64873-2023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45282</v>
      </c>
      <c r="E841" s="1" t="n">
        <v>46260</v>
      </c>
      <c r="F841" t="inlineStr">
        <is>
          <t>GÄVLEBORGS LÄN</t>
        </is>
      </c>
      <c r="G841" t="inlineStr">
        <is>
          <t>GÄVLE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30951-2026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46213</v>
      </c>
      <c r="E842" s="1" t="n">
        <v>46260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29862-2023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45107</v>
      </c>
      <c r="E843" s="1" t="n">
        <v>46260</v>
      </c>
      <c r="F843" t="inlineStr">
        <is>
          <t>GÄVLEBORGS LÄN</t>
        </is>
      </c>
      <c r="G843" t="inlineStr">
        <is>
          <t>GÄVLE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24478-2023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45082</v>
      </c>
      <c r="E844" s="1" t="n">
        <v>46260</v>
      </c>
      <c r="F844" t="inlineStr">
        <is>
          <t>GÄVLEBORGS LÄN</t>
        </is>
      </c>
      <c r="G844" t="inlineStr">
        <is>
          <t>GÄVLE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17088-2023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45034</v>
      </c>
      <c r="E845" s="1" t="n">
        <v>46260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7792-2023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44973</v>
      </c>
      <c r="E846" s="1" t="n">
        <v>46260</v>
      </c>
      <c r="F846" t="inlineStr">
        <is>
          <t>GÄVLEBORGS LÄN</t>
        </is>
      </c>
      <c r="G846" t="inlineStr">
        <is>
          <t>GÄVLE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14735-2024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45397</v>
      </c>
      <c r="E847" s="1" t="n">
        <v>46260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35761-2022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44800</v>
      </c>
      <c r="E848" s="1" t="n">
        <v>46260</v>
      </c>
      <c r="F848" t="inlineStr">
        <is>
          <t>GÄVLEBORGS LÄN</t>
        </is>
      </c>
      <c r="G848" t="inlineStr">
        <is>
          <t>GÄVLE</t>
        </is>
      </c>
      <c r="I848" t="n">
        <v>8.199999999999999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61918-2023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45266</v>
      </c>
      <c r="E849" s="1" t="n">
        <v>46260</v>
      </c>
      <c r="F849" t="inlineStr">
        <is>
          <t>GÄVLEBORGS LÄN</t>
        </is>
      </c>
      <c r="G849" t="inlineStr">
        <is>
          <t>GÄVLE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17245-2024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45414</v>
      </c>
      <c r="E850" s="1" t="n">
        <v>46260</v>
      </c>
      <c r="F850" t="inlineStr">
        <is>
          <t>GÄVLEBORGS LÄN</t>
        </is>
      </c>
      <c r="G850" t="inlineStr">
        <is>
          <t>GÄVLE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62255-2022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44922</v>
      </c>
      <c r="E851" s="1" t="n">
        <v>46260</v>
      </c>
      <c r="F851" t="inlineStr">
        <is>
          <t>GÄVLEBORGS LÄN</t>
        </is>
      </c>
      <c r="G851" t="inlineStr">
        <is>
          <t>GÄVLE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57928-2024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45631</v>
      </c>
      <c r="E852" s="1" t="n">
        <v>46260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9422-2025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45715</v>
      </c>
      <c r="E853" s="1" t="n">
        <v>46260</v>
      </c>
      <c r="F853" t="inlineStr">
        <is>
          <t>GÄVLEBORGS LÄN</t>
        </is>
      </c>
      <c r="G853" t="inlineStr">
        <is>
          <t>GÄVLE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61843-2023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45266</v>
      </c>
      <c r="E854" s="1" t="n">
        <v>46260</v>
      </c>
      <c r="F854" t="inlineStr">
        <is>
          <t>GÄVLEBORGS LÄN</t>
        </is>
      </c>
      <c r="G854" t="inlineStr">
        <is>
          <t>GÄVLE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45660</v>
      </c>
      <c r="E855" s="1" t="n">
        <v>46260</v>
      </c>
      <c r="F855" t="inlineStr">
        <is>
          <t>GÄVLEBORGS LÄN</t>
        </is>
      </c>
      <c r="G855" t="inlineStr">
        <is>
          <t>GÄVLE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33449-2024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45519</v>
      </c>
      <c r="E856" s="1" t="n">
        <v>46260</v>
      </c>
      <c r="F856" t="inlineStr">
        <is>
          <t>GÄVLEBORGS LÄN</t>
        </is>
      </c>
      <c r="G856" t="inlineStr">
        <is>
          <t>GÄVLE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35440-2023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45146</v>
      </c>
      <c r="E857" s="1" t="n">
        <v>46260</v>
      </c>
      <c r="F857" t="inlineStr">
        <is>
          <t>GÄVLEBORGS LÄN</t>
        </is>
      </c>
      <c r="G857" t="inlineStr">
        <is>
          <t>GÄVLE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3662-2022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44586</v>
      </c>
      <c r="E858" s="1" t="n">
        <v>46260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7410-2025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45705</v>
      </c>
      <c r="E859" s="1" t="n">
        <v>46260</v>
      </c>
      <c r="F859" t="inlineStr">
        <is>
          <t>GÄVLEBORGS LÄN</t>
        </is>
      </c>
      <c r="G859" t="inlineStr">
        <is>
          <t>GÄVLE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35331-2024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45530</v>
      </c>
      <c r="E860" s="1" t="n">
        <v>46260</v>
      </c>
      <c r="F860" t="inlineStr">
        <is>
          <t>GÄVLEBORGS LÄN</t>
        </is>
      </c>
      <c r="G860" t="inlineStr">
        <is>
          <t>GÄVLE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44927</v>
      </c>
      <c r="E861" s="1" t="n">
        <v>46260</v>
      </c>
      <c r="F861" t="inlineStr">
        <is>
          <t>GÄVLEBORGS LÄN</t>
        </is>
      </c>
      <c r="G861" t="inlineStr">
        <is>
          <t>GÄVLE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44806-2024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45574</v>
      </c>
      <c r="E862" s="1" t="n">
        <v>46260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52250-2024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45608</v>
      </c>
      <c r="E863" s="1" t="n">
        <v>46260</v>
      </c>
      <c r="F863" t="inlineStr">
        <is>
          <t>GÄVLEBORGS LÄN</t>
        </is>
      </c>
      <c r="G863" t="inlineStr">
        <is>
          <t>GÄVLE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30875-2022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44767</v>
      </c>
      <c r="E864" s="1" t="n">
        <v>46260</v>
      </c>
      <c r="F864" t="inlineStr">
        <is>
          <t>GÄVLEBORGS LÄN</t>
        </is>
      </c>
      <c r="G864" t="inlineStr">
        <is>
          <t>GÄVLE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60349-2022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44910</v>
      </c>
      <c r="E865" s="1" t="n">
        <v>46260</v>
      </c>
      <c r="F865" t="inlineStr">
        <is>
          <t>GÄVLEBORGS LÄN</t>
        </is>
      </c>
      <c r="G865" t="inlineStr">
        <is>
          <t>GÄVLE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41100-2024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45559</v>
      </c>
      <c r="E866" s="1" t="n">
        <v>46260</v>
      </c>
      <c r="F866" t="inlineStr">
        <is>
          <t>GÄVLEBORGS LÄN</t>
        </is>
      </c>
      <c r="G866" t="inlineStr">
        <is>
          <t>GÄVLE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35205-2024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45530</v>
      </c>
      <c r="E867" s="1" t="n">
        <v>46260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16401-2025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45751</v>
      </c>
      <c r="E868" s="1" t="n">
        <v>46260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5633-2024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45334</v>
      </c>
      <c r="E869" s="1" t="n">
        <v>46260</v>
      </c>
      <c r="F869" t="inlineStr">
        <is>
          <t>GÄVLEBORGS LÄN</t>
        </is>
      </c>
      <c r="G869" t="inlineStr">
        <is>
          <t>GÄVLE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13961-2024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45392</v>
      </c>
      <c r="E870" s="1" t="n">
        <v>46260</v>
      </c>
      <c r="F870" t="inlineStr">
        <is>
          <t>GÄVLEBORGS LÄN</t>
        </is>
      </c>
      <c r="G870" t="inlineStr">
        <is>
          <t>GÄVLE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25466-2023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45089</v>
      </c>
      <c r="E871" s="1" t="n">
        <v>46260</v>
      </c>
      <c r="F871" t="inlineStr">
        <is>
          <t>GÄVLEBORGS LÄN</t>
        </is>
      </c>
      <c r="G871" t="inlineStr">
        <is>
          <t>GÄVLE</t>
        </is>
      </c>
      <c r="I871" t="n">
        <v>5.5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7060-2022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44603</v>
      </c>
      <c r="E872" s="1" t="n">
        <v>46260</v>
      </c>
      <c r="F872" t="inlineStr">
        <is>
          <t>GÄVLEBORGS LÄN</t>
        </is>
      </c>
      <c r="G872" t="inlineStr">
        <is>
          <t>GÄVLE</t>
        </is>
      </c>
      <c r="I872" t="n">
        <v>10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41708-2023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45176</v>
      </c>
      <c r="E873" s="1" t="n">
        <v>46260</v>
      </c>
      <c r="F873" t="inlineStr">
        <is>
          <t>GÄVLEBORGS LÄN</t>
        </is>
      </c>
      <c r="G873" t="inlineStr">
        <is>
          <t>GÄVLE</t>
        </is>
      </c>
      <c r="I873" t="n">
        <v>6.5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41712-2023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45176</v>
      </c>
      <c r="E874" s="1" t="n">
        <v>46260</v>
      </c>
      <c r="F874" t="inlineStr">
        <is>
          <t>GÄVLEBORGS LÄN</t>
        </is>
      </c>
      <c r="G874" t="inlineStr">
        <is>
          <t>GÄVLE</t>
        </is>
      </c>
      <c r="I874" t="n">
        <v>7.8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5413-2023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44959</v>
      </c>
      <c r="E875" s="1" t="n">
        <v>46260</v>
      </c>
      <c r="F875" t="inlineStr">
        <is>
          <t>GÄVLEBORGS LÄN</t>
        </is>
      </c>
      <c r="G875" t="inlineStr">
        <is>
          <t>GÄVLE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4235-2025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45685</v>
      </c>
      <c r="E876" s="1" t="n">
        <v>46260</v>
      </c>
      <c r="F876" t="inlineStr">
        <is>
          <t>GÄVLEBORGS LÄN</t>
        </is>
      </c>
      <c r="G876" t="inlineStr">
        <is>
          <t>GÄVLE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45660</v>
      </c>
      <c r="E877" s="1" t="n">
        <v>46260</v>
      </c>
      <c r="F877" t="inlineStr">
        <is>
          <t>GÄVLEBORGS LÄN</t>
        </is>
      </c>
      <c r="G877" t="inlineStr">
        <is>
          <t>GÄVLE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56138-2023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46260</v>
      </c>
      <c r="F878" t="inlineStr">
        <is>
          <t>GÄVLEBORGS LÄN</t>
        </is>
      </c>
      <c r="G878" t="inlineStr">
        <is>
          <t>GÄVLE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33635-2024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45520</v>
      </c>
      <c r="E879" s="1" t="n">
        <v>46260</v>
      </c>
      <c r="F879" t="inlineStr">
        <is>
          <t>GÄVLEBORGS LÄN</t>
        </is>
      </c>
      <c r="G879" t="inlineStr">
        <is>
          <t>GÄVLE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33637-2024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45520</v>
      </c>
      <c r="E880" s="1" t="n">
        <v>46260</v>
      </c>
      <c r="F880" t="inlineStr">
        <is>
          <t>GÄVLEBORGS LÄN</t>
        </is>
      </c>
      <c r="G880" t="inlineStr">
        <is>
          <t>GÄVLE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25645-2023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45089</v>
      </c>
      <c r="E881" s="1" t="n">
        <v>46260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7998-2023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44973</v>
      </c>
      <c r="E882" s="1" t="n">
        <v>46260</v>
      </c>
      <c r="F882" t="inlineStr">
        <is>
          <t>GÄVLEBORGS LÄN</t>
        </is>
      </c>
      <c r="G882" t="inlineStr">
        <is>
          <t>GÄVLE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54207-2023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45232</v>
      </c>
      <c r="E883" s="1" t="n">
        <v>46260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15935-2025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45749</v>
      </c>
      <c r="E884" s="1" t="n">
        <v>46260</v>
      </c>
      <c r="F884" t="inlineStr">
        <is>
          <t>GÄVLEBORGS LÄN</t>
        </is>
      </c>
      <c r="G884" t="inlineStr">
        <is>
          <t>GÄVLE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25814-2023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45090</v>
      </c>
      <c r="E885" s="1" t="n">
        <v>46260</v>
      </c>
      <c r="F885" t="inlineStr">
        <is>
          <t>GÄVLEBORGS LÄN</t>
        </is>
      </c>
      <c r="G885" t="inlineStr">
        <is>
          <t>GÄVLE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14792-2023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45014</v>
      </c>
      <c r="E886" s="1" t="n">
        <v>46260</v>
      </c>
      <c r="F886" t="inlineStr">
        <is>
          <t>GÄVLEBORGS LÄN</t>
        </is>
      </c>
      <c r="G886" t="inlineStr">
        <is>
          <t>GÄVLE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12079-2025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45728</v>
      </c>
      <c r="E887" s="1" t="n">
        <v>46260</v>
      </c>
      <c r="F887" t="inlineStr">
        <is>
          <t>GÄVLEBORGS LÄN</t>
        </is>
      </c>
      <c r="G887" t="inlineStr">
        <is>
          <t>GÄVLE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1594-2024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45306</v>
      </c>
      <c r="E888" s="1" t="n">
        <v>46260</v>
      </c>
      <c r="F888" t="inlineStr">
        <is>
          <t>GÄVLEBORGS LÄN</t>
        </is>
      </c>
      <c r="G888" t="inlineStr">
        <is>
          <t>GÄVLE</t>
        </is>
      </c>
      <c r="I888" t="n">
        <v>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62983-2023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45272</v>
      </c>
      <c r="E889" s="1" t="n">
        <v>46260</v>
      </c>
      <c r="F889" t="inlineStr">
        <is>
          <t>GÄVLEBORGS LÄN</t>
        </is>
      </c>
      <c r="G889" t="inlineStr">
        <is>
          <t>GÄVLE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33901-2024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45523</v>
      </c>
      <c r="E890" s="1" t="n">
        <v>46260</v>
      </c>
      <c r="F890" t="inlineStr">
        <is>
          <t>GÄVLEBORGS LÄN</t>
        </is>
      </c>
      <c r="G890" t="inlineStr">
        <is>
          <t>GÄVLE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20621-2025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45776</v>
      </c>
      <c r="E891" s="1" t="n">
        <v>46260</v>
      </c>
      <c r="F891" t="inlineStr">
        <is>
          <t>GÄVLEBORGS LÄN</t>
        </is>
      </c>
      <c r="G891" t="inlineStr">
        <is>
          <t>GÄVLE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45938-2024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45580</v>
      </c>
      <c r="E892" s="1" t="n">
        <v>46260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5.3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21431-2025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45782</v>
      </c>
      <c r="E893" s="1" t="n">
        <v>46260</v>
      </c>
      <c r="F893" t="inlineStr">
        <is>
          <t>GÄVLEBORGS LÄN</t>
        </is>
      </c>
      <c r="G893" t="inlineStr">
        <is>
          <t>GÄVLE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7202-2025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45702</v>
      </c>
      <c r="E894" s="1" t="n">
        <v>46260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59044-2023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45252</v>
      </c>
      <c r="E895" s="1" t="n">
        <v>46260</v>
      </c>
      <c r="F895" t="inlineStr">
        <is>
          <t>GÄVLEBORGS LÄN</t>
        </is>
      </c>
      <c r="G895" t="inlineStr">
        <is>
          <t>GÄVLE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45322</v>
      </c>
      <c r="E896" s="1" t="n">
        <v>46260</v>
      </c>
      <c r="F896" t="inlineStr">
        <is>
          <t>GÄVLEBORGS LÄN</t>
        </is>
      </c>
      <c r="G896" t="inlineStr">
        <is>
          <t>GÄVLE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7451-2025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45705</v>
      </c>
      <c r="E897" s="1" t="n">
        <v>46260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23291-2025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45791</v>
      </c>
      <c r="E898" s="1" t="n">
        <v>46260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23232-2025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45791</v>
      </c>
      <c r="E899" s="1" t="n">
        <v>46260</v>
      </c>
      <c r="F899" t="inlineStr">
        <is>
          <t>GÄVLEBORGS LÄN</t>
        </is>
      </c>
      <c r="G899" t="inlineStr">
        <is>
          <t>GÄVLE</t>
        </is>
      </c>
      <c r="I899" t="n">
        <v>10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22879-2025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45790</v>
      </c>
      <c r="E900" s="1" t="n">
        <v>46260</v>
      </c>
      <c r="F900" t="inlineStr">
        <is>
          <t>GÄVLEBORGS LÄN</t>
        </is>
      </c>
      <c r="G900" t="inlineStr">
        <is>
          <t>GÄVLE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23324-2025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45791</v>
      </c>
      <c r="E901" s="1" t="n">
        <v>46260</v>
      </c>
      <c r="F901" t="inlineStr">
        <is>
          <t>GÄVLEBORGS LÄN</t>
        </is>
      </c>
      <c r="G901" t="inlineStr">
        <is>
          <t>GÄVLE</t>
        </is>
      </c>
      <c r="I901" t="n">
        <v>6.2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22923-2025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45790</v>
      </c>
      <c r="E902" s="1" t="n">
        <v>46260</v>
      </c>
      <c r="F902" t="inlineStr">
        <is>
          <t>GÄVLEBORGS LÄN</t>
        </is>
      </c>
      <c r="G902" t="inlineStr">
        <is>
          <t>GÄVLE</t>
        </is>
      </c>
      <c r="I902" t="n">
        <v>20.8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45660</v>
      </c>
      <c r="E903" s="1" t="n">
        <v>46260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24228-2025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45797</v>
      </c>
      <c r="E904" s="1" t="n">
        <v>46260</v>
      </c>
      <c r="F904" t="inlineStr">
        <is>
          <t>GÄVLEBORGS LÄN</t>
        </is>
      </c>
      <c r="G904" t="inlineStr">
        <is>
          <t>GÄVLE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55878-2024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45623</v>
      </c>
      <c r="E905" s="1" t="n">
        <v>46260</v>
      </c>
      <c r="F905" t="inlineStr">
        <is>
          <t>GÄVLEBORGS LÄN</t>
        </is>
      </c>
      <c r="G905" t="inlineStr">
        <is>
          <t>GÄVLE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48913-2024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46260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24225-2025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45797</v>
      </c>
      <c r="E907" s="1" t="n">
        <v>46260</v>
      </c>
      <c r="F907" t="inlineStr">
        <is>
          <t>GÄVLEBORGS LÄN</t>
        </is>
      </c>
      <c r="G907" t="inlineStr">
        <is>
          <t>GÄVLE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58373-2024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45632</v>
      </c>
      <c r="E908" s="1" t="n">
        <v>46260</v>
      </c>
      <c r="F908" t="inlineStr">
        <is>
          <t>GÄVLEBORGS LÄN</t>
        </is>
      </c>
      <c r="G908" t="inlineStr">
        <is>
          <t>GÄVLE</t>
        </is>
      </c>
      <c r="I908" t="n">
        <v>13.1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31367-2024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45505</v>
      </c>
      <c r="E909" s="1" t="n">
        <v>46260</v>
      </c>
      <c r="F909" t="inlineStr">
        <is>
          <t>GÄVLEBORGS LÄN</t>
        </is>
      </c>
      <c r="G909" t="inlineStr">
        <is>
          <t>GÄVLE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24614-2025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45798</v>
      </c>
      <c r="E910" s="1" t="n">
        <v>46260</v>
      </c>
      <c r="F910" t="inlineStr">
        <is>
          <t>GÄVLEBORGS LÄN</t>
        </is>
      </c>
      <c r="G910" t="inlineStr">
        <is>
          <t>GÄVLE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26564-2022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44739</v>
      </c>
      <c r="E911" s="1" t="n">
        <v>46260</v>
      </c>
      <c r="F911" t="inlineStr">
        <is>
          <t>GÄVLEBORGS LÄN</t>
        </is>
      </c>
      <c r="G911" t="inlineStr">
        <is>
          <t>GÄVLE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25878-2025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45804</v>
      </c>
      <c r="E912" s="1" t="n">
        <v>46260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3425-2023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45205</v>
      </c>
      <c r="E913" s="1" t="n">
        <v>46260</v>
      </c>
      <c r="F913" t="inlineStr">
        <is>
          <t>GÄVLEBORGS LÄN</t>
        </is>
      </c>
      <c r="G913" t="inlineStr">
        <is>
          <t>GÄVLE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  <c r="Z913">
        <f>HYPERLINK("https://klasma.github.io/Logging_2180/knärot/S 3425-2023 karta knärot.png", "S 3425-2023")</f>
        <v/>
      </c>
      <c r="AA913">
        <f>HYPERLINK("https://klasma.github.io/Logging_2180/klagomål/S 3425-2023 FSC-klagomål.docx", "S 3425-2023")</f>
        <v/>
      </c>
      <c r="AB913">
        <f>HYPERLINK("https://klasma.github.io/Logging_2180/klagomålsmail/S 3425-2023 FSC-klagomål mail.docx", "S 3425-2023")</f>
        <v/>
      </c>
      <c r="AC913">
        <f>HYPERLINK("https://klasma.github.io/Logging_2180/tillsyn/S 3425-2023 tillsynsbegäran.docx", "S 3425-2023")</f>
        <v/>
      </c>
      <c r="AD913">
        <f>HYPERLINK("https://klasma.github.io/Logging_2180/tillsynsmail/S 3425-2023 tillsynsbegäran mail.docx", "S 3425-2023")</f>
        <v/>
      </c>
    </row>
    <row r="914" ht="15" customHeight="1">
      <c r="A914" t="inlineStr">
        <is>
          <t>S 889-2023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44995</v>
      </c>
      <c r="E914" s="1" t="n">
        <v>46260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886-2024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45376</v>
      </c>
      <c r="E915" s="1" t="n">
        <v>46260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2464-2024</t>
        </is>
      </c>
      <c r="B916" t="inlineStr">
        <is>
          <t>samrådsanmälan</t>
        </is>
      </c>
      <c r="C916" t="inlineStr">
        <is>
          <t>Skogsbilväg</t>
        </is>
      </c>
      <c r="D916" s="1" t="n">
        <v>45470</v>
      </c>
      <c r="E916" s="1" t="n">
        <v>46260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644-2026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46089</v>
      </c>
      <c r="E917" s="1" t="n">
        <v>46260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29.2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2026-08-26T01:50:26Z</dcterms:created>
  <dcterms:modified xmlns:dcterms="http://purl.org/dc/terms/" xmlns:xsi="http://www.w3.org/2001/XMLSchema-instance" xsi:type="dcterms:W3CDTF">2026-08-26T01:50:27Z</dcterms:modified>
</cp:coreProperties>
</file>