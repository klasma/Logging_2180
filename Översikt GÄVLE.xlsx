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45666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45666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45666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45666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45666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45666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45666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45666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45666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45666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45666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45666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45666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45666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45666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45666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45666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45666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45666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45666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45666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45666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45666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45666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56993-2024</t>
        </is>
      </c>
      <c r="B34" s="1" t="n">
        <v>45628</v>
      </c>
      <c r="C34" s="1" t="n">
        <v>45666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4.9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Vårärt</t>
        </is>
      </c>
      <c r="S34">
        <f>HYPERLINK("https://klasma.github.io/Logging_2180/artfynd/A 56993-2024 artfynd.xlsx", "A 56993-2024")</f>
        <v/>
      </c>
      <c r="T34">
        <f>HYPERLINK("https://klasma.github.io/Logging_2180/kartor/A 56993-2024 karta.png", "A 56993-2024")</f>
        <v/>
      </c>
      <c r="V34">
        <f>HYPERLINK("https://klasma.github.io/Logging_2180/klagomål/A 56993-2024 FSC-klagomål.docx", "A 56993-2024")</f>
        <v/>
      </c>
      <c r="W34">
        <f>HYPERLINK("https://klasma.github.io/Logging_2180/klagomålsmail/A 56993-2024 FSC-klagomål mail.docx", "A 56993-2024")</f>
        <v/>
      </c>
      <c r="X34">
        <f>HYPERLINK("https://klasma.github.io/Logging_2180/tillsyn/A 56993-2024 tillsynsbegäran.docx", "A 56993-2024")</f>
        <v/>
      </c>
      <c r="Y34">
        <f>HYPERLINK("https://klasma.github.io/Logging_2180/tillsynsmail/A 56993-2024 tillsynsbegäran mail.docx", "A 56993-2024")</f>
        <v/>
      </c>
    </row>
    <row r="35" ht="15" customHeight="1">
      <c r="A35" t="inlineStr">
        <is>
          <t>A 22616-2019</t>
        </is>
      </c>
      <c r="B35" s="1" t="n">
        <v>43588</v>
      </c>
      <c r="C35" s="1" t="n">
        <v>45666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Sotnätfjäril</t>
        </is>
      </c>
      <c r="S35">
        <f>HYPERLINK("https://klasma.github.io/Logging_2180/artfynd/A 22616-2019 artfynd.xlsx", "A 22616-2019")</f>
        <v/>
      </c>
      <c r="T35">
        <f>HYPERLINK("https://klasma.github.io/Logging_2180/kartor/A 22616-2019 karta.png", "A 22616-2019")</f>
        <v/>
      </c>
      <c r="V35">
        <f>HYPERLINK("https://klasma.github.io/Logging_2180/klagomål/A 22616-2019 FSC-klagomål.docx", "A 22616-2019")</f>
        <v/>
      </c>
      <c r="W35">
        <f>HYPERLINK("https://klasma.github.io/Logging_2180/klagomålsmail/A 22616-2019 FSC-klagomål mail.docx", "A 22616-2019")</f>
        <v/>
      </c>
      <c r="X35">
        <f>HYPERLINK("https://klasma.github.io/Logging_2180/tillsyn/A 22616-2019 tillsynsbegäran.docx", "A 22616-2019")</f>
        <v/>
      </c>
      <c r="Y35">
        <f>HYPERLINK("https://klasma.github.io/Logging_2180/tillsynsmail/A 22616-2019 tillsynsbegäran mail.docx", "A 22616-2019")</f>
        <v/>
      </c>
    </row>
    <row r="36" ht="15" customHeight="1">
      <c r="A36" t="inlineStr">
        <is>
          <t>A 58168-2020</t>
        </is>
      </c>
      <c r="B36" s="1" t="n">
        <v>44144</v>
      </c>
      <c r="C36" s="1" t="n">
        <v>45666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3.7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58168-2020 artfynd.xlsx", "A 58168-2020")</f>
        <v/>
      </c>
      <c r="T36">
        <f>HYPERLINK("https://klasma.github.io/Logging_2180/kartor/A 58168-2020 karta.png", "A 58168-2020")</f>
        <v/>
      </c>
      <c r="U36">
        <f>HYPERLINK("https://klasma.github.io/Logging_2180/knärot/A 58168-2020 karta knärot.png", "A 58168-2020")</f>
        <v/>
      </c>
      <c r="V36">
        <f>HYPERLINK("https://klasma.github.io/Logging_2180/klagomål/A 58168-2020 FSC-klagomål.docx", "A 58168-2020")</f>
        <v/>
      </c>
      <c r="W36">
        <f>HYPERLINK("https://klasma.github.io/Logging_2180/klagomålsmail/A 58168-2020 FSC-klagomål mail.docx", "A 58168-2020")</f>
        <v/>
      </c>
      <c r="X36">
        <f>HYPERLINK("https://klasma.github.io/Logging_2180/tillsyn/A 58168-2020 tillsynsbegäran.docx", "A 58168-2020")</f>
        <v/>
      </c>
      <c r="Y36">
        <f>HYPERLINK("https://klasma.github.io/Logging_2180/tillsynsmail/A 58168-2020 tillsynsbegäran mail.docx", "A 58168-2020")</f>
        <v/>
      </c>
    </row>
    <row r="37" ht="15" customHeight="1">
      <c r="A37" t="inlineStr">
        <is>
          <t>A 62316-2020</t>
        </is>
      </c>
      <c r="B37" s="1" t="n">
        <v>44160</v>
      </c>
      <c r="C37" s="1" t="n">
        <v>45666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62316-2020 artfynd.xlsx", "A 62316-2020")</f>
        <v/>
      </c>
      <c r="T37">
        <f>HYPERLINK("https://klasma.github.io/Logging_2180/kartor/A 62316-2020 karta.png", "A 62316-2020")</f>
        <v/>
      </c>
      <c r="V37">
        <f>HYPERLINK("https://klasma.github.io/Logging_2180/klagomål/A 62316-2020 FSC-klagomål.docx", "A 62316-2020")</f>
        <v/>
      </c>
      <c r="W37">
        <f>HYPERLINK("https://klasma.github.io/Logging_2180/klagomålsmail/A 62316-2020 FSC-klagomål mail.docx", "A 62316-2020")</f>
        <v/>
      </c>
      <c r="X37">
        <f>HYPERLINK("https://klasma.github.io/Logging_2180/tillsyn/A 62316-2020 tillsynsbegäran.docx", "A 62316-2020")</f>
        <v/>
      </c>
      <c r="Y37">
        <f>HYPERLINK("https://klasma.github.io/Logging_2180/tillsynsmail/A 62316-2020 tillsynsbegäran mail.docx", "A 62316-2020")</f>
        <v/>
      </c>
    </row>
    <row r="38" ht="15" customHeight="1">
      <c r="A38" t="inlineStr">
        <is>
          <t>A 14569-2021</t>
        </is>
      </c>
      <c r="B38" s="1" t="n">
        <v>44279</v>
      </c>
      <c r="C38" s="1" t="n">
        <v>45666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14569-2021 artfynd.xlsx", "A 14569-2021")</f>
        <v/>
      </c>
      <c r="T38">
        <f>HYPERLINK("https://klasma.github.io/Logging_2180/kartor/A 14569-2021 karta.png", "A 14569-2021")</f>
        <v/>
      </c>
      <c r="V38">
        <f>HYPERLINK("https://klasma.github.io/Logging_2180/klagomål/A 14569-2021 FSC-klagomål.docx", "A 14569-2021")</f>
        <v/>
      </c>
      <c r="W38">
        <f>HYPERLINK("https://klasma.github.io/Logging_2180/klagomålsmail/A 14569-2021 FSC-klagomål mail.docx", "A 14569-2021")</f>
        <v/>
      </c>
      <c r="X38">
        <f>HYPERLINK("https://klasma.github.io/Logging_2180/tillsyn/A 14569-2021 tillsynsbegäran.docx", "A 14569-2021")</f>
        <v/>
      </c>
      <c r="Y38">
        <f>HYPERLINK("https://klasma.github.io/Logging_2180/tillsynsmail/A 14569-2021 tillsynsbegäran mail.docx", "A 14569-2021")</f>
        <v/>
      </c>
    </row>
    <row r="39" ht="15" customHeight="1">
      <c r="A39" t="inlineStr">
        <is>
          <t>A 40986-2021</t>
        </is>
      </c>
      <c r="B39" s="1" t="n">
        <v>44421</v>
      </c>
      <c r="C39" s="1" t="n">
        <v>45666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HYPERLINK("https://klasma.github.io/Logging_2180/artfynd/A 40986-2021 artfynd.xlsx", "A 40986-2021")</f>
        <v/>
      </c>
      <c r="T39">
        <f>HYPERLINK("https://klasma.github.io/Logging_2180/kartor/A 40986-2021 karta.png", "A 40986-2021")</f>
        <v/>
      </c>
      <c r="V39">
        <f>HYPERLINK("https://klasma.github.io/Logging_2180/klagomål/A 40986-2021 FSC-klagomål.docx", "A 40986-2021")</f>
        <v/>
      </c>
      <c r="W39">
        <f>HYPERLINK("https://klasma.github.io/Logging_2180/klagomålsmail/A 40986-2021 FSC-klagomål mail.docx", "A 40986-2021")</f>
        <v/>
      </c>
      <c r="X39">
        <f>HYPERLINK("https://klasma.github.io/Logging_2180/tillsyn/A 40986-2021 tillsynsbegäran.docx", "A 40986-2021")</f>
        <v/>
      </c>
      <c r="Y39">
        <f>HYPERLINK("https://klasma.github.io/Logging_2180/tillsynsmail/A 40986-2021 tillsynsbegäran mail.docx", "A 40986-2021")</f>
        <v/>
      </c>
      <c r="Z39">
        <f>HYPERLINK("https://klasma.github.io/Logging_2180/fåglar/A 40986-2021 prioriterade fågelarter.docx", "A 40986-2021")</f>
        <v/>
      </c>
    </row>
    <row r="40" ht="15" customHeight="1">
      <c r="A40" t="inlineStr">
        <is>
          <t>A 59225-2021</t>
        </is>
      </c>
      <c r="B40" s="1" t="n">
        <v>44490</v>
      </c>
      <c r="C40" s="1" t="n">
        <v>45666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59225-2021 artfynd.xlsx", "A 59225-2021")</f>
        <v/>
      </c>
      <c r="T40">
        <f>HYPERLINK("https://klasma.github.io/Logging_2180/kartor/A 59225-2021 karta.png", "A 59225-2021")</f>
        <v/>
      </c>
      <c r="V40">
        <f>HYPERLINK("https://klasma.github.io/Logging_2180/klagomål/A 59225-2021 FSC-klagomål.docx", "A 59225-2021")</f>
        <v/>
      </c>
      <c r="W40">
        <f>HYPERLINK("https://klasma.github.io/Logging_2180/klagomålsmail/A 59225-2021 FSC-klagomål mail.docx", "A 59225-2021")</f>
        <v/>
      </c>
      <c r="X40">
        <f>HYPERLINK("https://klasma.github.io/Logging_2180/tillsyn/A 59225-2021 tillsynsbegäran.docx", "A 59225-2021")</f>
        <v/>
      </c>
      <c r="Y40">
        <f>HYPERLINK("https://klasma.github.io/Logging_2180/tillsynsmail/A 59225-2021 tillsynsbegäran mail.docx", "A 59225-2021")</f>
        <v/>
      </c>
    </row>
    <row r="41" ht="15" customHeight="1">
      <c r="A41" t="inlineStr">
        <is>
          <t>A 66495-2021</t>
        </is>
      </c>
      <c r="B41" s="1" t="n">
        <v>44519</v>
      </c>
      <c r="C41" s="1" t="n">
        <v>45666</v>
      </c>
      <c r="D41" t="inlineStr">
        <is>
          <t>GÄVLEBORGS LÄN</t>
        </is>
      </c>
      <c r="E41" t="inlineStr">
        <is>
          <t>GÄVLE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66495-2021 artfynd.xlsx", "A 66495-2021")</f>
        <v/>
      </c>
      <c r="T41">
        <f>HYPERLINK("https://klasma.github.io/Logging_2180/kartor/A 66495-2021 karta.png", "A 66495-2021")</f>
        <v/>
      </c>
      <c r="V41">
        <f>HYPERLINK("https://klasma.github.io/Logging_2180/klagomål/A 66495-2021 FSC-klagomål.docx", "A 66495-2021")</f>
        <v/>
      </c>
      <c r="W41">
        <f>HYPERLINK("https://klasma.github.io/Logging_2180/klagomålsmail/A 66495-2021 FSC-klagomål mail.docx", "A 66495-2021")</f>
        <v/>
      </c>
      <c r="X41">
        <f>HYPERLINK("https://klasma.github.io/Logging_2180/tillsyn/A 66495-2021 tillsynsbegäran.docx", "A 66495-2021")</f>
        <v/>
      </c>
      <c r="Y41">
        <f>HYPERLINK("https://klasma.github.io/Logging_2180/tillsynsmail/A 66495-2021 tillsynsbegäran mail.docx", "A 66495-2021")</f>
        <v/>
      </c>
    </row>
    <row r="42" ht="15" customHeight="1">
      <c r="A42" t="inlineStr">
        <is>
          <t>A 6779-2022</t>
        </is>
      </c>
      <c r="B42" s="1" t="n">
        <v>44602</v>
      </c>
      <c r="C42" s="1" t="n">
        <v>45666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6779-2022 artfynd.xlsx", "A 6779-2022")</f>
        <v/>
      </c>
      <c r="T42">
        <f>HYPERLINK("https://klasma.github.io/Logging_2180/kartor/A 6779-2022 karta.png", "A 6779-2022")</f>
        <v/>
      </c>
      <c r="V42">
        <f>HYPERLINK("https://klasma.github.io/Logging_2180/klagomål/A 6779-2022 FSC-klagomål.docx", "A 6779-2022")</f>
        <v/>
      </c>
      <c r="W42">
        <f>HYPERLINK("https://klasma.github.io/Logging_2180/klagomålsmail/A 6779-2022 FSC-klagomål mail.docx", "A 6779-2022")</f>
        <v/>
      </c>
      <c r="X42">
        <f>HYPERLINK("https://klasma.github.io/Logging_2180/tillsyn/A 6779-2022 tillsynsbegäran.docx", "A 6779-2022")</f>
        <v/>
      </c>
      <c r="Y42">
        <f>HYPERLINK("https://klasma.github.io/Logging_2180/tillsynsmail/A 6779-2022 tillsynsbegäran mail.docx", "A 6779-2022")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45666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23511-2022</t>
        </is>
      </c>
      <c r="B44" s="1" t="n">
        <v>44721</v>
      </c>
      <c r="C44" s="1" t="n">
        <v>45666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HYPERLINK("https://klasma.github.io/Logging_2180/artfynd/A 23511-2022 artfynd.xlsx", "A 23511-2022")</f>
        <v/>
      </c>
      <c r="T44">
        <f>HYPERLINK("https://klasma.github.io/Logging_2180/kartor/A 23511-2022 karta.png", "A 23511-2022")</f>
        <v/>
      </c>
      <c r="V44">
        <f>HYPERLINK("https://klasma.github.io/Logging_2180/klagomål/A 23511-2022 FSC-klagomål.docx", "A 23511-2022")</f>
        <v/>
      </c>
      <c r="W44">
        <f>HYPERLINK("https://klasma.github.io/Logging_2180/klagomålsmail/A 23511-2022 FSC-klagomål mail.docx", "A 23511-2022")</f>
        <v/>
      </c>
      <c r="X44">
        <f>HYPERLINK("https://klasma.github.io/Logging_2180/tillsyn/A 23511-2022 tillsynsbegäran.docx", "A 23511-2022")</f>
        <v/>
      </c>
      <c r="Y44">
        <f>HYPERLINK("https://klasma.github.io/Logging_2180/tillsynsmail/A 23511-2022 tillsynsbegäran mail.docx", "A 23511-2022")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45666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45666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45666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8622-2023</t>
        </is>
      </c>
      <c r="B48" s="1" t="n">
        <v>44977</v>
      </c>
      <c r="C48" s="1" t="n">
        <v>45666</v>
      </c>
      <c r="D48" t="inlineStr">
        <is>
          <t>GÄVLEBORGS LÄN</t>
        </is>
      </c>
      <c r="E48" t="inlineStr">
        <is>
          <t>GÄVLE</t>
        </is>
      </c>
      <c r="G48" t="n">
        <v>9.199999999999999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8622-2023 artfynd.xlsx", "A 8622-2023")</f>
        <v/>
      </c>
      <c r="T48">
        <f>HYPERLINK("https://klasma.github.io/Logging_2180/kartor/A 8622-2023 karta.png", "A 8622-2023")</f>
        <v/>
      </c>
      <c r="U48">
        <f>HYPERLINK("https://klasma.github.io/Logging_2180/knärot/A 8622-2023 karta knärot.png", "A 8622-2023")</f>
        <v/>
      </c>
      <c r="V48">
        <f>HYPERLINK("https://klasma.github.io/Logging_2180/klagomål/A 8622-2023 FSC-klagomål.docx", "A 8622-2023")</f>
        <v/>
      </c>
      <c r="W48">
        <f>HYPERLINK("https://klasma.github.io/Logging_2180/klagomålsmail/A 8622-2023 FSC-klagomål mail.docx", "A 8622-2023")</f>
        <v/>
      </c>
      <c r="X48">
        <f>HYPERLINK("https://klasma.github.io/Logging_2180/tillsyn/A 8622-2023 tillsynsbegäran.docx", "A 8622-2023")</f>
        <v/>
      </c>
      <c r="Y48">
        <f>HYPERLINK("https://klasma.github.io/Logging_2180/tillsynsmail/A 8622-2023 tillsynsbegäran mail.docx", "A 8622-2023")</f>
        <v/>
      </c>
    </row>
    <row r="49" ht="15" customHeight="1">
      <c r="A49" t="inlineStr">
        <is>
          <t>A 29821-2023</t>
        </is>
      </c>
      <c r="B49" s="1" t="n">
        <v>45107</v>
      </c>
      <c r="C49" s="1" t="n">
        <v>45666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45666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36353-2023</t>
        </is>
      </c>
      <c r="B51" s="1" t="n">
        <v>45152</v>
      </c>
      <c r="C51" s="1" t="n">
        <v>45666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HYPERLINK("https://klasma.github.io/Logging_2180/artfynd/A 36353-2023 artfynd.xlsx", "A 36353-2023")</f>
        <v/>
      </c>
      <c r="T51">
        <f>HYPERLINK("https://klasma.github.io/Logging_2180/kartor/A 36353-2023 karta.png", "A 36353-2023")</f>
        <v/>
      </c>
      <c r="V51">
        <f>HYPERLINK("https://klasma.github.io/Logging_2180/klagomål/A 36353-2023 FSC-klagomål.docx", "A 36353-2023")</f>
        <v/>
      </c>
      <c r="W51">
        <f>HYPERLINK("https://klasma.github.io/Logging_2180/klagomålsmail/A 36353-2023 FSC-klagomål mail.docx", "A 36353-2023")</f>
        <v/>
      </c>
      <c r="X51">
        <f>HYPERLINK("https://klasma.github.io/Logging_2180/tillsyn/A 36353-2023 tillsynsbegäran.docx", "A 36353-2023")</f>
        <v/>
      </c>
      <c r="Y51">
        <f>HYPERLINK("https://klasma.github.io/Logging_2180/tillsynsmail/A 36353-2023 tillsynsbegäran mail.docx", "A 36353-2023")</f>
        <v/>
      </c>
    </row>
    <row r="52" ht="15" customHeight="1">
      <c r="A52" t="inlineStr">
        <is>
          <t>A 51550-2023</t>
        </is>
      </c>
      <c r="B52" s="1" t="n">
        <v>45222</v>
      </c>
      <c r="C52" s="1" t="n">
        <v>45666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51550-2023 artfynd.xlsx", "A 51550-2023")</f>
        <v/>
      </c>
      <c r="T52">
        <f>HYPERLINK("https://klasma.github.io/Logging_2180/kartor/A 51550-2023 karta.png", "A 51550-2023")</f>
        <v/>
      </c>
      <c r="V52">
        <f>HYPERLINK("https://klasma.github.io/Logging_2180/klagomål/A 51550-2023 FSC-klagomål.docx", "A 51550-2023")</f>
        <v/>
      </c>
      <c r="W52">
        <f>HYPERLINK("https://klasma.github.io/Logging_2180/klagomålsmail/A 51550-2023 FSC-klagomål mail.docx", "A 51550-2023")</f>
        <v/>
      </c>
      <c r="X52">
        <f>HYPERLINK("https://klasma.github.io/Logging_2180/tillsyn/A 51550-2023 tillsynsbegäran.docx", "A 51550-2023")</f>
        <v/>
      </c>
      <c r="Y52">
        <f>HYPERLINK("https://klasma.github.io/Logging_2180/tillsynsmail/A 51550-2023 tillsynsbegäran mail.docx", "A 51550-2023")</f>
        <v/>
      </c>
    </row>
    <row r="53" ht="15" customHeight="1">
      <c r="A53" t="inlineStr">
        <is>
          <t>A 56368-2023</t>
        </is>
      </c>
      <c r="B53" s="1" t="n">
        <v>45243</v>
      </c>
      <c r="C53" s="1" t="n">
        <v>45666</v>
      </c>
      <c r="D53" t="inlineStr">
        <is>
          <t>GÄVLEBORGS LÄN</t>
        </is>
      </c>
      <c r="E53" t="inlineStr">
        <is>
          <t>GÄVLE</t>
        </is>
      </c>
      <c r="G53" t="n">
        <v>10.8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56368-2023 artfynd.xlsx", "A 56368-2023")</f>
        <v/>
      </c>
      <c r="T53">
        <f>HYPERLINK("https://klasma.github.io/Logging_2180/kartor/A 56368-2023 karta.png", "A 56368-2023")</f>
        <v/>
      </c>
      <c r="U53">
        <f>HYPERLINK("https://klasma.github.io/Logging_2180/knärot/A 56368-2023 karta knärot.png", "A 56368-2023")</f>
        <v/>
      </c>
      <c r="V53">
        <f>HYPERLINK("https://klasma.github.io/Logging_2180/klagomål/A 56368-2023 FSC-klagomål.docx", "A 56368-2023")</f>
        <v/>
      </c>
      <c r="W53">
        <f>HYPERLINK("https://klasma.github.io/Logging_2180/klagomålsmail/A 56368-2023 FSC-klagomål mail.docx", "A 56368-2023")</f>
        <v/>
      </c>
      <c r="X53">
        <f>HYPERLINK("https://klasma.github.io/Logging_2180/tillsyn/A 56368-2023 tillsynsbegäran.docx", "A 56368-2023")</f>
        <v/>
      </c>
      <c r="Y53">
        <f>HYPERLINK("https://klasma.github.io/Logging_2180/tillsynsmail/A 56368-2023 tillsynsbegäran mail.docx", "A 56368-2023")</f>
        <v/>
      </c>
    </row>
    <row r="54" ht="15" customHeight="1">
      <c r="A54" t="inlineStr">
        <is>
          <t>A 7296-2024</t>
        </is>
      </c>
      <c r="B54" s="1" t="n">
        <v>45344</v>
      </c>
      <c r="C54" s="1" t="n">
        <v>45666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7296-2024 artfynd.xlsx", "A 7296-2024")</f>
        <v/>
      </c>
      <c r="T54">
        <f>HYPERLINK("https://klasma.github.io/Logging_2180/kartor/A 7296-2024 karta.png", "A 7296-2024")</f>
        <v/>
      </c>
      <c r="V54">
        <f>HYPERLINK("https://klasma.github.io/Logging_2180/klagomål/A 7296-2024 FSC-klagomål.docx", "A 7296-2024")</f>
        <v/>
      </c>
      <c r="W54">
        <f>HYPERLINK("https://klasma.github.io/Logging_2180/klagomålsmail/A 7296-2024 FSC-klagomål mail.docx", "A 7296-2024")</f>
        <v/>
      </c>
      <c r="X54">
        <f>HYPERLINK("https://klasma.github.io/Logging_2180/tillsyn/A 7296-2024 tillsynsbegäran.docx", "A 7296-2024")</f>
        <v/>
      </c>
      <c r="Y54">
        <f>HYPERLINK("https://klasma.github.io/Logging_2180/tillsynsmail/A 7296-2024 tillsynsbegäran mail.docx", "A 7296-2024")</f>
        <v/>
      </c>
    </row>
    <row r="55" ht="15" customHeight="1">
      <c r="A55" t="inlineStr">
        <is>
          <t>A 14726-2024</t>
        </is>
      </c>
      <c r="B55" s="1" t="n">
        <v>45397</v>
      </c>
      <c r="C55" s="1" t="n">
        <v>45666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9.9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HYPERLINK("https://klasma.github.io/Logging_2180/artfynd/A 14726-2024 artfynd.xlsx", "A 14726-2024")</f>
        <v/>
      </c>
      <c r="T55">
        <f>HYPERLINK("https://klasma.github.io/Logging_2180/kartor/A 14726-2024 karta.png", "A 14726-2024")</f>
        <v/>
      </c>
      <c r="V55">
        <f>HYPERLINK("https://klasma.github.io/Logging_2180/klagomål/A 14726-2024 FSC-klagomål.docx", "A 14726-2024")</f>
        <v/>
      </c>
      <c r="W55">
        <f>HYPERLINK("https://klasma.github.io/Logging_2180/klagomålsmail/A 14726-2024 FSC-klagomål mail.docx", "A 14726-2024")</f>
        <v/>
      </c>
      <c r="X55">
        <f>HYPERLINK("https://klasma.github.io/Logging_2180/tillsyn/A 14726-2024 tillsynsbegäran.docx", "A 14726-2024")</f>
        <v/>
      </c>
      <c r="Y55">
        <f>HYPERLINK("https://klasma.github.io/Logging_2180/tillsynsmail/A 14726-2024 tillsynsbegäran mail.docx", "A 14726-2024")</f>
        <v/>
      </c>
    </row>
    <row r="56" ht="15" customHeight="1">
      <c r="A56" t="inlineStr">
        <is>
          <t>A 14847-2024</t>
        </is>
      </c>
      <c r="B56" s="1" t="n">
        <v>45398</v>
      </c>
      <c r="C56" s="1" t="n">
        <v>45666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14847-2024 artfynd.xlsx", "A 14847-2024")</f>
        <v/>
      </c>
      <c r="T56">
        <f>HYPERLINK("https://klasma.github.io/Logging_2180/kartor/A 14847-2024 karta.png", "A 14847-2024")</f>
        <v/>
      </c>
      <c r="V56">
        <f>HYPERLINK("https://klasma.github.io/Logging_2180/klagomål/A 14847-2024 FSC-klagomål.docx", "A 14847-2024")</f>
        <v/>
      </c>
      <c r="W56">
        <f>HYPERLINK("https://klasma.github.io/Logging_2180/klagomålsmail/A 14847-2024 FSC-klagomål mail.docx", "A 14847-2024")</f>
        <v/>
      </c>
      <c r="X56">
        <f>HYPERLINK("https://klasma.github.io/Logging_2180/tillsyn/A 14847-2024 tillsynsbegäran.docx", "A 14847-2024")</f>
        <v/>
      </c>
      <c r="Y56">
        <f>HYPERLINK("https://klasma.github.io/Logging_2180/tillsynsmail/A 14847-2024 tillsynsbegäran mail.docx", "A 14847-2024")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45666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45666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20152-2024</t>
        </is>
      </c>
      <c r="B59" s="1" t="n">
        <v>45434</v>
      </c>
      <c r="C59" s="1" t="n">
        <v>45666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13.4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20152-2024 artfynd.xlsx", "A 20152-2024")</f>
        <v/>
      </c>
      <c r="T59">
        <f>HYPERLINK("https://klasma.github.io/Logging_2180/kartor/A 20152-2024 karta.png", "A 20152-2024")</f>
        <v/>
      </c>
      <c r="V59">
        <f>HYPERLINK("https://klasma.github.io/Logging_2180/klagomål/A 20152-2024 FSC-klagomål.docx", "A 20152-2024")</f>
        <v/>
      </c>
      <c r="W59">
        <f>HYPERLINK("https://klasma.github.io/Logging_2180/klagomålsmail/A 20152-2024 FSC-klagomål mail.docx", "A 20152-2024")</f>
        <v/>
      </c>
      <c r="X59">
        <f>HYPERLINK("https://klasma.github.io/Logging_2180/tillsyn/A 20152-2024 tillsynsbegäran.docx", "A 20152-2024")</f>
        <v/>
      </c>
      <c r="Y59">
        <f>HYPERLINK("https://klasma.github.io/Logging_2180/tillsynsmail/A 20152-2024 tillsynsbegäran mail.docx", "A 20152-2024")</f>
        <v/>
      </c>
    </row>
    <row r="60" ht="15" customHeight="1">
      <c r="A60" t="inlineStr">
        <is>
          <t>A 21282-2024</t>
        </is>
      </c>
      <c r="B60" s="1" t="n">
        <v>45440</v>
      </c>
      <c r="C60" s="1" t="n">
        <v>45666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23700-2024</t>
        </is>
      </c>
      <c r="B61" s="1" t="n">
        <v>45454</v>
      </c>
      <c r="C61" s="1" t="n">
        <v>45666</v>
      </c>
      <c r="D61" t="inlineStr">
        <is>
          <t>GÄVLEBORGS LÄN</t>
        </is>
      </c>
      <c r="E61" t="inlineStr">
        <is>
          <t>GÄVLE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HYPERLINK("https://klasma.github.io/Logging_2180/artfynd/A 23700-2024 artfynd.xlsx", "A 23700-2024")</f>
        <v/>
      </c>
      <c r="T61">
        <f>HYPERLINK("https://klasma.github.io/Logging_2180/kartor/A 23700-2024 karta.png", "A 23700-2024")</f>
        <v/>
      </c>
      <c r="V61">
        <f>HYPERLINK("https://klasma.github.io/Logging_2180/klagomål/A 23700-2024 FSC-klagomål.docx", "A 23700-2024")</f>
        <v/>
      </c>
      <c r="W61">
        <f>HYPERLINK("https://klasma.github.io/Logging_2180/klagomålsmail/A 23700-2024 FSC-klagomål mail.docx", "A 23700-2024")</f>
        <v/>
      </c>
      <c r="X61">
        <f>HYPERLINK("https://klasma.github.io/Logging_2180/tillsyn/A 23700-2024 tillsynsbegäran.docx", "A 23700-2024")</f>
        <v/>
      </c>
      <c r="Y61">
        <f>HYPERLINK("https://klasma.github.io/Logging_2180/tillsynsmail/A 23700-2024 tillsynsbegäran mail.docx", "A 23700-2024")</f>
        <v/>
      </c>
    </row>
    <row r="62" ht="15" customHeight="1">
      <c r="A62" t="inlineStr">
        <is>
          <t>A 25657-2024</t>
        </is>
      </c>
      <c r="B62" s="1" t="n">
        <v>45463</v>
      </c>
      <c r="C62" s="1" t="n">
        <v>45666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39460-2024</t>
        </is>
      </c>
      <c r="B63" s="1" t="n">
        <v>45551</v>
      </c>
      <c r="C63" s="1" t="n">
        <v>45666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39460-2024 artfynd.xlsx", "A 39460-2024")</f>
        <v/>
      </c>
      <c r="T63">
        <f>HYPERLINK("https://klasma.github.io/Logging_2180/kartor/A 39460-2024 karta.png", "A 39460-2024")</f>
        <v/>
      </c>
      <c r="V63">
        <f>HYPERLINK("https://klasma.github.io/Logging_2180/klagomål/A 39460-2024 FSC-klagomål.docx", "A 39460-2024")</f>
        <v/>
      </c>
      <c r="W63">
        <f>HYPERLINK("https://klasma.github.io/Logging_2180/klagomålsmail/A 39460-2024 FSC-klagomål mail.docx", "A 39460-2024")</f>
        <v/>
      </c>
      <c r="X63">
        <f>HYPERLINK("https://klasma.github.io/Logging_2180/tillsyn/A 39460-2024 tillsynsbegäran.docx", "A 39460-2024")</f>
        <v/>
      </c>
      <c r="Y63">
        <f>HYPERLINK("https://klasma.github.io/Logging_2180/tillsynsmail/A 39460-2024 tillsynsbegäran mail.docx", "A 39460-2024")</f>
        <v/>
      </c>
      <c r="Z63">
        <f>HYPERLINK("https://klasma.github.io/Logging_2180/fåglar/A 39460-2024 prioriterade fågelarter.docx", "A 39460-2024")</f>
        <v/>
      </c>
    </row>
    <row r="64" ht="15" customHeight="1">
      <c r="A64" t="inlineStr">
        <is>
          <t>A 44434-2024</t>
        </is>
      </c>
      <c r="B64" s="1" t="n">
        <v>45574</v>
      </c>
      <c r="C64" s="1" t="n">
        <v>45666</v>
      </c>
      <c r="D64" t="inlineStr">
        <is>
          <t>GÄVLEBORGS LÄN</t>
        </is>
      </c>
      <c r="E64" t="inlineStr">
        <is>
          <t>GÄVLE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44434-2024 artfynd.xlsx", "A 44434-2024")</f>
        <v/>
      </c>
      <c r="T64">
        <f>HYPERLINK("https://klasma.github.io/Logging_2180/kartor/A 44434-2024 karta.png", "A 44434-2024")</f>
        <v/>
      </c>
      <c r="V64">
        <f>HYPERLINK("https://klasma.github.io/Logging_2180/klagomål/A 44434-2024 FSC-klagomål.docx", "A 44434-2024")</f>
        <v/>
      </c>
      <c r="W64">
        <f>HYPERLINK("https://klasma.github.io/Logging_2180/klagomålsmail/A 44434-2024 FSC-klagomål mail.docx", "A 44434-2024")</f>
        <v/>
      </c>
      <c r="X64">
        <f>HYPERLINK("https://klasma.github.io/Logging_2180/tillsyn/A 44434-2024 tillsynsbegäran.docx", "A 44434-2024")</f>
        <v/>
      </c>
      <c r="Y64">
        <f>HYPERLINK("https://klasma.github.io/Logging_2180/tillsynsmail/A 44434-2024 tillsynsbegäran mail.docx", "A 44434-2024")</f>
        <v/>
      </c>
    </row>
    <row r="65" ht="15" customHeight="1">
      <c r="A65" t="inlineStr">
        <is>
          <t>A 48800-2024</t>
        </is>
      </c>
      <c r="B65" s="1" t="n">
        <v>45593</v>
      </c>
      <c r="C65" s="1" t="n">
        <v>45666</v>
      </c>
      <c r="D65" t="inlineStr">
        <is>
          <t>GÄVLEBORGS LÄN</t>
        </is>
      </c>
      <c r="E65" t="inlineStr">
        <is>
          <t>GÄVLE</t>
        </is>
      </c>
      <c r="G65" t="n">
        <v>15.3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HYPERLINK("https://klasma.github.io/Logging_2180/artfynd/A 48800-2024 artfynd.xlsx", "A 48800-2024")</f>
        <v/>
      </c>
      <c r="T65">
        <f>HYPERLINK("https://klasma.github.io/Logging_2180/kartor/A 48800-2024 karta.png", "A 48800-2024")</f>
        <v/>
      </c>
      <c r="V65">
        <f>HYPERLINK("https://klasma.github.io/Logging_2180/klagomål/A 48800-2024 FSC-klagomål.docx", "A 48800-2024")</f>
        <v/>
      </c>
      <c r="W65">
        <f>HYPERLINK("https://klasma.github.io/Logging_2180/klagomålsmail/A 48800-2024 FSC-klagomål mail.docx", "A 48800-2024")</f>
        <v/>
      </c>
      <c r="X65">
        <f>HYPERLINK("https://klasma.github.io/Logging_2180/tillsyn/A 48800-2024 tillsynsbegäran.docx", "A 48800-2024")</f>
        <v/>
      </c>
      <c r="Y65">
        <f>HYPERLINK("https://klasma.github.io/Logging_2180/tillsynsmail/A 48800-2024 tillsynsbegäran mail.docx", "A 48800-2024")</f>
        <v/>
      </c>
      <c r="Z65">
        <f>HYPERLINK("https://klasma.github.io/Logging_2180/fåglar/A 48800-2024 prioriterade fågelarter.docx", "A 48800-2024")</f>
        <v/>
      </c>
    </row>
    <row r="66" ht="15" customHeight="1">
      <c r="A66" t="inlineStr">
        <is>
          <t>A 51508-2024</t>
        </is>
      </c>
      <c r="B66" s="1" t="n">
        <v>45604</v>
      </c>
      <c r="C66" s="1" t="n">
        <v>45666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HYPERLINK("https://klasma.github.io/Logging_2180/artfynd/A 51508-2024 artfynd.xlsx", "A 51508-2024")</f>
        <v/>
      </c>
      <c r="T66">
        <f>HYPERLINK("https://klasma.github.io/Logging_2180/kartor/A 51508-2024 karta.png", "A 51508-2024")</f>
        <v/>
      </c>
      <c r="V66">
        <f>HYPERLINK("https://klasma.github.io/Logging_2180/klagomål/A 51508-2024 FSC-klagomål.docx", "A 51508-2024")</f>
        <v/>
      </c>
      <c r="W66">
        <f>HYPERLINK("https://klasma.github.io/Logging_2180/klagomålsmail/A 51508-2024 FSC-klagomål mail.docx", "A 51508-2024")</f>
        <v/>
      </c>
      <c r="X66">
        <f>HYPERLINK("https://klasma.github.io/Logging_2180/tillsyn/A 51508-2024 tillsynsbegäran.docx", "A 51508-2024")</f>
        <v/>
      </c>
      <c r="Y66">
        <f>HYPERLINK("https://klasma.github.io/Logging_2180/tillsynsmail/A 51508-2024 tillsynsbegäran mail.docx", "A 51508-2024")</f>
        <v/>
      </c>
    </row>
    <row r="67" ht="15" customHeight="1">
      <c r="A67" t="inlineStr">
        <is>
          <t>A 53571-2024</t>
        </is>
      </c>
      <c r="B67" s="1" t="n">
        <v>45614</v>
      </c>
      <c r="C67" s="1" t="n">
        <v>45666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HYPERLINK("https://klasma.github.io/Logging_2180/artfynd/A 53571-2024 artfynd.xlsx", "A 53571-2024")</f>
        <v/>
      </c>
      <c r="T67">
        <f>HYPERLINK("https://klasma.github.io/Logging_2180/kartor/A 53571-2024 karta.png", "A 53571-2024")</f>
        <v/>
      </c>
      <c r="V67">
        <f>HYPERLINK("https://klasma.github.io/Logging_2180/klagomål/A 53571-2024 FSC-klagomål.docx", "A 53571-2024")</f>
        <v/>
      </c>
      <c r="W67">
        <f>HYPERLINK("https://klasma.github.io/Logging_2180/klagomålsmail/A 53571-2024 FSC-klagomål mail.docx", "A 53571-2024")</f>
        <v/>
      </c>
      <c r="X67">
        <f>HYPERLINK("https://klasma.github.io/Logging_2180/tillsyn/A 53571-2024 tillsynsbegäran.docx", "A 53571-2024")</f>
        <v/>
      </c>
      <c r="Y67">
        <f>HYPERLINK("https://klasma.github.io/Logging_2180/tillsynsmail/A 53571-2024 tillsynsbegäran mail.docx", "A 53571-2024")</f>
        <v/>
      </c>
    </row>
    <row r="68" ht="15" customHeight="1">
      <c r="A68" t="inlineStr">
        <is>
          <t>A 56870-2024</t>
        </is>
      </c>
      <c r="B68" s="1" t="n">
        <v>45628</v>
      </c>
      <c r="C68" s="1" t="n">
        <v>45666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56870-2024 artfynd.xlsx", "A 56870-2024")</f>
        <v/>
      </c>
      <c r="T68">
        <f>HYPERLINK("https://klasma.github.io/Logging_2180/kartor/A 56870-2024 karta.png", "A 56870-2024")</f>
        <v/>
      </c>
      <c r="V68">
        <f>HYPERLINK("https://klasma.github.io/Logging_2180/klagomål/A 56870-2024 FSC-klagomål.docx", "A 56870-2024")</f>
        <v/>
      </c>
      <c r="W68">
        <f>HYPERLINK("https://klasma.github.io/Logging_2180/klagomålsmail/A 56870-2024 FSC-klagomål mail.docx", "A 56870-2024")</f>
        <v/>
      </c>
      <c r="X68">
        <f>HYPERLINK("https://klasma.github.io/Logging_2180/tillsyn/A 56870-2024 tillsynsbegäran.docx", "A 56870-2024")</f>
        <v/>
      </c>
      <c r="Y68">
        <f>HYPERLINK("https://klasma.github.io/Logging_2180/tillsynsmail/A 56870-2024 tillsynsbegäran mail.docx", "A 56870-2024")</f>
        <v/>
      </c>
      <c r="Z68">
        <f>HYPERLINK("https://klasma.github.io/Logging_2180/fåglar/A 56870-2024 prioriterade fågelarter.docx", "A 56870-2024")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45666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45666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45666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45666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45666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45666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45666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45666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45666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45666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45666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45666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45666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45666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45666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45666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45666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45666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45666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45666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45666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45666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45666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45666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45666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45666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45666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45666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45666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45666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45666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45666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45666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45666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45666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45666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45666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45666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45666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45666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45666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45666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45666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45666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45666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45666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45666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45666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45666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45666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45666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45666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45666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45666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45666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45666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45666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45666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45666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45666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45666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45666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45666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45666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45666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45666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45666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45666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45666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45666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45666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45666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45666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45666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45666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45666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45666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45666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45666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45666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45666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45666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45666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45666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45666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45666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45666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45666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45666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45666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45666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45666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45666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45666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45666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45666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45666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45666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45666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45666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45666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45666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45666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45666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45666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45666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45666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45666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45666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45666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45666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45666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45666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45666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45666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45666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45666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45666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45666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45666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45666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45666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45666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45666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45666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45666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45666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45666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45666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45666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45666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45666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45666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45666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45666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45666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45666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45666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45666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45666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45666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45666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45666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45666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45666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45666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45666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45666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45666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45666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45666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45666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45666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45666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45666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45666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45666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45666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45666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45666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45666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45666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45666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45666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45666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45666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45666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45666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45666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45666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45666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45666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45666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45666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45666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45666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45666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45666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45666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45666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45666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45666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45666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45666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45666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45666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45666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45666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45666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45666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45666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45666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45666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45666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45666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45666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45666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45666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45666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45666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45666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45666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45666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45666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45666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45666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45666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45666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45666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45666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45666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45666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45666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45666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45666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45666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45666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45666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45666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45666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45666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45666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45666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45666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45666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45666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45666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45666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45666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45666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45666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45666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45666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45666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45666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45666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45666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45666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45666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45666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45666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45666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45666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45666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45666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45666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45666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45666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45666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45666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45666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45666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45666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45666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45666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45666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45666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45666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45666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45666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45666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45666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45666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45666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45666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45666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45666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45666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45666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45666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45666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45666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45666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45666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45666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45666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45666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45666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45666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45666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45666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45666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45666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45666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45666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45666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45666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45666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45666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45666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45666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45666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45666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45666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45666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45666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45666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45666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45666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45666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45666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45666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45666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45666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45666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45666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45666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45666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45666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45666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45666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45666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45666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45666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45666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45666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45666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45666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45666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45666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45666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45666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45666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45666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45666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45666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45666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45666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45666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45666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45666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45666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45666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45666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45666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45666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45666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45666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45666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45666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45666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45666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45666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45666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45666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45666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45666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45666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45666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45666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45666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45666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45666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45666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45666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45666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45666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45666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45666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45666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45666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45666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45666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45666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45666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45666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45666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45666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45666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45666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45666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45666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45666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45666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45666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45666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45666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45666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45666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45666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45666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45666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45666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45666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45666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45666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45666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45666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45666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45666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45666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45666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45666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45666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45666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45666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45666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45666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45666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45666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45666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45666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45666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45666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45666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45666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45666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45666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45666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45666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45666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45666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45666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45666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45666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45666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45666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45666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45666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45666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45666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45666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45666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45666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45666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45666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45666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45666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45666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45666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45666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45666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45666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45666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45666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45666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45666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45666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45666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45666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45666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45666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45666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45666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45666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45666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45666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45666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45666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45666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45666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45666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45666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45666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45666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45666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45666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45666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45666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45666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45666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45666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45666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45666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45666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45666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45666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45666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45666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45666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45666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45666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45666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45666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45666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45666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45666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45666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45666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45666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45666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45666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45666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45666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45666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45666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45666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45666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45666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45666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45666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45666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45666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45666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45666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45666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45666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45666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45666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45666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45666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45666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45666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45666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45666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45666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45666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45666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45666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45666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45666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45666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45666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45666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45666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45666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45666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45666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45666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45666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45666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45666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45666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45666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45666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45666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45666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45666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45666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45666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45666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45666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45666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45666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45666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45666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45666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45666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45666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45666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45666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45666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45666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45666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45666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45666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45666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45666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45666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45666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45666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45666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45666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45666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45666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45666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45666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45666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45666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45666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45666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45666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45666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45666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45666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45666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45666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45666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45666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45666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45666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45666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45666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45666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45666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45666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45666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45666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45666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45666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45666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45666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45666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45666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45666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45666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45666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45666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45666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45666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45666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45666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45666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45666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45666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45666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45666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45666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45666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45666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45666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45666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45666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45666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45666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45666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45666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45666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45666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45666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45666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45666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45666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45666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45666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45666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45666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45666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45666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45666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45666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45666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45666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45666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45666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45666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45666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45666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45666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45666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45666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45666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45666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45666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45666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45666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45666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45666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45666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45666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45666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45666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45666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45666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45666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45666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45666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45666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45666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45666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45666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45666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45666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45666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45666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45666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45666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45666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45666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45666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45666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45666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45666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45666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45666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45666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45666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45666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45666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45666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45666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45666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45666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45666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45666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45666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45666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45666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45666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45666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45666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45666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45666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45666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45666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45666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45666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45666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45666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45666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45666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45666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45666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45666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45666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45666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45666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45666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45666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59149-2024</t>
        </is>
      </c>
      <c r="B1188" s="1" t="n">
        <v>45637</v>
      </c>
      <c r="C1188" s="1" t="n">
        <v>45666</v>
      </c>
      <c r="D1188" t="inlineStr">
        <is>
          <t>GÄVLEBORGS LÄN</t>
        </is>
      </c>
      <c r="E1188" t="inlineStr">
        <is>
          <t>GÄVLE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59099-2024</t>
        </is>
      </c>
      <c r="B1189" s="1" t="n">
        <v>45637</v>
      </c>
      <c r="C1189" s="1" t="n">
        <v>45666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öst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45666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45666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45666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45666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45666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60617-2024</t>
        </is>
      </c>
      <c r="B1195" s="1" t="n">
        <v>45644</v>
      </c>
      <c r="C1195" s="1" t="n">
        <v>45666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45666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45666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45666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45666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45666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45666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61131-2024</t>
        </is>
      </c>
      <c r="B1202" s="1" t="n">
        <v>45645</v>
      </c>
      <c r="C1202" s="1" t="n">
        <v>45666</v>
      </c>
      <c r="D1202" t="inlineStr">
        <is>
          <t>GÄVLEBORGS LÄN</t>
        </is>
      </c>
      <c r="E1202" t="inlineStr">
        <is>
          <t>GÄVLE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61130-2024</t>
        </is>
      </c>
      <c r="B1203" s="1" t="n">
        <v>45645</v>
      </c>
      <c r="C1203" s="1" t="n">
        <v>45666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61300-2024</t>
        </is>
      </c>
      <c r="B1204" s="1" t="n">
        <v>45645</v>
      </c>
      <c r="C1204" s="1" t="n">
        <v>45666</v>
      </c>
      <c r="D1204" t="inlineStr">
        <is>
          <t>GÄVLEBORGS LÄN</t>
        </is>
      </c>
      <c r="E1204" t="inlineStr">
        <is>
          <t>GÄVLE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45666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61133-2024</t>
        </is>
      </c>
      <c r="B1206" s="1" t="n">
        <v>45645</v>
      </c>
      <c r="C1206" s="1" t="n">
        <v>45666</v>
      </c>
      <c r="D1206" t="inlineStr">
        <is>
          <t>GÄVLEBORGS LÄN</t>
        </is>
      </c>
      <c r="E1206" t="inlineStr">
        <is>
          <t>GÄVLE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45666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45666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45666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45666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45666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45666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45666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225-2025</t>
        </is>
      </c>
      <c r="B1214" s="1" t="n">
        <v>45660</v>
      </c>
      <c r="C1214" s="1" t="n">
        <v>45666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247-2025</t>
        </is>
      </c>
      <c r="B1215" s="1" t="n">
        <v>45660</v>
      </c>
      <c r="C1215" s="1" t="n">
        <v>45666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214-2025</t>
        </is>
      </c>
      <c r="B1216" s="1" t="n">
        <v>45660</v>
      </c>
      <c r="C1216" s="1" t="n">
        <v>45666</v>
      </c>
      <c r="D1216" t="inlineStr">
        <is>
          <t>GÄVLEBORGS LÄN</t>
        </is>
      </c>
      <c r="E1216" t="inlineStr">
        <is>
          <t>GÄVLE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232-2025</t>
        </is>
      </c>
      <c r="B1217" s="1" t="n">
        <v>45660</v>
      </c>
      <c r="C1217" s="1" t="n">
        <v>45666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250-2025</t>
        </is>
      </c>
      <c r="B1218" s="1" t="n">
        <v>45660</v>
      </c>
      <c r="C1218" s="1" t="n">
        <v>45666</v>
      </c>
      <c r="D1218" t="inlineStr">
        <is>
          <t>GÄVLEBORGS LÄN</t>
        </is>
      </c>
      <c r="E1218" t="inlineStr">
        <is>
          <t>GÄVLE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45666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259-2025</t>
        </is>
      </c>
      <c r="B1220" s="1" t="n">
        <v>45660</v>
      </c>
      <c r="C1220" s="1" t="n">
        <v>45666</v>
      </c>
      <c r="D1220" t="inlineStr">
        <is>
          <t>GÄVLEBORGS LÄN</t>
        </is>
      </c>
      <c r="E1220" t="inlineStr">
        <is>
          <t>GÄVLE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45666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230-2025</t>
        </is>
      </c>
      <c r="B1222" s="1" t="n">
        <v>45660</v>
      </c>
      <c r="C1222" s="1" t="n">
        <v>45666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257-2025</t>
        </is>
      </c>
      <c r="B1223" s="1" t="n">
        <v>45660</v>
      </c>
      <c r="C1223" s="1" t="n">
        <v>45666</v>
      </c>
      <c r="D1223" t="inlineStr">
        <is>
          <t>GÄVLEBORGS LÄN</t>
        </is>
      </c>
      <c r="E1223" t="inlineStr">
        <is>
          <t>GÄVLE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45666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45666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701-2025</t>
        </is>
      </c>
      <c r="B1226" s="1" t="n">
        <v>45665</v>
      </c>
      <c r="C1226" s="1" t="n">
        <v>45666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2025-01-09T16:08:13Z</dcterms:created>
  <dcterms:modified xmlns:dcterms="http://purl.org/dc/terms/" xmlns:xsi="http://www.w3.org/2001/XMLSchema-instance" xsi:type="dcterms:W3CDTF">2025-01-09T16:08:14Z</dcterms:modified>
</cp:coreProperties>
</file>