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46268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46268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46268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46268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46268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46268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46268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46268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46268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46268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46268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46268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46268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3193-2026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46041</v>
      </c>
      <c r="E28" s="1" t="n">
        <v>46268</v>
      </c>
      <c r="F28" t="inlineStr">
        <is>
          <t>GÄVLEBORGS LÄN</t>
        </is>
      </c>
      <c r="G28" t="inlineStr">
        <is>
          <t>GÄVLE</t>
        </is>
      </c>
      <c r="I28" t="n">
        <v>10.3</v>
      </c>
      <c r="J28" t="n">
        <v>4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Trastsångare
Enkelbeckasin
Buskskvätta
Trana</t>
        </is>
      </c>
      <c r="W28">
        <f>HYPERLINK("https://klasma.github.io/Logging_2180/artfynd/A 3193-2026 artfynd.xlsx", "A 3193-2026")</f>
        <v/>
      </c>
      <c r="X28">
        <f>HYPERLINK("https://klasma.github.io/Logging_2180/kartor/A 3193-2026 karta.png", "A 3193-2026")</f>
        <v/>
      </c>
      <c r="Y28">
        <f>HYPERLINK("https://klasma.github.io/Logging_2180/kartor_geotiff/A 3193-2026 georefererad karta.tif", "A 3193-2026")</f>
        <v/>
      </c>
      <c r="AA28">
        <f>HYPERLINK("https://klasma.github.io/Logging_2180/klagomål/A 3193-2026 FSC-klagomål.docx", "A 3193-2026")</f>
        <v/>
      </c>
      <c r="AB28">
        <f>HYPERLINK("https://klasma.github.io/Logging_2180/klagomålsmail/A 3193-2026 FSC-klagomål mail.docx", "A 3193-2026")</f>
        <v/>
      </c>
      <c r="AC28">
        <f>HYPERLINK("https://klasma.github.io/Logging_2180/tillsyn/A 3193-2026 tillsynsbegäran.docx", "A 3193-2026")</f>
        <v/>
      </c>
      <c r="AD28">
        <f>HYPERLINK("https://klasma.github.io/Logging_2180/tillsynsmail/A 3193-2026 tillsynsbegäran mail.docx", "A 3193-2026")</f>
        <v/>
      </c>
      <c r="AE28">
        <f>HYPERLINK("https://klasma.github.io/Logging_2180/fåglar/A 3193-2026 prioriterade fågelarter.docx", "A 3193-2026")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46268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46268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46268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46268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46268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46268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46268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46268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46268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46268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46268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46268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46268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46268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46268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46268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46268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46268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46268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46268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46268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46268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46268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46268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46268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t="n">
        <v>0</v>
      </c>
      <c r="V54" s="2" t="inlineStr">
        <is>
          <t>Väddnätfjäril
Sotnätfjäril</t>
        </is>
      </c>
      <c r="W54">
        <f>HYPERLINK("https://klasma.github.io/Logging_2180/artfynd/A 14554-2026 artfynd.xlsx", "A 14554-2026")</f>
        <v/>
      </c>
      <c r="X54">
        <f>HYPERLINK("https://klasma.github.io/Logging_2180/kartor/A 14554-2026 karta.png", "A 14554-2026")</f>
        <v/>
      </c>
      <c r="Y54">
        <f>HYPERLINK("https://klasma.github.io/Logging_2180/kartor_geotiff/A 14554-2026 georefererad karta.tif", "A 14554-2026")</f>
        <v/>
      </c>
      <c r="AA54">
        <f>HYPERLINK("https://klasma.github.io/Logging_2180/klagomål/A 14554-2026 FSC-klagomål.docx", "A 14554-2026")</f>
        <v/>
      </c>
      <c r="AB54">
        <f>HYPERLINK("https://klasma.github.io/Logging_2180/klagomålsmail/A 14554-2026 FSC-klagomål mail.docx", "A 14554-2026")</f>
        <v/>
      </c>
      <c r="AC54">
        <f>HYPERLINK("https://klasma.github.io/Logging_2180/tillsyn/A 14554-2026 tillsynsbegäran.docx", "A 14554-2026")</f>
        <v/>
      </c>
      <c r="AD54">
        <f>HYPERLINK("https://klasma.github.io/Logging_2180/tillsynsmail/A 14554-2026 tillsynsbegäran mail.docx", "A 14554-2026")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46268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46268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46268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46268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46268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46268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46268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6473-2024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46268</v>
      </c>
      <c r="F62" t="inlineStr">
        <is>
          <t>GÄVLEBORGS LÄN</t>
        </is>
      </c>
      <c r="G62" t="inlineStr">
        <is>
          <t>GÄVLE</t>
        </is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Tibast
Nattviol</t>
        </is>
      </c>
      <c r="W62">
        <f>HYPERLINK("https://klasma.github.io/Logging_2180/artfynd/A 6473-2024 artfynd.xlsx", "A 6473-2024")</f>
        <v/>
      </c>
      <c r="X62">
        <f>HYPERLINK("https://klasma.github.io/Logging_2180/kartor/A 6473-2024 karta.png", "A 6473-2024")</f>
        <v/>
      </c>
      <c r="Y62">
        <f>HYPERLINK("https://klasma.github.io/Logging_2180/kartor_geotiff/A 6473-2024 georefererad karta.tif", "A 6473-2024")</f>
        <v/>
      </c>
      <c r="AA62">
        <f>HYPERLINK("https://klasma.github.io/Logging_2180/klagomål/A 6473-2024 FSC-klagomål.docx", "A 6473-2024")</f>
        <v/>
      </c>
      <c r="AB62">
        <f>HYPERLINK("https://klasma.github.io/Logging_2180/klagomålsmail/A 6473-2024 FSC-klagomål mail.docx", "A 6473-2024")</f>
        <v/>
      </c>
      <c r="AC62">
        <f>HYPERLINK("https://klasma.github.io/Logging_2180/tillsyn/A 6473-2024 tillsynsbegäran.docx", "A 6473-2024")</f>
        <v/>
      </c>
      <c r="AD62">
        <f>HYPERLINK("https://klasma.github.io/Logging_2180/tillsynsmail/A 6473-2024 tillsynsbegäran mail.docx", "A 6473-2024")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46268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46268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46268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46268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46268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46268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46268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46268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46268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46268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34434-2026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46268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7.7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Grönsångare
Vätteros</t>
        </is>
      </c>
      <c r="W73">
        <f>HYPERLINK("https://klasma.github.io/Logging_2180/artfynd/A 34434-2026 artfynd.xlsx", "A 34434-2026")</f>
        <v/>
      </c>
      <c r="X73">
        <f>HYPERLINK("https://klasma.github.io/Logging_2180/kartor/A 34434-2026 karta.png", "A 34434-2026")</f>
        <v/>
      </c>
      <c r="Y73">
        <f>HYPERLINK("https://klasma.github.io/Logging_2180/kartor_geotiff/A 34434-2026 georefererad karta.tif", "A 34434-2026")</f>
        <v/>
      </c>
      <c r="AA73">
        <f>HYPERLINK("https://klasma.github.io/Logging_2180/klagomål/A 34434-2026 FSC-klagomål.docx", "A 34434-2026")</f>
        <v/>
      </c>
      <c r="AB73">
        <f>HYPERLINK("https://klasma.github.io/Logging_2180/klagomålsmail/A 34434-2026 FSC-klagomål mail.docx", "A 34434-2026")</f>
        <v/>
      </c>
      <c r="AC73">
        <f>HYPERLINK("https://klasma.github.io/Logging_2180/tillsyn/A 34434-2026 tillsynsbegäran.docx", "A 34434-2026")</f>
        <v/>
      </c>
      <c r="AD73">
        <f>HYPERLINK("https://klasma.github.io/Logging_2180/tillsynsmail/A 34434-2026 tillsynsbegäran mail.docx", "A 34434-2026")</f>
        <v/>
      </c>
      <c r="AE73">
        <f>HYPERLINK("https://klasma.github.io/Logging_2180/fåglar/A 34434-2026 prioriterade fågelarter.docx", "A 34434-2026")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46268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46268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46268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46268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46268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46268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46268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46268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46268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46268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46268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46268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46268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46268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46268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46268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Fläcknycklar</t>
        </is>
      </c>
      <c r="W89">
        <f>HYPERLINK("https://klasma.github.io/Logging_2180/artfynd/A 30302-2025 artfynd.xlsx", "A 30302-2025")</f>
        <v/>
      </c>
      <c r="X89">
        <f>HYPERLINK("https://klasma.github.io/Logging_2180/kartor/A 30302-2025 karta.png", "A 30302-2025")</f>
        <v/>
      </c>
      <c r="Y89">
        <f>HYPERLINK("https://klasma.github.io/Logging_2180/kartor_geotiff/A 30302-2025 georefererad karta.tif", "A 30302-2025")</f>
        <v/>
      </c>
      <c r="AA89">
        <f>HYPERLINK("https://klasma.github.io/Logging_2180/klagomål/A 30302-2025 FSC-klagomål.docx", "A 30302-2025")</f>
        <v/>
      </c>
      <c r="AB89">
        <f>HYPERLINK("https://klasma.github.io/Logging_2180/klagomålsmail/A 30302-2025 FSC-klagomål mail.docx", "A 30302-2025")</f>
        <v/>
      </c>
      <c r="AC89">
        <f>HYPERLINK("https://klasma.github.io/Logging_2180/tillsyn/A 30302-2025 tillsynsbegäran.docx", "A 30302-2025")</f>
        <v/>
      </c>
      <c r="AD89">
        <f>HYPERLINK("https://klasma.github.io/Logging_2180/tillsynsmail/A 30302-2025 tillsynsbegäran mail.docx", "A 30302-2025")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46268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45241-2022 artfynd.xlsx", "A 45241-2022")</f>
        <v/>
      </c>
      <c r="X90">
        <f>HYPERLINK("https://klasma.github.io/Logging_2180/kartor/A 45241-2022 karta.png", "A 45241-2022")</f>
        <v/>
      </c>
      <c r="Y90">
        <f>HYPERLINK("https://klasma.github.io/Logging_2180/kartor_geotiff/A 45241-2022 georefererad karta.tif", "A 45241-2022")</f>
        <v/>
      </c>
      <c r="AA90">
        <f>HYPERLINK("https://klasma.github.io/Logging_2180/klagomål/A 45241-2022 FSC-klagomål.docx", "A 45241-2022")</f>
        <v/>
      </c>
      <c r="AB90">
        <f>HYPERLINK("https://klasma.github.io/Logging_2180/klagomålsmail/A 45241-2022 FSC-klagomål mail.docx", "A 45241-2022")</f>
        <v/>
      </c>
      <c r="AC90">
        <f>HYPERLINK("https://klasma.github.io/Logging_2180/tillsyn/A 45241-2022 tillsynsbegäran.docx", "A 45241-2022")</f>
        <v/>
      </c>
      <c r="AD90">
        <f>HYPERLINK("https://klasma.github.io/Logging_2180/tillsynsmail/A 45241-2022 tillsynsbegäran mail.docx", "A 45241-2022")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46268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11411-2025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46268</v>
      </c>
      <c r="F92" t="inlineStr">
        <is>
          <t>GÄVLEBORGS LÄN</t>
        </is>
      </c>
      <c r="G92" t="inlineStr">
        <is>
          <t>GÄVLE</t>
        </is>
      </c>
      <c r="I92" t="n">
        <v>2.4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HYPERLINK("https://klasma.github.io/Logging_2180/artfynd/A 11411-2025 artfynd.xlsx", "A 11411-2025")</f>
        <v/>
      </c>
      <c r="X92">
        <f>HYPERLINK("https://klasma.github.io/Logging_2180/kartor/A 11411-2025 karta.png", "A 11411-2025")</f>
        <v/>
      </c>
      <c r="Y92">
        <f>HYPERLINK("https://klasma.github.io/Logging_2180/kartor_geotiff/A 11411-2025 georefererad karta.tif", "A 11411-2025")</f>
        <v/>
      </c>
      <c r="AA92">
        <f>HYPERLINK("https://klasma.github.io/Logging_2180/klagomål/A 11411-2025 FSC-klagomål.docx", "A 11411-2025")</f>
        <v/>
      </c>
      <c r="AB92">
        <f>HYPERLINK("https://klasma.github.io/Logging_2180/klagomålsmail/A 11411-2025 FSC-klagomål mail.docx", "A 11411-2025")</f>
        <v/>
      </c>
      <c r="AC92">
        <f>HYPERLINK("https://klasma.github.io/Logging_2180/tillsyn/A 11411-2025 tillsynsbegäran.docx", "A 11411-2025")</f>
        <v/>
      </c>
      <c r="AD92">
        <f>HYPERLINK("https://klasma.github.io/Logging_2180/tillsynsmail/A 11411-2025 tillsynsbegäran mail.docx", "A 11411-2025")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46268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46268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46268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46268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46268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50052-2025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46268</v>
      </c>
      <c r="F98" t="inlineStr">
        <is>
          <t>GÄVLEBORGS LÄN</t>
        </is>
      </c>
      <c r="G98" t="inlineStr">
        <is>
          <t>GÄVLE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Mosippa</t>
        </is>
      </c>
      <c r="W98">
        <f>HYPERLINK("https://klasma.github.io/Logging_2180/artfynd/A 50052-2025 artfynd.xlsx", "A 50052-2025")</f>
        <v/>
      </c>
      <c r="X98">
        <f>HYPERLINK("https://klasma.github.io/Logging_2180/kartor/A 50052-2025 karta.png", "A 50052-2025")</f>
        <v/>
      </c>
      <c r="Y98">
        <f>HYPERLINK("https://klasma.github.io/Logging_2180/kartor_geotiff/A 50052-2025 georefererad karta.tif", "A 50052-2025")</f>
        <v/>
      </c>
      <c r="AA98">
        <f>HYPERLINK("https://klasma.github.io/Logging_2180/klagomål/A 50052-2025 FSC-klagomål.docx", "A 50052-2025")</f>
        <v/>
      </c>
      <c r="AB98">
        <f>HYPERLINK("https://klasma.github.io/Logging_2180/klagomålsmail/A 50052-2025 FSC-klagomål mail.docx", "A 50052-2025")</f>
        <v/>
      </c>
      <c r="AC98">
        <f>HYPERLINK("https://klasma.github.io/Logging_2180/tillsyn/A 50052-2025 tillsynsbegäran.docx", "A 50052-2025")</f>
        <v/>
      </c>
      <c r="AD98">
        <f>HYPERLINK("https://klasma.github.io/Logging_2180/tillsynsmail/A 50052-2025 tillsynsbegäran mail.docx", "A 50052-2025")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46268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17251-2026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46268</v>
      </c>
      <c r="F100" t="inlineStr">
        <is>
          <t>GÄVLEBORGS LÄN</t>
        </is>
      </c>
      <c r="G100" t="inlineStr">
        <is>
          <t>GÄVLE</t>
        </is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HYPERLINK("https://klasma.github.io/Logging_2180/artfynd/A 17251-2026 artfynd.xlsx", "A 17251-2026")</f>
        <v/>
      </c>
      <c r="X100">
        <f>HYPERLINK("https://klasma.github.io/Logging_2180/kartor/A 17251-2026 karta.png", "A 17251-2026")</f>
        <v/>
      </c>
      <c r="Y100">
        <f>HYPERLINK("https://klasma.github.io/Logging_2180/kartor_geotiff/A 17251-2026 georefererad karta.tif", "A 17251-2026")</f>
        <v/>
      </c>
      <c r="AA100">
        <f>HYPERLINK("https://klasma.github.io/Logging_2180/klagomål/A 17251-2026 FSC-klagomål.docx", "A 17251-2026")</f>
        <v/>
      </c>
      <c r="AB100">
        <f>HYPERLINK("https://klasma.github.io/Logging_2180/klagomålsmail/A 17251-2026 FSC-klagomål mail.docx", "A 17251-2026")</f>
        <v/>
      </c>
      <c r="AC100">
        <f>HYPERLINK("https://klasma.github.io/Logging_2180/tillsyn/A 17251-2026 tillsynsbegäran.docx", "A 17251-2026")</f>
        <v/>
      </c>
      <c r="AD100">
        <f>HYPERLINK("https://klasma.github.io/Logging_2180/tillsynsmail/A 17251-2026 tillsynsbegäran mail.docx", "A 17251-2026")</f>
        <v/>
      </c>
    </row>
    <row r="101" ht="15" customHeight="1">
      <c r="A101" t="inlineStr">
        <is>
          <t>A 51508-2024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46268</v>
      </c>
      <c r="F101" t="inlineStr">
        <is>
          <t>GÄVLEBORGS LÄN</t>
        </is>
      </c>
      <c r="G101" t="inlineStr">
        <is>
          <t>GÄVLE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Tibast</t>
        </is>
      </c>
      <c r="W101">
        <f>HYPERLINK("https://klasma.github.io/Logging_2180/artfynd/A 51508-2024 artfynd.xlsx", "A 51508-2024")</f>
        <v/>
      </c>
      <c r="X101">
        <f>HYPERLINK("https://klasma.github.io/Logging_2180/kartor/A 51508-2024 karta.png", "A 51508-2024")</f>
        <v/>
      </c>
      <c r="Y101">
        <f>HYPERLINK("https://klasma.github.io/Logging_2180/kartor_geotiff/A 51508-2024 georefererad karta.tif", "A 51508-2024")</f>
        <v/>
      </c>
      <c r="AA101">
        <f>HYPERLINK("https://klasma.github.io/Logging_2180/klagomål/A 51508-2024 FSC-klagomål.docx", "A 51508-2024")</f>
        <v/>
      </c>
      <c r="AB101">
        <f>HYPERLINK("https://klasma.github.io/Logging_2180/klagomålsmail/A 51508-2024 FSC-klagomål mail.docx", "A 51508-2024")</f>
        <v/>
      </c>
      <c r="AC101">
        <f>HYPERLINK("https://klasma.github.io/Logging_2180/tillsyn/A 51508-2024 tillsynsbegäran.docx", "A 51508-2024")</f>
        <v/>
      </c>
      <c r="AD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19635-2026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46268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Skinnlav</t>
        </is>
      </c>
      <c r="W102">
        <f>HYPERLINK("https://klasma.github.io/Logging_2180/artfynd/A 19635-2026 artfynd.xlsx", "A 19635-2026")</f>
        <v/>
      </c>
      <c r="X102">
        <f>HYPERLINK("https://klasma.github.io/Logging_2180/kartor/A 19635-2026 karta.png", "A 19635-2026")</f>
        <v/>
      </c>
      <c r="Y102">
        <f>HYPERLINK("https://klasma.github.io/Logging_2180/kartor_geotiff/A 19635-2026 georefererad karta.tif", "A 19635-2026")</f>
        <v/>
      </c>
      <c r="AA102">
        <f>HYPERLINK("https://klasma.github.io/Logging_2180/klagomål/A 19635-2026 FSC-klagomål.docx", "A 19635-2026")</f>
        <v/>
      </c>
      <c r="AB102">
        <f>HYPERLINK("https://klasma.github.io/Logging_2180/klagomålsmail/A 19635-2026 FSC-klagomål mail.docx", "A 19635-2026")</f>
        <v/>
      </c>
      <c r="AC102">
        <f>HYPERLINK("https://klasma.github.io/Logging_2180/tillsyn/A 19635-2026 tillsynsbegäran.docx", "A 19635-2026")</f>
        <v/>
      </c>
      <c r="AD102">
        <f>HYPERLINK("https://klasma.github.io/Logging_2180/tillsynsmail/A 19635-2026 tillsynsbegäran mail.docx", "A 19635-2026")</f>
        <v/>
      </c>
    </row>
    <row r="103" ht="15" customHeight="1">
      <c r="A103" t="inlineStr">
        <is>
          <t>A 12437-2024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46268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HYPERLINK("https://klasma.github.io/Logging_2180/artfynd/A 12437-2024 artfynd.xlsx", "A 12437-2024")</f>
        <v/>
      </c>
      <c r="X103">
        <f>HYPERLINK("https://klasma.github.io/Logging_2180/kartor/A 12437-2024 karta.png", "A 12437-2024")</f>
        <v/>
      </c>
      <c r="Y103">
        <f>HYPERLINK("https://klasma.github.io/Logging_2180/kartor_geotiff/A 12437-2024 georefererad karta.tif", "A 12437-2024")</f>
        <v/>
      </c>
      <c r="AA103">
        <f>HYPERLINK("https://klasma.github.io/Logging_2180/klagomål/A 12437-2024 FSC-klagomål.docx", "A 12437-2024")</f>
        <v/>
      </c>
      <c r="AB103">
        <f>HYPERLINK("https://klasma.github.io/Logging_2180/klagomålsmail/A 12437-2024 FSC-klagomål mail.docx", "A 12437-2024")</f>
        <v/>
      </c>
      <c r="AC103">
        <f>HYPERLINK("https://klasma.github.io/Logging_2180/tillsyn/A 12437-2024 tillsynsbegäran.docx", "A 12437-2024")</f>
        <v/>
      </c>
      <c r="AD103">
        <f>HYPERLINK("https://klasma.github.io/Logging_2180/tillsynsmail/A 12437-2024 tillsynsbegäran mail.docx", "A 12437-2024")</f>
        <v/>
      </c>
    </row>
    <row r="104" ht="15" customHeight="1">
      <c r="A104" t="inlineStr">
        <is>
          <t>A 10333-2025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46268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Tjäder</t>
        </is>
      </c>
      <c r="W104">
        <f>HYPERLINK("https://klasma.github.io/Logging_2180/artfynd/A 10333-2025 artfynd.xlsx", "A 10333-2025")</f>
        <v/>
      </c>
      <c r="X104">
        <f>HYPERLINK("https://klasma.github.io/Logging_2180/kartor/A 10333-2025 karta.png", "A 10333-2025")</f>
        <v/>
      </c>
      <c r="Y104">
        <f>HYPERLINK("https://klasma.github.io/Logging_2180/kartor_geotiff/A 10333-2025 georefererad karta.tif", "A 10333-2025")</f>
        <v/>
      </c>
      <c r="AA104">
        <f>HYPERLINK("https://klasma.github.io/Logging_2180/klagomål/A 10333-2025 FSC-klagomål.docx", "A 10333-2025")</f>
        <v/>
      </c>
      <c r="AB104">
        <f>HYPERLINK("https://klasma.github.io/Logging_2180/klagomålsmail/A 10333-2025 FSC-klagomål mail.docx", "A 10333-2025")</f>
        <v/>
      </c>
      <c r="AC104">
        <f>HYPERLINK("https://klasma.github.io/Logging_2180/tillsyn/A 10333-2025 tillsynsbegäran.docx", "A 10333-2025")</f>
        <v/>
      </c>
      <c r="AD104">
        <f>HYPERLINK("https://klasma.github.io/Logging_2180/tillsynsmail/A 10333-2025 tillsynsbegäran mail.docx", "A 10333-2025")</f>
        <v/>
      </c>
      <c r="AE104">
        <f>HYPERLINK("https://klasma.github.io/Logging_2180/fåglar/A 10333-2025 prioriterade fågelarter.docx", "A 10333-2025")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46268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14730-2026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46268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14730-2026 artfynd.xlsx", "A 14730-2026")</f>
        <v/>
      </c>
      <c r="X106">
        <f>HYPERLINK("https://klasma.github.io/Logging_2180/kartor/A 14730-2026 karta.png", "A 14730-2026")</f>
        <v/>
      </c>
      <c r="Y106">
        <f>HYPERLINK("https://klasma.github.io/Logging_2180/kartor_geotiff/A 14730-2026 georefererad karta.tif", "A 14730-2026")</f>
        <v/>
      </c>
      <c r="AA106">
        <f>HYPERLINK("https://klasma.github.io/Logging_2180/klagomål/A 14730-2026 FSC-klagomål.docx", "A 14730-2026")</f>
        <v/>
      </c>
      <c r="AB106">
        <f>HYPERLINK("https://klasma.github.io/Logging_2180/klagomålsmail/A 14730-2026 FSC-klagomål mail.docx", "A 14730-2026")</f>
        <v/>
      </c>
      <c r="AC106">
        <f>HYPERLINK("https://klasma.github.io/Logging_2180/tillsyn/A 14730-2026 tillsynsbegäran.docx", "A 14730-2026")</f>
        <v/>
      </c>
      <c r="AD106">
        <f>HYPERLINK("https://klasma.github.io/Logging_2180/tillsynsmail/A 14730-2026 tillsynsbegäran mail.docx", "A 14730-2026")</f>
        <v/>
      </c>
      <c r="AE106">
        <f>HYPERLINK("https://klasma.github.io/Logging_2180/fåglar/A 14730-2026 prioriterade fågelarter.docx", "A 14730-2026")</f>
        <v/>
      </c>
    </row>
    <row r="107" ht="15" customHeight="1">
      <c r="A107" t="inlineStr">
        <is>
          <t>A 14714-2026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46268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Tjäder</t>
        </is>
      </c>
      <c r="W107">
        <f>HYPERLINK("https://klasma.github.io/Logging_2180/artfynd/A 14714-2026 artfynd.xlsx", "A 14714-2026")</f>
        <v/>
      </c>
      <c r="X107">
        <f>HYPERLINK("https://klasma.github.io/Logging_2180/kartor/A 14714-2026 karta.png", "A 14714-2026")</f>
        <v/>
      </c>
      <c r="Y107">
        <f>HYPERLINK("https://klasma.github.io/Logging_2180/kartor_geotiff/A 14714-2026 georefererad karta.tif", "A 14714-2026")</f>
        <v/>
      </c>
      <c r="AA107">
        <f>HYPERLINK("https://klasma.github.io/Logging_2180/klagomål/A 14714-2026 FSC-klagomål.docx", "A 14714-2026")</f>
        <v/>
      </c>
      <c r="AB107">
        <f>HYPERLINK("https://klasma.github.io/Logging_2180/klagomålsmail/A 14714-2026 FSC-klagomål mail.docx", "A 14714-2026")</f>
        <v/>
      </c>
      <c r="AC107">
        <f>HYPERLINK("https://klasma.github.io/Logging_2180/tillsyn/A 14714-2026 tillsynsbegäran.docx", "A 14714-2026")</f>
        <v/>
      </c>
      <c r="AD107">
        <f>HYPERLINK("https://klasma.github.io/Logging_2180/tillsynsmail/A 14714-2026 tillsynsbegäran mail.docx", "A 14714-2026")</f>
        <v/>
      </c>
      <c r="AE107">
        <f>HYPERLINK("https://klasma.github.io/Logging_2180/fåglar/A 14714-2026 prioriterade fågelarter.docx", "A 14714-2026")</f>
        <v/>
      </c>
    </row>
    <row r="108" ht="15" customHeight="1">
      <c r="A108" t="inlineStr">
        <is>
          <t>A 14711-2026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46268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Blanksvart spiklav</t>
        </is>
      </c>
      <c r="W108">
        <f>HYPERLINK("https://klasma.github.io/Logging_2180/artfynd/A 14711-2026 artfynd.xlsx", "A 14711-2026")</f>
        <v/>
      </c>
      <c r="X108">
        <f>HYPERLINK("https://klasma.github.io/Logging_2180/kartor/A 14711-2026 karta.png", "A 14711-2026")</f>
        <v/>
      </c>
      <c r="Y108">
        <f>HYPERLINK("https://klasma.github.io/Logging_2180/kartor_geotiff/A 14711-2026 georefererad karta.tif", "A 14711-2026")</f>
        <v/>
      </c>
      <c r="AA108">
        <f>HYPERLINK("https://klasma.github.io/Logging_2180/klagomål/A 14711-2026 FSC-klagomål.docx", "A 14711-2026")</f>
        <v/>
      </c>
      <c r="AB108">
        <f>HYPERLINK("https://klasma.github.io/Logging_2180/klagomålsmail/A 14711-2026 FSC-klagomål mail.docx", "A 14711-2026")</f>
        <v/>
      </c>
      <c r="AC108">
        <f>HYPERLINK("https://klasma.github.io/Logging_2180/tillsyn/A 14711-2026 tillsynsbegäran.docx", "A 14711-2026")</f>
        <v/>
      </c>
      <c r="AD108">
        <f>HYPERLINK("https://klasma.github.io/Logging_2180/tillsynsmail/A 14711-2026 tillsynsbegäran mail.docx", "A 14711-2026")</f>
        <v/>
      </c>
    </row>
    <row r="109" ht="15" customHeight="1">
      <c r="A109" t="inlineStr">
        <is>
          <t>A 10064-2025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46268</v>
      </c>
      <c r="F109" t="inlineStr">
        <is>
          <t>GÄVLEBORGS LÄN</t>
        </is>
      </c>
      <c r="G109" t="inlineStr">
        <is>
          <t>GÄVLE</t>
        </is>
      </c>
      <c r="I109" t="n">
        <v>4.6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HYPERLINK("https://klasma.github.io/Logging_2180/artfynd/A 10064-2025 artfynd.xlsx", "A 10064-2025")</f>
        <v/>
      </c>
      <c r="X109">
        <f>HYPERLINK("https://klasma.github.io/Logging_2180/kartor/A 10064-2025 karta.png", "A 10064-2025")</f>
        <v/>
      </c>
      <c r="Y109">
        <f>HYPERLINK("https://klasma.github.io/Logging_2180/kartor_geotiff/A 10064-2025 georefererad karta.tif", "A 10064-2025")</f>
        <v/>
      </c>
      <c r="AA109">
        <f>HYPERLINK("https://klasma.github.io/Logging_2180/klagomål/A 10064-2025 FSC-klagomål.docx", "A 10064-2025")</f>
        <v/>
      </c>
      <c r="AB109">
        <f>HYPERLINK("https://klasma.github.io/Logging_2180/klagomålsmail/A 10064-2025 FSC-klagomål mail.docx", "A 10064-2025")</f>
        <v/>
      </c>
      <c r="AC109">
        <f>HYPERLINK("https://klasma.github.io/Logging_2180/tillsyn/A 10064-2025 tillsynsbegäran.docx", "A 10064-2025")</f>
        <v/>
      </c>
      <c r="AD109">
        <f>HYPERLINK("https://klasma.github.io/Logging_2180/tillsynsmail/A 10064-2025 tillsynsbegäran mail.docx", "A 10064-2025")</f>
        <v/>
      </c>
    </row>
    <row r="110" ht="15" customHeight="1">
      <c r="A110" t="inlineStr">
        <is>
          <t>A 20734-2026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46268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20734-2026 artfynd.xlsx", "A 20734-2026")</f>
        <v/>
      </c>
      <c r="X110">
        <f>HYPERLINK("https://klasma.github.io/Logging_2180/kartor/A 20734-2026 karta.png", "A 20734-2026")</f>
        <v/>
      </c>
      <c r="Y110">
        <f>HYPERLINK("https://klasma.github.io/Logging_2180/kartor_geotiff/A 20734-2026 georefererad karta.tif", "A 20734-2026")</f>
        <v/>
      </c>
      <c r="AA110">
        <f>HYPERLINK("https://klasma.github.io/Logging_2180/klagomål/A 20734-2026 FSC-klagomål.docx", "A 20734-2026")</f>
        <v/>
      </c>
      <c r="AB110">
        <f>HYPERLINK("https://klasma.github.io/Logging_2180/klagomålsmail/A 20734-2026 FSC-klagomål mail.docx", "A 20734-2026")</f>
        <v/>
      </c>
      <c r="AC110">
        <f>HYPERLINK("https://klasma.github.io/Logging_2180/tillsyn/A 20734-2026 tillsynsbegäran.docx", "A 20734-2026")</f>
        <v/>
      </c>
      <c r="AD110">
        <f>HYPERLINK("https://klasma.github.io/Logging_2180/tillsynsmail/A 20734-2026 tillsynsbegäran mail.docx", "A 20734-2026")</f>
        <v/>
      </c>
    </row>
    <row r="111" ht="15" customHeight="1">
      <c r="A111" t="inlineStr">
        <is>
          <t>A 12381-2023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44999</v>
      </c>
      <c r="E111" s="1" t="n">
        <v>46268</v>
      </c>
      <c r="F111" t="inlineStr">
        <is>
          <t>GÄVLEBORGS LÄN</t>
        </is>
      </c>
      <c r="G111" t="inlineStr">
        <is>
          <t>GÄVLE</t>
        </is>
      </c>
      <c r="I111" t="n">
        <v>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Brunlångöra</t>
        </is>
      </c>
      <c r="W111">
        <f>HYPERLINK("https://klasma.github.io/Logging_2180/artfynd/A 12381-2023 artfynd.xlsx", "A 12381-2023")</f>
        <v/>
      </c>
      <c r="X111">
        <f>HYPERLINK("https://klasma.github.io/Logging_2180/kartor/A 12381-2023 karta.png", "A 12381-2023")</f>
        <v/>
      </c>
      <c r="Y111">
        <f>HYPERLINK("https://klasma.github.io/Logging_2180/kartor_geotiff/A 12381-2023 georefererad karta.tif", "A 12381-2023")</f>
        <v/>
      </c>
      <c r="AA111">
        <f>HYPERLINK("https://klasma.github.io/Logging_2180/klagomål/A 12381-2023 FSC-klagomål.docx", "A 12381-2023")</f>
        <v/>
      </c>
      <c r="AB111">
        <f>HYPERLINK("https://klasma.github.io/Logging_2180/klagomålsmail/A 12381-2023 FSC-klagomål mail.docx", "A 12381-2023")</f>
        <v/>
      </c>
      <c r="AC111">
        <f>HYPERLINK("https://klasma.github.io/Logging_2180/tillsyn/A 12381-2023 tillsynsbegäran.docx", "A 12381-2023")</f>
        <v/>
      </c>
      <c r="AD111">
        <f>HYPERLINK("https://klasma.github.io/Logging_2180/tillsynsmail/A 12381-2023 tillsynsbegäran mail.docx", "A 12381-2023")</f>
        <v/>
      </c>
    </row>
    <row r="112" ht="15" customHeight="1">
      <c r="A112" t="inlineStr">
        <is>
          <t>A 21282-2024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46268</v>
      </c>
      <c r="F112" t="inlineStr">
        <is>
          <t>GÄVLEBORGS LÄN</t>
        </is>
      </c>
      <c r="G112" t="inlineStr">
        <is>
          <t>GÄVLE</t>
        </is>
      </c>
      <c r="I112" t="n">
        <v>7.4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1</v>
      </c>
      <c r="V112" s="2" t="inlineStr">
        <is>
          <t>Skogsklocka</t>
        </is>
      </c>
      <c r="W112">
        <f>HYPERLINK("https://klasma.github.io/Logging_2180/artfynd/A 21282-2024 artfynd.xlsx", "A 21282-2024")</f>
        <v/>
      </c>
      <c r="X112">
        <f>HYPERLINK("https://klasma.github.io/Logging_2180/kartor/A 21282-2024 karta.png", "A 21282-2024")</f>
        <v/>
      </c>
      <c r="Y112">
        <f>HYPERLINK("https://klasma.github.io/Logging_2180/kartor_geotiff/A 21282-2024 georefererad karta.tif", "A 21282-2024")</f>
        <v/>
      </c>
      <c r="AA112">
        <f>HYPERLINK("https://klasma.github.io/Logging_2180/klagomål/A 21282-2024 FSC-klagomål.docx", "A 21282-2024")</f>
        <v/>
      </c>
      <c r="AB112">
        <f>HYPERLINK("https://klasma.github.io/Logging_2180/klagomålsmail/A 21282-2024 FSC-klagomål mail.docx", "A 21282-2024")</f>
        <v/>
      </c>
      <c r="AC112">
        <f>HYPERLINK("https://klasma.github.io/Logging_2180/tillsyn/A 21282-2024 tillsynsbegäran.docx", "A 21282-2024")</f>
        <v/>
      </c>
      <c r="AD112">
        <f>HYPERLINK("https://klasma.github.io/Logging_2180/tillsynsmail/A 21282-2024 tillsynsbegäran mail.docx", "A 21282-2024")</f>
        <v/>
      </c>
    </row>
    <row r="113" ht="15" customHeight="1">
      <c r="A113" t="inlineStr">
        <is>
          <t>A 14703-2026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46268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14703-2026 artfynd.xlsx", "A 14703-2026")</f>
        <v/>
      </c>
      <c r="X113">
        <f>HYPERLINK("https://klasma.github.io/Logging_2180/kartor/A 14703-2026 karta.png", "A 14703-2026")</f>
        <v/>
      </c>
      <c r="Y113">
        <f>HYPERLINK("https://klasma.github.io/Logging_2180/kartor_geotiff/A 14703-2026 georefererad karta.tif", "A 14703-2026")</f>
        <v/>
      </c>
      <c r="AA113">
        <f>HYPERLINK("https://klasma.github.io/Logging_2180/klagomål/A 14703-2026 FSC-klagomål.docx", "A 14703-2026")</f>
        <v/>
      </c>
      <c r="AB113">
        <f>HYPERLINK("https://klasma.github.io/Logging_2180/klagomålsmail/A 14703-2026 FSC-klagomål mail.docx", "A 14703-2026")</f>
        <v/>
      </c>
      <c r="AC113">
        <f>HYPERLINK("https://klasma.github.io/Logging_2180/tillsyn/A 14703-2026 tillsynsbegäran.docx", "A 14703-2026")</f>
        <v/>
      </c>
      <c r="AD113">
        <f>HYPERLINK("https://klasma.github.io/Logging_2180/tillsynsmail/A 14703-2026 tillsynsbegäran mail.docx", "A 14703-2026")</f>
        <v/>
      </c>
      <c r="AE113">
        <f>HYPERLINK("https://klasma.github.io/Logging_2180/fåglar/A 14703-2026 prioriterade fågelarter.docx", "A 14703-2026")</f>
        <v/>
      </c>
    </row>
    <row r="114" ht="15" customHeight="1">
      <c r="A114" t="inlineStr">
        <is>
          <t>A 57932-2024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45631</v>
      </c>
      <c r="E114" s="1" t="n">
        <v>46268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48.7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HYPERLINK("https://klasma.github.io/Logging_2180/artfynd/A 57932-2024 artfynd.xlsx", "A 57932-2024")</f>
        <v/>
      </c>
      <c r="X114">
        <f>HYPERLINK("https://klasma.github.io/Logging_2180/kartor/A 57932-2024 karta.png", "A 57932-2024")</f>
        <v/>
      </c>
      <c r="Y114">
        <f>HYPERLINK("https://klasma.github.io/Logging_2180/kartor_geotiff/A 57932-2024 georefererad karta.tif", "A 57932-2024")</f>
        <v/>
      </c>
      <c r="AA114">
        <f>HYPERLINK("https://klasma.github.io/Logging_2180/klagomål/A 57932-2024 FSC-klagomål.docx", "A 57932-2024")</f>
        <v/>
      </c>
      <c r="AB114">
        <f>HYPERLINK("https://klasma.github.io/Logging_2180/klagomålsmail/A 57932-2024 FSC-klagomål mail.docx", "A 57932-2024")</f>
        <v/>
      </c>
      <c r="AC114">
        <f>HYPERLINK("https://klasma.github.io/Logging_2180/tillsyn/A 57932-2024 tillsynsbegäran.docx", "A 57932-2024")</f>
        <v/>
      </c>
      <c r="AD114">
        <f>HYPERLINK("https://klasma.github.io/Logging_2180/tillsynsmail/A 57932-2024 tillsynsbegäran mail.docx", "A 57932-2024")</f>
        <v/>
      </c>
      <c r="AE114">
        <f>HYPERLINK("https://klasma.github.io/Logging_2180/fåglar/A 57932-2024 prioriterade fågelarter.docx", "A 57932-2024")</f>
        <v/>
      </c>
    </row>
    <row r="115" ht="15" customHeight="1">
      <c r="A115" t="inlineStr">
        <is>
          <t>A 13269-2026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46268</v>
      </c>
      <c r="F115" t="inlineStr">
        <is>
          <t>GÄVLEBORGS LÄN</t>
        </is>
      </c>
      <c r="G115" t="inlineStr">
        <is>
          <t>GÄVLE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HYPERLINK("https://klasma.github.io/Logging_2180/artfynd/A 13269-2026 artfynd.xlsx", "A 13269-2026")</f>
        <v/>
      </c>
      <c r="X115">
        <f>HYPERLINK("https://klasma.github.io/Logging_2180/kartor/A 13269-2026 karta.png", "A 13269-2026")</f>
        <v/>
      </c>
      <c r="Y115">
        <f>HYPERLINK("https://klasma.github.io/Logging_2180/kartor_geotiff/A 13269-2026 georefererad karta.tif", "A 13269-2026")</f>
        <v/>
      </c>
      <c r="AA115">
        <f>HYPERLINK("https://klasma.github.io/Logging_2180/klagomål/A 13269-2026 FSC-klagomål.docx", "A 13269-2026")</f>
        <v/>
      </c>
      <c r="AB115">
        <f>HYPERLINK("https://klasma.github.io/Logging_2180/klagomålsmail/A 13269-2026 FSC-klagomål mail.docx", "A 13269-2026")</f>
        <v/>
      </c>
      <c r="AC115">
        <f>HYPERLINK("https://klasma.github.io/Logging_2180/tillsyn/A 13269-2026 tillsynsbegäran.docx", "A 13269-2026")</f>
        <v/>
      </c>
      <c r="AD115">
        <f>HYPERLINK("https://klasma.github.io/Logging_2180/tillsynsmail/A 13269-2026 tillsynsbegäran mail.docx", "A 13269-2026")</f>
        <v/>
      </c>
      <c r="AE115">
        <f>HYPERLINK("https://klasma.github.io/Logging_2180/fåglar/A 13269-2026 prioriterade fågelarter.docx", "A 13269-2026")</f>
        <v/>
      </c>
    </row>
    <row r="116" ht="15" customHeight="1">
      <c r="A116" t="inlineStr">
        <is>
          <t>A 22052-2026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46268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22052-2026 artfynd.xlsx", "A 22052-2026")</f>
        <v/>
      </c>
      <c r="X116">
        <f>HYPERLINK("https://klasma.github.io/Logging_2180/kartor/A 22052-2026 karta.png", "A 22052-2026")</f>
        <v/>
      </c>
      <c r="Y116">
        <f>HYPERLINK("https://klasma.github.io/Logging_2180/kartor_geotiff/A 22052-2026 georefererad karta.tif", "A 22052-2026")</f>
        <v/>
      </c>
      <c r="AA116">
        <f>HYPERLINK("https://klasma.github.io/Logging_2180/klagomål/A 22052-2026 FSC-klagomål.docx", "A 22052-2026")</f>
        <v/>
      </c>
      <c r="AB116">
        <f>HYPERLINK("https://klasma.github.io/Logging_2180/klagomålsmail/A 22052-2026 FSC-klagomål mail.docx", "A 22052-2026")</f>
        <v/>
      </c>
      <c r="AC116">
        <f>HYPERLINK("https://klasma.github.io/Logging_2180/tillsyn/A 22052-2026 tillsynsbegäran.docx", "A 22052-2026")</f>
        <v/>
      </c>
      <c r="AD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22892-2026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46268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22892-2026 artfynd.xlsx", "A 22892-2026")</f>
        <v/>
      </c>
      <c r="X117">
        <f>HYPERLINK("https://klasma.github.io/Logging_2180/kartor/A 22892-2026 karta.png", "A 22892-2026")</f>
        <v/>
      </c>
      <c r="Y117">
        <f>HYPERLINK("https://klasma.github.io/Logging_2180/kartor_geotiff/A 22892-2026 georefererad karta.tif", "A 22892-2026")</f>
        <v/>
      </c>
      <c r="AA117">
        <f>HYPERLINK("https://klasma.github.io/Logging_2180/klagomål/A 22892-2026 FSC-klagomål.docx", "A 22892-2026")</f>
        <v/>
      </c>
      <c r="AB117">
        <f>HYPERLINK("https://klasma.github.io/Logging_2180/klagomålsmail/A 22892-2026 FSC-klagomål mail.docx", "A 22892-2026")</f>
        <v/>
      </c>
      <c r="AC117">
        <f>HYPERLINK("https://klasma.github.io/Logging_2180/tillsyn/A 22892-2026 tillsynsbegäran.docx", "A 22892-2026")</f>
        <v/>
      </c>
      <c r="AD117">
        <f>HYPERLINK("https://klasma.github.io/Logging_2180/tillsynsmail/A 22892-2026 tillsynsbegäran mail.docx", "A 22892-2026")</f>
        <v/>
      </c>
      <c r="AE117">
        <f>HYPERLINK("https://klasma.github.io/Logging_2180/fåglar/A 22892-2026 prioriterade fågelarter.docx", "A 22892-2026")</f>
        <v/>
      </c>
    </row>
    <row r="118" ht="15" customHeight="1">
      <c r="A118" t="inlineStr">
        <is>
          <t>A 23003-2026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46160</v>
      </c>
      <c r="E118" s="1" t="n">
        <v>46268</v>
      </c>
      <c r="F118" t="inlineStr">
        <is>
          <t>GÄVLEBORGS LÄN</t>
        </is>
      </c>
      <c r="G118" t="inlineStr">
        <is>
          <t>GÄVLE</t>
        </is>
      </c>
      <c r="I118" t="n">
        <v>12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Tjäder</t>
        </is>
      </c>
      <c r="W118">
        <f>HYPERLINK("https://klasma.github.io/Logging_2180/artfynd/A 23003-2026 artfynd.xlsx", "A 23003-2026")</f>
        <v/>
      </c>
      <c r="X118">
        <f>HYPERLINK("https://klasma.github.io/Logging_2180/kartor/A 23003-2026 karta.png", "A 23003-2026")</f>
        <v/>
      </c>
      <c r="Y118">
        <f>HYPERLINK("https://klasma.github.io/Logging_2180/kartor_geotiff/A 23003-2026 georefererad karta.tif", "A 23003-2026")</f>
        <v/>
      </c>
      <c r="AA118">
        <f>HYPERLINK("https://klasma.github.io/Logging_2180/klagomål/A 23003-2026 FSC-klagomål.docx", "A 23003-2026")</f>
        <v/>
      </c>
      <c r="AB118">
        <f>HYPERLINK("https://klasma.github.io/Logging_2180/klagomålsmail/A 23003-2026 FSC-klagomål mail.docx", "A 23003-2026")</f>
        <v/>
      </c>
      <c r="AC118">
        <f>HYPERLINK("https://klasma.github.io/Logging_2180/tillsyn/A 23003-2026 tillsynsbegäran.docx", "A 23003-2026")</f>
        <v/>
      </c>
      <c r="AD118">
        <f>HYPERLINK("https://klasma.github.io/Logging_2180/tillsynsmail/A 23003-2026 tillsynsbegäran mail.docx", "A 23003-2026")</f>
        <v/>
      </c>
      <c r="AE118">
        <f>HYPERLINK("https://klasma.github.io/Logging_2180/fåglar/A 23003-2026 prioriterade fågelarter.docx", "A 23003-2026")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46268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46268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46268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11407-2025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46268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1.5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Myskmadra</t>
        </is>
      </c>
      <c r="W122">
        <f>HYPERLINK("https://klasma.github.io/Logging_2180/artfynd/A 11407-2025 artfynd.xlsx", "A 11407-2025")</f>
        <v/>
      </c>
      <c r="X122">
        <f>HYPERLINK("https://klasma.github.io/Logging_2180/kartor/A 11407-2025 karta.png", "A 11407-2025")</f>
        <v/>
      </c>
      <c r="Y122">
        <f>HYPERLINK("https://klasma.github.io/Logging_2180/kartor_geotiff/A 11407-2025 georefererad karta.tif", "A 11407-2025")</f>
        <v/>
      </c>
      <c r="AA122">
        <f>HYPERLINK("https://klasma.github.io/Logging_2180/klagomål/A 11407-2025 FSC-klagomål.docx", "A 11407-2025")</f>
        <v/>
      </c>
      <c r="AB122">
        <f>HYPERLINK("https://klasma.github.io/Logging_2180/klagomålsmail/A 11407-2025 FSC-klagomål mail.docx", "A 11407-2025")</f>
        <v/>
      </c>
      <c r="AC122">
        <f>HYPERLINK("https://klasma.github.io/Logging_2180/tillsyn/A 11407-2025 tillsynsbegäran.docx", "A 11407-2025")</f>
        <v/>
      </c>
      <c r="AD122">
        <f>HYPERLINK("https://klasma.github.io/Logging_2180/tillsynsmail/A 11407-2025 tillsynsbegäran mail.docx", "A 11407-2025")</f>
        <v/>
      </c>
    </row>
    <row r="123" ht="15" customHeight="1">
      <c r="A123" t="inlineStr">
        <is>
          <t>A 27043-2026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46268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27043-2026 artfynd.xlsx", "A 27043-2026")</f>
        <v/>
      </c>
      <c r="X123">
        <f>HYPERLINK("https://klasma.github.io/Logging_2180/kartor/A 27043-2026 karta.png", "A 27043-2026")</f>
        <v/>
      </c>
      <c r="Y123">
        <f>HYPERLINK("https://klasma.github.io/Logging_2180/kartor_geotiff/A 27043-2026 georefererad karta.tif", "A 27043-2026")</f>
        <v/>
      </c>
      <c r="AA123">
        <f>HYPERLINK("https://klasma.github.io/Logging_2180/klagomål/A 27043-2026 FSC-klagomål.docx", "A 27043-2026")</f>
        <v/>
      </c>
      <c r="AB123">
        <f>HYPERLINK("https://klasma.github.io/Logging_2180/klagomålsmail/A 27043-2026 FSC-klagomål mail.docx", "A 27043-2026")</f>
        <v/>
      </c>
      <c r="AC123">
        <f>HYPERLINK("https://klasma.github.io/Logging_2180/tillsyn/A 27043-2026 tillsynsbegäran.docx", "A 27043-2026")</f>
        <v/>
      </c>
      <c r="AD123">
        <f>HYPERLINK("https://klasma.github.io/Logging_2180/tillsynsmail/A 27043-2026 tillsynsbegäran mail.docx", "A 27043-2026")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46268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Fiskgjuse</t>
        </is>
      </c>
      <c r="W124">
        <f>HYPERLINK("https://klasma.github.io/Logging_2180/artfynd/A 28546-2026 artfynd.xlsx", "A 28546-2026")</f>
        <v/>
      </c>
      <c r="X124">
        <f>HYPERLINK("https://klasma.github.io/Logging_2180/kartor/A 28546-2026 karta.png", "A 28546-2026")</f>
        <v/>
      </c>
      <c r="Y124">
        <f>HYPERLINK("https://klasma.github.io/Logging_2180/kartor_geotiff/A 28546-2026 georefererad karta.tif", "A 28546-2026")</f>
        <v/>
      </c>
      <c r="AA124">
        <f>HYPERLINK("https://klasma.github.io/Logging_2180/klagomål/A 28546-2026 FSC-klagomål.docx", "A 28546-2026")</f>
        <v/>
      </c>
      <c r="AB124">
        <f>HYPERLINK("https://klasma.github.io/Logging_2180/klagomålsmail/A 28546-2026 FSC-klagomål mail.docx", "A 28546-2026")</f>
        <v/>
      </c>
      <c r="AC124">
        <f>HYPERLINK("https://klasma.github.io/Logging_2180/tillsyn/A 28546-2026 tillsynsbegäran.docx", "A 28546-2026")</f>
        <v/>
      </c>
      <c r="AD124">
        <f>HYPERLINK("https://klasma.github.io/Logging_2180/tillsynsmail/A 28546-2026 tillsynsbegäran mail.docx", "A 28546-2026")</f>
        <v/>
      </c>
      <c r="AE124">
        <f>HYPERLINK("https://klasma.github.io/Logging_2180/fåglar/A 28546-2026 prioriterade fågelarter.docx", "A 28546-2026")</f>
        <v/>
      </c>
    </row>
    <row r="125" ht="15" customHeight="1">
      <c r="A125" t="inlineStr">
        <is>
          <t>A 18216-2024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46268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Dofttaggsvamp</t>
        </is>
      </c>
      <c r="W125">
        <f>HYPERLINK("https://klasma.github.io/Logging_2180/artfynd/A 18216-2024 artfynd.xlsx", "A 18216-2024")</f>
        <v/>
      </c>
      <c r="X125">
        <f>HYPERLINK("https://klasma.github.io/Logging_2180/kartor/A 18216-2024 karta.png", "A 18216-2024")</f>
        <v/>
      </c>
      <c r="Y125">
        <f>HYPERLINK("https://klasma.github.io/Logging_2180/kartor_geotiff/A 18216-2024 georefererad karta.tif", "A 18216-2024")</f>
        <v/>
      </c>
      <c r="AA125">
        <f>HYPERLINK("https://klasma.github.io/Logging_2180/klagomål/A 18216-2024 FSC-klagomål.docx", "A 18216-2024")</f>
        <v/>
      </c>
      <c r="AB125">
        <f>HYPERLINK("https://klasma.github.io/Logging_2180/klagomålsmail/A 18216-2024 FSC-klagomål mail.docx", "A 18216-2024")</f>
        <v/>
      </c>
      <c r="AC125">
        <f>HYPERLINK("https://klasma.github.io/Logging_2180/tillsyn/A 18216-2024 tillsynsbegäran.docx", "A 18216-2024")</f>
        <v/>
      </c>
      <c r="AD125">
        <f>HYPERLINK("https://klasma.github.io/Logging_2180/tillsynsmail/A 18216-2024 tillsynsbegäran mail.docx", "A 18216-2024")</f>
        <v/>
      </c>
    </row>
    <row r="126" ht="15" customHeight="1">
      <c r="A126" t="inlineStr">
        <is>
          <t>A 33832-2026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46268</v>
      </c>
      <c r="F126" t="inlineStr">
        <is>
          <t>GÄVLEBORGS LÄN</t>
        </is>
      </c>
      <c r="G126" t="inlineStr">
        <is>
          <t>GÄVLE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HYPERLINK("https://klasma.github.io/Logging_2180/artfynd/A 33832-2026 artfynd.xlsx", "A 33832-2026")</f>
        <v/>
      </c>
      <c r="X126">
        <f>HYPERLINK("https://klasma.github.io/Logging_2180/kartor/A 33832-2026 karta.png", "A 33832-2026")</f>
        <v/>
      </c>
      <c r="Y126">
        <f>HYPERLINK("https://klasma.github.io/Logging_2180/kartor_geotiff/A 33832-2026 georefererad karta.tif", "A 33832-2026")</f>
        <v/>
      </c>
      <c r="AA126">
        <f>HYPERLINK("https://klasma.github.io/Logging_2180/klagomål/A 33832-2026 FSC-klagomål.docx", "A 33832-2026")</f>
        <v/>
      </c>
      <c r="AB126">
        <f>HYPERLINK("https://klasma.github.io/Logging_2180/klagomålsmail/A 33832-2026 FSC-klagomål mail.docx", "A 33832-2026")</f>
        <v/>
      </c>
      <c r="AC126">
        <f>HYPERLINK("https://klasma.github.io/Logging_2180/tillsyn/A 33832-2026 tillsynsbegäran.docx", "A 33832-2026")</f>
        <v/>
      </c>
      <c r="AD126">
        <f>HYPERLINK("https://klasma.github.io/Logging_2180/tillsynsmail/A 33832-2026 tillsynsbegäran mail.docx", "A 33832-2026")</f>
        <v/>
      </c>
    </row>
    <row r="127" ht="15" customHeight="1">
      <c r="A127" t="inlineStr">
        <is>
          <t>A 34086-2026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46252</v>
      </c>
      <c r="E127" s="1" t="n">
        <v>46268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6.1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Gullgröppa</t>
        </is>
      </c>
      <c r="W127">
        <f>HYPERLINK("https://klasma.github.io/Logging_2180/artfynd/A 34086-2026 artfynd.xlsx", "A 34086-2026")</f>
        <v/>
      </c>
      <c r="X127">
        <f>HYPERLINK("https://klasma.github.io/Logging_2180/kartor/A 34086-2026 karta.png", "A 34086-2026")</f>
        <v/>
      </c>
      <c r="Y127">
        <f>HYPERLINK("https://klasma.github.io/Logging_2180/kartor_geotiff/A 34086-2026 georefererad karta.tif", "A 34086-2026")</f>
        <v/>
      </c>
      <c r="AA127">
        <f>HYPERLINK("https://klasma.github.io/Logging_2180/klagomål/A 34086-2026 FSC-klagomål.docx", "A 34086-2026")</f>
        <v/>
      </c>
      <c r="AB127">
        <f>HYPERLINK("https://klasma.github.io/Logging_2180/klagomålsmail/A 34086-2026 FSC-klagomål mail.docx", "A 34086-2026")</f>
        <v/>
      </c>
      <c r="AC127">
        <f>HYPERLINK("https://klasma.github.io/Logging_2180/tillsyn/A 34086-2026 tillsynsbegäran.docx", "A 34086-2026")</f>
        <v/>
      </c>
      <c r="AD127">
        <f>HYPERLINK("https://klasma.github.io/Logging_2180/tillsynsmail/A 34086-2026 tillsynsbegäran mail.docx", "A 34086-2026")</f>
        <v/>
      </c>
    </row>
    <row r="128" ht="15" customHeight="1">
      <c r="A128" t="inlineStr">
        <is>
          <t>A 34589-2026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46255</v>
      </c>
      <c r="E128" s="1" t="n">
        <v>46268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15.3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HYPERLINK("https://klasma.github.io/Logging_2180/artfynd/A 34589-2026 artfynd.xlsx", "A 34589-2026")</f>
        <v/>
      </c>
      <c r="X128">
        <f>HYPERLINK("https://klasma.github.io/Logging_2180/kartor/A 34589-2026 karta.png", "A 34589-2026")</f>
        <v/>
      </c>
      <c r="Y128">
        <f>HYPERLINK("https://klasma.github.io/Logging_2180/kartor_geotiff/A 34589-2026 georefererad karta.tif", "A 34589-2026")</f>
        <v/>
      </c>
      <c r="AA128">
        <f>HYPERLINK("https://klasma.github.io/Logging_2180/klagomål/A 34589-2026 FSC-klagomål.docx", "A 34589-2026")</f>
        <v/>
      </c>
      <c r="AB128">
        <f>HYPERLINK("https://klasma.github.io/Logging_2180/klagomålsmail/A 34589-2026 FSC-klagomål mail.docx", "A 34589-2026")</f>
        <v/>
      </c>
      <c r="AC128">
        <f>HYPERLINK("https://klasma.github.io/Logging_2180/tillsyn/A 34589-2026 tillsynsbegäran.docx", "A 34589-2026")</f>
        <v/>
      </c>
      <c r="AD128">
        <f>HYPERLINK("https://klasma.github.io/Logging_2180/tillsynsmail/A 34589-2026 tillsynsbegäran mail.docx", "A 34589-2026")</f>
        <v/>
      </c>
    </row>
    <row r="129" ht="15" customHeight="1">
      <c r="A129" t="inlineStr">
        <is>
          <t>A 37927-2022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44811</v>
      </c>
      <c r="E129" s="1" t="n">
        <v>46268</v>
      </c>
      <c r="F129" t="inlineStr">
        <is>
          <t>GÄVLEBORGS LÄN</t>
        </is>
      </c>
      <c r="G129" t="inlineStr">
        <is>
          <t>GÄVLE</t>
        </is>
      </c>
      <c r="I129" t="n">
        <v>1.6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10</v>
      </c>
      <c r="U129" t="n">
        <v>10</v>
      </c>
      <c r="V129" s="2" t="inlineStr">
        <is>
          <t>Knärot</t>
        </is>
      </c>
      <c r="W129">
        <f>HYPERLINK("https://klasma.github.io/Logging_2180/artfynd/A 37927-2022 artfynd.xlsx", "A 37927-2022")</f>
        <v/>
      </c>
      <c r="X129">
        <f>HYPERLINK("https://klasma.github.io/Logging_2180/kartor/A 37927-2022 karta.png", "A 37927-2022")</f>
        <v/>
      </c>
      <c r="Y129">
        <f>HYPERLINK("https://klasma.github.io/Logging_2180/kartor_geotiff/A 37927-2022 georefererad karta.tif", "A 37927-2022")</f>
        <v/>
      </c>
      <c r="Z129">
        <f>HYPERLINK("https://klasma.github.io/Logging_2180/knärot/A 37927-2022 karta knärot.png", "A 37927-2022")</f>
        <v/>
      </c>
      <c r="AA129">
        <f>HYPERLINK("https://klasma.github.io/Logging_2180/klagomål/A 37927-2022 FSC-klagomål.docx", "A 37927-2022")</f>
        <v/>
      </c>
      <c r="AB129">
        <f>HYPERLINK("https://klasma.github.io/Logging_2180/klagomålsmail/A 37927-2022 FSC-klagomål mail.docx", "A 37927-2022")</f>
        <v/>
      </c>
      <c r="AC129">
        <f>HYPERLINK("https://klasma.github.io/Logging_2180/tillsyn/A 37927-2022 tillsynsbegäran.docx", "A 37927-2022")</f>
        <v/>
      </c>
      <c r="AD129">
        <f>HYPERLINK("https://klasma.github.io/Logging_2180/tillsynsmail/A 37927-2022 tillsynsbegäran mail.docx", "A 37927-2022")</f>
        <v/>
      </c>
    </row>
    <row r="130" ht="15" customHeight="1">
      <c r="A130" t="inlineStr">
        <is>
          <t>A 31448-2026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46217</v>
      </c>
      <c r="E130" s="1" t="n">
        <v>46268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Mindre tåtelsmygare</t>
        </is>
      </c>
      <c r="W130">
        <f>HYPERLINK("https://klasma.github.io/Logging_2180/artfynd/A 31448-2026 artfynd.xlsx", "A 31448-2026")</f>
        <v/>
      </c>
      <c r="X130">
        <f>HYPERLINK("https://klasma.github.io/Logging_2180/kartor/A 31448-2026 karta.png", "A 31448-2026")</f>
        <v/>
      </c>
      <c r="Y130">
        <f>HYPERLINK("https://klasma.github.io/Logging_2180/kartor_geotiff/A 31448-2026 georefererad karta.tif", "A 31448-2026")</f>
        <v/>
      </c>
      <c r="AA130">
        <f>HYPERLINK("https://klasma.github.io/Logging_2180/klagomål/A 31448-2026 FSC-klagomål.docx", "A 31448-2026")</f>
        <v/>
      </c>
      <c r="AB130">
        <f>HYPERLINK("https://klasma.github.io/Logging_2180/klagomålsmail/A 31448-2026 FSC-klagomål mail.docx", "A 31448-2026")</f>
        <v/>
      </c>
      <c r="AC130">
        <f>HYPERLINK("https://klasma.github.io/Logging_2180/tillsyn/A 31448-2026 tillsynsbegäran.docx", "A 31448-2026")</f>
        <v/>
      </c>
      <c r="AD130">
        <f>HYPERLINK("https://klasma.github.io/Logging_2180/tillsynsmail/A 31448-2026 tillsynsbegäran mail.docx", "A 31448-2026")</f>
        <v/>
      </c>
    </row>
    <row r="131" ht="15" customHeight="1">
      <c r="A131" t="inlineStr">
        <is>
          <t>A 34890-2026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46259</v>
      </c>
      <c r="E131" s="1" t="n">
        <v>46268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18.3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4</v>
      </c>
      <c r="U131" t="n">
        <v>0</v>
      </c>
      <c r="V131" s="2" t="inlineStr">
        <is>
          <t>Spillkråka</t>
        </is>
      </c>
      <c r="W131">
        <f>HYPERLINK("https://klasma.github.io/Logging_2180/artfynd/A 34890-2026 artfynd.xlsx", "A 34890-2026")</f>
        <v/>
      </c>
      <c r="X131">
        <f>HYPERLINK("https://klasma.github.io/Logging_2180/kartor/A 34890-2026 karta.png", "A 34890-2026")</f>
        <v/>
      </c>
      <c r="Y131">
        <f>HYPERLINK("https://klasma.github.io/Logging_2180/kartor_geotiff/A 34890-2026 georefererad karta.tif", "A 34890-2026")</f>
        <v/>
      </c>
      <c r="AA131">
        <f>HYPERLINK("https://klasma.github.io/Logging_2180/klagomål/A 34890-2026 FSC-klagomål.docx", "A 34890-2026")</f>
        <v/>
      </c>
      <c r="AB131">
        <f>HYPERLINK("https://klasma.github.io/Logging_2180/klagomålsmail/A 34890-2026 FSC-klagomål mail.docx", "A 34890-2026")</f>
        <v/>
      </c>
      <c r="AC131">
        <f>HYPERLINK("https://klasma.github.io/Logging_2180/tillsyn/A 34890-2026 tillsynsbegäran.docx", "A 34890-2026")</f>
        <v/>
      </c>
      <c r="AD131">
        <f>HYPERLINK("https://klasma.github.io/Logging_2180/tillsynsmail/A 34890-2026 tillsynsbegäran mail.docx", "A 34890-2026")</f>
        <v/>
      </c>
      <c r="AE131">
        <f>HYPERLINK("https://klasma.github.io/Logging_2180/fåglar/A 34890-2026 prioriterade fågelarter.docx", "A 34890-2026")</f>
        <v/>
      </c>
    </row>
    <row r="132" ht="15" customHeight="1">
      <c r="A132" t="inlineStr">
        <is>
          <t>A 36090-2026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46267</v>
      </c>
      <c r="E132" s="1" t="n">
        <v>46268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HYPERLINK("https://klasma.github.io/Logging_2180/artfynd/A 36090-2026 artfynd.xlsx", "A 36090-2026")</f>
        <v/>
      </c>
      <c r="X132">
        <f>HYPERLINK("https://klasma.github.io/Logging_2180/kartor/A 36090-2026 karta.png", "A 36090-2026")</f>
        <v/>
      </c>
      <c r="Y132">
        <f>HYPERLINK("https://klasma.github.io/Logging_2180/kartor_geotiff/A 36090-2026 georefererad karta.tif", "A 36090-2026")</f>
        <v/>
      </c>
      <c r="AA132">
        <f>HYPERLINK("https://klasma.github.io/Logging_2180/klagomål/A 36090-2026 FSC-klagomål.docx", "A 36090-2026")</f>
        <v/>
      </c>
      <c r="AB132">
        <f>HYPERLINK("https://klasma.github.io/Logging_2180/klagomålsmail/A 36090-2026 FSC-klagomål mail.docx", "A 36090-2026")</f>
        <v/>
      </c>
      <c r="AC132">
        <f>HYPERLINK("https://klasma.github.io/Logging_2180/tillsyn/A 36090-2026 tillsynsbegäran.docx", "A 36090-2026")</f>
        <v/>
      </c>
      <c r="AD132">
        <f>HYPERLINK("https://klasma.github.io/Logging_2180/tillsynsmail/A 36090-2026 tillsynsbegäran mail.docx", "A 36090-2026")</f>
        <v/>
      </c>
    </row>
    <row r="133" ht="15" customHeight="1">
      <c r="A133" t="inlineStr">
        <is>
          <t>A 12083-2025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46268</v>
      </c>
      <c r="F133" t="inlineStr">
        <is>
          <t>GÄVLEBORGS LÄN</t>
        </is>
      </c>
      <c r="G133" t="inlineStr">
        <is>
          <t>GÄVLE</t>
        </is>
      </c>
      <c r="I133" t="n">
        <v>6.3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Grönsiska</t>
        </is>
      </c>
      <c r="W133">
        <f>HYPERLINK("https://klasma.github.io/Logging_2180/artfynd/A 12083-2025 artfynd.xlsx", "A 12083-2025")</f>
        <v/>
      </c>
      <c r="X133">
        <f>HYPERLINK("https://klasma.github.io/Logging_2180/kartor/A 12083-2025 karta.png", "A 12083-2025")</f>
        <v/>
      </c>
      <c r="Y133">
        <f>HYPERLINK("https://klasma.github.io/Logging_2180/kartor_geotiff/A 12083-2025 georefererad karta.tif", "A 12083-2025")</f>
        <v/>
      </c>
      <c r="AA133">
        <f>HYPERLINK("https://klasma.github.io/Logging_2180/klagomål/A 12083-2025 FSC-klagomål.docx", "A 12083-2025")</f>
        <v/>
      </c>
      <c r="AB133">
        <f>HYPERLINK("https://klasma.github.io/Logging_2180/klagomålsmail/A 12083-2025 FSC-klagomål mail.docx", "A 12083-2025")</f>
        <v/>
      </c>
      <c r="AC133">
        <f>HYPERLINK("https://klasma.github.io/Logging_2180/tillsyn/A 12083-2025 tillsynsbegäran.docx", "A 12083-2025")</f>
        <v/>
      </c>
      <c r="AD133">
        <f>HYPERLINK("https://klasma.github.io/Logging_2180/tillsynsmail/A 12083-2025 tillsynsbegäran mail.docx", "A 12083-2025")</f>
        <v/>
      </c>
    </row>
    <row r="134" ht="15" customHeight="1">
      <c r="A134" t="inlineStr">
        <is>
          <t>A 13227-2024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46268</v>
      </c>
      <c r="F134" t="inlineStr">
        <is>
          <t>GÄVLEBORGS LÄN</t>
        </is>
      </c>
      <c r="G134" t="inlineStr">
        <is>
          <t>GÄVLE</t>
        </is>
      </c>
      <c r="H134" t="inlineStr">
        <is>
          <t>Övriga statliga verk och myndigheter</t>
        </is>
      </c>
      <c r="I134" t="n">
        <v>5.9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Större vattensalamander</t>
        </is>
      </c>
      <c r="W134">
        <f>HYPERLINK("https://klasma.github.io/Logging_2180/artfynd/A 13227-2024 artfynd.xlsx", "A 13227-2024")</f>
        <v/>
      </c>
      <c r="X134">
        <f>HYPERLINK("https://klasma.github.io/Logging_2180/kartor/A 13227-2024 karta.png", "A 13227-2024")</f>
        <v/>
      </c>
      <c r="Y134">
        <f>HYPERLINK("https://klasma.github.io/Logging_2180/kartor_geotiff/A 13227-2024 georefererad karta.tif", "A 13227-2024")</f>
        <v/>
      </c>
      <c r="AA134">
        <f>HYPERLINK("https://klasma.github.io/Logging_2180/klagomål/A 13227-2024 FSC-klagomål.docx", "A 13227-2024")</f>
        <v/>
      </c>
      <c r="AB134">
        <f>HYPERLINK("https://klasma.github.io/Logging_2180/klagomålsmail/A 13227-2024 FSC-klagomål mail.docx", "A 13227-2024")</f>
        <v/>
      </c>
      <c r="AC134">
        <f>HYPERLINK("https://klasma.github.io/Logging_2180/tillsyn/A 13227-2024 tillsynsbegäran.docx", "A 13227-2024")</f>
        <v/>
      </c>
      <c r="AD134">
        <f>HYPERLINK("https://klasma.github.io/Logging_2180/tillsynsmail/A 13227-2024 tillsynsbegäran mail.docx", "A 13227-2024")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46268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46268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46268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46268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46268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46268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46268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46268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46268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46268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46268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46268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46268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46268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46268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46268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46268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46268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46268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46268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46268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46268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46268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46268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46268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46268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46268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46268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46268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46268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46268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46268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46268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44599</v>
      </c>
      <c r="E168" s="1" t="n">
        <v>46268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46268</v>
      </c>
      <c r="F169" t="inlineStr">
        <is>
          <t>GÄVLEBORGS LÄN</t>
        </is>
      </c>
      <c r="G169" t="inlineStr">
        <is>
          <t>GÄVLE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46268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46268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46268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46268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46268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46268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46268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46268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46268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46268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46268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45454</v>
      </c>
      <c r="E181" s="1" t="n">
        <v>46268</v>
      </c>
      <c r="F181" t="inlineStr">
        <is>
          <t>GÄVLEBORGS LÄN</t>
        </is>
      </c>
      <c r="G181" t="inlineStr">
        <is>
          <t>GÄVLE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46268</v>
      </c>
      <c r="F182" t="inlineStr">
        <is>
          <t>GÄVLEBORGS LÄN</t>
        </is>
      </c>
      <c r="G182" t="inlineStr">
        <is>
          <t>GÄVLE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46268</v>
      </c>
      <c r="F183" t="inlineStr">
        <is>
          <t>GÄVLEBORGS LÄN</t>
        </is>
      </c>
      <c r="G183" t="inlineStr">
        <is>
          <t>GÄVLE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44637</v>
      </c>
      <c r="E184" s="1" t="n">
        <v>46268</v>
      </c>
      <c r="F184" t="inlineStr">
        <is>
          <t>GÄVLEBORGS LÄN</t>
        </is>
      </c>
      <c r="G184" t="inlineStr">
        <is>
          <t>GÄVLE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46268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46268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46268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46268</v>
      </c>
      <c r="F188" t="inlineStr">
        <is>
          <t>GÄVLEBORGS LÄN</t>
        </is>
      </c>
      <c r="G188" t="inlineStr">
        <is>
          <t>GÄVLE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46268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46268</v>
      </c>
      <c r="F190" t="inlineStr">
        <is>
          <t>GÄVLEBORGS LÄN</t>
        </is>
      </c>
      <c r="G190" t="inlineStr">
        <is>
          <t>GÄVLE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45089</v>
      </c>
      <c r="E191" s="1" t="n">
        <v>46268</v>
      </c>
      <c r="F191" t="inlineStr">
        <is>
          <t>GÄVLEBORGS LÄN</t>
        </is>
      </c>
      <c r="G191" t="inlineStr">
        <is>
          <t>GÄVLE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46268</v>
      </c>
      <c r="F192" t="inlineStr">
        <is>
          <t>GÄVLEBORGS LÄN</t>
        </is>
      </c>
      <c r="G192" t="inlineStr">
        <is>
          <t>GÄVLE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44656</v>
      </c>
      <c r="E193" s="1" t="n">
        <v>46268</v>
      </c>
      <c r="F193" t="inlineStr">
        <is>
          <t>GÄVLEBORGS LÄN</t>
        </is>
      </c>
      <c r="G193" t="inlineStr">
        <is>
          <t>GÄVLE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46268</v>
      </c>
      <c r="F194" t="inlineStr">
        <is>
          <t>GÄVLEBORGS LÄN</t>
        </is>
      </c>
      <c r="G194" t="inlineStr">
        <is>
          <t>GÄVLE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46268</v>
      </c>
      <c r="F195" t="inlineStr">
        <is>
          <t>GÄVLEBORGS LÄN</t>
        </is>
      </c>
      <c r="G195" t="inlineStr">
        <is>
          <t>GÄVLE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45666</v>
      </c>
      <c r="E196" s="1" t="n">
        <v>46268</v>
      </c>
      <c r="F196" t="inlineStr">
        <is>
          <t>GÄVLEBORGS LÄN</t>
        </is>
      </c>
      <c r="G196" t="inlineStr">
        <is>
          <t>GÄVLE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46268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46268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46268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46268</v>
      </c>
      <c r="F200" t="inlineStr">
        <is>
          <t>GÄVLEBORGS LÄN</t>
        </is>
      </c>
      <c r="G200" t="inlineStr">
        <is>
          <t>GÄVLE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46268</v>
      </c>
      <c r="F201" t="inlineStr">
        <is>
          <t>GÄVLEBORGS LÄN</t>
        </is>
      </c>
      <c r="G201" t="inlineStr">
        <is>
          <t>GÄVLE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44840</v>
      </c>
      <c r="E202" s="1" t="n">
        <v>46268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44942</v>
      </c>
      <c r="E203" s="1" t="n">
        <v>46268</v>
      </c>
      <c r="F203" t="inlineStr">
        <is>
          <t>GÄVLEBORGS LÄN</t>
        </is>
      </c>
      <c r="G203" t="inlineStr">
        <is>
          <t>GÄVLE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19095-2022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44691</v>
      </c>
      <c r="E204" s="1" t="n">
        <v>46268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46268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45184</v>
      </c>
      <c r="E206" s="1" t="n">
        <v>46268</v>
      </c>
      <c r="F206" t="inlineStr">
        <is>
          <t>GÄVLEBORGS LÄN</t>
        </is>
      </c>
      <c r="G206" t="inlineStr">
        <is>
          <t>GÄVLE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46268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46268</v>
      </c>
      <c r="F208" t="inlineStr">
        <is>
          <t>GÄVLEBORGS LÄN</t>
        </is>
      </c>
      <c r="G208" t="inlineStr">
        <is>
          <t>GÄVLE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44756</v>
      </c>
      <c r="E209" s="1" t="n">
        <v>46268</v>
      </c>
      <c r="F209" t="inlineStr">
        <is>
          <t>GÄVLEBORGS LÄN</t>
        </is>
      </c>
      <c r="G209" t="inlineStr">
        <is>
          <t>GÄVLE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46268</v>
      </c>
      <c r="F210" t="inlineStr">
        <is>
          <t>GÄVLEBORGS LÄN</t>
        </is>
      </c>
      <c r="G210" t="inlineStr">
        <is>
          <t>GÄVLE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45125</v>
      </c>
      <c r="E211" s="1" t="n">
        <v>46268</v>
      </c>
      <c r="F211" t="inlineStr">
        <is>
          <t>GÄVLEBORGS LÄN</t>
        </is>
      </c>
      <c r="G211" t="inlineStr">
        <is>
          <t>GÄVLE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71249-2021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46268</v>
      </c>
      <c r="F212" t="inlineStr">
        <is>
          <t>GÄVLEBORGS LÄN</t>
        </is>
      </c>
      <c r="G212" t="inlineStr">
        <is>
          <t>GÄVLE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46268</v>
      </c>
      <c r="F213" t="inlineStr">
        <is>
          <t>GÄVLEBORGS LÄN</t>
        </is>
      </c>
      <c r="G213" t="inlineStr">
        <is>
          <t>GÄVLE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26564-2022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44739</v>
      </c>
      <c r="E214" s="1" t="n">
        <v>46268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50871-2022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44867</v>
      </c>
      <c r="E215" s="1" t="n">
        <v>46268</v>
      </c>
      <c r="F215" t="inlineStr">
        <is>
          <t>GÄVLEBORGS LÄN</t>
        </is>
      </c>
      <c r="G215" t="inlineStr">
        <is>
          <t>GÄVLE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44693</v>
      </c>
      <c r="E216" s="1" t="n">
        <v>46268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46268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46268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46268</v>
      </c>
      <c r="F219" t="inlineStr">
        <is>
          <t>GÄVLEBORGS LÄN</t>
        </is>
      </c>
      <c r="G219" t="inlineStr">
        <is>
          <t>GÄVLE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46034</v>
      </c>
      <c r="E220" s="1" t="n">
        <v>46268</v>
      </c>
      <c r="F220" t="inlineStr">
        <is>
          <t>GÄVLEBORGS LÄN</t>
        </is>
      </c>
      <c r="G220" t="inlineStr">
        <is>
          <t>GÄVLE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46268</v>
      </c>
      <c r="F221" t="inlineStr">
        <is>
          <t>GÄVLEBORGS LÄN</t>
        </is>
      </c>
      <c r="G221" t="inlineStr">
        <is>
          <t>GÄVLE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46268</v>
      </c>
      <c r="F222" t="inlineStr">
        <is>
          <t>GÄVLEBORGS LÄN</t>
        </is>
      </c>
      <c r="G222" t="inlineStr">
        <is>
          <t>GÄVLE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45719</v>
      </c>
      <c r="E223" s="1" t="n">
        <v>46268</v>
      </c>
      <c r="F223" t="inlineStr">
        <is>
          <t>GÄVLEBORGS LÄN</t>
        </is>
      </c>
      <c r="G223" t="inlineStr">
        <is>
          <t>GÄVLE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46268</v>
      </c>
      <c r="F224" t="inlineStr">
        <is>
          <t>GÄVLEBORGS LÄN</t>
        </is>
      </c>
      <c r="G224" t="inlineStr">
        <is>
          <t>GÄVLE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46268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46268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46268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46268</v>
      </c>
      <c r="F228" t="inlineStr">
        <is>
          <t>GÄVLEBORGS LÄN</t>
        </is>
      </c>
      <c r="G228" t="inlineStr">
        <is>
          <t>GÄVLE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25768-2022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44733</v>
      </c>
      <c r="E229" s="1" t="n">
        <v>46268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45645</v>
      </c>
      <c r="E230" s="1" t="n">
        <v>46268</v>
      </c>
      <c r="F230" t="inlineStr">
        <is>
          <t>GÄVLEBORGS LÄN</t>
        </is>
      </c>
      <c r="G230" t="inlineStr">
        <is>
          <t>GÄVLE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46268</v>
      </c>
      <c r="F231" t="inlineStr">
        <is>
          <t>GÄVLEBORGS LÄN</t>
        </is>
      </c>
      <c r="G231" t="inlineStr">
        <is>
          <t>GÄVLE</t>
        </is>
      </c>
      <c r="I231" t="n">
        <v>13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45652</v>
      </c>
      <c r="E232" s="1" t="n">
        <v>46268</v>
      </c>
      <c r="F232" t="inlineStr">
        <is>
          <t>GÄVLEBORGS LÄN</t>
        </is>
      </c>
      <c r="G232" t="inlineStr">
        <is>
          <t>GÄVLE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46268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46268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45475</v>
      </c>
      <c r="E235" s="1" t="n">
        <v>46268</v>
      </c>
      <c r="F235" t="inlineStr">
        <is>
          <t>GÄVLEBORGS LÄN</t>
        </is>
      </c>
      <c r="G235" t="inlineStr">
        <is>
          <t>GÄVLE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46268</v>
      </c>
      <c r="F236" t="inlineStr">
        <is>
          <t>GÄVLEBORGS LÄN</t>
        </is>
      </c>
      <c r="G236" t="inlineStr">
        <is>
          <t>GÄVLE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44988</v>
      </c>
      <c r="E237" s="1" t="n">
        <v>46268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46268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46268</v>
      </c>
      <c r="F239" t="inlineStr">
        <is>
          <t>GÄVLEBORGS LÄN</t>
        </is>
      </c>
      <c r="G239" t="inlineStr">
        <is>
          <t>GÄVLE</t>
        </is>
      </c>
      <c r="H239" t="inlineStr">
        <is>
          <t>Kyrkan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40297-2025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45895</v>
      </c>
      <c r="E240" s="1" t="n">
        <v>46268</v>
      </c>
      <c r="F240" t="inlineStr">
        <is>
          <t>GÄVLEBORGS LÄN</t>
        </is>
      </c>
      <c r="G240" t="inlineStr">
        <is>
          <t>GÄVLE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46268</v>
      </c>
      <c r="F241" t="inlineStr">
        <is>
          <t>GÄVLEBORGS LÄN</t>
        </is>
      </c>
      <c r="G241" t="inlineStr">
        <is>
          <t>GÄVLE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46268</v>
      </c>
      <c r="F242" t="inlineStr">
        <is>
          <t>GÄVLEBORGS LÄN</t>
        </is>
      </c>
      <c r="G242" t="inlineStr">
        <is>
          <t>GÄVLE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45827</v>
      </c>
      <c r="E243" s="1" t="n">
        <v>46268</v>
      </c>
      <c r="F243" t="inlineStr">
        <is>
          <t>GÄVLEBORGS LÄN</t>
        </is>
      </c>
      <c r="G243" t="inlineStr">
        <is>
          <t>GÄVLE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45882</v>
      </c>
      <c r="E244" s="1" t="n">
        <v>46268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30202-2025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45827</v>
      </c>
      <c r="E245" s="1" t="n">
        <v>46268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46268</v>
      </c>
      <c r="F246" t="inlineStr">
        <is>
          <t>GÄVLEBORGS LÄN</t>
        </is>
      </c>
      <c r="G246" t="inlineStr">
        <is>
          <t>GÄVLE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45741</v>
      </c>
      <c r="E247" s="1" t="n">
        <v>46268</v>
      </c>
      <c r="F247" t="inlineStr">
        <is>
          <t>GÄVLEBORGS LÄN</t>
        </is>
      </c>
      <c r="G247" t="inlineStr">
        <is>
          <t>GÄVLE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44589</v>
      </c>
      <c r="E248" s="1" t="n">
        <v>46268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46268</v>
      </c>
      <c r="F249" t="inlineStr">
        <is>
          <t>GÄVLEBORGS LÄN</t>
        </is>
      </c>
      <c r="G249" t="inlineStr">
        <is>
          <t>GÄVLE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46268</v>
      </c>
      <c r="F250" t="inlineStr">
        <is>
          <t>GÄVLEBORGS LÄN</t>
        </is>
      </c>
      <c r="G250" t="inlineStr">
        <is>
          <t>GÄVLE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46268</v>
      </c>
      <c r="F251" t="inlineStr">
        <is>
          <t>GÄVLEBORGS LÄN</t>
        </is>
      </c>
      <c r="G251" t="inlineStr">
        <is>
          <t>GÄVLE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45146</v>
      </c>
      <c r="E252" s="1" t="n">
        <v>46268</v>
      </c>
      <c r="F252" t="inlineStr">
        <is>
          <t>GÄVLEBORGS LÄN</t>
        </is>
      </c>
      <c r="G252" t="inlineStr">
        <is>
          <t>GÄVLE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46268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46268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46268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46268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46268</v>
      </c>
      <c r="F257" t="inlineStr">
        <is>
          <t>GÄVLEBORGS LÄN</t>
        </is>
      </c>
      <c r="G257" t="inlineStr">
        <is>
          <t>GÄVLE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45530</v>
      </c>
      <c r="E258" s="1" t="n">
        <v>46268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46268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46268</v>
      </c>
      <c r="F260" t="inlineStr">
        <is>
          <t>GÄVLEBORGS LÄN</t>
        </is>
      </c>
      <c r="G260" t="inlineStr">
        <is>
          <t>GÄVLE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46268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46268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46268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46268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46268</v>
      </c>
      <c r="F265" t="inlineStr">
        <is>
          <t>GÄVLEBORGS LÄN</t>
        </is>
      </c>
      <c r="G265" t="inlineStr">
        <is>
          <t>GÄVLE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46268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46268</v>
      </c>
      <c r="F267" t="inlineStr">
        <is>
          <t>GÄVLEBORGS LÄN</t>
        </is>
      </c>
      <c r="G267" t="inlineStr">
        <is>
          <t>GÄVLE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46268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46268</v>
      </c>
      <c r="F269" t="inlineStr">
        <is>
          <t>GÄVLEBORGS LÄN</t>
        </is>
      </c>
      <c r="G269" t="inlineStr">
        <is>
          <t>GÄVLE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46268</v>
      </c>
      <c r="F270" t="inlineStr">
        <is>
          <t>GÄVLEBORGS LÄN</t>
        </is>
      </c>
      <c r="G270" t="inlineStr">
        <is>
          <t>GÄVLE</t>
        </is>
      </c>
      <c r="H270" t="inlineStr">
        <is>
          <t>Kyrkan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60885-2023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45261</v>
      </c>
      <c r="E271" s="1" t="n">
        <v>46268</v>
      </c>
      <c r="F271" t="inlineStr">
        <is>
          <t>GÄVLEBORGS LÄN</t>
        </is>
      </c>
      <c r="G271" t="inlineStr">
        <is>
          <t>GÄVLE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46268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46268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46268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46268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46268</v>
      </c>
      <c r="F276" t="inlineStr">
        <is>
          <t>GÄVLEBORGS LÄN</t>
        </is>
      </c>
      <c r="G276" t="inlineStr">
        <is>
          <t>GÄVLE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46268</v>
      </c>
      <c r="F277" t="inlineStr">
        <is>
          <t>GÄVLEBORGS LÄN</t>
        </is>
      </c>
      <c r="G277" t="inlineStr">
        <is>
          <t>GÄVLE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46268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45845</v>
      </c>
      <c r="E279" s="1" t="n">
        <v>46268</v>
      </c>
      <c r="F279" t="inlineStr">
        <is>
          <t>GÄVLEBORGS LÄN</t>
        </is>
      </c>
      <c r="G279" t="inlineStr">
        <is>
          <t>GÄVLE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45845</v>
      </c>
      <c r="E280" s="1" t="n">
        <v>46268</v>
      </c>
      <c r="F280" t="inlineStr">
        <is>
          <t>GÄVLEBORGS LÄN</t>
        </is>
      </c>
      <c r="G280" t="inlineStr">
        <is>
          <t>GÄVLE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46268</v>
      </c>
      <c r="F281" t="inlineStr">
        <is>
          <t>GÄVLEBORGS LÄN</t>
        </is>
      </c>
      <c r="G281" t="inlineStr">
        <is>
          <t>GÄVLE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45848</v>
      </c>
      <c r="E282" s="1" t="n">
        <v>46268</v>
      </c>
      <c r="F282" t="inlineStr">
        <is>
          <t>GÄVLEBORGS LÄN</t>
        </is>
      </c>
      <c r="G282" t="inlineStr">
        <is>
          <t>GÄVLE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45848</v>
      </c>
      <c r="E283" s="1" t="n">
        <v>46268</v>
      </c>
      <c r="F283" t="inlineStr">
        <is>
          <t>GÄVLEBORGS LÄN</t>
        </is>
      </c>
      <c r="G283" t="inlineStr">
        <is>
          <t>GÄVLE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46268</v>
      </c>
      <c r="F284" t="inlineStr">
        <is>
          <t>GÄVLEBORGS LÄN</t>
        </is>
      </c>
      <c r="G284" t="inlineStr">
        <is>
          <t>GÄVLE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37253-2024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45540</v>
      </c>
      <c r="E285" s="1" t="n">
        <v>46268</v>
      </c>
      <c r="F285" t="inlineStr">
        <is>
          <t>GÄVLEBORGS LÄN</t>
        </is>
      </c>
      <c r="G285" t="inlineStr">
        <is>
          <t>GÄVLE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46268</v>
      </c>
      <c r="F286" t="inlineStr">
        <is>
          <t>GÄVLEBORGS LÄN</t>
        </is>
      </c>
      <c r="G286" t="inlineStr">
        <is>
          <t>GÄVLE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46268</v>
      </c>
      <c r="F287" t="inlineStr">
        <is>
          <t>GÄVLEBORGS LÄN</t>
        </is>
      </c>
      <c r="G287" t="inlineStr">
        <is>
          <t>GÄVLE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46268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45854</v>
      </c>
      <c r="E289" s="1" t="n">
        <v>46268</v>
      </c>
      <c r="F289" t="inlineStr">
        <is>
          <t>GÄVLEBORGS LÄN</t>
        </is>
      </c>
      <c r="G289" t="inlineStr">
        <is>
          <t>GÄVLE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45850-2025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45923</v>
      </c>
      <c r="E290" s="1" t="n">
        <v>46268</v>
      </c>
      <c r="F290" t="inlineStr">
        <is>
          <t>GÄVLEBORGS LÄN</t>
        </is>
      </c>
      <c r="G290" t="inlineStr">
        <is>
          <t>GÄVLE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46268</v>
      </c>
      <c r="F291" t="inlineStr">
        <is>
          <t>GÄVLEBORGS LÄN</t>
        </is>
      </c>
      <c r="G291" t="inlineStr">
        <is>
          <t>GÄVLE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44951</v>
      </c>
      <c r="E292" s="1" t="n">
        <v>46268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45859</v>
      </c>
      <c r="E293" s="1" t="n">
        <v>46268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45420</v>
      </c>
      <c r="E294" s="1" t="n">
        <v>46268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45862</v>
      </c>
      <c r="E295" s="1" t="n">
        <v>46268</v>
      </c>
      <c r="F295" t="inlineStr">
        <is>
          <t>GÄVLEBORGS LÄN</t>
        </is>
      </c>
      <c r="G295" t="inlineStr">
        <is>
          <t>GÄVLE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45862</v>
      </c>
      <c r="E296" s="1" t="n">
        <v>46268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46268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35919-2025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45862</v>
      </c>
      <c r="E298" s="1" t="n">
        <v>46268</v>
      </c>
      <c r="F298" t="inlineStr">
        <is>
          <t>GÄVLEBORGS LÄN</t>
        </is>
      </c>
      <c r="G298" t="inlineStr">
        <is>
          <t>GÄVLE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46268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46268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46268</v>
      </c>
      <c r="F301" t="inlineStr">
        <is>
          <t>GÄVLEBORGS LÄN</t>
        </is>
      </c>
      <c r="G301" t="inlineStr">
        <is>
          <t>GÄVLE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46268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46268</v>
      </c>
      <c r="F303" t="inlineStr">
        <is>
          <t>GÄVLEBORGS LÄN</t>
        </is>
      </c>
      <c r="G303" t="inlineStr">
        <is>
          <t>GÄVLE</t>
        </is>
      </c>
      <c r="H303" t="inlineStr">
        <is>
          <t>Kyrkan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46268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46268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45866</v>
      </c>
      <c r="E306" s="1" t="n">
        <v>46268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46268</v>
      </c>
      <c r="F307" t="inlineStr">
        <is>
          <t>GÄVLEBORGS LÄN</t>
        </is>
      </c>
      <c r="G307" t="inlineStr">
        <is>
          <t>GÄVLE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46268</v>
      </c>
      <c r="F308" t="inlineStr">
        <is>
          <t>GÄVLEBORGS LÄN</t>
        </is>
      </c>
      <c r="G308" t="inlineStr">
        <is>
          <t>GÄVLE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46268</v>
      </c>
      <c r="F309" t="inlineStr">
        <is>
          <t>GÄVLEBORGS LÄN</t>
        </is>
      </c>
      <c r="G309" t="inlineStr">
        <is>
          <t>GÄVLE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46268</v>
      </c>
      <c r="F310" t="inlineStr">
        <is>
          <t>GÄVLEBORGS LÄN</t>
        </is>
      </c>
      <c r="G310" t="inlineStr">
        <is>
          <t>GÄVLE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45869</v>
      </c>
      <c r="E311" s="1" t="n">
        <v>46268</v>
      </c>
      <c r="F311" t="inlineStr">
        <is>
          <t>GÄVLEBORGS LÄN</t>
        </is>
      </c>
      <c r="G311" t="inlineStr">
        <is>
          <t>GÄVLE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45869</v>
      </c>
      <c r="E312" s="1" t="n">
        <v>46268</v>
      </c>
      <c r="F312" t="inlineStr">
        <is>
          <t>GÄVLEBORGS LÄN</t>
        </is>
      </c>
      <c r="G312" t="inlineStr">
        <is>
          <t>GÄVLE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10352-2025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45720</v>
      </c>
      <c r="E313" s="1" t="n">
        <v>46268</v>
      </c>
      <c r="F313" t="inlineStr">
        <is>
          <t>GÄVLEBORGS LÄN</t>
        </is>
      </c>
      <c r="G313" t="inlineStr">
        <is>
          <t>GÄVLE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46268</v>
      </c>
      <c r="F314" t="inlineStr">
        <is>
          <t>GÄVLEBORGS LÄN</t>
        </is>
      </c>
      <c r="G314" t="inlineStr">
        <is>
          <t>GÄVLE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46268</v>
      </c>
      <c r="F315" t="inlineStr">
        <is>
          <t>GÄVLEBORGS LÄN</t>
        </is>
      </c>
      <c r="G315" t="inlineStr">
        <is>
          <t>GÄVLE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46268</v>
      </c>
      <c r="F316" t="inlineStr">
        <is>
          <t>GÄVLEBORGS LÄN</t>
        </is>
      </c>
      <c r="G316" t="inlineStr">
        <is>
          <t>GÄVLE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44960</v>
      </c>
      <c r="E317" s="1" t="n">
        <v>46268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46268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46268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46268</v>
      </c>
      <c r="F320" t="inlineStr">
        <is>
          <t>GÄVLEBORGS LÄN</t>
        </is>
      </c>
      <c r="G320" t="inlineStr">
        <is>
          <t>GÄVLE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46268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46268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48002-2025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46268</v>
      </c>
      <c r="F323" t="inlineStr">
        <is>
          <t>GÄVLEBORGS LÄN</t>
        </is>
      </c>
      <c r="G323" t="inlineStr">
        <is>
          <t>GÄVLE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46268</v>
      </c>
      <c r="F324" t="inlineStr">
        <is>
          <t>GÄVLEBORGS LÄN</t>
        </is>
      </c>
      <c r="G324" t="inlineStr">
        <is>
          <t>GÄVLE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46268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46268</v>
      </c>
      <c r="F326" t="inlineStr">
        <is>
          <t>GÄVLEBORGS LÄN</t>
        </is>
      </c>
      <c r="G326" t="inlineStr">
        <is>
          <t>GÄVLE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65879-2021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44517</v>
      </c>
      <c r="E327" s="1" t="n">
        <v>46268</v>
      </c>
      <c r="F327" t="inlineStr">
        <is>
          <t>GÄVLEBORGS LÄN</t>
        </is>
      </c>
      <c r="G327" t="inlineStr">
        <is>
          <t>GÄVLE</t>
        </is>
      </c>
      <c r="H327" t="inlineStr">
        <is>
          <t>Kyrkan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48986-2025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46268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46268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45939</v>
      </c>
      <c r="E330" s="1" t="n">
        <v>46268</v>
      </c>
      <c r="F330" t="inlineStr">
        <is>
          <t>GÄVLEBORGS LÄN</t>
        </is>
      </c>
      <c r="G330" t="inlineStr">
        <is>
          <t>GÄVLE</t>
        </is>
      </c>
      <c r="H330" t="inlineStr">
        <is>
          <t>Kyrkan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44369-2025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46268</v>
      </c>
      <c r="F331" t="inlineStr">
        <is>
          <t>GÄVLEBORGS LÄN</t>
        </is>
      </c>
      <c r="G331" t="inlineStr">
        <is>
          <t>GÄVLE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45939</v>
      </c>
      <c r="E332" s="1" t="n">
        <v>46268</v>
      </c>
      <c r="F332" t="inlineStr">
        <is>
          <t>GÄVLEBORGS LÄN</t>
        </is>
      </c>
      <c r="G332" t="inlineStr">
        <is>
          <t>GÄVLE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46268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70043-2021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44533</v>
      </c>
      <c r="E334" s="1" t="n">
        <v>46268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45940</v>
      </c>
      <c r="E335" s="1" t="n">
        <v>46268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46268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45681</v>
      </c>
      <c r="E337" s="1" t="n">
        <v>46268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45943</v>
      </c>
      <c r="E338" s="1" t="n">
        <v>46268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45526</v>
      </c>
      <c r="E339" s="1" t="n">
        <v>46268</v>
      </c>
      <c r="F339" t="inlineStr">
        <is>
          <t>GÄVLEBORGS LÄN</t>
        </is>
      </c>
      <c r="G339" t="inlineStr">
        <is>
          <t>GÄVLE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46268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45944</v>
      </c>
      <c r="E341" s="1" t="n">
        <v>46268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45593</v>
      </c>
      <c r="E342" s="1" t="n">
        <v>46268</v>
      </c>
      <c r="F342" t="inlineStr">
        <is>
          <t>GÄVLEBORGS LÄN</t>
        </is>
      </c>
      <c r="G342" t="inlineStr">
        <is>
          <t>GÄVLE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46268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45884</v>
      </c>
      <c r="E344" s="1" t="n">
        <v>46268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46268</v>
      </c>
      <c r="F345" t="inlineStr">
        <is>
          <t>GÄVLEBORGS LÄN</t>
        </is>
      </c>
      <c r="G345" t="inlineStr">
        <is>
          <t>GÄVLE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45468</v>
      </c>
      <c r="E346" s="1" t="n">
        <v>46268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45245</v>
      </c>
      <c r="E347" s="1" t="n">
        <v>46268</v>
      </c>
      <c r="F347" t="inlineStr">
        <is>
          <t>GÄVLEBORGS LÄN</t>
        </is>
      </c>
      <c r="G347" t="inlineStr">
        <is>
          <t>GÄVLE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46268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18162-2022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44684</v>
      </c>
      <c r="E349" s="1" t="n">
        <v>46268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46268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46268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46268</v>
      </c>
      <c r="F352" t="inlineStr">
        <is>
          <t>GÄVLEBORGS LÄN</t>
        </is>
      </c>
      <c r="G352" t="inlineStr">
        <is>
          <t>GÄVLE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46268</v>
      </c>
      <c r="F353" t="inlineStr">
        <is>
          <t>GÄVLEBORGS LÄN</t>
        </is>
      </c>
      <c r="G353" t="inlineStr">
        <is>
          <t>GÄVLE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46268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46268</v>
      </c>
      <c r="F355" t="inlineStr">
        <is>
          <t>GÄVLEBORGS LÄN</t>
        </is>
      </c>
      <c r="G355" t="inlineStr">
        <is>
          <t>GÄVLE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46268</v>
      </c>
      <c r="F356" t="inlineStr">
        <is>
          <t>GÄVLEBORGS LÄN</t>
        </is>
      </c>
      <c r="G356" t="inlineStr">
        <is>
          <t>GÄVLE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46268</v>
      </c>
      <c r="F357" t="inlineStr">
        <is>
          <t>GÄVLEBORGS LÄN</t>
        </is>
      </c>
      <c r="G357" t="inlineStr">
        <is>
          <t>GÄVLE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52970-2025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45957</v>
      </c>
      <c r="E358" s="1" t="n">
        <v>46268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46268</v>
      </c>
      <c r="F359" t="inlineStr">
        <is>
          <t>GÄVLEBORGS LÄN</t>
        </is>
      </c>
      <c r="G359" t="inlineStr">
        <is>
          <t>GÄVLE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46268</v>
      </c>
      <c r="F360" t="inlineStr">
        <is>
          <t>GÄVLEBORGS LÄN</t>
        </is>
      </c>
      <c r="G360" t="inlineStr">
        <is>
          <t>GÄVLE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46268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46268</v>
      </c>
      <c r="F362" t="inlineStr">
        <is>
          <t>GÄVLEBORGS LÄN</t>
        </is>
      </c>
      <c r="G362" t="inlineStr">
        <is>
          <t>GÄVLE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14553-2026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46268</v>
      </c>
      <c r="F363" t="inlineStr">
        <is>
          <t>GÄVLEBORGS LÄN</t>
        </is>
      </c>
      <c r="G363" t="inlineStr">
        <is>
          <t>GÄVLE</t>
        </is>
      </c>
      <c r="H363" t="inlineStr">
        <is>
          <t>Övriga statliga verk och myndigheter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46268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46268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46268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46268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46268</v>
      </c>
      <c r="F368" t="inlineStr">
        <is>
          <t>GÄVLEBORGS LÄN</t>
        </is>
      </c>
      <c r="G368" t="inlineStr">
        <is>
          <t>GÄVLE</t>
        </is>
      </c>
      <c r="H368" t="inlineStr">
        <is>
          <t>Kyrkan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46268</v>
      </c>
      <c r="F369" t="inlineStr">
        <is>
          <t>GÄVLEBORGS LÄN</t>
        </is>
      </c>
      <c r="G369" t="inlineStr">
        <is>
          <t>GÄVLE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45960</v>
      </c>
      <c r="E370" s="1" t="n">
        <v>46268</v>
      </c>
      <c r="F370" t="inlineStr">
        <is>
          <t>GÄVLEBORGS LÄN</t>
        </is>
      </c>
      <c r="G370" t="inlineStr">
        <is>
          <t>GÄVLE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46268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31062-2023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45113</v>
      </c>
      <c r="E372" s="1" t="n">
        <v>46268</v>
      </c>
      <c r="F372" t="inlineStr">
        <is>
          <t>GÄVLEBORGS LÄN</t>
        </is>
      </c>
      <c r="G372" t="inlineStr">
        <is>
          <t>GÄVLE</t>
        </is>
      </c>
      <c r="H372" t="inlineStr">
        <is>
          <t>Kommuner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54135-2025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45964</v>
      </c>
      <c r="E373" s="1" t="n">
        <v>46268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45719</v>
      </c>
      <c r="E374" s="1" t="n">
        <v>46268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44735</v>
      </c>
      <c r="E375" s="1" t="n">
        <v>46268</v>
      </c>
      <c r="F375" t="inlineStr">
        <is>
          <t>GÄVLEBORGS LÄN</t>
        </is>
      </c>
      <c r="G375" t="inlineStr">
        <is>
          <t>GÄVLE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46268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45223</v>
      </c>
      <c r="E377" s="1" t="n">
        <v>46268</v>
      </c>
      <c r="F377" t="inlineStr">
        <is>
          <t>GÄVLEBORGS LÄN</t>
        </is>
      </c>
      <c r="G377" t="inlineStr">
        <is>
          <t>GÄVLE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46268</v>
      </c>
      <c r="F378" t="inlineStr">
        <is>
          <t>GÄVLEBORGS LÄN</t>
        </is>
      </c>
      <c r="G378" t="inlineStr">
        <is>
          <t>GÄVLE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45715</v>
      </c>
      <c r="E379" s="1" t="n">
        <v>46268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46268</v>
      </c>
      <c r="F380" t="inlineStr">
        <is>
          <t>GÄVLEBORGS LÄN</t>
        </is>
      </c>
      <c r="G380" t="inlineStr">
        <is>
          <t>GÄVLE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46268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45967</v>
      </c>
      <c r="E382" s="1" t="n">
        <v>46268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45967</v>
      </c>
      <c r="E383" s="1" t="n">
        <v>46268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45967</v>
      </c>
      <c r="E384" s="1" t="n">
        <v>46268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46268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19555-2022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44693</v>
      </c>
      <c r="E386" s="1" t="n">
        <v>46268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45967</v>
      </c>
      <c r="E387" s="1" t="n">
        <v>46268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46268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45401</v>
      </c>
      <c r="E389" s="1" t="n">
        <v>46268</v>
      </c>
      <c r="F389" t="inlineStr">
        <is>
          <t>GÄVLEBORGS LÄN</t>
        </is>
      </c>
      <c r="G389" t="inlineStr">
        <is>
          <t>GÄVLE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46268</v>
      </c>
      <c r="F390" t="inlineStr">
        <is>
          <t>GÄVLEBORGS LÄN</t>
        </is>
      </c>
      <c r="G390" t="inlineStr">
        <is>
          <t>GÄVLE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47143-2024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45586</v>
      </c>
      <c r="E391" s="1" t="n">
        <v>46268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46268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55221-2025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45968</v>
      </c>
      <c r="E393" s="1" t="n">
        <v>46268</v>
      </c>
      <c r="F393" t="inlineStr">
        <is>
          <t>GÄVLEBORGS LÄN</t>
        </is>
      </c>
      <c r="G393" t="inlineStr">
        <is>
          <t>GÄVLE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46268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46268</v>
      </c>
      <c r="F395" t="inlineStr">
        <is>
          <t>GÄVLEBORGS LÄN</t>
        </is>
      </c>
      <c r="G395" t="inlineStr">
        <is>
          <t>GÄVLE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45595</v>
      </c>
      <c r="E396" s="1" t="n">
        <v>46268</v>
      </c>
      <c r="F396" t="inlineStr">
        <is>
          <t>GÄVLEBORGS LÄN</t>
        </is>
      </c>
      <c r="G396" t="inlineStr">
        <is>
          <t>GÄVLE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45742</v>
      </c>
      <c r="E397" s="1" t="n">
        <v>46268</v>
      </c>
      <c r="F397" t="inlineStr">
        <is>
          <t>GÄVLEBORGS LÄN</t>
        </is>
      </c>
      <c r="G397" t="inlineStr">
        <is>
          <t>GÄVLE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46268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46268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46268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46549-2021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44445</v>
      </c>
      <c r="E401" s="1" t="n">
        <v>46268</v>
      </c>
      <c r="F401" t="inlineStr">
        <is>
          <t>GÄVLEBORGS LÄN</t>
        </is>
      </c>
      <c r="G401" t="inlineStr">
        <is>
          <t>GÄVLE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46268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46268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46268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46268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10.5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44585</v>
      </c>
      <c r="E406" s="1" t="n">
        <v>46268</v>
      </c>
      <c r="F406" t="inlineStr">
        <is>
          <t>GÄVLEBORGS LÄN</t>
        </is>
      </c>
      <c r="G406" t="inlineStr">
        <is>
          <t>GÄVLE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46268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46268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46268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46268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46268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46268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46268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46268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46268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46268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46268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46268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46268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46268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44735</v>
      </c>
      <c r="E421" s="1" t="n">
        <v>46268</v>
      </c>
      <c r="F421" t="inlineStr">
        <is>
          <t>GÄVLEBORGS LÄN</t>
        </is>
      </c>
      <c r="G421" t="inlineStr">
        <is>
          <t>GÄVLE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46077</v>
      </c>
      <c r="E422" s="1" t="n">
        <v>46268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44701</v>
      </c>
      <c r="E423" s="1" t="n">
        <v>46268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32143-2024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45511</v>
      </c>
      <c r="E424" s="1" t="n">
        <v>46268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57570-2024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45630</v>
      </c>
      <c r="E425" s="1" t="n">
        <v>46268</v>
      </c>
      <c r="F425" t="inlineStr">
        <is>
          <t>GÄVLEBORGS LÄN</t>
        </is>
      </c>
      <c r="G425" t="inlineStr">
        <is>
          <t>GÄVLE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46268</v>
      </c>
      <c r="F426" t="inlineStr">
        <is>
          <t>GÄVLEBORGS LÄN</t>
        </is>
      </c>
      <c r="G426" t="inlineStr">
        <is>
          <t>GÄVLE</t>
        </is>
      </c>
      <c r="H426" t="inlineStr">
        <is>
          <t>Kommuner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43771-2025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45912</v>
      </c>
      <c r="E427" s="1" t="n">
        <v>46268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45912</v>
      </c>
      <c r="E428" s="1" t="n">
        <v>46268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46268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46268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46268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45410-2025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46268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45442-2025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46268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46268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46268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46268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46268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45546-2025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46268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46083</v>
      </c>
      <c r="E439" s="1" t="n">
        <v>46268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18168-2022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44684</v>
      </c>
      <c r="E440" s="1" t="n">
        <v>46268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46268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46268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46268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45987</v>
      </c>
      <c r="E444" s="1" t="n">
        <v>46268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46268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46268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46268</v>
      </c>
      <c r="F447" t="inlineStr">
        <is>
          <t>GÄVLEBORGS LÄN</t>
        </is>
      </c>
      <c r="G447" t="inlineStr">
        <is>
          <t>GÄVLE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19730-2022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44694</v>
      </c>
      <c r="E448" s="1" t="n">
        <v>46268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46268</v>
      </c>
      <c r="F449" t="inlineStr">
        <is>
          <t>GÄVLEBORGS LÄN</t>
        </is>
      </c>
      <c r="G449" t="inlineStr">
        <is>
          <t>GÄVLE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45138</v>
      </c>
      <c r="E450" s="1" t="n">
        <v>46268</v>
      </c>
      <c r="F450" t="inlineStr">
        <is>
          <t>GÄVLEBORGS LÄN</t>
        </is>
      </c>
      <c r="G450" t="inlineStr">
        <is>
          <t>GÄVLE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46268</v>
      </c>
      <c r="F451" t="inlineStr">
        <is>
          <t>GÄVLEBORGS LÄN</t>
        </is>
      </c>
      <c r="G451" t="inlineStr">
        <is>
          <t>GÄVLE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59627-2025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46268</v>
      </c>
      <c r="F452" t="inlineStr">
        <is>
          <t>GÄVLEBORGS LÄN</t>
        </is>
      </c>
      <c r="G452" t="inlineStr">
        <is>
          <t>GÄVLE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46268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46268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46268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44951</v>
      </c>
      <c r="E456" s="1" t="n">
        <v>46268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46268</v>
      </c>
      <c r="F457" t="inlineStr">
        <is>
          <t>GÄVLEBORGS LÄN</t>
        </is>
      </c>
      <c r="G457" t="inlineStr">
        <is>
          <t>GÄVLE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60364-2025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45995</v>
      </c>
      <c r="E458" s="1" t="n">
        <v>46268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60532-2025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46268</v>
      </c>
      <c r="F459" t="inlineStr">
        <is>
          <t>GÄVLEBORGS LÄN</t>
        </is>
      </c>
      <c r="G459" t="inlineStr">
        <is>
          <t>GÄVLE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46268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46268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46268</v>
      </c>
      <c r="F462" t="inlineStr">
        <is>
          <t>GÄVLEBORGS LÄN</t>
        </is>
      </c>
      <c r="G462" t="inlineStr">
        <is>
          <t>GÄVLE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46268</v>
      </c>
      <c r="F463" t="inlineStr">
        <is>
          <t>GÄVLEBORGS LÄN</t>
        </is>
      </c>
      <c r="G463" t="inlineStr">
        <is>
          <t>GÄVLE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46268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46268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46268</v>
      </c>
      <c r="F466" t="inlineStr">
        <is>
          <t>GÄVLEBORGS LÄN</t>
        </is>
      </c>
      <c r="G466" t="inlineStr">
        <is>
          <t>GÄVLE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46268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46000</v>
      </c>
      <c r="E468" s="1" t="n">
        <v>46268</v>
      </c>
      <c r="F468" t="inlineStr">
        <is>
          <t>GÄVLEBORGS LÄN</t>
        </is>
      </c>
      <c r="G468" t="inlineStr">
        <is>
          <t>GÄVLE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59322-2022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44904</v>
      </c>
      <c r="E469" s="1" t="n">
        <v>46268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44962</v>
      </c>
      <c r="E470" s="1" t="n">
        <v>46268</v>
      </c>
      <c r="F470" t="inlineStr">
        <is>
          <t>GÄVLEBORGS LÄN</t>
        </is>
      </c>
      <c r="G470" t="inlineStr">
        <is>
          <t>GÄVLE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45660</v>
      </c>
      <c r="E471" s="1" t="n">
        <v>46268</v>
      </c>
      <c r="F471" t="inlineStr">
        <is>
          <t>GÄVLEBORGS LÄN</t>
        </is>
      </c>
      <c r="G471" t="inlineStr">
        <is>
          <t>GÄVLE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46268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46268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46268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46268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46268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10.2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46268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46268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61880-2025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46003</v>
      </c>
      <c r="E479" s="1" t="n">
        <v>46268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46002</v>
      </c>
      <c r="E480" s="1" t="n">
        <v>46268</v>
      </c>
      <c r="F480" t="inlineStr">
        <is>
          <t>GÄVLEBORGS LÄN</t>
        </is>
      </c>
      <c r="G480" t="inlineStr">
        <is>
          <t>GÄVLE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13104-2026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46268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13527-2026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46268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46268</v>
      </c>
      <c r="F483" t="inlineStr">
        <is>
          <t>GÄVLEBORGS LÄN</t>
        </is>
      </c>
      <c r="G483" t="inlineStr">
        <is>
          <t>GÄVLE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46002</v>
      </c>
      <c r="E484" s="1" t="n">
        <v>46268</v>
      </c>
      <c r="F484" t="inlineStr">
        <is>
          <t>GÄVLEBORGS LÄN</t>
        </is>
      </c>
      <c r="G484" t="inlineStr">
        <is>
          <t>GÄVLE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61651-2025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46268</v>
      </c>
      <c r="F485" t="inlineStr">
        <is>
          <t>GÄVLEBORGS LÄN</t>
        </is>
      </c>
      <c r="G485" t="inlineStr">
        <is>
          <t>GÄVLE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45586</v>
      </c>
      <c r="E486" s="1" t="n">
        <v>46268</v>
      </c>
      <c r="F486" t="inlineStr">
        <is>
          <t>GÄVLEBORGS LÄN</t>
        </is>
      </c>
      <c r="G486" t="inlineStr">
        <is>
          <t>GÄVLE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46268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45440</v>
      </c>
      <c r="E488" s="1" t="n">
        <v>46268</v>
      </c>
      <c r="F488" t="inlineStr">
        <is>
          <t>GÄVLEBORGS LÄN</t>
        </is>
      </c>
      <c r="G488" t="inlineStr">
        <is>
          <t>GÄVLE</t>
        </is>
      </c>
      <c r="I488" t="n">
        <v>8.6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46095</v>
      </c>
      <c r="E489" s="1" t="n">
        <v>46268</v>
      </c>
      <c r="F489" t="inlineStr">
        <is>
          <t>GÄVLEBORGS LÄN</t>
        </is>
      </c>
      <c r="G489" t="inlineStr">
        <is>
          <t>GÄVLE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47746-2023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45203</v>
      </c>
      <c r="E490" s="1" t="n">
        <v>46268</v>
      </c>
      <c r="F490" t="inlineStr">
        <is>
          <t>GÄVLEBORGS LÄN</t>
        </is>
      </c>
      <c r="G490" t="inlineStr">
        <is>
          <t>GÄVLE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62226-2025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46268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45632</v>
      </c>
      <c r="E492" s="1" t="n">
        <v>46268</v>
      </c>
      <c r="F492" t="inlineStr">
        <is>
          <t>GÄVLEBORGS LÄN</t>
        </is>
      </c>
      <c r="G492" t="inlineStr">
        <is>
          <t>GÄVLE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46268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52495-2021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44466</v>
      </c>
      <c r="E494" s="1" t="n">
        <v>46268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34668-2024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46268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45666</v>
      </c>
      <c r="E496" s="1" t="n">
        <v>46268</v>
      </c>
      <c r="F496" t="inlineStr">
        <is>
          <t>GÄVLEBORGS LÄN</t>
        </is>
      </c>
      <c r="G496" t="inlineStr">
        <is>
          <t>GÄVLE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20689-2024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45436</v>
      </c>
      <c r="E497" s="1" t="n">
        <v>46268</v>
      </c>
      <c r="F497" t="inlineStr">
        <is>
          <t>GÄVLEBORGS LÄN</t>
        </is>
      </c>
      <c r="G497" t="inlineStr">
        <is>
          <t>GÄVLE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62742-2025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46008</v>
      </c>
      <c r="E498" s="1" t="n">
        <v>46268</v>
      </c>
      <c r="F498" t="inlineStr">
        <is>
          <t>GÄVLEBORGS LÄN</t>
        </is>
      </c>
      <c r="G498" t="inlineStr">
        <is>
          <t>GÄVLE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46268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32353-2023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45120</v>
      </c>
      <c r="E500" s="1" t="n">
        <v>46268</v>
      </c>
      <c r="F500" t="inlineStr">
        <is>
          <t>GÄVLEBORGS LÄN</t>
        </is>
      </c>
      <c r="G500" t="inlineStr">
        <is>
          <t>GÄVLE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14401-2026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46100</v>
      </c>
      <c r="E501" s="1" t="n">
        <v>46268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46268</v>
      </c>
      <c r="F502" t="inlineStr">
        <is>
          <t>GÄVLEBORGS LÄN</t>
        </is>
      </c>
      <c r="G502" t="inlineStr">
        <is>
          <t>GÄVLE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35450-2025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46268</v>
      </c>
      <c r="F503" t="inlineStr">
        <is>
          <t>GÄVLEBORGS LÄN</t>
        </is>
      </c>
      <c r="G503" t="inlineStr">
        <is>
          <t>GÄVLE</t>
        </is>
      </c>
      <c r="I503" t="n">
        <v>8.199999999999999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63801-2025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46019</v>
      </c>
      <c r="E504" s="1" t="n">
        <v>46268</v>
      </c>
      <c r="F504" t="inlineStr">
        <is>
          <t>GÄVLEBORGS LÄN</t>
        </is>
      </c>
      <c r="G504" t="inlineStr">
        <is>
          <t>GÄVLE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54953-2025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45967</v>
      </c>
      <c r="E505" s="1" t="n">
        <v>46268</v>
      </c>
      <c r="F505" t="inlineStr">
        <is>
          <t>GÄVLEBORGS LÄN</t>
        </is>
      </c>
      <c r="G505" t="inlineStr">
        <is>
          <t>GÄVLE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46268</v>
      </c>
      <c r="F506" t="inlineStr">
        <is>
          <t>GÄVLEBORGS LÄN</t>
        </is>
      </c>
      <c r="G506" t="inlineStr">
        <is>
          <t>GÄVLE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45932</v>
      </c>
      <c r="E507" s="1" t="n">
        <v>46268</v>
      </c>
      <c r="F507" t="inlineStr">
        <is>
          <t>GÄVLEBORGS LÄN</t>
        </is>
      </c>
      <c r="G507" t="inlineStr">
        <is>
          <t>GÄVLE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64868-2023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46268</v>
      </c>
      <c r="F508" t="inlineStr">
        <is>
          <t>GÄVLEBORGS LÄN</t>
        </is>
      </c>
      <c r="G508" t="inlineStr">
        <is>
          <t>GÄVLE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63800-2025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46019</v>
      </c>
      <c r="E509" s="1" t="n">
        <v>46268</v>
      </c>
      <c r="F509" t="inlineStr">
        <is>
          <t>GÄVLEBORGS LÄN</t>
        </is>
      </c>
      <c r="G509" t="inlineStr">
        <is>
          <t>GÄVLE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42788-2025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45908</v>
      </c>
      <c r="E510" s="1" t="n">
        <v>46268</v>
      </c>
      <c r="F510" t="inlineStr">
        <is>
          <t>GÄVLEBORGS LÄN</t>
        </is>
      </c>
      <c r="G510" t="inlineStr">
        <is>
          <t>GÄVLE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48928-2025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45937</v>
      </c>
      <c r="E511" s="1" t="n">
        <v>46268</v>
      </c>
      <c r="F511" t="inlineStr">
        <is>
          <t>GÄVLEBORGS LÄN</t>
        </is>
      </c>
      <c r="G511" t="inlineStr">
        <is>
          <t>GÄVLE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45937</v>
      </c>
      <c r="E512" s="1" t="n">
        <v>46268</v>
      </c>
      <c r="F512" t="inlineStr">
        <is>
          <t>GÄVLEBORGS LÄN</t>
        </is>
      </c>
      <c r="G512" t="inlineStr">
        <is>
          <t>GÄVLE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45908</v>
      </c>
      <c r="E513" s="1" t="n">
        <v>46268</v>
      </c>
      <c r="F513" t="inlineStr">
        <is>
          <t>GÄVLEBORGS LÄN</t>
        </is>
      </c>
      <c r="G513" t="inlineStr">
        <is>
          <t>GÄVLE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46268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47694-2025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45931</v>
      </c>
      <c r="E515" s="1" t="n">
        <v>46268</v>
      </c>
      <c r="F515" t="inlineStr">
        <is>
          <t>GÄVLEBORGS LÄN</t>
        </is>
      </c>
      <c r="G515" t="inlineStr">
        <is>
          <t>GÄVLE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46268</v>
      </c>
      <c r="F516" t="inlineStr">
        <is>
          <t>GÄVLEBORGS LÄN</t>
        </is>
      </c>
      <c r="G516" t="inlineStr">
        <is>
          <t>GÄVLE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64142-2025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46022</v>
      </c>
      <c r="E517" s="1" t="n">
        <v>46268</v>
      </c>
      <c r="F517" t="inlineStr">
        <is>
          <t>GÄVLEBORGS LÄN</t>
        </is>
      </c>
      <c r="G517" t="inlineStr">
        <is>
          <t>GÄVLE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45672</v>
      </c>
      <c r="E518" s="1" t="n">
        <v>46268</v>
      </c>
      <c r="F518" t="inlineStr">
        <is>
          <t>GÄVLEBORGS LÄN</t>
        </is>
      </c>
      <c r="G518" t="inlineStr">
        <is>
          <t>GÄVLE</t>
        </is>
      </c>
      <c r="H518" t="inlineStr">
        <is>
          <t>Kyrkan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46268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15046-2026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46268</v>
      </c>
      <c r="F520" t="inlineStr">
        <is>
          <t>GÄVLEBORGS LÄN</t>
        </is>
      </c>
      <c r="G520" t="inlineStr">
        <is>
          <t>GÄVLE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61016-2024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46268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45422</v>
      </c>
      <c r="E522" s="1" t="n">
        <v>46268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46268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46268</v>
      </c>
      <c r="F524" t="inlineStr">
        <is>
          <t>GÄVLEBORGS LÄN</t>
        </is>
      </c>
      <c r="G524" t="inlineStr">
        <is>
          <t>GÄVLE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46268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46105</v>
      </c>
      <c r="E526" s="1" t="n">
        <v>46268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20682-2023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45058</v>
      </c>
      <c r="E527" s="1" t="n">
        <v>46268</v>
      </c>
      <c r="F527" t="inlineStr">
        <is>
          <t>GÄVLEBORGS LÄN</t>
        </is>
      </c>
      <c r="G527" t="inlineStr">
        <is>
          <t>GÄVLE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44586</v>
      </c>
      <c r="E528" s="1" t="n">
        <v>46268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45658</v>
      </c>
      <c r="E529" s="1" t="n">
        <v>46268</v>
      </c>
      <c r="F529" t="inlineStr">
        <is>
          <t>GÄVLEBORGS LÄN</t>
        </is>
      </c>
      <c r="G529" t="inlineStr">
        <is>
          <t>GÄVLE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66351-2021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44518</v>
      </c>
      <c r="E530" s="1" t="n">
        <v>46268</v>
      </c>
      <c r="F530" t="inlineStr">
        <is>
          <t>GÄVLEBORGS LÄN</t>
        </is>
      </c>
      <c r="G530" t="inlineStr">
        <is>
          <t>GÄVLE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45084</v>
      </c>
      <c r="E531" s="1" t="n">
        <v>46268</v>
      </c>
      <c r="F531" t="inlineStr">
        <is>
          <t>GÄVLEBORGS LÄN</t>
        </is>
      </c>
      <c r="G531" t="inlineStr">
        <is>
          <t>GÄVLE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15985-2026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46108</v>
      </c>
      <c r="E532" s="1" t="n">
        <v>46268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16430-2026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46268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46268</v>
      </c>
      <c r="F534" t="inlineStr">
        <is>
          <t>GÄVLEBORGS LÄN</t>
        </is>
      </c>
      <c r="G534" t="inlineStr">
        <is>
          <t>GÄVLE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29929-2022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44756</v>
      </c>
      <c r="E535" s="1" t="n">
        <v>46268</v>
      </c>
      <c r="F535" t="inlineStr">
        <is>
          <t>GÄVLEBORGS LÄN</t>
        </is>
      </c>
      <c r="G535" t="inlineStr">
        <is>
          <t>GÄVLE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38673-2024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45547</v>
      </c>
      <c r="E536" s="1" t="n">
        <v>46268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46122</v>
      </c>
      <c r="E537" s="1" t="n">
        <v>46268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44936</v>
      </c>
      <c r="E538" s="1" t="n">
        <v>46268</v>
      </c>
      <c r="F538" t="inlineStr">
        <is>
          <t>GÄVLEBORGS LÄN</t>
        </is>
      </c>
      <c r="G538" t="inlineStr">
        <is>
          <t>GÄVLE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46077</v>
      </c>
      <c r="E539" s="1" t="n">
        <v>46268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60442-2022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44911</v>
      </c>
      <c r="E540" s="1" t="n">
        <v>46268</v>
      </c>
      <c r="F540" t="inlineStr">
        <is>
          <t>GÄVLEBORGS LÄN</t>
        </is>
      </c>
      <c r="G540" t="inlineStr">
        <is>
          <t>GÄVLE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46268</v>
      </c>
      <c r="F541" t="inlineStr">
        <is>
          <t>GÄVLEBORGS LÄN</t>
        </is>
      </c>
      <c r="G541" t="inlineStr">
        <is>
          <t>GÄVLE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46125</v>
      </c>
      <c r="E542" s="1" t="n">
        <v>46268</v>
      </c>
      <c r="F542" t="inlineStr">
        <is>
          <t>GÄVLEBORGS LÄN</t>
        </is>
      </c>
      <c r="G542" t="inlineStr">
        <is>
          <t>GÄVLE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46268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18175-2026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46125</v>
      </c>
      <c r="E544" s="1" t="n">
        <v>46268</v>
      </c>
      <c r="F544" t="inlineStr">
        <is>
          <t>GÄVLEBORGS LÄN</t>
        </is>
      </c>
      <c r="G544" t="inlineStr">
        <is>
          <t>GÄVLE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61786-2024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45649</v>
      </c>
      <c r="E545" s="1" t="n">
        <v>46268</v>
      </c>
      <c r="F545" t="inlineStr">
        <is>
          <t>GÄVLEBORGS LÄN</t>
        </is>
      </c>
      <c r="G545" t="inlineStr">
        <is>
          <t>GÄVLE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46124</v>
      </c>
      <c r="E546" s="1" t="n">
        <v>46268</v>
      </c>
      <c r="F546" t="inlineStr">
        <is>
          <t>GÄVLEBORGS LÄN</t>
        </is>
      </c>
      <c r="G546" t="inlineStr">
        <is>
          <t>GÄVLE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17977-2026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46124</v>
      </c>
      <c r="E547" s="1" t="n">
        <v>46268</v>
      </c>
      <c r="F547" t="inlineStr">
        <is>
          <t>GÄVLEBORGS LÄN</t>
        </is>
      </c>
      <c r="G547" t="inlineStr">
        <is>
          <t>GÄVLE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46124</v>
      </c>
      <c r="E548" s="1" t="n">
        <v>46268</v>
      </c>
      <c r="F548" t="inlineStr">
        <is>
          <t>GÄVLEBORGS LÄN</t>
        </is>
      </c>
      <c r="G548" t="inlineStr">
        <is>
          <t>GÄVLE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13046-2026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46093</v>
      </c>
      <c r="E549" s="1" t="n">
        <v>46268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46268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46268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45320</v>
      </c>
      <c r="E552" s="1" t="n">
        <v>46268</v>
      </c>
      <c r="F552" t="inlineStr">
        <is>
          <t>GÄVLEBORGS LÄN</t>
        </is>
      </c>
      <c r="G552" t="inlineStr">
        <is>
          <t>GÄVLE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14966-2026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46268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18817-2026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46268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46268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46268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15568-2026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46268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46268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19087-2026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46268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46132</v>
      </c>
      <c r="E560" s="1" t="n">
        <v>46268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19085-2026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46132</v>
      </c>
      <c r="E561" s="1" t="n">
        <v>46268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46268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46268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46268</v>
      </c>
      <c r="F564" t="inlineStr">
        <is>
          <t>GÄVLEBORGS LÄN</t>
        </is>
      </c>
      <c r="G564" t="inlineStr">
        <is>
          <t>GÄVLE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46268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19715-2026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46268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12386-2026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46090</v>
      </c>
      <c r="E567" s="1" t="n">
        <v>46268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46268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46268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46268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45120</v>
      </c>
      <c r="E571" s="1" t="n">
        <v>46268</v>
      </c>
      <c r="F571" t="inlineStr">
        <is>
          <t>GÄVLEBORGS LÄN</t>
        </is>
      </c>
      <c r="G571" t="inlineStr">
        <is>
          <t>GÄVLE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46268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46100</v>
      </c>
      <c r="E573" s="1" t="n">
        <v>46268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46268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44800-2024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45574</v>
      </c>
      <c r="E575" s="1" t="n">
        <v>46268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46268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45312</v>
      </c>
      <c r="E577" s="1" t="n">
        <v>46268</v>
      </c>
      <c r="F577" t="inlineStr">
        <is>
          <t>GÄVLEBORGS LÄN</t>
        </is>
      </c>
      <c r="G577" t="inlineStr">
        <is>
          <t>GÄVLE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45915</v>
      </c>
      <c r="E578" s="1" t="n">
        <v>46268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15324-2026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46268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46268</v>
      </c>
      <c r="F580" t="inlineStr">
        <is>
          <t>GÄVLEBORGS LÄN</t>
        </is>
      </c>
      <c r="G580" t="inlineStr">
        <is>
          <t>GÄVLE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59817-2023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45257</v>
      </c>
      <c r="E581" s="1" t="n">
        <v>46268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46107</v>
      </c>
      <c r="E582" s="1" t="n">
        <v>46268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45686</v>
      </c>
      <c r="E583" s="1" t="n">
        <v>46268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45945</v>
      </c>
      <c r="E584" s="1" t="n">
        <v>46268</v>
      </c>
      <c r="F584" t="inlineStr">
        <is>
          <t>GÄVLEBORGS LÄN</t>
        </is>
      </c>
      <c r="G584" t="inlineStr">
        <is>
          <t>GÄVLE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46268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14173-2022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44651</v>
      </c>
      <c r="E586" s="1" t="n">
        <v>46268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42876-2023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45182</v>
      </c>
      <c r="E587" s="1" t="n">
        <v>46268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26094-2025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45805</v>
      </c>
      <c r="E588" s="1" t="n">
        <v>46268</v>
      </c>
      <c r="F588" t="inlineStr">
        <is>
          <t>GÄVLEBORGS LÄN</t>
        </is>
      </c>
      <c r="G588" t="inlineStr">
        <is>
          <t>GÄVLE</t>
        </is>
      </c>
      <c r="I588" t="n">
        <v>12.4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46094</v>
      </c>
      <c r="E589" s="1" t="n">
        <v>46268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35916-2025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45862</v>
      </c>
      <c r="E590" s="1" t="n">
        <v>46268</v>
      </c>
      <c r="F590" t="inlineStr">
        <is>
          <t>GÄVLEBORGS LÄN</t>
        </is>
      </c>
      <c r="G590" t="inlineStr">
        <is>
          <t>GÄVLE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17404-2025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45757</v>
      </c>
      <c r="E591" s="1" t="n">
        <v>46268</v>
      </c>
      <c r="F591" t="inlineStr">
        <is>
          <t>GÄVLEBORGS LÄN</t>
        </is>
      </c>
      <c r="G591" t="inlineStr">
        <is>
          <t>GÄVLE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46031</v>
      </c>
      <c r="E592" s="1" t="n">
        <v>46268</v>
      </c>
      <c r="F592" t="inlineStr">
        <is>
          <t>GÄVLEBORGS LÄN</t>
        </is>
      </c>
      <c r="G592" t="inlineStr">
        <is>
          <t>GÄVLE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15101-2025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46268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45905</v>
      </c>
      <c r="E594" s="1" t="n">
        <v>46268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45539</v>
      </c>
      <c r="E595" s="1" t="n">
        <v>46268</v>
      </c>
      <c r="F595" t="inlineStr">
        <is>
          <t>GÄVLEBORGS LÄN</t>
        </is>
      </c>
      <c r="G595" t="inlineStr">
        <is>
          <t>GÄVLE</t>
        </is>
      </c>
      <c r="I595" t="n">
        <v>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45660</v>
      </c>
      <c r="E596" s="1" t="n">
        <v>46268</v>
      </c>
      <c r="F596" t="inlineStr">
        <is>
          <t>GÄVLEBORGS LÄN</t>
        </is>
      </c>
      <c r="G596" t="inlineStr">
        <is>
          <t>GÄVLE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45715</v>
      </c>
      <c r="E597" s="1" t="n">
        <v>46268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8.1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15536-2026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46268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22.4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46077</v>
      </c>
      <c r="E599" s="1" t="n">
        <v>46268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46107</v>
      </c>
      <c r="E600" s="1" t="n">
        <v>46268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46268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45744</v>
      </c>
      <c r="E602" s="1" t="n">
        <v>46268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45673</v>
      </c>
      <c r="E603" s="1" t="n">
        <v>46268</v>
      </c>
      <c r="F603" t="inlineStr">
        <is>
          <t>GÄVLEBORGS LÄN</t>
        </is>
      </c>
      <c r="G603" t="inlineStr">
        <is>
          <t>GÄVLE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45673</v>
      </c>
      <c r="E604" s="1" t="n">
        <v>46268</v>
      </c>
      <c r="F604" t="inlineStr">
        <is>
          <t>GÄVLEBORGS LÄN</t>
        </is>
      </c>
      <c r="G604" t="inlineStr">
        <is>
          <t>GÄVLE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46070</v>
      </c>
      <c r="E605" s="1" t="n">
        <v>46268</v>
      </c>
      <c r="F605" t="inlineStr">
        <is>
          <t>GÄVLEBORGS LÄN</t>
        </is>
      </c>
      <c r="G605" t="inlineStr">
        <is>
          <t>GÄVLE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46268</v>
      </c>
      <c r="F606" t="inlineStr">
        <is>
          <t>GÄVLEBORGS LÄN</t>
        </is>
      </c>
      <c r="G606" t="inlineStr">
        <is>
          <t>GÄVLE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46268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15275-2026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46268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61501-2024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45646</v>
      </c>
      <c r="E609" s="1" t="n">
        <v>46268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47458-2022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44853</v>
      </c>
      <c r="E610" s="1" t="n">
        <v>46268</v>
      </c>
      <c r="F610" t="inlineStr">
        <is>
          <t>GÄVLEBORGS LÄN</t>
        </is>
      </c>
      <c r="G610" t="inlineStr">
        <is>
          <t>GÄVLE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9025-2026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46069</v>
      </c>
      <c r="E611" s="1" t="n">
        <v>46268</v>
      </c>
      <c r="F611" t="inlineStr">
        <is>
          <t>GÄVLEBORGS LÄN</t>
        </is>
      </c>
      <c r="G611" t="inlineStr">
        <is>
          <t>GÄVLE</t>
        </is>
      </c>
      <c r="I611" t="n">
        <v>12.7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44938-2022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44841</v>
      </c>
      <c r="E612" s="1" t="n">
        <v>46268</v>
      </c>
      <c r="F612" t="inlineStr">
        <is>
          <t>GÄVLEBORGS LÄN</t>
        </is>
      </c>
      <c r="G612" t="inlineStr">
        <is>
          <t>GÄVLE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36512-2025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45869</v>
      </c>
      <c r="E613" s="1" t="n">
        <v>46268</v>
      </c>
      <c r="F613" t="inlineStr">
        <is>
          <t>GÄVLEBORGS LÄN</t>
        </is>
      </c>
      <c r="G613" t="inlineStr">
        <is>
          <t>GÄVLE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46268</v>
      </c>
      <c r="F614" t="inlineStr">
        <is>
          <t>GÄVLEBORGS LÄN</t>
        </is>
      </c>
      <c r="G614" t="inlineStr">
        <is>
          <t>GÄVLE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14355-2026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46268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6331-2022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44600</v>
      </c>
      <c r="E616" s="1" t="n">
        <v>46268</v>
      </c>
      <c r="F616" t="inlineStr">
        <is>
          <t>GÄVLEBORGS LÄN</t>
        </is>
      </c>
      <c r="G616" t="inlineStr">
        <is>
          <t>GÄVLE</t>
        </is>
      </c>
      <c r="H616" t="inlineStr">
        <is>
          <t>Kyrkan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15647-2026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46268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46268</v>
      </c>
      <c r="F618" t="inlineStr">
        <is>
          <t>GÄVLEBORGS LÄN</t>
        </is>
      </c>
      <c r="G618" t="inlineStr">
        <is>
          <t>GÄVLE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1096-2026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46268</v>
      </c>
      <c r="F619" t="inlineStr">
        <is>
          <t>GÄVLEBORGS LÄN</t>
        </is>
      </c>
      <c r="G619" t="inlineStr">
        <is>
          <t>GÄVLE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10487-2026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46077</v>
      </c>
      <c r="E620" s="1" t="n">
        <v>46268</v>
      </c>
      <c r="F620" t="inlineStr">
        <is>
          <t>GÄVLEBORGS LÄN</t>
        </is>
      </c>
      <c r="G620" t="inlineStr">
        <is>
          <t>GÄVLE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16190-2026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46111</v>
      </c>
      <c r="E621" s="1" t="n">
        <v>46268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16263-2026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46268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16076-2026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46108</v>
      </c>
      <c r="E623" s="1" t="n">
        <v>46268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46268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1475-2026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46033</v>
      </c>
      <c r="E625" s="1" t="n">
        <v>46268</v>
      </c>
      <c r="F625" t="inlineStr">
        <is>
          <t>GÄVLEBORGS LÄN</t>
        </is>
      </c>
      <c r="G625" t="inlineStr">
        <is>
          <t>GÄVLE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46268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7441-2025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45705</v>
      </c>
      <c r="E627" s="1" t="n">
        <v>46268</v>
      </c>
      <c r="F627" t="inlineStr">
        <is>
          <t>GÄVLEBORGS LÄN</t>
        </is>
      </c>
      <c r="G627" t="inlineStr">
        <is>
          <t>GÄVLE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50582-2023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45217</v>
      </c>
      <c r="E628" s="1" t="n">
        <v>46268</v>
      </c>
      <c r="F628" t="inlineStr">
        <is>
          <t>GÄVLEBORGS LÄN</t>
        </is>
      </c>
      <c r="G628" t="inlineStr">
        <is>
          <t>GÄVLE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45784</v>
      </c>
      <c r="E629" s="1" t="n">
        <v>46268</v>
      </c>
      <c r="F629" t="inlineStr">
        <is>
          <t>GÄVLEBORGS LÄN</t>
        </is>
      </c>
      <c r="G629" t="inlineStr">
        <is>
          <t>GÄVLE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20685-2026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46141</v>
      </c>
      <c r="E630" s="1" t="n">
        <v>46268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20735-2026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46141</v>
      </c>
      <c r="E631" s="1" t="n">
        <v>46268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9235-2022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44616</v>
      </c>
      <c r="E632" s="1" t="n">
        <v>46268</v>
      </c>
      <c r="F632" t="inlineStr">
        <is>
          <t>GÄVLEBORGS LÄN</t>
        </is>
      </c>
      <c r="G632" t="inlineStr">
        <is>
          <t>GÄVLE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20906-2026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46142</v>
      </c>
      <c r="E633" s="1" t="n">
        <v>46268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20905-2026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46142</v>
      </c>
      <c r="E634" s="1" t="n">
        <v>46268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53082-2022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44876</v>
      </c>
      <c r="E635" s="1" t="n">
        <v>46268</v>
      </c>
      <c r="F635" t="inlineStr">
        <is>
          <t>GÄVLEBORGS LÄN</t>
        </is>
      </c>
      <c r="G635" t="inlineStr">
        <is>
          <t>GÄVLE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72734-2021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44546</v>
      </c>
      <c r="E636" s="1" t="n">
        <v>46268</v>
      </c>
      <c r="F636" t="inlineStr">
        <is>
          <t>GÄVLEBORGS LÄN</t>
        </is>
      </c>
      <c r="G636" t="inlineStr">
        <is>
          <t>GÄVLE</t>
        </is>
      </c>
      <c r="H636" t="inlineStr">
        <is>
          <t>Kommuner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46045</v>
      </c>
      <c r="E637" s="1" t="n">
        <v>46268</v>
      </c>
      <c r="F637" t="inlineStr">
        <is>
          <t>GÄVLEBORGS LÄN</t>
        </is>
      </c>
      <c r="G637" t="inlineStr">
        <is>
          <t>GÄVLE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21364-2026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46147</v>
      </c>
      <c r="E638" s="1" t="n">
        <v>46268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53432-2021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44468</v>
      </c>
      <c r="E639" s="1" t="n">
        <v>46268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21033-2026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46146</v>
      </c>
      <c r="E640" s="1" t="n">
        <v>46268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14707-2026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46101</v>
      </c>
      <c r="E641" s="1" t="n">
        <v>46268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16144-2026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46108</v>
      </c>
      <c r="E642" s="1" t="n">
        <v>46268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58445-2021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44488</v>
      </c>
      <c r="E643" s="1" t="n">
        <v>46268</v>
      </c>
      <c r="F643" t="inlineStr">
        <is>
          <t>GÄVLEBORGS LÄN</t>
        </is>
      </c>
      <c r="G643" t="inlineStr">
        <is>
          <t>GÄVLE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66493-2021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44519</v>
      </c>
      <c r="E644" s="1" t="n">
        <v>46268</v>
      </c>
      <c r="F644" t="inlineStr">
        <is>
          <t>GÄVLEBORGS LÄN</t>
        </is>
      </c>
      <c r="G644" t="inlineStr">
        <is>
          <t>GÄVLE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46268</v>
      </c>
      <c r="F645" t="inlineStr">
        <is>
          <t>GÄVLEBORGS LÄN</t>
        </is>
      </c>
      <c r="G645" t="inlineStr">
        <is>
          <t>GÄVLE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46268</v>
      </c>
      <c r="F646" t="inlineStr">
        <is>
          <t>GÄVLEBORGS LÄN</t>
        </is>
      </c>
      <c r="G646" t="inlineStr">
        <is>
          <t>GÄVLE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46268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46153</v>
      </c>
      <c r="E648" s="1" t="n">
        <v>46268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46268</v>
      </c>
      <c r="F649" t="inlineStr">
        <is>
          <t>GÄVLEBORGS LÄN</t>
        </is>
      </c>
      <c r="G649" t="inlineStr">
        <is>
          <t>GÄVLE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46268</v>
      </c>
      <c r="F650" t="inlineStr">
        <is>
          <t>GÄVLEBORGS LÄN</t>
        </is>
      </c>
      <c r="G650" t="inlineStr">
        <is>
          <t>GÄVLE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15158-2026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46268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22545-2026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46268</v>
      </c>
      <c r="F652" t="inlineStr">
        <is>
          <t>GÄVLEBORGS LÄN</t>
        </is>
      </c>
      <c r="G652" t="inlineStr">
        <is>
          <t>GÄVLE</t>
        </is>
      </c>
      <c r="H652" t="inlineStr">
        <is>
          <t>Kyrkan</t>
        </is>
      </c>
      <c r="I652" t="n">
        <v>10.1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1238-2023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44936</v>
      </c>
      <c r="E653" s="1" t="n">
        <v>46268</v>
      </c>
      <c r="F653" t="inlineStr">
        <is>
          <t>GÄVLEBORGS LÄN</t>
        </is>
      </c>
      <c r="G653" t="inlineStr">
        <is>
          <t>GÄVLE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46268</v>
      </c>
      <c r="F654" t="inlineStr">
        <is>
          <t>GÄVLEBORGS LÄN</t>
        </is>
      </c>
      <c r="G654" t="inlineStr">
        <is>
          <t>GÄVLE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15152-2026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46105</v>
      </c>
      <c r="E655" s="1" t="n">
        <v>46268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45312</v>
      </c>
      <c r="E656" s="1" t="n">
        <v>46268</v>
      </c>
      <c r="F656" t="inlineStr">
        <is>
          <t>GÄVLEBORGS LÄN</t>
        </is>
      </c>
      <c r="G656" t="inlineStr">
        <is>
          <t>GÄVLE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46268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22342-2026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46154</v>
      </c>
      <c r="E658" s="1" t="n">
        <v>46268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51071-2023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45218</v>
      </c>
      <c r="E659" s="1" t="n">
        <v>46268</v>
      </c>
      <c r="F659" t="inlineStr">
        <is>
          <t>GÄVLEBORGS LÄN</t>
        </is>
      </c>
      <c r="G659" t="inlineStr">
        <is>
          <t>GÄVLE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15790-2026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46107</v>
      </c>
      <c r="E660" s="1" t="n">
        <v>46268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17113-2024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45412</v>
      </c>
      <c r="E661" s="1" t="n">
        <v>46268</v>
      </c>
      <c r="F661" t="inlineStr">
        <is>
          <t>GÄVLEBORGS LÄN</t>
        </is>
      </c>
      <c r="G661" t="inlineStr">
        <is>
          <t>GÄVLE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46268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45312</v>
      </c>
      <c r="E663" s="1" t="n">
        <v>46268</v>
      </c>
      <c r="F663" t="inlineStr">
        <is>
          <t>GÄVLEBORGS LÄN</t>
        </is>
      </c>
      <c r="G663" t="inlineStr">
        <is>
          <t>GÄVLE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15469-2026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46268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15167-2026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46105</v>
      </c>
      <c r="E665" s="1" t="n">
        <v>46268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15711-2026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46107</v>
      </c>
      <c r="E666" s="1" t="n">
        <v>46268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46268</v>
      </c>
      <c r="F667" t="inlineStr">
        <is>
          <t>GÄVLEBORGS LÄN</t>
        </is>
      </c>
      <c r="G667" t="inlineStr">
        <is>
          <t>GÄVLE</t>
        </is>
      </c>
      <c r="H667" t="inlineStr">
        <is>
          <t>Kyrkan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46268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23591-2026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46163</v>
      </c>
      <c r="E669" s="1" t="n">
        <v>46268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45595</v>
      </c>
      <c r="E670" s="1" t="n">
        <v>46268</v>
      </c>
      <c r="F670" t="inlineStr">
        <is>
          <t>GÄVLEBORGS LÄN</t>
        </is>
      </c>
      <c r="G670" t="inlineStr">
        <is>
          <t>GÄVLE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46539-2021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44445</v>
      </c>
      <c r="E671" s="1" t="n">
        <v>46268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46268</v>
      </c>
      <c r="F672" t="inlineStr">
        <is>
          <t>GÄVLEBORGS LÄN</t>
        </is>
      </c>
      <c r="G672" t="inlineStr">
        <is>
          <t>GÄVLE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64871-2023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45282</v>
      </c>
      <c r="E673" s="1" t="n">
        <v>46268</v>
      </c>
      <c r="F673" t="inlineStr">
        <is>
          <t>GÄVLEBORGS LÄN</t>
        </is>
      </c>
      <c r="G673" t="inlineStr">
        <is>
          <t>GÄVLE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64875-2023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45282</v>
      </c>
      <c r="E674" s="1" t="n">
        <v>46268</v>
      </c>
      <c r="F674" t="inlineStr">
        <is>
          <t>GÄVLEBORGS LÄN</t>
        </is>
      </c>
      <c r="G674" t="inlineStr">
        <is>
          <t>GÄVLE</t>
        </is>
      </c>
      <c r="I674" t="n">
        <v>0.1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64878-2023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45282</v>
      </c>
      <c r="E675" s="1" t="n">
        <v>46268</v>
      </c>
      <c r="F675" t="inlineStr">
        <is>
          <t>GÄVLEBORGS LÄN</t>
        </is>
      </c>
      <c r="G675" t="inlineStr">
        <is>
          <t>GÄVLE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23956-2026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46268</v>
      </c>
      <c r="F676" t="inlineStr">
        <is>
          <t>GÄVLEBORGS LÄN</t>
        </is>
      </c>
      <c r="G676" t="inlineStr">
        <is>
          <t>GÄVLE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42934-2023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46268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väst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36638-2022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44804</v>
      </c>
      <c r="E678" s="1" t="n">
        <v>46268</v>
      </c>
      <c r="F678" t="inlineStr">
        <is>
          <t>GÄVLEBORGS LÄN</t>
        </is>
      </c>
      <c r="G678" t="inlineStr">
        <is>
          <t>GÄVLE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45628-2022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44845</v>
      </c>
      <c r="E679" s="1" t="n">
        <v>46268</v>
      </c>
      <c r="F679" t="inlineStr">
        <is>
          <t>GÄVLEBORGS LÄN</t>
        </is>
      </c>
      <c r="G679" t="inlineStr">
        <is>
          <t>GÄVLE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24325-2026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46268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46268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24400-2026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46268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24295-2026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46268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24306-2026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46169</v>
      </c>
      <c r="E684" s="1" t="n">
        <v>46268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24089-2026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46268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46268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60792-2024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45644</v>
      </c>
      <c r="E687" s="1" t="n">
        <v>46268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60801-2024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46268</v>
      </c>
      <c r="F688" t="inlineStr">
        <is>
          <t>GÄVLEBORGS LÄN</t>
        </is>
      </c>
      <c r="G688" t="inlineStr">
        <is>
          <t>GÄVLE</t>
        </is>
      </c>
      <c r="H688" t="inlineStr">
        <is>
          <t>Kyrkan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46268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24373-2026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46169</v>
      </c>
      <c r="E690" s="1" t="n">
        <v>46268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46268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22577-2022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44713</v>
      </c>
      <c r="E692" s="1" t="n">
        <v>46268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10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57168-2023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45245</v>
      </c>
      <c r="E693" s="1" t="n">
        <v>46268</v>
      </c>
      <c r="F693" t="inlineStr">
        <is>
          <t>GÄVLEBORGS LÄN</t>
        </is>
      </c>
      <c r="G693" t="inlineStr">
        <is>
          <t>GÄVLE</t>
        </is>
      </c>
      <c r="H693" t="inlineStr">
        <is>
          <t>Kyrkan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46170</v>
      </c>
      <c r="E694" s="1" t="n">
        <v>46268</v>
      </c>
      <c r="F694" t="inlineStr">
        <is>
          <t>GÄVLEBORGS LÄN</t>
        </is>
      </c>
      <c r="G694" t="inlineStr">
        <is>
          <t>GÄVLE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15207-2024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45400</v>
      </c>
      <c r="E695" s="1" t="n">
        <v>46268</v>
      </c>
      <c r="F695" t="inlineStr">
        <is>
          <t>GÄVLEBORGS LÄN</t>
        </is>
      </c>
      <c r="G695" t="inlineStr">
        <is>
          <t>GÄVLE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24810-2026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46173</v>
      </c>
      <c r="E696" s="1" t="n">
        <v>46268</v>
      </c>
      <c r="F696" t="inlineStr">
        <is>
          <t>GÄVLEBORGS LÄN</t>
        </is>
      </c>
      <c r="G696" t="inlineStr">
        <is>
          <t>GÄVLE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29016-2023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45104</v>
      </c>
      <c r="E697" s="1" t="n">
        <v>46268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60396-2022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44910</v>
      </c>
      <c r="E698" s="1" t="n">
        <v>46268</v>
      </c>
      <c r="F698" t="inlineStr">
        <is>
          <t>GÄVLEBORGS LÄN</t>
        </is>
      </c>
      <c r="G698" t="inlineStr">
        <is>
          <t>GÄVLE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46171</v>
      </c>
      <c r="E699" s="1" t="n">
        <v>46268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21.4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46268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25276-2024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45462</v>
      </c>
      <c r="E701" s="1" t="n">
        <v>46268</v>
      </c>
      <c r="F701" t="inlineStr">
        <is>
          <t>GÄVLEBORGS LÄN</t>
        </is>
      </c>
      <c r="G701" t="inlineStr">
        <is>
          <t>GÄVLE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45660</v>
      </c>
      <c r="E702" s="1" t="n">
        <v>46268</v>
      </c>
      <c r="F702" t="inlineStr">
        <is>
          <t>GÄVLEBORGS LÄN</t>
        </is>
      </c>
      <c r="G702" t="inlineStr">
        <is>
          <t>GÄVLE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45660</v>
      </c>
      <c r="E703" s="1" t="n">
        <v>46268</v>
      </c>
      <c r="F703" t="inlineStr">
        <is>
          <t>GÄVLEBORGS LÄN</t>
        </is>
      </c>
      <c r="G703" t="inlineStr">
        <is>
          <t>GÄVLE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25384-2026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46176</v>
      </c>
      <c r="E704" s="1" t="n">
        <v>46268</v>
      </c>
      <c r="F704" t="inlineStr">
        <is>
          <t>GÄVLEBORGS LÄN</t>
        </is>
      </c>
      <c r="G704" t="inlineStr">
        <is>
          <t>GÄVLE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27182-2022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44741</v>
      </c>
      <c r="E705" s="1" t="n">
        <v>46268</v>
      </c>
      <c r="F705" t="inlineStr">
        <is>
          <t>GÄVLEBORGS LÄN</t>
        </is>
      </c>
      <c r="G705" t="inlineStr">
        <is>
          <t>GÄVLE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25367-2026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46176</v>
      </c>
      <c r="E706" s="1" t="n">
        <v>46268</v>
      </c>
      <c r="F706" t="inlineStr">
        <is>
          <t>GÄVLEBORGS LÄN</t>
        </is>
      </c>
      <c r="G706" t="inlineStr">
        <is>
          <t>GÄVLE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46268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46268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8031-2024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45350</v>
      </c>
      <c r="E709" s="1" t="n">
        <v>46268</v>
      </c>
      <c r="F709" t="inlineStr">
        <is>
          <t>GÄVLEBORGS LÄN</t>
        </is>
      </c>
      <c r="G709" t="inlineStr">
        <is>
          <t>GÄVLE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25500-2026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46268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61351-2021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44498</v>
      </c>
      <c r="E711" s="1" t="n">
        <v>46268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20676-2026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46141</v>
      </c>
      <c r="E712" s="1" t="n">
        <v>46268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25513-2026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46177</v>
      </c>
      <c r="E713" s="1" t="n">
        <v>46268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53281-2024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45614</v>
      </c>
      <c r="E714" s="1" t="n">
        <v>46268</v>
      </c>
      <c r="F714" t="inlineStr">
        <is>
          <t>GÄVLEBORGS LÄN</t>
        </is>
      </c>
      <c r="G714" t="inlineStr">
        <is>
          <t>GÄVLE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25582-2026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46177</v>
      </c>
      <c r="E715" s="1" t="n">
        <v>46268</v>
      </c>
      <c r="F715" t="inlineStr">
        <is>
          <t>GÄVLEBORGS LÄN</t>
        </is>
      </c>
      <c r="G715" t="inlineStr">
        <is>
          <t>GÄVLE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46268</v>
      </c>
      <c r="F716" t="inlineStr">
        <is>
          <t>GÄVLEBORGS LÄN</t>
        </is>
      </c>
      <c r="G716" t="inlineStr">
        <is>
          <t>GÄVLE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60879-2023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45261</v>
      </c>
      <c r="E717" s="1" t="n">
        <v>46268</v>
      </c>
      <c r="F717" t="inlineStr">
        <is>
          <t>GÄVLEBORGS LÄN</t>
        </is>
      </c>
      <c r="G717" t="inlineStr">
        <is>
          <t>GÄVLE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46268</v>
      </c>
      <c r="F718" t="inlineStr">
        <is>
          <t>GÄVLEBORGS LÄN</t>
        </is>
      </c>
      <c r="G718" t="inlineStr">
        <is>
          <t>GÄVLE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26281-2026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46268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46268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15312-2023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45019</v>
      </c>
      <c r="E721" s="1" t="n">
        <v>46268</v>
      </c>
      <c r="F721" t="inlineStr">
        <is>
          <t>GÄVLEBORGS LÄN</t>
        </is>
      </c>
      <c r="G721" t="inlineStr">
        <is>
          <t>GÄVLE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52387-2022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44874</v>
      </c>
      <c r="E722" s="1" t="n">
        <v>46268</v>
      </c>
      <c r="F722" t="inlineStr">
        <is>
          <t>GÄVLEBORGS LÄN</t>
        </is>
      </c>
      <c r="G722" t="inlineStr">
        <is>
          <t>GÄVLE</t>
        </is>
      </c>
      <c r="H722" t="inlineStr">
        <is>
          <t>Kommuner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31011-2023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45113</v>
      </c>
      <c r="E723" s="1" t="n">
        <v>46268</v>
      </c>
      <c r="F723" t="inlineStr">
        <is>
          <t>GÄVLEBORGS LÄN</t>
        </is>
      </c>
      <c r="G723" t="inlineStr">
        <is>
          <t>GÄVLE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22466-2023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45070</v>
      </c>
      <c r="E724" s="1" t="n">
        <v>46268</v>
      </c>
      <c r="F724" t="inlineStr">
        <is>
          <t>GÄVLEBORGS LÄN</t>
        </is>
      </c>
      <c r="G724" t="inlineStr">
        <is>
          <t>GÄVLE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26600-2026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46268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16023-2023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45026</v>
      </c>
      <c r="E726" s="1" t="n">
        <v>46268</v>
      </c>
      <c r="F726" t="inlineStr">
        <is>
          <t>GÄVLEBORGS LÄN</t>
        </is>
      </c>
      <c r="G726" t="inlineStr">
        <is>
          <t>GÄVLE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26599-2026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46183</v>
      </c>
      <c r="E727" s="1" t="n">
        <v>46268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46268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45467</v>
      </c>
      <c r="E729" s="1" t="n">
        <v>46268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7235-2025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45702</v>
      </c>
      <c r="E730" s="1" t="n">
        <v>46268</v>
      </c>
      <c r="F730" t="inlineStr">
        <is>
          <t>GÄVLEBORGS LÄN</t>
        </is>
      </c>
      <c r="G730" t="inlineStr">
        <is>
          <t>GÄVLE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26991-2026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46268</v>
      </c>
      <c r="F731" t="inlineStr">
        <is>
          <t>GÄVLEBORGS LÄN</t>
        </is>
      </c>
      <c r="G731" t="inlineStr">
        <is>
          <t>GÄVLE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46268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46268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46268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46268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27053-2026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46268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46268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71215-2021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44539</v>
      </c>
      <c r="E738" s="1" t="n">
        <v>46268</v>
      </c>
      <c r="F738" t="inlineStr">
        <is>
          <t>GÄVLEBORGS LÄN</t>
        </is>
      </c>
      <c r="G738" t="inlineStr">
        <is>
          <t>GÄVLE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27057-2026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46268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27068-2026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46268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27361-2026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46268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46268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46268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46268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27056-2026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46268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46268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27069-2026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46268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61879-2024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45652</v>
      </c>
      <c r="E748" s="1" t="n">
        <v>46268</v>
      </c>
      <c r="F748" t="inlineStr">
        <is>
          <t>GÄVLEBORGS LÄN</t>
        </is>
      </c>
      <c r="G748" t="inlineStr">
        <is>
          <t>GÄVLE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27359-2026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46188</v>
      </c>
      <c r="E749" s="1" t="n">
        <v>46268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27360-2026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46188</v>
      </c>
      <c r="E750" s="1" t="n">
        <v>46268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46268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26942-2026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46268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46268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27040-2026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46268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5.5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46268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46268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27061-2026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46268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44694</v>
      </c>
      <c r="E758" s="1" t="n">
        <v>46268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39509-2022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44818</v>
      </c>
      <c r="E759" s="1" t="n">
        <v>46268</v>
      </c>
      <c r="F759" t="inlineStr">
        <is>
          <t>GÄVLEBORGS LÄN</t>
        </is>
      </c>
      <c r="G759" t="inlineStr">
        <is>
          <t>GÄVLE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30662-2022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44763</v>
      </c>
      <c r="E760" s="1" t="n">
        <v>46268</v>
      </c>
      <c r="F760" t="inlineStr">
        <is>
          <t>GÄVLEBORGS LÄN</t>
        </is>
      </c>
      <c r="G760" t="inlineStr">
        <is>
          <t>GÄVLE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61004-2024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46268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37352-2024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45540</v>
      </c>
      <c r="E762" s="1" t="n">
        <v>46268</v>
      </c>
      <c r="F762" t="inlineStr">
        <is>
          <t>GÄVLEBORGS LÄN</t>
        </is>
      </c>
      <c r="G762" t="inlineStr">
        <is>
          <t>GÄVLE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17605-2025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45757</v>
      </c>
      <c r="E763" s="1" t="n">
        <v>46268</v>
      </c>
      <c r="F763" t="inlineStr">
        <is>
          <t>GÄVLEBORGS LÄN</t>
        </is>
      </c>
      <c r="G763" t="inlineStr">
        <is>
          <t>GÄVLE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17607-2025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45757</v>
      </c>
      <c r="E764" s="1" t="n">
        <v>46268</v>
      </c>
      <c r="F764" t="inlineStr">
        <is>
          <t>GÄVLEBORGS LÄN</t>
        </is>
      </c>
      <c r="G764" t="inlineStr">
        <is>
          <t>GÄVLE</t>
        </is>
      </c>
      <c r="I764" t="n">
        <v>7.6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46268</v>
      </c>
      <c r="F765" t="inlineStr">
        <is>
          <t>GÄVLEBORGS LÄN</t>
        </is>
      </c>
      <c r="G765" t="inlineStr">
        <is>
          <t>GÄVLE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56487-2023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45243</v>
      </c>
      <c r="E766" s="1" t="n">
        <v>46268</v>
      </c>
      <c r="F766" t="inlineStr">
        <is>
          <t>GÄVLEBORGS LÄN</t>
        </is>
      </c>
      <c r="G766" t="inlineStr">
        <is>
          <t>GÄVLE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9307-2022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44616</v>
      </c>
      <c r="E767" s="1" t="n">
        <v>46268</v>
      </c>
      <c r="F767" t="inlineStr">
        <is>
          <t>GÄVLEBORGS LÄN</t>
        </is>
      </c>
      <c r="G767" t="inlineStr">
        <is>
          <t>GÄVLE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13193-2025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46268</v>
      </c>
      <c r="F768" t="inlineStr">
        <is>
          <t>GÄVLEBORGS LÄN</t>
        </is>
      </c>
      <c r="G768" t="inlineStr">
        <is>
          <t>GÄVLE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46196</v>
      </c>
      <c r="E769" s="1" t="n">
        <v>46268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28334-2026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46196</v>
      </c>
      <c r="E770" s="1" t="n">
        <v>46268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31866-2023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45106</v>
      </c>
      <c r="E771" s="1" t="n">
        <v>46268</v>
      </c>
      <c r="F771" t="inlineStr">
        <is>
          <t>GÄVLEBORGS LÄN</t>
        </is>
      </c>
      <c r="G771" t="inlineStr">
        <is>
          <t>GÄVLE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28379-2026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46196</v>
      </c>
      <c r="E772" s="1" t="n">
        <v>46268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45014</v>
      </c>
      <c r="E773" s="1" t="n">
        <v>46268</v>
      </c>
      <c r="F773" t="inlineStr">
        <is>
          <t>GÄVLEBORGS LÄN</t>
        </is>
      </c>
      <c r="G773" t="inlineStr">
        <is>
          <t>GÄVLE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46196</v>
      </c>
      <c r="E774" s="1" t="n">
        <v>46268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46239</v>
      </c>
      <c r="E775" s="1" t="n">
        <v>46268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33880-2022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44790</v>
      </c>
      <c r="E776" s="1" t="n">
        <v>46268</v>
      </c>
      <c r="F776" t="inlineStr">
        <is>
          <t>GÄVLEBORGS LÄN</t>
        </is>
      </c>
      <c r="G776" t="inlineStr">
        <is>
          <t>GÄVLE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6370-2025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45699</v>
      </c>
      <c r="E777" s="1" t="n">
        <v>46268</v>
      </c>
      <c r="F777" t="inlineStr">
        <is>
          <t>GÄVLEBORGS LÄN</t>
        </is>
      </c>
      <c r="G777" t="inlineStr">
        <is>
          <t>GÄVLE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28140-2026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46195</v>
      </c>
      <c r="E778" s="1" t="n">
        <v>46268</v>
      </c>
      <c r="F778" t="inlineStr">
        <is>
          <t>GÄVLEBORGS LÄN</t>
        </is>
      </c>
      <c r="G778" t="inlineStr">
        <is>
          <t>GÄVLE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32436-2026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46268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46800-2021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44446</v>
      </c>
      <c r="E780" s="1" t="n">
        <v>46268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46268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11691-2024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45373</v>
      </c>
      <c r="E782" s="1" t="n">
        <v>46268</v>
      </c>
      <c r="F782" t="inlineStr">
        <is>
          <t>GÄVLEBORGS LÄN</t>
        </is>
      </c>
      <c r="G782" t="inlineStr">
        <is>
          <t>GÄVLE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29494-2026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46198</v>
      </c>
      <c r="E783" s="1" t="n">
        <v>46268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29506-2026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46268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52.7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62766-2022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44885</v>
      </c>
      <c r="E785" s="1" t="n">
        <v>46268</v>
      </c>
      <c r="F785" t="inlineStr">
        <is>
          <t>GÄVLEBORGS LÄN</t>
        </is>
      </c>
      <c r="G785" t="inlineStr">
        <is>
          <t>GÄVLE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64873-2023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45282</v>
      </c>
      <c r="E786" s="1" t="n">
        <v>46268</v>
      </c>
      <c r="F786" t="inlineStr">
        <is>
          <t>GÄVLEBORGS LÄN</t>
        </is>
      </c>
      <c r="G786" t="inlineStr">
        <is>
          <t>GÄVLE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28654-2026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46268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28485-2026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46197</v>
      </c>
      <c r="E788" s="1" t="n">
        <v>46268</v>
      </c>
      <c r="F788" t="inlineStr">
        <is>
          <t>GÄVLEBORGS LÄN</t>
        </is>
      </c>
      <c r="G788" t="inlineStr">
        <is>
          <t>GÄVLE</t>
        </is>
      </c>
      <c r="H788" t="inlineStr">
        <is>
          <t>BillerudKorsnäs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28656-2026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46268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28659-2026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46268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29862-2023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45107</v>
      </c>
      <c r="E791" s="1" t="n">
        <v>46268</v>
      </c>
      <c r="F791" t="inlineStr">
        <is>
          <t>GÄVLEBORGS LÄN</t>
        </is>
      </c>
      <c r="G791" t="inlineStr">
        <is>
          <t>GÄVLE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46268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28657-2026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46268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46268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32890-2026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46244</v>
      </c>
      <c r="E795" s="1" t="n">
        <v>46268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29142-2026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46202</v>
      </c>
      <c r="E796" s="1" t="n">
        <v>46268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46202</v>
      </c>
      <c r="E797" s="1" t="n">
        <v>46268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24478-2023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45082</v>
      </c>
      <c r="E798" s="1" t="n">
        <v>46268</v>
      </c>
      <c r="F798" t="inlineStr">
        <is>
          <t>GÄVLEBORGS LÄN</t>
        </is>
      </c>
      <c r="G798" t="inlineStr">
        <is>
          <t>GÄVLE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32887-2026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46268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17088-2023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45034</v>
      </c>
      <c r="E800" s="1" t="n">
        <v>46268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32888-2026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46244</v>
      </c>
      <c r="E801" s="1" t="n">
        <v>46268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7792-2023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44973</v>
      </c>
      <c r="E802" s="1" t="n">
        <v>46268</v>
      </c>
      <c r="F802" t="inlineStr">
        <is>
          <t>GÄVLEBORGS LÄN</t>
        </is>
      </c>
      <c r="G802" t="inlineStr">
        <is>
          <t>GÄVLE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14735-2024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45397</v>
      </c>
      <c r="E803" s="1" t="n">
        <v>46268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35761-2022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44800</v>
      </c>
      <c r="E804" s="1" t="n">
        <v>46268</v>
      </c>
      <c r="F804" t="inlineStr">
        <is>
          <t>GÄVLEBORGS LÄN</t>
        </is>
      </c>
      <c r="G804" t="inlineStr">
        <is>
          <t>GÄVLE</t>
        </is>
      </c>
      <c r="I804" t="n">
        <v>8.199999999999999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33265-2026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46246</v>
      </c>
      <c r="E805" s="1" t="n">
        <v>46268</v>
      </c>
      <c r="F805" t="inlineStr">
        <is>
          <t>GÄVLEBORGS LÄN</t>
        </is>
      </c>
      <c r="G805" t="inlineStr">
        <is>
          <t>GÄVLE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29364-2026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46268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46246</v>
      </c>
      <c r="E807" s="1" t="n">
        <v>46268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46246</v>
      </c>
      <c r="E808" s="1" t="n">
        <v>46268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61918-2023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45266</v>
      </c>
      <c r="E809" s="1" t="n">
        <v>46268</v>
      </c>
      <c r="F809" t="inlineStr">
        <is>
          <t>GÄVLEBORGS LÄN</t>
        </is>
      </c>
      <c r="G809" t="inlineStr">
        <is>
          <t>GÄVLE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17245-2024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45414</v>
      </c>
      <c r="E810" s="1" t="n">
        <v>46268</v>
      </c>
      <c r="F810" t="inlineStr">
        <is>
          <t>GÄVLEBORGS LÄN</t>
        </is>
      </c>
      <c r="G810" t="inlineStr">
        <is>
          <t>GÄVLE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46246</v>
      </c>
      <c r="E811" s="1" t="n">
        <v>46268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33231-2026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46246</v>
      </c>
      <c r="E812" s="1" t="n">
        <v>46268</v>
      </c>
      <c r="F812" t="inlineStr">
        <is>
          <t>GÄVLEBORGS LÄN</t>
        </is>
      </c>
      <c r="G812" t="inlineStr">
        <is>
          <t>GÄVLE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46268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46268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33719-2026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46251</v>
      </c>
      <c r="E815" s="1" t="n">
        <v>46268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15456-2026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46106</v>
      </c>
      <c r="E816" s="1" t="n">
        <v>46268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51758-2025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45950</v>
      </c>
      <c r="E817" s="1" t="n">
        <v>46268</v>
      </c>
      <c r="F817" t="inlineStr">
        <is>
          <t>GÄVLEBORGS LÄN</t>
        </is>
      </c>
      <c r="G817" t="inlineStr">
        <is>
          <t>GÄVLE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33586-2026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46268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46206</v>
      </c>
      <c r="E819" s="1" t="n">
        <v>46268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30324-2026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46207</v>
      </c>
      <c r="E820" s="1" t="n">
        <v>46268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46154</v>
      </c>
      <c r="E821" s="1" t="n">
        <v>46268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33664-2026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46248</v>
      </c>
      <c r="E822" s="1" t="n">
        <v>46268</v>
      </c>
      <c r="F822" t="inlineStr">
        <is>
          <t>GÄVLEBORGS LÄN</t>
        </is>
      </c>
      <c r="G822" t="inlineStr">
        <is>
          <t>GÄVLE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33662-2026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46268</v>
      </c>
      <c r="F823" t="inlineStr">
        <is>
          <t>GÄVLEBORGS LÄN</t>
        </is>
      </c>
      <c r="G823" t="inlineStr">
        <is>
          <t>GÄVLE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62255-2022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44922</v>
      </c>
      <c r="E824" s="1" t="n">
        <v>46268</v>
      </c>
      <c r="F824" t="inlineStr">
        <is>
          <t>GÄVLEBORGS LÄN</t>
        </is>
      </c>
      <c r="G824" t="inlineStr">
        <is>
          <t>GÄVLE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33585-2026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46248</v>
      </c>
      <c r="E825" s="1" t="n">
        <v>46268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57928-2024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45631</v>
      </c>
      <c r="E826" s="1" t="n">
        <v>46268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9422-2025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45715</v>
      </c>
      <c r="E827" s="1" t="n">
        <v>46268</v>
      </c>
      <c r="F827" t="inlineStr">
        <is>
          <t>GÄVLEBORGS LÄN</t>
        </is>
      </c>
      <c r="G827" t="inlineStr">
        <is>
          <t>GÄVLE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61843-2023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45266</v>
      </c>
      <c r="E828" s="1" t="n">
        <v>46268</v>
      </c>
      <c r="F828" t="inlineStr">
        <is>
          <t>GÄVLEBORGS LÄN</t>
        </is>
      </c>
      <c r="G828" t="inlineStr">
        <is>
          <t>GÄVLE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45660</v>
      </c>
      <c r="E829" s="1" t="n">
        <v>46268</v>
      </c>
      <c r="F829" t="inlineStr">
        <is>
          <t>GÄVLEBORGS LÄN</t>
        </is>
      </c>
      <c r="G829" t="inlineStr">
        <is>
          <t>GÄVLE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24367-2026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46169</v>
      </c>
      <c r="E830" s="1" t="n">
        <v>46268</v>
      </c>
      <c r="F830" t="inlineStr">
        <is>
          <t>GÄVLEBORGS LÄN</t>
        </is>
      </c>
      <c r="G830" t="inlineStr">
        <is>
          <t>GÄVLE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34033-2026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46252</v>
      </c>
      <c r="E831" s="1" t="n">
        <v>46268</v>
      </c>
      <c r="F831" t="inlineStr">
        <is>
          <t>GÄVLEBORGS LÄN</t>
        </is>
      </c>
      <c r="G831" t="inlineStr">
        <is>
          <t>GÄVLE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33449-2024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45519</v>
      </c>
      <c r="E832" s="1" t="n">
        <v>46268</v>
      </c>
      <c r="F832" t="inlineStr">
        <is>
          <t>GÄVLEBORGS LÄN</t>
        </is>
      </c>
      <c r="G832" t="inlineStr">
        <is>
          <t>GÄVLE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35440-2023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45146</v>
      </c>
      <c r="E833" s="1" t="n">
        <v>46268</v>
      </c>
      <c r="F833" t="inlineStr">
        <is>
          <t>GÄVLEBORGS LÄN</t>
        </is>
      </c>
      <c r="G833" t="inlineStr">
        <is>
          <t>GÄVLE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30600-2026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46210</v>
      </c>
      <c r="E834" s="1" t="n">
        <v>46268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30601-2026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46210</v>
      </c>
      <c r="E835" s="1" t="n">
        <v>46268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3662-2022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44586</v>
      </c>
      <c r="E836" s="1" t="n">
        <v>46268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7410-2025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45705</v>
      </c>
      <c r="E837" s="1" t="n">
        <v>46268</v>
      </c>
      <c r="F837" t="inlineStr">
        <is>
          <t>GÄVLEBORGS LÄN</t>
        </is>
      </c>
      <c r="G837" t="inlineStr">
        <is>
          <t>GÄVLE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35331-2024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45530</v>
      </c>
      <c r="E838" s="1" t="n">
        <v>46268</v>
      </c>
      <c r="F838" t="inlineStr">
        <is>
          <t>GÄVLEBORGS LÄN</t>
        </is>
      </c>
      <c r="G838" t="inlineStr">
        <is>
          <t>GÄVLE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44927</v>
      </c>
      <c r="E839" s="1" t="n">
        <v>46268</v>
      </c>
      <c r="F839" t="inlineStr">
        <is>
          <t>GÄVLEBORGS LÄN</t>
        </is>
      </c>
      <c r="G839" t="inlineStr">
        <is>
          <t>GÄVLE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44806-2024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45574</v>
      </c>
      <c r="E840" s="1" t="n">
        <v>46268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52250-2024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45608</v>
      </c>
      <c r="E841" s="1" t="n">
        <v>46268</v>
      </c>
      <c r="F841" t="inlineStr">
        <is>
          <t>GÄVLEBORGS LÄN</t>
        </is>
      </c>
      <c r="G841" t="inlineStr">
        <is>
          <t>GÄVLE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34415-2026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46254</v>
      </c>
      <c r="E842" s="1" t="n">
        <v>46268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34590-2026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46255</v>
      </c>
      <c r="E843" s="1" t="n">
        <v>46268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30875-2022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44767</v>
      </c>
      <c r="E844" s="1" t="n">
        <v>46268</v>
      </c>
      <c r="F844" t="inlineStr">
        <is>
          <t>GÄVLEBORGS LÄN</t>
        </is>
      </c>
      <c r="G844" t="inlineStr">
        <is>
          <t>GÄVLE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34591-2026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46255</v>
      </c>
      <c r="E845" s="1" t="n">
        <v>46268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60349-2022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44910</v>
      </c>
      <c r="E846" s="1" t="n">
        <v>46268</v>
      </c>
      <c r="F846" t="inlineStr">
        <is>
          <t>GÄVLEBORGS LÄN</t>
        </is>
      </c>
      <c r="G846" t="inlineStr">
        <is>
          <t>GÄVLE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41100-2024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45559</v>
      </c>
      <c r="E847" s="1" t="n">
        <v>46268</v>
      </c>
      <c r="F847" t="inlineStr">
        <is>
          <t>GÄVLEBORGS LÄN</t>
        </is>
      </c>
      <c r="G847" t="inlineStr">
        <is>
          <t>GÄVLE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34593-2026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46255</v>
      </c>
      <c r="E848" s="1" t="n">
        <v>46268</v>
      </c>
      <c r="F848" t="inlineStr">
        <is>
          <t>GÄVLEBORGS LÄN</t>
        </is>
      </c>
      <c r="G848" t="inlineStr">
        <is>
          <t>GÄVLE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34432-2026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46268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30967-2026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46213</v>
      </c>
      <c r="E850" s="1" t="n">
        <v>46268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34733-2026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46258</v>
      </c>
      <c r="E851" s="1" t="n">
        <v>46268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11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35205-2024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45530</v>
      </c>
      <c r="E852" s="1" t="n">
        <v>46268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34822-2026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46258</v>
      </c>
      <c r="E853" s="1" t="n">
        <v>46268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31445-2026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46217</v>
      </c>
      <c r="E854" s="1" t="n">
        <v>46268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16401-2025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45751</v>
      </c>
      <c r="E855" s="1" t="n">
        <v>46268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30948-2026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46213</v>
      </c>
      <c r="E856" s="1" t="n">
        <v>46268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5633-2024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45334</v>
      </c>
      <c r="E857" s="1" t="n">
        <v>46268</v>
      </c>
      <c r="F857" t="inlineStr">
        <is>
          <t>GÄVLEBORGS LÄN</t>
        </is>
      </c>
      <c r="G857" t="inlineStr">
        <is>
          <t>GÄVLE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13961-2024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45392</v>
      </c>
      <c r="E858" s="1" t="n">
        <v>46268</v>
      </c>
      <c r="F858" t="inlineStr">
        <is>
          <t>GÄVLEBORGS LÄN</t>
        </is>
      </c>
      <c r="G858" t="inlineStr">
        <is>
          <t>GÄVLE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46258</v>
      </c>
      <c r="E859" s="1" t="n">
        <v>46268</v>
      </c>
      <c r="F859" t="inlineStr">
        <is>
          <t>GÄVLEBORGS LÄN</t>
        </is>
      </c>
      <c r="G859" t="inlineStr">
        <is>
          <t>GÄVLE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30969-2026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46213</v>
      </c>
      <c r="E860" s="1" t="n">
        <v>46268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30951-2026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46213</v>
      </c>
      <c r="E861" s="1" t="n">
        <v>46268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25466-2023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45089</v>
      </c>
      <c r="E862" s="1" t="n">
        <v>46268</v>
      </c>
      <c r="F862" t="inlineStr">
        <is>
          <t>GÄVLEBORGS LÄN</t>
        </is>
      </c>
      <c r="G862" t="inlineStr">
        <is>
          <t>GÄVLE</t>
        </is>
      </c>
      <c r="I862" t="n">
        <v>5.5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31234-2026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46217</v>
      </c>
      <c r="E863" s="1" t="n">
        <v>46268</v>
      </c>
      <c r="F863" t="inlineStr">
        <is>
          <t>GÄVLEBORGS LÄN</t>
        </is>
      </c>
      <c r="G863" t="inlineStr">
        <is>
          <t>GÄVLE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46268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35120-2026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46260</v>
      </c>
      <c r="E865" s="1" t="n">
        <v>46268</v>
      </c>
      <c r="F865" t="inlineStr">
        <is>
          <t>GÄVLEBORGS LÄN</t>
        </is>
      </c>
      <c r="G865" t="inlineStr">
        <is>
          <t>GÄVLE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35302-2026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46268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4.4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7060-2022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44603</v>
      </c>
      <c r="E867" s="1" t="n">
        <v>46268</v>
      </c>
      <c r="F867" t="inlineStr">
        <is>
          <t>GÄVLEBORGS LÄN</t>
        </is>
      </c>
      <c r="G867" t="inlineStr">
        <is>
          <t>GÄVLE</t>
        </is>
      </c>
      <c r="I867" t="n">
        <v>10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35326-2026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46268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5.2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41708-2023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45176</v>
      </c>
      <c r="E869" s="1" t="n">
        <v>46268</v>
      </c>
      <c r="F869" t="inlineStr">
        <is>
          <t>GÄVLEBORGS LÄN</t>
        </is>
      </c>
      <c r="G869" t="inlineStr">
        <is>
          <t>GÄVLE</t>
        </is>
      </c>
      <c r="I869" t="n">
        <v>6.5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41712-2023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45176</v>
      </c>
      <c r="E870" s="1" t="n">
        <v>46268</v>
      </c>
      <c r="F870" t="inlineStr">
        <is>
          <t>GÄVLEBORGS LÄN</t>
        </is>
      </c>
      <c r="G870" t="inlineStr">
        <is>
          <t>GÄVLE</t>
        </is>
      </c>
      <c r="I870" t="n">
        <v>7.8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46268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5413-2023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44959</v>
      </c>
      <c r="E872" s="1" t="n">
        <v>46268</v>
      </c>
      <c r="F872" t="inlineStr">
        <is>
          <t>GÄVLEBORGS LÄN</t>
        </is>
      </c>
      <c r="G872" t="inlineStr">
        <is>
          <t>GÄVLE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35780-2026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46265</v>
      </c>
      <c r="E873" s="1" t="n">
        <v>46268</v>
      </c>
      <c r="F873" t="inlineStr">
        <is>
          <t>GÄVLEBORGS LÄN</t>
        </is>
      </c>
      <c r="G873" t="inlineStr">
        <is>
          <t>GÄVLE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4235-2025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45685</v>
      </c>
      <c r="E874" s="1" t="n">
        <v>46268</v>
      </c>
      <c r="F874" t="inlineStr">
        <is>
          <t>GÄVLEBORGS LÄN</t>
        </is>
      </c>
      <c r="G874" t="inlineStr">
        <is>
          <t>GÄVLE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35541-2026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46268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31528-2026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46220</v>
      </c>
      <c r="E876" s="1" t="n">
        <v>46268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11.4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45660</v>
      </c>
      <c r="E877" s="1" t="n">
        <v>46268</v>
      </c>
      <c r="F877" t="inlineStr">
        <is>
          <t>GÄVLEBORGS LÄN</t>
        </is>
      </c>
      <c r="G877" t="inlineStr">
        <is>
          <t>GÄVLE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56138-2023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46268</v>
      </c>
      <c r="F878" t="inlineStr">
        <is>
          <t>GÄVLEBORGS LÄN</t>
        </is>
      </c>
      <c r="G878" t="inlineStr">
        <is>
          <t>GÄVLE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35495-2026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46262</v>
      </c>
      <c r="E879" s="1" t="n">
        <v>46268</v>
      </c>
      <c r="F879" t="inlineStr">
        <is>
          <t>GÄVLEBORGS LÄN</t>
        </is>
      </c>
      <c r="G879" t="inlineStr">
        <is>
          <t>GÄVLE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35818-2026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46265</v>
      </c>
      <c r="E880" s="1" t="n">
        <v>46268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31566-2026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46223</v>
      </c>
      <c r="E881" s="1" t="n">
        <v>46268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10.2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33635-2024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45520</v>
      </c>
      <c r="E882" s="1" t="n">
        <v>46268</v>
      </c>
      <c r="F882" t="inlineStr">
        <is>
          <t>GÄVLEBORGS LÄN</t>
        </is>
      </c>
      <c r="G882" t="inlineStr">
        <is>
          <t>GÄVLE</t>
        </is>
      </c>
      <c r="I882" t="n">
        <v>3.9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33637-2024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45520</v>
      </c>
      <c r="E883" s="1" t="n">
        <v>46268</v>
      </c>
      <c r="F883" t="inlineStr">
        <is>
          <t>GÄVLEBORGS LÄN</t>
        </is>
      </c>
      <c r="G883" t="inlineStr">
        <is>
          <t>GÄVLE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35577-2026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46262</v>
      </c>
      <c r="E884" s="1" t="n">
        <v>46268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25645-2023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45089</v>
      </c>
      <c r="E885" s="1" t="n">
        <v>46268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7998-2023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44973</v>
      </c>
      <c r="E886" s="1" t="n">
        <v>46268</v>
      </c>
      <c r="F886" t="inlineStr">
        <is>
          <t>GÄVLEBORGS LÄN</t>
        </is>
      </c>
      <c r="G886" t="inlineStr">
        <is>
          <t>GÄVLE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35561-2026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46262</v>
      </c>
      <c r="E887" s="1" t="n">
        <v>46268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46267</v>
      </c>
      <c r="E888" s="1" t="n">
        <v>46268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36132-2026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46267</v>
      </c>
      <c r="E889" s="1" t="n">
        <v>46268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36089-2026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46267</v>
      </c>
      <c r="E890" s="1" t="n">
        <v>46268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54207-2023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45232</v>
      </c>
      <c r="E891" s="1" t="n">
        <v>46268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15935-2025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45749</v>
      </c>
      <c r="E892" s="1" t="n">
        <v>46268</v>
      </c>
      <c r="F892" t="inlineStr">
        <is>
          <t>GÄVLEBORGS LÄN</t>
        </is>
      </c>
      <c r="G892" t="inlineStr">
        <is>
          <t>GÄVLE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25814-2023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45090</v>
      </c>
      <c r="E893" s="1" t="n">
        <v>46268</v>
      </c>
      <c r="F893" t="inlineStr">
        <is>
          <t>GÄVLEBORGS LÄN</t>
        </is>
      </c>
      <c r="G893" t="inlineStr">
        <is>
          <t>GÄVLE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14792-2023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45014</v>
      </c>
      <c r="E894" s="1" t="n">
        <v>46268</v>
      </c>
      <c r="F894" t="inlineStr">
        <is>
          <t>GÄVLEBORGS LÄN</t>
        </is>
      </c>
      <c r="G894" t="inlineStr">
        <is>
          <t>GÄVLE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36093-2026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46267</v>
      </c>
      <c r="E895" s="1" t="n">
        <v>46268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5.4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12079-2025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45728</v>
      </c>
      <c r="E896" s="1" t="n">
        <v>46268</v>
      </c>
      <c r="F896" t="inlineStr">
        <is>
          <t>GÄVLEBORGS LÄN</t>
        </is>
      </c>
      <c r="G896" t="inlineStr">
        <is>
          <t>GÄVLE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36086-2026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46267</v>
      </c>
      <c r="E897" s="1" t="n">
        <v>46268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1594-2024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45306</v>
      </c>
      <c r="E898" s="1" t="n">
        <v>46268</v>
      </c>
      <c r="F898" t="inlineStr">
        <is>
          <t>GÄVLEBORGS LÄN</t>
        </is>
      </c>
      <c r="G898" t="inlineStr">
        <is>
          <t>GÄVLE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62983-2023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45272</v>
      </c>
      <c r="E899" s="1" t="n">
        <v>46268</v>
      </c>
      <c r="F899" t="inlineStr">
        <is>
          <t>GÄVLEBORGS LÄN</t>
        </is>
      </c>
      <c r="G899" t="inlineStr">
        <is>
          <t>GÄVLE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33901-2024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45523</v>
      </c>
      <c r="E900" s="1" t="n">
        <v>46268</v>
      </c>
      <c r="F900" t="inlineStr">
        <is>
          <t>GÄVLEBORGS LÄN</t>
        </is>
      </c>
      <c r="G900" t="inlineStr">
        <is>
          <t>GÄVLE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20621-2025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45776</v>
      </c>
      <c r="E901" s="1" t="n">
        <v>46268</v>
      </c>
      <c r="F901" t="inlineStr">
        <is>
          <t>GÄVLEBORGS LÄN</t>
        </is>
      </c>
      <c r="G901" t="inlineStr">
        <is>
          <t>GÄVLE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45938-2024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45580</v>
      </c>
      <c r="E902" s="1" t="n">
        <v>46268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5.3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21431-2025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45782</v>
      </c>
      <c r="E903" s="1" t="n">
        <v>46268</v>
      </c>
      <c r="F903" t="inlineStr">
        <is>
          <t>GÄVLEBORGS LÄN</t>
        </is>
      </c>
      <c r="G903" t="inlineStr">
        <is>
          <t>GÄVLE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7202-2025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45702</v>
      </c>
      <c r="E904" s="1" t="n">
        <v>46268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59044-2023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45252</v>
      </c>
      <c r="E905" s="1" t="n">
        <v>46268</v>
      </c>
      <c r="F905" t="inlineStr">
        <is>
          <t>GÄVLEBORGS LÄN</t>
        </is>
      </c>
      <c r="G905" t="inlineStr">
        <is>
          <t>GÄVLE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3862-2024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45322</v>
      </c>
      <c r="E906" s="1" t="n">
        <v>46268</v>
      </c>
      <c r="F906" t="inlineStr">
        <is>
          <t>GÄVLEBORGS LÄN</t>
        </is>
      </c>
      <c r="G906" t="inlineStr">
        <is>
          <t>GÄVLE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7451-2025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45705</v>
      </c>
      <c r="E907" s="1" t="n">
        <v>46268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23291-2025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45791</v>
      </c>
      <c r="E908" s="1" t="n">
        <v>46268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23232-2025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45791</v>
      </c>
      <c r="E909" s="1" t="n">
        <v>46268</v>
      </c>
      <c r="F909" t="inlineStr">
        <is>
          <t>GÄVLEBORGS LÄN</t>
        </is>
      </c>
      <c r="G909" t="inlineStr">
        <is>
          <t>GÄVLE</t>
        </is>
      </c>
      <c r="I909" t="n">
        <v>10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22879-2025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45790</v>
      </c>
      <c r="E910" s="1" t="n">
        <v>46268</v>
      </c>
      <c r="F910" t="inlineStr">
        <is>
          <t>GÄVLEBORGS LÄN</t>
        </is>
      </c>
      <c r="G910" t="inlineStr">
        <is>
          <t>GÄVLE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23324-2025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45791</v>
      </c>
      <c r="E911" s="1" t="n">
        <v>46268</v>
      </c>
      <c r="F911" t="inlineStr">
        <is>
          <t>GÄVLEBORGS LÄN</t>
        </is>
      </c>
      <c r="G911" t="inlineStr">
        <is>
          <t>GÄVLE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22923-2025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45790</v>
      </c>
      <c r="E912" s="1" t="n">
        <v>46268</v>
      </c>
      <c r="F912" t="inlineStr">
        <is>
          <t>GÄVLEBORGS LÄN</t>
        </is>
      </c>
      <c r="G912" t="inlineStr">
        <is>
          <t>GÄVLE</t>
        </is>
      </c>
      <c r="I912" t="n">
        <v>20.8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45660</v>
      </c>
      <c r="E913" s="1" t="n">
        <v>46268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3.7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24228-2025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45797</v>
      </c>
      <c r="E914" s="1" t="n">
        <v>46268</v>
      </c>
      <c r="F914" t="inlineStr">
        <is>
          <t>GÄVLEBORGS LÄN</t>
        </is>
      </c>
      <c r="G914" t="inlineStr">
        <is>
          <t>GÄVLE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55878-2024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45623</v>
      </c>
      <c r="E915" s="1" t="n">
        <v>46268</v>
      </c>
      <c r="F915" t="inlineStr">
        <is>
          <t>GÄVLEBORGS LÄN</t>
        </is>
      </c>
      <c r="G915" t="inlineStr">
        <is>
          <t>GÄVLE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48913-2024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45594</v>
      </c>
      <c r="E916" s="1" t="n">
        <v>46268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24225-2025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45797</v>
      </c>
      <c r="E917" s="1" t="n">
        <v>46268</v>
      </c>
      <c r="F917" t="inlineStr">
        <is>
          <t>GÄVLEBORGS LÄN</t>
        </is>
      </c>
      <c r="G917" t="inlineStr">
        <is>
          <t>GÄVLE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58373-2024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46268</v>
      </c>
      <c r="F918" t="inlineStr">
        <is>
          <t>GÄVLEBORGS LÄN</t>
        </is>
      </c>
      <c r="G918" t="inlineStr">
        <is>
          <t>GÄVLE</t>
        </is>
      </c>
      <c r="I918" t="n">
        <v>13.1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31367-2024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45505</v>
      </c>
      <c r="E919" s="1" t="n">
        <v>46268</v>
      </c>
      <c r="F919" t="inlineStr">
        <is>
          <t>GÄVLEBORGS LÄN</t>
        </is>
      </c>
      <c r="G919" t="inlineStr">
        <is>
          <t>GÄVLE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24614-2025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45798</v>
      </c>
      <c r="E920" s="1" t="n">
        <v>46268</v>
      </c>
      <c r="F920" t="inlineStr">
        <is>
          <t>GÄVLEBORGS LÄN</t>
        </is>
      </c>
      <c r="G920" t="inlineStr">
        <is>
          <t>GÄVLE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3425-2023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45205</v>
      </c>
      <c r="E921" s="1" t="n">
        <v>46268</v>
      </c>
      <c r="F921" t="inlineStr">
        <is>
          <t>GÄVLEBORGS LÄN</t>
        </is>
      </c>
      <c r="G921" t="inlineStr">
        <is>
          <t>GÄVLE</t>
        </is>
      </c>
      <c r="I921" t="n">
        <v>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  <c r="Z921">
        <f>HYPERLINK("https://klasma.github.io/Logging_2180/knärot/S 3425-2023 karta knärot.png", "S 3425-2023")</f>
        <v/>
      </c>
      <c r="AA921">
        <f>HYPERLINK("https://klasma.github.io/Logging_2180/klagomål/S 3425-2023 FSC-klagomål.docx", "S 3425-2023")</f>
        <v/>
      </c>
      <c r="AB921">
        <f>HYPERLINK("https://klasma.github.io/Logging_2180/klagomålsmail/S 3425-2023 FSC-klagomål mail.docx", "S 3425-2023")</f>
        <v/>
      </c>
      <c r="AC921">
        <f>HYPERLINK("https://klasma.github.io/Logging_2180/tillsyn/S 3425-2023 tillsynsbegäran.docx", "S 3425-2023")</f>
        <v/>
      </c>
      <c r="AD921">
        <f>HYPERLINK("https://klasma.github.io/Logging_2180/tillsynsmail/S 3425-2023 tillsynsbegäran mail.docx", "S 3425-2023")</f>
        <v/>
      </c>
    </row>
    <row r="922" ht="15" customHeight="1">
      <c r="A922" t="inlineStr">
        <is>
          <t>S 889-2023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44995</v>
      </c>
      <c r="E922" s="1" t="n">
        <v>46268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886-2024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45376</v>
      </c>
      <c r="E923" s="1" t="n">
        <v>46268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11.9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2464-2024</t>
        </is>
      </c>
      <c r="B924" t="inlineStr">
        <is>
          <t>samrådsanmälan</t>
        </is>
      </c>
      <c r="C924" t="inlineStr">
        <is>
          <t>Skogsbilväg</t>
        </is>
      </c>
      <c r="D924" s="1" t="n">
        <v>45470</v>
      </c>
      <c r="E924" s="1" t="n">
        <v>46268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644-2026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46268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29.2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2026-09-03T02:03:29Z</dcterms:created>
  <dcterms:modified xmlns:dcterms="http://purl.org/dc/terms/" xmlns:xsi="http://www.w3.org/2001/XMLSchema-instance" xsi:type="dcterms:W3CDTF">2026-09-03T02:03:30Z</dcterms:modified>
</cp:coreProperties>
</file>