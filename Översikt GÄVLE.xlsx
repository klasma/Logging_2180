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45908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45908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45908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45908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45908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45908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45908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45908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45908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45908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45908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45908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45908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45908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45908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45908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45908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45908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45908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45908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58168-2020</t>
        </is>
      </c>
      <c r="B32" s="1" t="n">
        <v>44144</v>
      </c>
      <c r="C32" s="1" t="n">
        <v>45908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3.7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HYPERLINK("https://klasma.github.io/Logging_2180/artfynd/A 58168-2020 artfynd.xlsx", "A 58168-2020")</f>
        <v/>
      </c>
      <c r="T32">
        <f>HYPERLINK("https://klasma.github.io/Logging_2180/kartor/A 58168-2020 karta.png", "A 58168-2020")</f>
        <v/>
      </c>
      <c r="U32">
        <f>HYPERLINK("https://klasma.github.io/Logging_2180/knärot/A 58168-2020 karta knärot.png", "A 58168-2020")</f>
        <v/>
      </c>
      <c r="V32">
        <f>HYPERLINK("https://klasma.github.io/Logging_2180/klagomål/A 58168-2020 FSC-klagomål.docx", "A 58168-2020")</f>
        <v/>
      </c>
      <c r="W32">
        <f>HYPERLINK("https://klasma.github.io/Logging_2180/klagomålsmail/A 58168-2020 FSC-klagomål mail.docx", "A 58168-2020")</f>
        <v/>
      </c>
      <c r="X32">
        <f>HYPERLINK("https://klasma.github.io/Logging_2180/tillsyn/A 58168-2020 tillsynsbegäran.docx", "A 58168-2020")</f>
        <v/>
      </c>
      <c r="Y32">
        <f>HYPERLINK("https://klasma.github.io/Logging_2180/tillsynsmail/A 58168-2020 tillsynsbegäran mail.docx", "A 58168-2020")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45908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18376-2024</t>
        </is>
      </c>
      <c r="B34" s="1" t="n">
        <v>45423</v>
      </c>
      <c r="C34" s="1" t="n">
        <v>45908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HYPERLINK("https://klasma.github.io/Logging_2180/artfynd/A 18376-2024 artfynd.xlsx", "A 18376-2024")</f>
        <v/>
      </c>
      <c r="T34">
        <f>HYPERLINK("https://klasma.github.io/Logging_2180/kartor/A 18376-2024 karta.png", "A 18376-2024")</f>
        <v/>
      </c>
      <c r="V34">
        <f>HYPERLINK("https://klasma.github.io/Logging_2180/klagomål/A 18376-2024 FSC-klagomål.docx", "A 18376-2024")</f>
        <v/>
      </c>
      <c r="W34">
        <f>HYPERLINK("https://klasma.github.io/Logging_2180/klagomålsmail/A 18376-2024 FSC-klagomål mail.docx", "A 18376-2024")</f>
        <v/>
      </c>
      <c r="X34">
        <f>HYPERLINK("https://klasma.github.io/Logging_2180/tillsyn/A 18376-2024 tillsynsbegäran.docx", "A 18376-2024")</f>
        <v/>
      </c>
      <c r="Y34">
        <f>HYPERLINK("https://klasma.github.io/Logging_2180/tillsynsmail/A 18376-2024 tillsynsbegäran mail.docx", "A 18376-2024")</f>
        <v/>
      </c>
    </row>
    <row r="35" ht="15" customHeight="1">
      <c r="A35" t="inlineStr">
        <is>
          <t>A 25657-2024</t>
        </is>
      </c>
      <c r="B35" s="1" t="n">
        <v>45463.688125</v>
      </c>
      <c r="C35" s="1" t="n">
        <v>45908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HYPERLINK("https://klasma.github.io/Logging_2180/artfynd/A 25657-2024 artfynd.xlsx", "A 25657-2024")</f>
        <v/>
      </c>
      <c r="T35">
        <f>HYPERLINK("https://klasma.github.io/Logging_2180/kartor/A 25657-2024 karta.png", "A 25657-2024")</f>
        <v/>
      </c>
      <c r="V35">
        <f>HYPERLINK("https://klasma.github.io/Logging_2180/klagomål/A 25657-2024 FSC-klagomål.docx", "A 25657-2024")</f>
        <v/>
      </c>
      <c r="W35">
        <f>HYPERLINK("https://klasma.github.io/Logging_2180/klagomålsmail/A 25657-2024 FSC-klagomål mail.docx", "A 25657-2024")</f>
        <v/>
      </c>
      <c r="X35">
        <f>HYPERLINK("https://klasma.github.io/Logging_2180/tillsyn/A 25657-2024 tillsynsbegäran.docx", "A 25657-2024")</f>
        <v/>
      </c>
      <c r="Y35">
        <f>HYPERLINK("https://klasma.github.io/Logging_2180/tillsynsmail/A 25657-2024 tillsynsbegäran mail.docx", "A 25657-2024")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45908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45908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21282-2024</t>
        </is>
      </c>
      <c r="B38" s="1" t="n">
        <v>45440.65584490741</v>
      </c>
      <c r="C38" s="1" t="n">
        <v>45908</v>
      </c>
      <c r="D38" t="inlineStr">
        <is>
          <t>GÄVLEBORGS LÄN</t>
        </is>
      </c>
      <c r="E38" t="inlineStr">
        <is>
          <t>GÄVLE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21282-2024 artfynd.xlsx", "A 21282-2024")</f>
        <v/>
      </c>
      <c r="T38">
        <f>HYPERLINK("https://klasma.github.io/Logging_2180/kartor/A 21282-2024 karta.png", "A 21282-2024")</f>
        <v/>
      </c>
      <c r="V38">
        <f>HYPERLINK("https://klasma.github.io/Logging_2180/klagomål/A 21282-2024 FSC-klagomål.docx", "A 21282-2024")</f>
        <v/>
      </c>
      <c r="W38">
        <f>HYPERLINK("https://klasma.github.io/Logging_2180/klagomålsmail/A 21282-2024 FSC-klagomål mail.docx", "A 21282-2024")</f>
        <v/>
      </c>
      <c r="X38">
        <f>HYPERLINK("https://klasma.github.io/Logging_2180/tillsyn/A 21282-2024 tillsynsbegäran.docx", "A 21282-2024")</f>
        <v/>
      </c>
      <c r="Y38">
        <f>HYPERLINK("https://klasma.github.io/Logging_2180/tillsynsmail/A 21282-2024 tillsynsbegäran mail.docx", "A 21282-2024")</f>
        <v/>
      </c>
    </row>
    <row r="39" ht="15" customHeight="1">
      <c r="A39" t="inlineStr">
        <is>
          <t>A 57932-2024</t>
        </is>
      </c>
      <c r="B39" s="1" t="n">
        <v>45631.52961805555</v>
      </c>
      <c r="C39" s="1" t="n">
        <v>45908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48.7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HYPERLINK("https://klasma.github.io/Logging_2180/artfynd/A 57932-2024 artfynd.xlsx", "A 57932-2024")</f>
        <v/>
      </c>
      <c r="T39">
        <f>HYPERLINK("https://klasma.github.io/Logging_2180/kartor/A 57932-2024 karta.png", "A 57932-2024")</f>
        <v/>
      </c>
      <c r="V39">
        <f>HYPERLINK("https://klasma.github.io/Logging_2180/klagomål/A 57932-2024 FSC-klagomål.docx", "A 57932-2024")</f>
        <v/>
      </c>
      <c r="W39">
        <f>HYPERLINK("https://klasma.github.io/Logging_2180/klagomålsmail/A 57932-2024 FSC-klagomål mail.docx", "A 57932-2024")</f>
        <v/>
      </c>
      <c r="X39">
        <f>HYPERLINK("https://klasma.github.io/Logging_2180/tillsyn/A 57932-2024 tillsynsbegäran.docx", "A 57932-2024")</f>
        <v/>
      </c>
      <c r="Y39">
        <f>HYPERLINK("https://klasma.github.io/Logging_2180/tillsynsmail/A 57932-2024 tillsynsbegäran mail.docx", "A 57932-2024")</f>
        <v/>
      </c>
      <c r="Z39">
        <f>HYPERLINK("https://klasma.github.io/Logging_2180/fåglar/A 57932-2024 prioriterade fågelarter.docx", "A 57932-2024")</f>
        <v/>
      </c>
    </row>
    <row r="40" ht="15" customHeight="1">
      <c r="A40" t="inlineStr">
        <is>
          <t>A 53571-2024</t>
        </is>
      </c>
      <c r="B40" s="1" t="n">
        <v>45614.66019675926</v>
      </c>
      <c r="C40" s="1" t="n">
        <v>45908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53571-2024 artfynd.xlsx", "A 53571-2024")</f>
        <v/>
      </c>
      <c r="T40">
        <f>HYPERLINK("https://klasma.github.io/Logging_2180/kartor/A 53571-2024 karta.png", "A 53571-2024")</f>
        <v/>
      </c>
      <c r="V40">
        <f>HYPERLINK("https://klasma.github.io/Logging_2180/klagomål/A 53571-2024 FSC-klagomål.docx", "A 53571-2024")</f>
        <v/>
      </c>
      <c r="W40">
        <f>HYPERLINK("https://klasma.github.io/Logging_2180/klagomålsmail/A 53571-2024 FSC-klagomål mail.docx", "A 53571-2024")</f>
        <v/>
      </c>
      <c r="X40">
        <f>HYPERLINK("https://klasma.github.io/Logging_2180/tillsyn/A 53571-2024 tillsynsbegäran.docx", "A 53571-2024")</f>
        <v/>
      </c>
      <c r="Y40">
        <f>HYPERLINK("https://klasma.github.io/Logging_2180/tillsynsmail/A 53571-2024 tillsynsbegäran mail.docx", "A 53571-2024")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45908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45908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45908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45908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45908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45908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45908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45908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45908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11411-2025</t>
        </is>
      </c>
      <c r="B50" s="1" t="n">
        <v>45726.59087962963</v>
      </c>
      <c r="C50" s="1" t="n">
        <v>45908</v>
      </c>
      <c r="D50" t="inlineStr">
        <is>
          <t>GÄVLEBORGS LÄN</t>
        </is>
      </c>
      <c r="E50" t="inlineStr">
        <is>
          <t>GÄVLE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11411-2025 artfynd.xlsx", "A 11411-2025")</f>
        <v/>
      </c>
      <c r="T50">
        <f>HYPERLINK("https://klasma.github.io/Logging_2180/kartor/A 11411-2025 karta.png", "A 11411-2025")</f>
        <v/>
      </c>
      <c r="V50">
        <f>HYPERLINK("https://klasma.github.io/Logging_2180/klagomål/A 11411-2025 FSC-klagomål.docx", "A 11411-2025")</f>
        <v/>
      </c>
      <c r="W50">
        <f>HYPERLINK("https://klasma.github.io/Logging_2180/klagomålsmail/A 11411-2025 FSC-klagomål mail.docx", "A 11411-2025")</f>
        <v/>
      </c>
      <c r="X50">
        <f>HYPERLINK("https://klasma.github.io/Logging_2180/tillsyn/A 11411-2025 tillsynsbegäran.docx", "A 11411-2025")</f>
        <v/>
      </c>
      <c r="Y50">
        <f>HYPERLINK("https://klasma.github.io/Logging_2180/tillsynsmail/A 11411-2025 tillsynsbegäran mail.docx", "A 11411-2025")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45908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45908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37927-2022</t>
        </is>
      </c>
      <c r="B53" s="1" t="n">
        <v>44811</v>
      </c>
      <c r="C53" s="1" t="n">
        <v>45908</v>
      </c>
      <c r="D53" t="inlineStr">
        <is>
          <t>GÄVLEBORGS LÄN</t>
        </is>
      </c>
      <c r="E53" t="inlineStr">
        <is>
          <t>GÄVLE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37927-2022 artfynd.xlsx", "A 37927-2022")</f>
        <v/>
      </c>
      <c r="T53">
        <f>HYPERLINK("https://klasma.github.io/Logging_2180/kartor/A 37927-2022 karta.png", "A 37927-2022")</f>
        <v/>
      </c>
      <c r="U53">
        <f>HYPERLINK("https://klasma.github.io/Logging_2180/knärot/A 37927-2022 karta knärot.png", "A 37927-2022")</f>
        <v/>
      </c>
      <c r="V53">
        <f>HYPERLINK("https://klasma.github.io/Logging_2180/klagomål/A 37927-2022 FSC-klagomål.docx", "A 37927-2022")</f>
        <v/>
      </c>
      <c r="W53">
        <f>HYPERLINK("https://klasma.github.io/Logging_2180/klagomålsmail/A 37927-2022 FSC-klagomål mail.docx", "A 37927-2022")</f>
        <v/>
      </c>
      <c r="X53">
        <f>HYPERLINK("https://klasma.github.io/Logging_2180/tillsyn/A 37927-2022 tillsynsbegäran.docx", "A 37927-2022")</f>
        <v/>
      </c>
      <c r="Y53">
        <f>HYPERLINK("https://klasma.github.io/Logging_2180/tillsynsmail/A 37927-2022 tillsynsbegäran mail.docx", "A 37927-2022")</f>
        <v/>
      </c>
    </row>
    <row r="54" ht="15" customHeight="1">
      <c r="A54" t="inlineStr">
        <is>
          <t>A 7362-2025</t>
        </is>
      </c>
      <c r="B54" s="1" t="n">
        <v>45704.64761574074</v>
      </c>
      <c r="C54" s="1" t="n">
        <v>45908</v>
      </c>
      <c r="D54" t="inlineStr">
        <is>
          <t>GÄVLEBORGS LÄN</t>
        </is>
      </c>
      <c r="E54" t="inlineStr">
        <is>
          <t>GÄVLE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7362-2025 artfynd.xlsx", "A 7362-2025")</f>
        <v/>
      </c>
      <c r="T54">
        <f>HYPERLINK("https://klasma.github.io/Logging_2180/kartor/A 7362-2025 karta.png", "A 7362-2025")</f>
        <v/>
      </c>
      <c r="U54">
        <f>HYPERLINK("https://klasma.github.io/Logging_2180/knärot/A 7362-2025 karta knärot.png", "A 7362-2025")</f>
        <v/>
      </c>
      <c r="V54">
        <f>HYPERLINK("https://klasma.github.io/Logging_2180/klagomål/A 7362-2025 FSC-klagomål.docx", "A 7362-2025")</f>
        <v/>
      </c>
      <c r="W54">
        <f>HYPERLINK("https://klasma.github.io/Logging_2180/klagomålsmail/A 7362-2025 FSC-klagomål mail.docx", "A 7362-2025")</f>
        <v/>
      </c>
      <c r="X54">
        <f>HYPERLINK("https://klasma.github.io/Logging_2180/tillsyn/A 7362-2025 tillsynsbegäran.docx", "A 7362-2025")</f>
        <v/>
      </c>
      <c r="Y54">
        <f>HYPERLINK("https://klasma.github.io/Logging_2180/tillsynsmail/A 7362-2025 tillsynsbegäran mail.docx", "A 7362-2025")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45908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45908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45908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45908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45908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25335-2021</t>
        </is>
      </c>
      <c r="B60" s="1" t="n">
        <v>44342</v>
      </c>
      <c r="C60" s="1" t="n">
        <v>45908</v>
      </c>
      <c r="D60" t="inlineStr">
        <is>
          <t>GÄVLEBORGS LÄN</t>
        </is>
      </c>
      <c r="E60" t="inlineStr">
        <is>
          <t>GÄVLE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45908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43385-2020</t>
        </is>
      </c>
      <c r="B62" s="1" t="n">
        <v>44081</v>
      </c>
      <c r="C62" s="1" t="n">
        <v>45908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45908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45908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45908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45908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28757-2022</t>
        </is>
      </c>
      <c r="B67" s="1" t="n">
        <v>44749.32502314815</v>
      </c>
      <c r="C67" s="1" t="n">
        <v>45908</v>
      </c>
      <c r="D67" t="inlineStr">
        <is>
          <t>GÄVLEBORGS LÄN</t>
        </is>
      </c>
      <c r="E67" t="inlineStr">
        <is>
          <t>GÄVLE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45908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69675-2020</t>
        </is>
      </c>
      <c r="B69" s="1" t="n">
        <v>44196</v>
      </c>
      <c r="C69" s="1" t="n">
        <v>45908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15280-2021</t>
        </is>
      </c>
      <c r="B70" s="1" t="n">
        <v>44284.57682870371</v>
      </c>
      <c r="C70" s="1" t="n">
        <v>45908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45908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45908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45908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45908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45908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45908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46455-2020</t>
        </is>
      </c>
      <c r="B77" s="1" t="n">
        <v>44095</v>
      </c>
      <c r="C77" s="1" t="n">
        <v>45908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66343-2020</t>
        </is>
      </c>
      <c r="B78" s="1" t="n">
        <v>44176</v>
      </c>
      <c r="C78" s="1" t="n">
        <v>45908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66346-2020</t>
        </is>
      </c>
      <c r="B79" s="1" t="n">
        <v>44176.56532407407</v>
      </c>
      <c r="C79" s="1" t="n">
        <v>45908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45908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45908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45908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45908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45908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45908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45908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45908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45908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45908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45908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45908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45908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45908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45908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45908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45908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45908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45908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45908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45908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45908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45908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45908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45908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45908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45908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33175-2022</t>
        </is>
      </c>
      <c r="B109" s="1" t="n">
        <v>44785.60788194444</v>
      </c>
      <c r="C109" s="1" t="n">
        <v>45908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45908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45908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45908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46925-2020</t>
        </is>
      </c>
      <c r="B113" s="1" t="n">
        <v>44096</v>
      </c>
      <c r="C113" s="1" t="n">
        <v>45908</v>
      </c>
      <c r="D113" t="inlineStr">
        <is>
          <t>GÄVLEBORGS LÄN</t>
        </is>
      </c>
      <c r="E113" t="inlineStr">
        <is>
          <t>GÄVLE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43185-2020</t>
        </is>
      </c>
      <c r="B114" s="1" t="n">
        <v>44081</v>
      </c>
      <c r="C114" s="1" t="n">
        <v>45908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45908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45908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47739-2021</t>
        </is>
      </c>
      <c r="B117" s="1" t="n">
        <v>44448</v>
      </c>
      <c r="C117" s="1" t="n">
        <v>45908</v>
      </c>
      <c r="D117" t="inlineStr">
        <is>
          <t>GÄVLEBORGS LÄN</t>
        </is>
      </c>
      <c r="E117" t="inlineStr">
        <is>
          <t>GÄVLE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45908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45908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45908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60249-2020</t>
        </is>
      </c>
      <c r="B121" s="1" t="n">
        <v>44152</v>
      </c>
      <c r="C121" s="1" t="n">
        <v>45908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45908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45908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45908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45908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45908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13259-2021</t>
        </is>
      </c>
      <c r="B127" s="1" t="n">
        <v>44272.65707175926</v>
      </c>
      <c r="C127" s="1" t="n">
        <v>45908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25938-2022</t>
        </is>
      </c>
      <c r="B128" s="1" t="n">
        <v>44734.39373842593</v>
      </c>
      <c r="C128" s="1" t="n">
        <v>45908</v>
      </c>
      <c r="D128" t="inlineStr">
        <is>
          <t>GÄVLEBORGS LÄN</t>
        </is>
      </c>
      <c r="E128" t="inlineStr">
        <is>
          <t>GÄVLE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45908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45908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19180-2021</t>
        </is>
      </c>
      <c r="B131" s="1" t="n">
        <v>44308.72342592593</v>
      </c>
      <c r="C131" s="1" t="n">
        <v>45908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45908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45908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45908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45908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45908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45908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1031-2022</t>
        </is>
      </c>
      <c r="B138" s="1" t="n">
        <v>44571</v>
      </c>
      <c r="C138" s="1" t="n">
        <v>45908</v>
      </c>
      <c r="D138" t="inlineStr">
        <is>
          <t>GÄVLEBORGS LÄN</t>
        </is>
      </c>
      <c r="E138" t="inlineStr">
        <is>
          <t>GÄVLE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45908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53470-2020</t>
        </is>
      </c>
      <c r="B140" s="1" t="n">
        <v>44123</v>
      </c>
      <c r="C140" s="1" t="n">
        <v>45908</v>
      </c>
      <c r="D140" t="inlineStr">
        <is>
          <t>GÄVLEBORGS LÄN</t>
        </is>
      </c>
      <c r="E140" t="inlineStr">
        <is>
          <t>GÄVLE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45908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6468-2021</t>
        </is>
      </c>
      <c r="B142" s="1" t="n">
        <v>44235</v>
      </c>
      <c r="C142" s="1" t="n">
        <v>45908</v>
      </c>
      <c r="D142" t="inlineStr">
        <is>
          <t>GÄVLEBORGS LÄN</t>
        </is>
      </c>
      <c r="E142" t="inlineStr">
        <is>
          <t>GÄVLE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45280-2022</t>
        </is>
      </c>
      <c r="B143" s="1" t="n">
        <v>44840</v>
      </c>
      <c r="C143" s="1" t="n">
        <v>45908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14449-2021</t>
        </is>
      </c>
      <c r="B144" s="1" t="n">
        <v>44279.49376157407</v>
      </c>
      <c r="C144" s="1" t="n">
        <v>45908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33280-2022</t>
        </is>
      </c>
      <c r="B145" s="1" t="n">
        <v>44788.34717592593</v>
      </c>
      <c r="C145" s="1" t="n">
        <v>45908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45908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12228-2022</t>
        </is>
      </c>
      <c r="B147" s="1" t="n">
        <v>44637.36871527778</v>
      </c>
      <c r="C147" s="1" t="n">
        <v>45908</v>
      </c>
      <c r="D147" t="inlineStr">
        <is>
          <t>GÄVLEBORGS LÄN</t>
        </is>
      </c>
      <c r="E147" t="inlineStr">
        <is>
          <t>GÄVLE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54624-2020</t>
        </is>
      </c>
      <c r="B148" s="1" t="n">
        <v>44127</v>
      </c>
      <c r="C148" s="1" t="n">
        <v>45908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51249-2021</t>
        </is>
      </c>
      <c r="B149" s="1" t="n">
        <v>44461</v>
      </c>
      <c r="C149" s="1" t="n">
        <v>45908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11410-2025</t>
        </is>
      </c>
      <c r="B150" s="1" t="n">
        <v>45726.59032407407</v>
      </c>
      <c r="C150" s="1" t="n">
        <v>45908</v>
      </c>
      <c r="D150" t="inlineStr">
        <is>
          <t>GÄVLEBORGS LÄN</t>
        </is>
      </c>
      <c r="E150" t="inlineStr">
        <is>
          <t>GÄVLE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11417-2025</t>
        </is>
      </c>
      <c r="B151" s="1" t="n">
        <v>45726.59607638889</v>
      </c>
      <c r="C151" s="1" t="n">
        <v>45908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14750-2022</t>
        </is>
      </c>
      <c r="B152" s="1" t="n">
        <v>44656</v>
      </c>
      <c r="C152" s="1" t="n">
        <v>45908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14675-2025</t>
        </is>
      </c>
      <c r="B153" s="1" t="n">
        <v>45742.55755787037</v>
      </c>
      <c r="C153" s="1" t="n">
        <v>45908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16384-2025</t>
        </is>
      </c>
      <c r="B154" s="1" t="n">
        <v>45751.42317129629</v>
      </c>
      <c r="C154" s="1" t="n">
        <v>45908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23587-2024</t>
        </is>
      </c>
      <c r="B155" s="1" t="n">
        <v>45454</v>
      </c>
      <c r="C155" s="1" t="n">
        <v>45908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1066-2025</t>
        </is>
      </c>
      <c r="B156" s="1" t="n">
        <v>45666.58805555556</v>
      </c>
      <c r="C156" s="1" t="n">
        <v>45908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7743-2025</t>
        </is>
      </c>
      <c r="B157" s="1" t="n">
        <v>45706.47894675926</v>
      </c>
      <c r="C157" s="1" t="n">
        <v>45908</v>
      </c>
      <c r="D157" t="inlineStr">
        <is>
          <t>GÄVLEBORGS LÄN</t>
        </is>
      </c>
      <c r="E157" t="inlineStr">
        <is>
          <t>GÄVLE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7755-2025</t>
        </is>
      </c>
      <c r="B158" s="1" t="n">
        <v>45706</v>
      </c>
      <c r="C158" s="1" t="n">
        <v>45908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44800-2024</t>
        </is>
      </c>
      <c r="B159" s="1" t="n">
        <v>45574.64898148148</v>
      </c>
      <c r="C159" s="1" t="n">
        <v>45908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55976-2022</t>
        </is>
      </c>
      <c r="B160" s="1" t="n">
        <v>44889.4528125</v>
      </c>
      <c r="C160" s="1" t="n">
        <v>45908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51121-2020</t>
        </is>
      </c>
      <c r="B161" s="1" t="n">
        <v>44112</v>
      </c>
      <c r="C161" s="1" t="n">
        <v>45908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26776-2021</t>
        </is>
      </c>
      <c r="B162" s="1" t="n">
        <v>44349.48065972222</v>
      </c>
      <c r="C162" s="1" t="n">
        <v>45908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12437-2024</t>
        </is>
      </c>
      <c r="B163" s="1" t="n">
        <v>45379.44809027778</v>
      </c>
      <c r="C163" s="1" t="n">
        <v>45908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38793-2024</t>
        </is>
      </c>
      <c r="B164" s="1" t="n">
        <v>45547.48995370371</v>
      </c>
      <c r="C164" s="1" t="n">
        <v>45908</v>
      </c>
      <c r="D164" t="inlineStr">
        <is>
          <t>GÄVLEBORGS LÄN</t>
        </is>
      </c>
      <c r="E164" t="inlineStr">
        <is>
          <t>GÄVLE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15144-2025</t>
        </is>
      </c>
      <c r="B165" s="1" t="n">
        <v>45744.43273148148</v>
      </c>
      <c r="C165" s="1" t="n">
        <v>45908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15146-2025</t>
        </is>
      </c>
      <c r="B166" s="1" t="n">
        <v>45744.45096064815</v>
      </c>
      <c r="C166" s="1" t="n">
        <v>45908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46449-2024</t>
        </is>
      </c>
      <c r="B167" s="1" t="n">
        <v>45582.5039699074</v>
      </c>
      <c r="C167" s="1" t="n">
        <v>45908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2458-2024</t>
        </is>
      </c>
      <c r="B168" s="1" t="n">
        <v>45312.89796296296</v>
      </c>
      <c r="C168" s="1" t="n">
        <v>45908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15939-2025</t>
        </is>
      </c>
      <c r="B169" s="1" t="n">
        <v>45749.48018518519</v>
      </c>
      <c r="C169" s="1" t="n">
        <v>45908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35233-2024</t>
        </is>
      </c>
      <c r="B170" s="1" t="n">
        <v>45530.53810185185</v>
      </c>
      <c r="C170" s="1" t="n">
        <v>45908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20621-2025</t>
        </is>
      </c>
      <c r="B171" s="1" t="n">
        <v>45776.32197916666</v>
      </c>
      <c r="C171" s="1" t="n">
        <v>45908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11390-2025</t>
        </is>
      </c>
      <c r="B172" s="1" t="n">
        <v>45726.57084490741</v>
      </c>
      <c r="C172" s="1" t="n">
        <v>45908</v>
      </c>
      <c r="D172" t="inlineStr">
        <is>
          <t>GÄVLEBORGS LÄN</t>
        </is>
      </c>
      <c r="E172" t="inlineStr">
        <is>
          <t>GÄVLE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20760-2025</t>
        </is>
      </c>
      <c r="B173" s="1" t="n">
        <v>45776.57601851852</v>
      </c>
      <c r="C173" s="1" t="n">
        <v>45908</v>
      </c>
      <c r="D173" t="inlineStr">
        <is>
          <t>GÄVLEBORGS LÄN</t>
        </is>
      </c>
      <c r="E173" t="inlineStr">
        <is>
          <t>GÄVLE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9378-2025</t>
        </is>
      </c>
      <c r="B174" s="1" t="n">
        <v>45715.34081018518</v>
      </c>
      <c r="C174" s="1" t="n">
        <v>45908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56728-2024</t>
        </is>
      </c>
      <c r="B175" s="1" t="n">
        <v>45628.35456018519</v>
      </c>
      <c r="C175" s="1" t="n">
        <v>45908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20761-2025</t>
        </is>
      </c>
      <c r="B176" s="1" t="n">
        <v>45776.57763888889</v>
      </c>
      <c r="C176" s="1" t="n">
        <v>45908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8237-2025</t>
        </is>
      </c>
      <c r="B177" s="1" t="n">
        <v>45708.47871527778</v>
      </c>
      <c r="C177" s="1" t="n">
        <v>45908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4287-2024</t>
        </is>
      </c>
      <c r="B178" s="1" t="n">
        <v>45324.5987037037</v>
      </c>
      <c r="C178" s="1" t="n">
        <v>45908</v>
      </c>
      <c r="D178" t="inlineStr">
        <is>
          <t>GÄVLEBORGS LÄN</t>
        </is>
      </c>
      <c r="E178" t="inlineStr">
        <is>
          <t>GÄVLE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61492-2024</t>
        </is>
      </c>
      <c r="B179" s="1" t="n">
        <v>45646.55134259259</v>
      </c>
      <c r="C179" s="1" t="n">
        <v>45908</v>
      </c>
      <c r="D179" t="inlineStr">
        <is>
          <t>GÄVLEBORGS LÄN</t>
        </is>
      </c>
      <c r="E179" t="inlineStr">
        <is>
          <t>GÄVLE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10811-2025</t>
        </is>
      </c>
      <c r="B180" s="1" t="n">
        <v>45722.53859953704</v>
      </c>
      <c r="C180" s="1" t="n">
        <v>45908</v>
      </c>
      <c r="D180" t="inlineStr">
        <is>
          <t>GÄVLEBORGS LÄN</t>
        </is>
      </c>
      <c r="E180" t="inlineStr">
        <is>
          <t>GÄVLE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35225-2024</t>
        </is>
      </c>
      <c r="B181" s="1" t="n">
        <v>45530.51480324074</v>
      </c>
      <c r="C181" s="1" t="n">
        <v>45908</v>
      </c>
      <c r="D181" t="inlineStr">
        <is>
          <t>GÄVLEBORGS LÄN</t>
        </is>
      </c>
      <c r="E181" t="inlineStr">
        <is>
          <t>GÄVLE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11768-2025</t>
        </is>
      </c>
      <c r="B182" s="1" t="n">
        <v>45727.67243055555</v>
      </c>
      <c r="C182" s="1" t="n">
        <v>45908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7748-2025</t>
        </is>
      </c>
      <c r="B183" s="1" t="n">
        <v>45706</v>
      </c>
      <c r="C183" s="1" t="n">
        <v>45908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45938-2024</t>
        </is>
      </c>
      <c r="B184" s="1" t="n">
        <v>45580</v>
      </c>
      <c r="C184" s="1" t="n">
        <v>45908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59817-2023</t>
        </is>
      </c>
      <c r="B185" s="1" t="n">
        <v>45257.52494212963</v>
      </c>
      <c r="C185" s="1" t="n">
        <v>45908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10333-2025</t>
        </is>
      </c>
      <c r="B186" s="1" t="n">
        <v>45720.48692129629</v>
      </c>
      <c r="C186" s="1" t="n">
        <v>45908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19454-2025</t>
        </is>
      </c>
      <c r="B187" s="1" t="n">
        <v>45770.35150462963</v>
      </c>
      <c r="C187" s="1" t="n">
        <v>45908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21431-2025</t>
        </is>
      </c>
      <c r="B188" s="1" t="n">
        <v>45782.51104166666</v>
      </c>
      <c r="C188" s="1" t="n">
        <v>45908</v>
      </c>
      <c r="D188" t="inlineStr">
        <is>
          <t>GÄVLEBORGS LÄN</t>
        </is>
      </c>
      <c r="E188" t="inlineStr">
        <is>
          <t>GÄVLE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6701-2025</t>
        </is>
      </c>
      <c r="B189" s="1" t="n">
        <v>45700.54153935185</v>
      </c>
      <c r="C189" s="1" t="n">
        <v>45908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60307-2024</t>
        </is>
      </c>
      <c r="B190" s="1" t="n">
        <v>45643.34199074074</v>
      </c>
      <c r="C190" s="1" t="n">
        <v>45908</v>
      </c>
      <c r="D190" t="inlineStr">
        <is>
          <t>GÄVLEBORGS LÄN</t>
        </is>
      </c>
      <c r="E190" t="inlineStr">
        <is>
          <t>GÄVLE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25532-2023</t>
        </is>
      </c>
      <c r="B191" s="1" t="n">
        <v>45089.5450462963</v>
      </c>
      <c r="C191" s="1" t="n">
        <v>45908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37534-2023</t>
        </is>
      </c>
      <c r="B192" s="1" t="n">
        <v>45158.91878472222</v>
      </c>
      <c r="C192" s="1" t="n">
        <v>45908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37538-2023</t>
        </is>
      </c>
      <c r="B193" s="1" t="n">
        <v>45158.94141203703</v>
      </c>
      <c r="C193" s="1" t="n">
        <v>45908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61672-2023</t>
        </is>
      </c>
      <c r="B194" s="1" t="n">
        <v>45265.62027777778</v>
      </c>
      <c r="C194" s="1" t="n">
        <v>45908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14173-2022</t>
        </is>
      </c>
      <c r="B195" s="1" t="n">
        <v>44651</v>
      </c>
      <c r="C195" s="1" t="n">
        <v>45908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15707-2024</t>
        </is>
      </c>
      <c r="B196" s="1" t="n">
        <v>45404.47491898148</v>
      </c>
      <c r="C196" s="1" t="n">
        <v>45908</v>
      </c>
      <c r="D196" t="inlineStr">
        <is>
          <t>GÄVLEBORGS LÄN</t>
        </is>
      </c>
      <c r="E196" t="inlineStr">
        <is>
          <t>GÄVLE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19331-2025</t>
        </is>
      </c>
      <c r="B197" s="1" t="n">
        <v>45769.58547453704</v>
      </c>
      <c r="C197" s="1" t="n">
        <v>45908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19333-2025</t>
        </is>
      </c>
      <c r="B198" s="1" t="n">
        <v>45769.58668981482</v>
      </c>
      <c r="C198" s="1" t="n">
        <v>45908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42876-2023</t>
        </is>
      </c>
      <c r="B199" s="1" t="n">
        <v>45182</v>
      </c>
      <c r="C199" s="1" t="n">
        <v>45908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21795-2022</t>
        </is>
      </c>
      <c r="B200" s="1" t="n">
        <v>44708</v>
      </c>
      <c r="C200" s="1" t="n">
        <v>45908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3472-2022</t>
        </is>
      </c>
      <c r="B201" s="1" t="n">
        <v>44585.59899305556</v>
      </c>
      <c r="C201" s="1" t="n">
        <v>45908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7202-2025</t>
        </is>
      </c>
      <c r="B202" s="1" t="n">
        <v>45702.46539351852</v>
      </c>
      <c r="C202" s="1" t="n">
        <v>45908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42247-2024</t>
        </is>
      </c>
      <c r="B203" s="1" t="n">
        <v>45562</v>
      </c>
      <c r="C203" s="1" t="n">
        <v>45908</v>
      </c>
      <c r="D203" t="inlineStr">
        <is>
          <t>GÄVLEBORGS LÄN</t>
        </is>
      </c>
      <c r="E203" t="inlineStr">
        <is>
          <t>GÄVLE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59044-2023</t>
        </is>
      </c>
      <c r="B204" s="1" t="n">
        <v>45252.72782407407</v>
      </c>
      <c r="C204" s="1" t="n">
        <v>45908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21966-2025</t>
        </is>
      </c>
      <c r="B205" s="1" t="n">
        <v>45784.62677083333</v>
      </c>
      <c r="C205" s="1" t="n">
        <v>45908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17404-2025</t>
        </is>
      </c>
      <c r="B206" s="1" t="n">
        <v>45757.35831018518</v>
      </c>
      <c r="C206" s="1" t="n">
        <v>45908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138-2023</t>
        </is>
      </c>
      <c r="B207" s="1" t="n">
        <v>44928.52260416667</v>
      </c>
      <c r="C207" s="1" t="n">
        <v>45908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14801-2023</t>
        </is>
      </c>
      <c r="B208" s="1" t="n">
        <v>45014.62342592593</v>
      </c>
      <c r="C208" s="1" t="n">
        <v>45908</v>
      </c>
      <c r="D208" t="inlineStr">
        <is>
          <t>GÄVLEBORGS LÄN</t>
        </is>
      </c>
      <c r="E208" t="inlineStr">
        <is>
          <t>GÄVLE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3862-2024</t>
        </is>
      </c>
      <c r="B209" s="1" t="n">
        <v>45322.38930555555</v>
      </c>
      <c r="C209" s="1" t="n">
        <v>45908</v>
      </c>
      <c r="D209" t="inlineStr">
        <is>
          <t>GÄVLEBORGS LÄN</t>
        </is>
      </c>
      <c r="E209" t="inlineStr">
        <is>
          <t>GÄVLE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15001-2023</t>
        </is>
      </c>
      <c r="B210" s="1" t="n">
        <v>45015</v>
      </c>
      <c r="C210" s="1" t="n">
        <v>45908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69253-2020</t>
        </is>
      </c>
      <c r="B211" s="1" t="n">
        <v>44192</v>
      </c>
      <c r="C211" s="1" t="n">
        <v>45908</v>
      </c>
      <c r="D211" t="inlineStr">
        <is>
          <t>GÄVLEBORGS LÄN</t>
        </is>
      </c>
      <c r="E211" t="inlineStr">
        <is>
          <t>GÄVLE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5408-2023</t>
        </is>
      </c>
      <c r="B212" s="1" t="n">
        <v>44959.71658564815</v>
      </c>
      <c r="C212" s="1" t="n">
        <v>45908</v>
      </c>
      <c r="D212" t="inlineStr">
        <is>
          <t>GÄVLEBORGS LÄN</t>
        </is>
      </c>
      <c r="E212" t="inlineStr">
        <is>
          <t>GÄVLE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14783-2025</t>
        </is>
      </c>
      <c r="B213" s="1" t="n">
        <v>45742.73994212963</v>
      </c>
      <c r="C213" s="1" t="n">
        <v>45908</v>
      </c>
      <c r="D213" t="inlineStr">
        <is>
          <t>GÄVLEBORGS LÄN</t>
        </is>
      </c>
      <c r="E213" t="inlineStr">
        <is>
          <t>GÄVLE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230-2025</t>
        </is>
      </c>
      <c r="B214" s="1" t="n">
        <v>45660.36721064815</v>
      </c>
      <c r="C214" s="1" t="n">
        <v>45908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37146-2024</t>
        </is>
      </c>
      <c r="B215" s="1" t="n">
        <v>45539.6021875</v>
      </c>
      <c r="C215" s="1" t="n">
        <v>45908</v>
      </c>
      <c r="D215" t="inlineStr">
        <is>
          <t>GÄVLEBORGS LÄN</t>
        </is>
      </c>
      <c r="E215" t="inlineStr">
        <is>
          <t>GÄVLE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259-2025</t>
        </is>
      </c>
      <c r="B216" s="1" t="n">
        <v>45660.44798611111</v>
      </c>
      <c r="C216" s="1" t="n">
        <v>45908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6367-2025</t>
        </is>
      </c>
      <c r="B217" s="1" t="n">
        <v>45699.3866087963</v>
      </c>
      <c r="C217" s="1" t="n">
        <v>45908</v>
      </c>
      <c r="D217" t="inlineStr">
        <is>
          <t>GÄVLEBORGS LÄN</t>
        </is>
      </c>
      <c r="E217" t="inlineStr">
        <is>
          <t>GÄVLE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22645-2025</t>
        </is>
      </c>
      <c r="B218" s="1" t="n">
        <v>45789.4640162037</v>
      </c>
      <c r="C218" s="1" t="n">
        <v>45908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9412-2025</t>
        </is>
      </c>
      <c r="B219" s="1" t="n">
        <v>45715.39028935185</v>
      </c>
      <c r="C219" s="1" t="n">
        <v>45908</v>
      </c>
      <c r="D219" t="inlineStr">
        <is>
          <t>GÄVLEBORGS LÄN</t>
        </is>
      </c>
      <c r="E219" t="inlineStr">
        <is>
          <t>GÄVLE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5409-2023</t>
        </is>
      </c>
      <c r="B220" s="1" t="n">
        <v>44959</v>
      </c>
      <c r="C220" s="1" t="n">
        <v>45908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5415-2023</t>
        </is>
      </c>
      <c r="B221" s="1" t="n">
        <v>44959</v>
      </c>
      <c r="C221" s="1" t="n">
        <v>45908</v>
      </c>
      <c r="D221" t="inlineStr">
        <is>
          <t>GÄVLEBORGS LÄN</t>
        </is>
      </c>
      <c r="E221" t="inlineStr">
        <is>
          <t>GÄVLE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22664-2025</t>
        </is>
      </c>
      <c r="B222" s="1" t="n">
        <v>45789.48466435185</v>
      </c>
      <c r="C222" s="1" t="n">
        <v>45908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45908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7451-2025</t>
        </is>
      </c>
      <c r="B224" s="1" t="n">
        <v>45705.42418981482</v>
      </c>
      <c r="C224" s="1" t="n">
        <v>45908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7294-2025</t>
        </is>
      </c>
      <c r="B225" s="1" t="n">
        <v>45702.64712962963</v>
      </c>
      <c r="C225" s="1" t="n">
        <v>45908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53138-2024</t>
        </is>
      </c>
      <c r="B226" s="1" t="n">
        <v>45611.59840277778</v>
      </c>
      <c r="C226" s="1" t="n">
        <v>45908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2373-2025</t>
        </is>
      </c>
      <c r="B227" s="1" t="n">
        <v>45673.85991898148</v>
      </c>
      <c r="C227" s="1" t="n">
        <v>45908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2374-2025</t>
        </is>
      </c>
      <c r="B228" s="1" t="n">
        <v>45673.87116898148</v>
      </c>
      <c r="C228" s="1" t="n">
        <v>45908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61056-2024</t>
        </is>
      </c>
      <c r="B229" s="1" t="n">
        <v>45645.48956018518</v>
      </c>
      <c r="C229" s="1" t="n">
        <v>45908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18017-2023</t>
        </is>
      </c>
      <c r="B230" s="1" t="n">
        <v>45040.57936342592</v>
      </c>
      <c r="C230" s="1" t="n">
        <v>45908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257-2025</t>
        </is>
      </c>
      <c r="B231" s="1" t="n">
        <v>45660</v>
      </c>
      <c r="C231" s="1" t="n">
        <v>45908</v>
      </c>
      <c r="D231" t="inlineStr">
        <is>
          <t>GÄVLEBORGS LÄN</t>
        </is>
      </c>
      <c r="E231" t="inlineStr">
        <is>
          <t>GÄVLE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17834-2021</t>
        </is>
      </c>
      <c r="B232" s="1" t="n">
        <v>44300.80547453704</v>
      </c>
      <c r="C232" s="1" t="n">
        <v>45908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9426-2025</t>
        </is>
      </c>
      <c r="B233" s="1" t="n">
        <v>45715.40354166667</v>
      </c>
      <c r="C233" s="1" t="n">
        <v>45908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61130-2024</t>
        </is>
      </c>
      <c r="B234" s="1" t="n">
        <v>45645.58069444444</v>
      </c>
      <c r="C234" s="1" t="n">
        <v>45908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28905-2023</t>
        </is>
      </c>
      <c r="B235" s="1" t="n">
        <v>45104.50863425926</v>
      </c>
      <c r="C235" s="1" t="n">
        <v>45908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49771-2022</t>
        </is>
      </c>
      <c r="B236" s="1" t="n">
        <v>44862.61767361111</v>
      </c>
      <c r="C236" s="1" t="n">
        <v>45908</v>
      </c>
      <c r="D236" t="inlineStr">
        <is>
          <t>GÄVLEBORGS LÄN</t>
        </is>
      </c>
      <c r="E236" t="inlineStr">
        <is>
          <t>GÄVLE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45908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61501-2024</t>
        </is>
      </c>
      <c r="B238" s="1" t="n">
        <v>45646.5587037037</v>
      </c>
      <c r="C238" s="1" t="n">
        <v>45908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47458-2022</t>
        </is>
      </c>
      <c r="B239" s="1" t="n">
        <v>44853</v>
      </c>
      <c r="C239" s="1" t="n">
        <v>45908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23232-2025</t>
        </is>
      </c>
      <c r="B240" s="1" t="n">
        <v>45791.49224537037</v>
      </c>
      <c r="C240" s="1" t="n">
        <v>45908</v>
      </c>
      <c r="D240" t="inlineStr">
        <is>
          <t>GÄVLEBORGS LÄN</t>
        </is>
      </c>
      <c r="E240" t="inlineStr">
        <is>
          <t>GÄVLE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26157-2022</t>
        </is>
      </c>
      <c r="B241" s="1" t="n">
        <v>44735</v>
      </c>
      <c r="C241" s="1" t="n">
        <v>45908</v>
      </c>
      <c r="D241" t="inlineStr">
        <is>
          <t>GÄVLEBORGS LÄN</t>
        </is>
      </c>
      <c r="E241" t="inlineStr">
        <is>
          <t>GÄVLE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22879-2025</t>
        </is>
      </c>
      <c r="B242" s="1" t="n">
        <v>45790.38057870371</v>
      </c>
      <c r="C242" s="1" t="n">
        <v>45908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61131-2024</t>
        </is>
      </c>
      <c r="B243" s="1" t="n">
        <v>45645.58155092593</v>
      </c>
      <c r="C243" s="1" t="n">
        <v>45908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23324-2025</t>
        </is>
      </c>
      <c r="B244" s="1" t="n">
        <v>45791.62157407407</v>
      </c>
      <c r="C244" s="1" t="n">
        <v>45908</v>
      </c>
      <c r="D244" t="inlineStr">
        <is>
          <t>GÄVLEBORGS LÄN</t>
        </is>
      </c>
      <c r="E244" t="inlineStr">
        <is>
          <t>GÄVLE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23304-2025</t>
        </is>
      </c>
      <c r="B245" s="1" t="n">
        <v>45791.60046296296</v>
      </c>
      <c r="C245" s="1" t="n">
        <v>45908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44938-2022</t>
        </is>
      </c>
      <c r="B246" s="1" t="n">
        <v>44841</v>
      </c>
      <c r="C246" s="1" t="n">
        <v>45908</v>
      </c>
      <c r="D246" t="inlineStr">
        <is>
          <t>GÄVLEBORGS LÄN</t>
        </is>
      </c>
      <c r="E246" t="inlineStr">
        <is>
          <t>GÄVLE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45908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2400-2023</t>
        </is>
      </c>
      <c r="B248" s="1" t="n">
        <v>44942</v>
      </c>
      <c r="C248" s="1" t="n">
        <v>45908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15932-2025</t>
        </is>
      </c>
      <c r="B249" s="1" t="n">
        <v>45749.47115740741</v>
      </c>
      <c r="C249" s="1" t="n">
        <v>45908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19518-2025</t>
        </is>
      </c>
      <c r="B250" s="1" t="n">
        <v>45770.44512731482</v>
      </c>
      <c r="C250" s="1" t="n">
        <v>45908</v>
      </c>
      <c r="D250" t="inlineStr">
        <is>
          <t>GÄVLEBORGS LÄN</t>
        </is>
      </c>
      <c r="E250" t="inlineStr">
        <is>
          <t>GÄVLE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5241-2024</t>
        </is>
      </c>
      <c r="B251" s="1" t="n">
        <v>45330.86684027778</v>
      </c>
      <c r="C251" s="1" t="n">
        <v>45908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23575-2025</t>
        </is>
      </c>
      <c r="B252" s="1" t="n">
        <v>45792.62024305556</v>
      </c>
      <c r="C252" s="1" t="n">
        <v>45908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255-2025</t>
        </is>
      </c>
      <c r="B253" s="1" t="n">
        <v>45660.43380787037</v>
      </c>
      <c r="C253" s="1" t="n">
        <v>45908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18966-2025</t>
        </is>
      </c>
      <c r="B254" s="1" t="n">
        <v>45764</v>
      </c>
      <c r="C254" s="1" t="n">
        <v>45908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45965-2024</t>
        </is>
      </c>
      <c r="B255" s="1" t="n">
        <v>45580</v>
      </c>
      <c r="C255" s="1" t="n">
        <v>45908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14629-2025</t>
        </is>
      </c>
      <c r="B256" s="1" t="n">
        <v>45742.42773148148</v>
      </c>
      <c r="C256" s="1" t="n">
        <v>45908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23572-2025</t>
        </is>
      </c>
      <c r="B257" s="1" t="n">
        <v>45792.61178240741</v>
      </c>
      <c r="C257" s="1" t="n">
        <v>45908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5908-2025</t>
        </is>
      </c>
      <c r="B258" s="1" t="n">
        <v>45695.40526620371</v>
      </c>
      <c r="C258" s="1" t="n">
        <v>45908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5912-2025</t>
        </is>
      </c>
      <c r="B259" s="1" t="n">
        <v>45695</v>
      </c>
      <c r="C259" s="1" t="n">
        <v>45908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5914-2025</t>
        </is>
      </c>
      <c r="B260" s="1" t="n">
        <v>45695</v>
      </c>
      <c r="C260" s="1" t="n">
        <v>45908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18874-2025</t>
        </is>
      </c>
      <c r="B261" s="1" t="n">
        <v>45764.43357638889</v>
      </c>
      <c r="C261" s="1" t="n">
        <v>45908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18876-2025</t>
        </is>
      </c>
      <c r="B262" s="1" t="n">
        <v>45764.43528935185</v>
      </c>
      <c r="C262" s="1" t="n">
        <v>45908</v>
      </c>
      <c r="D262" t="inlineStr">
        <is>
          <t>GÄVLEBORGS LÄN</t>
        </is>
      </c>
      <c r="E262" t="inlineStr">
        <is>
          <t>GÄVLE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19095-2022</t>
        </is>
      </c>
      <c r="B263" s="1" t="n">
        <v>44691</v>
      </c>
      <c r="C263" s="1" t="n">
        <v>45908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23463-2025</t>
        </is>
      </c>
      <c r="B264" s="1" t="n">
        <v>45792.43024305555</v>
      </c>
      <c r="C264" s="1" t="n">
        <v>45908</v>
      </c>
      <c r="D264" t="inlineStr">
        <is>
          <t>GÄVLEBORGS LÄN</t>
        </is>
      </c>
      <c r="E264" t="inlineStr">
        <is>
          <t>GÄVLE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23447-2025</t>
        </is>
      </c>
      <c r="B265" s="1" t="n">
        <v>45792.39951388889</v>
      </c>
      <c r="C265" s="1" t="n">
        <v>45908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50582-2023</t>
        </is>
      </c>
      <c r="B266" s="1" t="n">
        <v>45217.39167824074</v>
      </c>
      <c r="C266" s="1" t="n">
        <v>45908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23987-2025</t>
        </is>
      </c>
      <c r="B267" s="1" t="n">
        <v>45796.39857638889</v>
      </c>
      <c r="C267" s="1" t="n">
        <v>45908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9440-2025</t>
        </is>
      </c>
      <c r="B268" s="1" t="n">
        <v>45715.41775462963</v>
      </c>
      <c r="C268" s="1" t="n">
        <v>45908</v>
      </c>
      <c r="D268" t="inlineStr">
        <is>
          <t>GÄVLEBORGS LÄN</t>
        </is>
      </c>
      <c r="E268" t="inlineStr">
        <is>
          <t>GÄVLE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9449-2025</t>
        </is>
      </c>
      <c r="B269" s="1" t="n">
        <v>45715.42604166667</v>
      </c>
      <c r="C269" s="1" t="n">
        <v>45908</v>
      </c>
      <c r="D269" t="inlineStr">
        <is>
          <t>GÄVLEBORGS LÄN</t>
        </is>
      </c>
      <c r="E269" t="inlineStr">
        <is>
          <t>GÄVLE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9235-2022</t>
        </is>
      </c>
      <c r="B270" s="1" t="n">
        <v>44616.3750462963</v>
      </c>
      <c r="C270" s="1" t="n">
        <v>45908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24228-2025</t>
        </is>
      </c>
      <c r="B271" s="1" t="n">
        <v>45797.37373842593</v>
      </c>
      <c r="C271" s="1" t="n">
        <v>45908</v>
      </c>
      <c r="D271" t="inlineStr">
        <is>
          <t>GÄVLEBORGS LÄN</t>
        </is>
      </c>
      <c r="E271" t="inlineStr">
        <is>
          <t>GÄVLE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53082-2022</t>
        </is>
      </c>
      <c r="B272" s="1" t="n">
        <v>44876.38916666667</v>
      </c>
      <c r="C272" s="1" t="n">
        <v>45908</v>
      </c>
      <c r="D272" t="inlineStr">
        <is>
          <t>GÄVLEBORGS LÄN</t>
        </is>
      </c>
      <c r="E272" t="inlineStr">
        <is>
          <t>GÄVLE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14093-2025</t>
        </is>
      </c>
      <c r="B273" s="1" t="n">
        <v>45740.44788194444</v>
      </c>
      <c r="C273" s="1" t="n">
        <v>45908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72734-2021</t>
        </is>
      </c>
      <c r="B274" s="1" t="n">
        <v>44546</v>
      </c>
      <c r="C274" s="1" t="n">
        <v>45908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24227-2025</t>
        </is>
      </c>
      <c r="B275" s="1" t="n">
        <v>45797.37197916667</v>
      </c>
      <c r="C275" s="1" t="n">
        <v>45908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55878-2024</t>
        </is>
      </c>
      <c r="B276" s="1" t="n">
        <v>45623</v>
      </c>
      <c r="C276" s="1" t="n">
        <v>45908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4294-2024</t>
        </is>
      </c>
      <c r="B277" s="1" t="n">
        <v>45324</v>
      </c>
      <c r="C277" s="1" t="n">
        <v>45908</v>
      </c>
      <c r="D277" t="inlineStr">
        <is>
          <t>GÄVLEBORGS LÄN</t>
        </is>
      </c>
      <c r="E277" t="inlineStr">
        <is>
          <t>GÄVLE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24215-2025</t>
        </is>
      </c>
      <c r="B278" s="1" t="n">
        <v>45797.35431712963</v>
      </c>
      <c r="C278" s="1" t="n">
        <v>45908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43556-2023</t>
        </is>
      </c>
      <c r="B279" s="1" t="n">
        <v>45184.57194444445</v>
      </c>
      <c r="C279" s="1" t="n">
        <v>45908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7441-2025</t>
        </is>
      </c>
      <c r="B280" s="1" t="n">
        <v>45705.40342592593</v>
      </c>
      <c r="C280" s="1" t="n">
        <v>45908</v>
      </c>
      <c r="D280" t="inlineStr">
        <is>
          <t>GÄVLEBORGS LÄN</t>
        </is>
      </c>
      <c r="E280" t="inlineStr">
        <is>
          <t>GÄVLE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24229-2025</t>
        </is>
      </c>
      <c r="B281" s="1" t="n">
        <v>45797.37581018519</v>
      </c>
      <c r="C281" s="1" t="n">
        <v>45908</v>
      </c>
      <c r="D281" t="inlineStr">
        <is>
          <t>GÄVLEBORGS LÄN</t>
        </is>
      </c>
      <c r="E281" t="inlineStr">
        <is>
          <t>GÄVLE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12381-2023</t>
        </is>
      </c>
      <c r="B282" s="1" t="n">
        <v>44999.46983796296</v>
      </c>
      <c r="C282" s="1" t="n">
        <v>45908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48913-2024</t>
        </is>
      </c>
      <c r="B283" s="1" t="n">
        <v>45594.36701388889</v>
      </c>
      <c r="C283" s="1" t="n">
        <v>45908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24225-2025</t>
        </is>
      </c>
      <c r="B284" s="1" t="n">
        <v>45797.36991898148</v>
      </c>
      <c r="C284" s="1" t="n">
        <v>45908</v>
      </c>
      <c r="D284" t="inlineStr">
        <is>
          <t>GÄVLEBORGS LÄN</t>
        </is>
      </c>
      <c r="E284" t="inlineStr">
        <is>
          <t>GÄVLE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53432-2021</t>
        </is>
      </c>
      <c r="B285" s="1" t="n">
        <v>44468.65246527778</v>
      </c>
      <c r="C285" s="1" t="n">
        <v>45908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44294.64568287037</v>
      </c>
      <c r="C286" s="1" t="n">
        <v>45908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31544-2023</t>
        </is>
      </c>
      <c r="B287" s="1" t="n">
        <v>45117</v>
      </c>
      <c r="C287" s="1" t="n">
        <v>45908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29923-2022</t>
        </is>
      </c>
      <c r="B288" s="1" t="n">
        <v>44756.56537037037</v>
      </c>
      <c r="C288" s="1" t="n">
        <v>45908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29927-2022</t>
        </is>
      </c>
      <c r="B289" s="1" t="n">
        <v>44756.57232638889</v>
      </c>
      <c r="C289" s="1" t="n">
        <v>45908</v>
      </c>
      <c r="D289" t="inlineStr">
        <is>
          <t>GÄVLEBORGS LÄN</t>
        </is>
      </c>
      <c r="E289" t="inlineStr">
        <is>
          <t>GÄVLE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24618-2023</t>
        </is>
      </c>
      <c r="B290" s="1" t="n">
        <v>45084.35936342592</v>
      </c>
      <c r="C290" s="1" t="n">
        <v>45908</v>
      </c>
      <c r="D290" t="inlineStr">
        <is>
          <t>GÄVLEBORGS LÄN</t>
        </is>
      </c>
      <c r="E290" t="inlineStr">
        <is>
          <t>GÄVLE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45908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58445-2021</t>
        </is>
      </c>
      <c r="B292" s="1" t="n">
        <v>44488.57009259259</v>
      </c>
      <c r="C292" s="1" t="n">
        <v>45908</v>
      </c>
      <c r="D292" t="inlineStr">
        <is>
          <t>GÄVLEBORGS LÄN</t>
        </is>
      </c>
      <c r="E292" t="inlineStr">
        <is>
          <t>GÄVLE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31367-2024</t>
        </is>
      </c>
      <c r="B293" s="1" t="n">
        <v>45505.38290509259</v>
      </c>
      <c r="C293" s="1" t="n">
        <v>45908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38240-2024</t>
        </is>
      </c>
      <c r="B294" s="1" t="n">
        <v>45545</v>
      </c>
      <c r="C294" s="1" t="n">
        <v>45908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24611-2025</t>
        </is>
      </c>
      <c r="B295" s="1" t="n">
        <v>45798.58106481482</v>
      </c>
      <c r="C295" s="1" t="n">
        <v>45908</v>
      </c>
      <c r="D295" t="inlineStr">
        <is>
          <t>GÄVLEBORGS LÄN</t>
        </is>
      </c>
      <c r="E295" t="inlineStr">
        <is>
          <t>GÄVLE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24612-2025</t>
        </is>
      </c>
      <c r="B296" s="1" t="n">
        <v>45798</v>
      </c>
      <c r="C296" s="1" t="n">
        <v>45908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24614-2025</t>
        </is>
      </c>
      <c r="B297" s="1" t="n">
        <v>45798.58292824074</v>
      </c>
      <c r="C297" s="1" t="n">
        <v>45908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24616-2025</t>
        </is>
      </c>
      <c r="B298" s="1" t="n">
        <v>45798.5837962963</v>
      </c>
      <c r="C298" s="1" t="n">
        <v>45908</v>
      </c>
      <c r="D298" t="inlineStr">
        <is>
          <t>GÄVLEBORGS LÄN</t>
        </is>
      </c>
      <c r="E298" t="inlineStr">
        <is>
          <t>GÄVLE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66493-2021</t>
        </is>
      </c>
      <c r="B299" s="1" t="n">
        <v>44519.03226851852</v>
      </c>
      <c r="C299" s="1" t="n">
        <v>45908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45908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15938-2025</t>
        </is>
      </c>
      <c r="B301" s="1" t="n">
        <v>45749.47486111111</v>
      </c>
      <c r="C301" s="1" t="n">
        <v>45908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33015-2023</t>
        </is>
      </c>
      <c r="B302" s="1" t="n">
        <v>45125.74876157408</v>
      </c>
      <c r="C302" s="1" t="n">
        <v>45908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71249-2021</t>
        </is>
      </c>
      <c r="B303" s="1" t="n">
        <v>44539</v>
      </c>
      <c r="C303" s="1" t="n">
        <v>45908</v>
      </c>
      <c r="D303" t="inlineStr">
        <is>
          <t>GÄVLEBORGS LÄN</t>
        </is>
      </c>
      <c r="E303" t="inlineStr">
        <is>
          <t>GÄVLE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24619-2025</t>
        </is>
      </c>
      <c r="B304" s="1" t="n">
        <v>45798.59127314815</v>
      </c>
      <c r="C304" s="1" t="n">
        <v>45908</v>
      </c>
      <c r="D304" t="inlineStr">
        <is>
          <t>GÄVLEBORGS LÄN</t>
        </is>
      </c>
      <c r="E304" t="inlineStr">
        <is>
          <t>GÄVLE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47143-2024</t>
        </is>
      </c>
      <c r="B305" s="1" t="n">
        <v>45586.58848379629</v>
      </c>
      <c r="C305" s="1" t="n">
        <v>45908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59154-2024</t>
        </is>
      </c>
      <c r="B306" s="1" t="n">
        <v>45637</v>
      </c>
      <c r="C306" s="1" t="n">
        <v>45908</v>
      </c>
      <c r="D306" t="inlineStr">
        <is>
          <t>GÄVLEBORGS LÄN</t>
        </is>
      </c>
      <c r="E306" t="inlineStr">
        <is>
          <t>GÄVLE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25384-2025</t>
        </is>
      </c>
      <c r="B307" s="1" t="n">
        <v>45800.64162037037</v>
      </c>
      <c r="C307" s="1" t="n">
        <v>45908</v>
      </c>
      <c r="D307" t="inlineStr">
        <is>
          <t>GÄVLEBORGS LÄN</t>
        </is>
      </c>
      <c r="E307" t="inlineStr">
        <is>
          <t>GÄVLE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25810-2023</t>
        </is>
      </c>
      <c r="B308" s="1" t="n">
        <v>45090.52650462963</v>
      </c>
      <c r="C308" s="1" t="n">
        <v>45908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25812-2023</t>
        </is>
      </c>
      <c r="B309" s="1" t="n">
        <v>45090.52939814814</v>
      </c>
      <c r="C309" s="1" t="n">
        <v>45908</v>
      </c>
      <c r="D309" t="inlineStr">
        <is>
          <t>GÄVLEBORGS LÄN</t>
        </is>
      </c>
      <c r="E309" t="inlineStr">
        <is>
          <t>GÄVLE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47642-2024</t>
        </is>
      </c>
      <c r="B310" s="1" t="n">
        <v>45588.3656712963</v>
      </c>
      <c r="C310" s="1" t="n">
        <v>45908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1238-2023</t>
        </is>
      </c>
      <c r="B311" s="1" t="n">
        <v>44936</v>
      </c>
      <c r="C311" s="1" t="n">
        <v>45908</v>
      </c>
      <c r="D311" t="inlineStr">
        <is>
          <t>GÄVLEBORGS LÄN</t>
        </is>
      </c>
      <c r="E311" t="inlineStr">
        <is>
          <t>GÄVLE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11346-2025</t>
        </is>
      </c>
      <c r="B312" s="1" t="n">
        <v>45726.50033564815</v>
      </c>
      <c r="C312" s="1" t="n">
        <v>45908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2457-2024</t>
        </is>
      </c>
      <c r="B313" s="1" t="n">
        <v>45312.89391203703</v>
      </c>
      <c r="C313" s="1" t="n">
        <v>45908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61694-2020</t>
        </is>
      </c>
      <c r="B314" s="1" t="n">
        <v>44158</v>
      </c>
      <c r="C314" s="1" t="n">
        <v>45908</v>
      </c>
      <c r="D314" t="inlineStr">
        <is>
          <t>GÄVLEBORGS LÄN</t>
        </is>
      </c>
      <c r="E314" t="inlineStr">
        <is>
          <t>GÄVLE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51138-2024</t>
        </is>
      </c>
      <c r="B315" s="1" t="n">
        <v>45603.53780092593</v>
      </c>
      <c r="C315" s="1" t="n">
        <v>45908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46217-2024</t>
        </is>
      </c>
      <c r="B316" s="1" t="n">
        <v>45581.56543981482</v>
      </c>
      <c r="C316" s="1" t="n">
        <v>45908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25382-2025</t>
        </is>
      </c>
      <c r="B317" s="1" t="n">
        <v>45800.64026620371</v>
      </c>
      <c r="C317" s="1" t="n">
        <v>45908</v>
      </c>
      <c r="D317" t="inlineStr">
        <is>
          <t>GÄVLEBORGS LÄN</t>
        </is>
      </c>
      <c r="E317" t="inlineStr">
        <is>
          <t>GÄVLE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57122-2023</t>
        </is>
      </c>
      <c r="B318" s="1" t="n">
        <v>45245</v>
      </c>
      <c r="C318" s="1" t="n">
        <v>45908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51071-2023</t>
        </is>
      </c>
      <c r="B319" s="1" t="n">
        <v>45218.67822916667</v>
      </c>
      <c r="C319" s="1" t="n">
        <v>45908</v>
      </c>
      <c r="D319" t="inlineStr">
        <is>
          <t>GÄVLEBORGS LÄN</t>
        </is>
      </c>
      <c r="E319" t="inlineStr">
        <is>
          <t>GÄVLE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25918-2025</t>
        </is>
      </c>
      <c r="B320" s="1" t="n">
        <v>45803</v>
      </c>
      <c r="C320" s="1" t="n">
        <v>45908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50871-2022</t>
        </is>
      </c>
      <c r="B321" s="1" t="n">
        <v>44867</v>
      </c>
      <c r="C321" s="1" t="n">
        <v>45908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795-2021</t>
        </is>
      </c>
      <c r="B322" s="1" t="n">
        <v>44204</v>
      </c>
      <c r="C322" s="1" t="n">
        <v>45908</v>
      </c>
      <c r="D322" t="inlineStr">
        <is>
          <t>GÄVLEBORGS LÄN</t>
        </is>
      </c>
      <c r="E322" t="inlineStr">
        <is>
          <t>GÄVLE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19424-2022</t>
        </is>
      </c>
      <c r="B323" s="1" t="n">
        <v>44693</v>
      </c>
      <c r="C323" s="1" t="n">
        <v>45908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54053-2020</t>
        </is>
      </c>
      <c r="B324" s="1" t="n">
        <v>44125</v>
      </c>
      <c r="C324" s="1" t="n">
        <v>45908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54065-2020</t>
        </is>
      </c>
      <c r="B325" s="1" t="n">
        <v>44125</v>
      </c>
      <c r="C325" s="1" t="n">
        <v>45908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26564-2022</t>
        </is>
      </c>
      <c r="B326" s="1" t="n">
        <v>44739.48752314815</v>
      </c>
      <c r="C326" s="1" t="n">
        <v>45908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14150-2025</t>
        </is>
      </c>
      <c r="B327" s="1" t="n">
        <v>45740.49162037037</v>
      </c>
      <c r="C327" s="1" t="n">
        <v>45908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14156-2025</t>
        </is>
      </c>
      <c r="B328" s="1" t="n">
        <v>45740.49421296296</v>
      </c>
      <c r="C328" s="1" t="n">
        <v>45908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17113-2024</t>
        </is>
      </c>
      <c r="B329" s="1" t="n">
        <v>45412</v>
      </c>
      <c r="C329" s="1" t="n">
        <v>45908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32297-2024</t>
        </is>
      </c>
      <c r="B330" s="1" t="n">
        <v>45512.43391203704</v>
      </c>
      <c r="C330" s="1" t="n">
        <v>45908</v>
      </c>
      <c r="D330" t="inlineStr">
        <is>
          <t>GÄVLEBORGS LÄN</t>
        </is>
      </c>
      <c r="E330" t="inlineStr">
        <is>
          <t>GÄVLE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45908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38558-2023</t>
        </is>
      </c>
      <c r="B332" s="1" t="n">
        <v>45162.60410879629</v>
      </c>
      <c r="C332" s="1" t="n">
        <v>45908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45908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45908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49401-2024</t>
        </is>
      </c>
      <c r="B335" s="1" t="n">
        <v>45595.67429398148</v>
      </c>
      <c r="C335" s="1" t="n">
        <v>45908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46539-2021</t>
        </is>
      </c>
      <c r="B336" s="1" t="n">
        <v>44445.46751157408</v>
      </c>
      <c r="C336" s="1" t="n">
        <v>45908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26094-2025</t>
        </is>
      </c>
      <c r="B337" s="1" t="n">
        <v>45805</v>
      </c>
      <c r="C337" s="1" t="n">
        <v>45908</v>
      </c>
      <c r="D337" t="inlineStr">
        <is>
          <t>GÄVLEBORGS LÄN</t>
        </is>
      </c>
      <c r="E337" t="inlineStr">
        <is>
          <t>GÄVLE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19327-2025</t>
        </is>
      </c>
      <c r="B338" s="1" t="n">
        <v>45769.58416666667</v>
      </c>
      <c r="C338" s="1" t="n">
        <v>45908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25878-2025</t>
        </is>
      </c>
      <c r="B339" s="1" t="n">
        <v>45804.49582175926</v>
      </c>
      <c r="C339" s="1" t="n">
        <v>45908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64871-2023</t>
        </is>
      </c>
      <c r="B340" s="1" t="n">
        <v>45282</v>
      </c>
      <c r="C340" s="1" t="n">
        <v>45908</v>
      </c>
      <c r="D340" t="inlineStr">
        <is>
          <t>GÄVLEBORGS LÄN</t>
        </is>
      </c>
      <c r="E340" t="inlineStr">
        <is>
          <t>GÄVLE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64875-2023</t>
        </is>
      </c>
      <c r="B341" s="1" t="n">
        <v>45282</v>
      </c>
      <c r="C341" s="1" t="n">
        <v>45908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64878-2023</t>
        </is>
      </c>
      <c r="B342" s="1" t="n">
        <v>45282</v>
      </c>
      <c r="C342" s="1" t="n">
        <v>45908</v>
      </c>
      <c r="D342" t="inlineStr">
        <is>
          <t>GÄVLEBORGS LÄN</t>
        </is>
      </c>
      <c r="E342" t="inlineStr">
        <is>
          <t>GÄVLE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14284-2025</t>
        </is>
      </c>
      <c r="B343" s="1" t="n">
        <v>45740.65900462963</v>
      </c>
      <c r="C343" s="1" t="n">
        <v>45908</v>
      </c>
      <c r="D343" t="inlineStr">
        <is>
          <t>GÄVLEBORGS LÄN</t>
        </is>
      </c>
      <c r="E343" t="inlineStr">
        <is>
          <t>GÄVLE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37258-2024</t>
        </is>
      </c>
      <c r="B344" s="1" t="n">
        <v>45540.36945601852</v>
      </c>
      <c r="C344" s="1" t="n">
        <v>45908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14891-2024</t>
        </is>
      </c>
      <c r="B345" s="1" t="n">
        <v>45398</v>
      </c>
      <c r="C345" s="1" t="n">
        <v>45908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62654-2020</t>
        </is>
      </c>
      <c r="B346" s="1" t="n">
        <v>44161</v>
      </c>
      <c r="C346" s="1" t="n">
        <v>45908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25768-2022</t>
        </is>
      </c>
      <c r="B347" s="1" t="n">
        <v>44733.45824074074</v>
      </c>
      <c r="C347" s="1" t="n">
        <v>45908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61300-2024</t>
        </is>
      </c>
      <c r="B348" s="1" t="n">
        <v>45645.90335648148</v>
      </c>
      <c r="C348" s="1" t="n">
        <v>45908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42934-2023</t>
        </is>
      </c>
      <c r="B349" s="1" t="n">
        <v>45182.56731481481</v>
      </c>
      <c r="C349" s="1" t="n">
        <v>45908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36638-2022</t>
        </is>
      </c>
      <c r="B350" s="1" t="n">
        <v>44804.72409722222</v>
      </c>
      <c r="C350" s="1" t="n">
        <v>45908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25064-2025</t>
        </is>
      </c>
      <c r="B351" s="1" t="n">
        <v>45799.70355324074</v>
      </c>
      <c r="C351" s="1" t="n">
        <v>45908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46115-2024</t>
        </is>
      </c>
      <c r="B352" s="1" t="n">
        <v>45581</v>
      </c>
      <c r="C352" s="1" t="n">
        <v>45908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48291-2024</t>
        </is>
      </c>
      <c r="B353" s="1" t="n">
        <v>45590.45619212963</v>
      </c>
      <c r="C353" s="1" t="n">
        <v>45908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45628-2022</t>
        </is>
      </c>
      <c r="B354" s="1" t="n">
        <v>44845</v>
      </c>
      <c r="C354" s="1" t="n">
        <v>45908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11921-2025</t>
        </is>
      </c>
      <c r="B355" s="1" t="n">
        <v>45728.49965277778</v>
      </c>
      <c r="C355" s="1" t="n">
        <v>45908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61880-2024</t>
        </is>
      </c>
      <c r="B356" s="1" t="n">
        <v>45652.44746527778</v>
      </c>
      <c r="C356" s="1" t="n">
        <v>45908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27787-2024</t>
        </is>
      </c>
      <c r="B357" s="1" t="n">
        <v>45475.54822916666</v>
      </c>
      <c r="C357" s="1" t="n">
        <v>45908</v>
      </c>
      <c r="D357" t="inlineStr">
        <is>
          <t>GÄVLEBORGS LÄN</t>
        </is>
      </c>
      <c r="E357" t="inlineStr">
        <is>
          <t>GÄVLE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69206-2020</t>
        </is>
      </c>
      <c r="B358" s="1" t="n">
        <v>44191</v>
      </c>
      <c r="C358" s="1" t="n">
        <v>45908</v>
      </c>
      <c r="D358" t="inlineStr">
        <is>
          <t>GÄVLEBORGS LÄN</t>
        </is>
      </c>
      <c r="E358" t="inlineStr">
        <is>
          <t>GÄVLE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45908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58204-2024</t>
        </is>
      </c>
      <c r="B360" s="1" t="n">
        <v>45632.48819444444</v>
      </c>
      <c r="C360" s="1" t="n">
        <v>45908</v>
      </c>
      <c r="D360" t="inlineStr">
        <is>
          <t>GÄVLEBORGS LÄN</t>
        </is>
      </c>
      <c r="E360" t="inlineStr">
        <is>
          <t>GÄVLE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60792-2024</t>
        </is>
      </c>
      <c r="B361" s="1" t="n">
        <v>45644.59484953704</v>
      </c>
      <c r="C361" s="1" t="n">
        <v>45908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40498-2022</t>
        </is>
      </c>
      <c r="B362" s="1" t="n">
        <v>44823.600625</v>
      </c>
      <c r="C362" s="1" t="n">
        <v>45908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14647-2025</t>
        </is>
      </c>
      <c r="B363" s="1" t="n">
        <v>45742.47987268519</v>
      </c>
      <c r="C363" s="1" t="n">
        <v>45908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14668-2025</t>
        </is>
      </c>
      <c r="B364" s="1" t="n">
        <v>45742.54047453704</v>
      </c>
      <c r="C364" s="1" t="n">
        <v>45908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60801-2024</t>
        </is>
      </c>
      <c r="B365" s="1" t="n">
        <v>45644.60451388889</v>
      </c>
      <c r="C365" s="1" t="n">
        <v>45908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10577-2023</t>
        </is>
      </c>
      <c r="B366" s="1" t="n">
        <v>44988</v>
      </c>
      <c r="C366" s="1" t="n">
        <v>45908</v>
      </c>
      <c r="D366" t="inlineStr">
        <is>
          <t>GÄVLEBORGS LÄN</t>
        </is>
      </c>
      <c r="E366" t="inlineStr">
        <is>
          <t>GÄVLE</t>
        </is>
      </c>
      <c r="F366" t="inlineStr">
        <is>
          <t>Kyrkan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16624-2023</t>
        </is>
      </c>
      <c r="B367" s="1" t="n">
        <v>45030.43475694444</v>
      </c>
      <c r="C367" s="1" t="n">
        <v>45908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22577-2022</t>
        </is>
      </c>
      <c r="B368" s="1" t="n">
        <v>44713</v>
      </c>
      <c r="C368" s="1" t="n">
        <v>45908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35203-2024</t>
        </is>
      </c>
      <c r="B369" s="1" t="n">
        <v>45530.47789351852</v>
      </c>
      <c r="C369" s="1" t="n">
        <v>45908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61704-2020</t>
        </is>
      </c>
      <c r="B370" s="1" t="n">
        <v>44158</v>
      </c>
      <c r="C370" s="1" t="n">
        <v>45908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57168-2023</t>
        </is>
      </c>
      <c r="B371" s="1" t="n">
        <v>45245.44936342593</v>
      </c>
      <c r="C371" s="1" t="n">
        <v>45908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57171-2023</t>
        </is>
      </c>
      <c r="B372" s="1" t="n">
        <v>45245</v>
      </c>
      <c r="C372" s="1" t="n">
        <v>45908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27666-2025</t>
        </is>
      </c>
      <c r="B373" s="1" t="n">
        <v>45813.61989583333</v>
      </c>
      <c r="C373" s="1" t="n">
        <v>45908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15207-2024</t>
        </is>
      </c>
      <c r="B374" s="1" t="n">
        <v>45400.44844907407</v>
      </c>
      <c r="C374" s="1" t="n">
        <v>45908</v>
      </c>
      <c r="D374" t="inlineStr">
        <is>
          <t>GÄVLEBORGS LÄN</t>
        </is>
      </c>
      <c r="E374" t="inlineStr">
        <is>
          <t>GÄVLE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27611-2025</t>
        </is>
      </c>
      <c r="B375" s="1" t="n">
        <v>45813.53916666667</v>
      </c>
      <c r="C375" s="1" t="n">
        <v>45908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14212-2021</t>
        </is>
      </c>
      <c r="B376" s="1" t="n">
        <v>44278.52945601852</v>
      </c>
      <c r="C376" s="1" t="n">
        <v>45908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27633-2025</t>
        </is>
      </c>
      <c r="B377" s="1" t="n">
        <v>45813.56456018519</v>
      </c>
      <c r="C377" s="1" t="n">
        <v>45908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32970-2021</t>
        </is>
      </c>
      <c r="B378" s="1" t="n">
        <v>44376</v>
      </c>
      <c r="C378" s="1" t="n">
        <v>45908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29016-2023</t>
        </is>
      </c>
      <c r="B379" s="1" t="n">
        <v>45104.67638888889</v>
      </c>
      <c r="C379" s="1" t="n">
        <v>45908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11382-2025</t>
        </is>
      </c>
      <c r="B380" s="1" t="n">
        <v>45726.56217592592</v>
      </c>
      <c r="C380" s="1" t="n">
        <v>45908</v>
      </c>
      <c r="D380" t="inlineStr">
        <is>
          <t>GÄVLEBORGS LÄN</t>
        </is>
      </c>
      <c r="E380" t="inlineStr">
        <is>
          <t>GÄVLE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28009-2025</t>
        </is>
      </c>
      <c r="B381" s="1" t="n">
        <v>45817.60252314815</v>
      </c>
      <c r="C381" s="1" t="n">
        <v>45908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11429-2025</t>
        </is>
      </c>
      <c r="B382" s="1" t="n">
        <v>45726.60840277778</v>
      </c>
      <c r="C382" s="1" t="n">
        <v>45908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60396-2022</t>
        </is>
      </c>
      <c r="B383" s="1" t="n">
        <v>44910</v>
      </c>
      <c r="C383" s="1" t="n">
        <v>45908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28005-2025</t>
        </is>
      </c>
      <c r="B384" s="1" t="n">
        <v>45817.59769675926</v>
      </c>
      <c r="C384" s="1" t="n">
        <v>45908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27858-2025</t>
        </is>
      </c>
      <c r="B385" s="1" t="n">
        <v>45817.41371527778</v>
      </c>
      <c r="C385" s="1" t="n">
        <v>45908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45908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25276-2024</t>
        </is>
      </c>
      <c r="B387" s="1" t="n">
        <v>45462.63016203704</v>
      </c>
      <c r="C387" s="1" t="n">
        <v>45908</v>
      </c>
      <c r="D387" t="inlineStr">
        <is>
          <t>GÄVLEBORGS LÄN</t>
        </is>
      </c>
      <c r="E387" t="inlineStr">
        <is>
          <t>GÄVLE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225-2025</t>
        </is>
      </c>
      <c r="B388" s="1" t="n">
        <v>45660.35574074074</v>
      </c>
      <c r="C388" s="1" t="n">
        <v>45908</v>
      </c>
      <c r="D388" t="inlineStr">
        <is>
          <t>GÄVLEBORGS LÄN</t>
        </is>
      </c>
      <c r="E388" t="inlineStr">
        <is>
          <t>GÄVLE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232-2025</t>
        </is>
      </c>
      <c r="B389" s="1" t="n">
        <v>45660.37127314815</v>
      </c>
      <c r="C389" s="1" t="n">
        <v>45908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27182-2022</t>
        </is>
      </c>
      <c r="B390" s="1" t="n">
        <v>44741.57295138889</v>
      </c>
      <c r="C390" s="1" t="n">
        <v>45908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50575-2023</t>
        </is>
      </c>
      <c r="B391" s="1" t="n">
        <v>45217.38545138889</v>
      </c>
      <c r="C391" s="1" t="n">
        <v>45908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28172-2025</t>
        </is>
      </c>
      <c r="B392" s="1" t="n">
        <v>45818.38121527778</v>
      </c>
      <c r="C392" s="1" t="n">
        <v>45908</v>
      </c>
      <c r="D392" t="inlineStr">
        <is>
          <t>GÄVLEBORGS LÄN</t>
        </is>
      </c>
      <c r="E392" t="inlineStr">
        <is>
          <t>GÄVLE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28596-2025</t>
        </is>
      </c>
      <c r="B393" s="1" t="n">
        <v>45819.59603009259</v>
      </c>
      <c r="C393" s="1" t="n">
        <v>45908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28481-2025</t>
        </is>
      </c>
      <c r="B394" s="1" t="n">
        <v>45819.4528125</v>
      </c>
      <c r="C394" s="1" t="n">
        <v>45908</v>
      </c>
      <c r="D394" t="inlineStr">
        <is>
          <t>GÄVLEBORGS LÄN</t>
        </is>
      </c>
      <c r="E394" t="inlineStr">
        <is>
          <t>GÄVLE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28624-2025</t>
        </is>
      </c>
      <c r="B395" s="1" t="n">
        <v>45819.61737268518</v>
      </c>
      <c r="C395" s="1" t="n">
        <v>45908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35445-2023</t>
        </is>
      </c>
      <c r="B396" s="1" t="n">
        <v>45146.6455787037</v>
      </c>
      <c r="C396" s="1" t="n">
        <v>45908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14115-2025</t>
        </is>
      </c>
      <c r="B397" s="1" t="n">
        <v>45740.46099537037</v>
      </c>
      <c r="C397" s="1" t="n">
        <v>45908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28375-2025</t>
        </is>
      </c>
      <c r="B398" s="1" t="n">
        <v>45818</v>
      </c>
      <c r="C398" s="1" t="n">
        <v>45908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26129-2024</t>
        </is>
      </c>
      <c r="B399" s="1" t="n">
        <v>45468.47239583333</v>
      </c>
      <c r="C399" s="1" t="n">
        <v>45908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35206-2024</t>
        </is>
      </c>
      <c r="B400" s="1" t="n">
        <v>45530</v>
      </c>
      <c r="C400" s="1" t="n">
        <v>45908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31735-2024</t>
        </is>
      </c>
      <c r="B401" s="1" t="n">
        <v>45509.37269675926</v>
      </c>
      <c r="C401" s="1" t="n">
        <v>45908</v>
      </c>
      <c r="D401" t="inlineStr">
        <is>
          <t>GÄVLEBORGS LÄN</t>
        </is>
      </c>
      <c r="E401" t="inlineStr">
        <is>
          <t>GÄVLE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29110-2025</t>
        </is>
      </c>
      <c r="B402" s="1" t="n">
        <v>45821.58282407407</v>
      </c>
      <c r="C402" s="1" t="n">
        <v>45908</v>
      </c>
      <c r="D402" t="inlineStr">
        <is>
          <t>GÄVLEBORGS LÄN</t>
        </is>
      </c>
      <c r="E402" t="inlineStr">
        <is>
          <t>GÄVLE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29076-2025</t>
        </is>
      </c>
      <c r="B403" s="1" t="n">
        <v>45821.52070601852</v>
      </c>
      <c r="C403" s="1" t="n">
        <v>45908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28931-2025</t>
        </is>
      </c>
      <c r="B404" s="1" t="n">
        <v>45820.67806712963</v>
      </c>
      <c r="C404" s="1" t="n">
        <v>45908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8031-2024</t>
        </is>
      </c>
      <c r="B405" s="1" t="n">
        <v>45350.95267361111</v>
      </c>
      <c r="C405" s="1" t="n">
        <v>45908</v>
      </c>
      <c r="D405" t="inlineStr">
        <is>
          <t>GÄVLEBORGS LÄN</t>
        </is>
      </c>
      <c r="E405" t="inlineStr">
        <is>
          <t>GÄVLE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36106-2025</t>
        </is>
      </c>
      <c r="B406" s="1" t="n">
        <v>45866.55763888889</v>
      </c>
      <c r="C406" s="1" t="n">
        <v>45908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36108-2025</t>
        </is>
      </c>
      <c r="B407" s="1" t="n">
        <v>45866.56274305555</v>
      </c>
      <c r="C407" s="1" t="n">
        <v>45908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36116-2025</t>
        </is>
      </c>
      <c r="B408" s="1" t="n">
        <v>45866.58483796296</v>
      </c>
      <c r="C408" s="1" t="n">
        <v>45908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61351-2021</t>
        </is>
      </c>
      <c r="B409" s="1" t="n">
        <v>44498.8419212963</v>
      </c>
      <c r="C409" s="1" t="n">
        <v>45908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36255-2025</t>
        </is>
      </c>
      <c r="B410" s="1" t="n">
        <v>45867.58324074074</v>
      </c>
      <c r="C410" s="1" t="n">
        <v>45908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30301-2025</t>
        </is>
      </c>
      <c r="B411" s="1" t="n">
        <v>45827.47753472222</v>
      </c>
      <c r="C411" s="1" t="n">
        <v>45908</v>
      </c>
      <c r="D411" t="inlineStr">
        <is>
          <t>GÄVLEBORGS LÄN</t>
        </is>
      </c>
      <c r="E411" t="inlineStr">
        <is>
          <t>GÄVLE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30302-2025</t>
        </is>
      </c>
      <c r="B412" s="1" t="n">
        <v>45827.47875</v>
      </c>
      <c r="C412" s="1" t="n">
        <v>45908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36452-2025</t>
        </is>
      </c>
      <c r="B413" s="1" t="n">
        <v>45869.42978009259</v>
      </c>
      <c r="C413" s="1" t="n">
        <v>45908</v>
      </c>
      <c r="D413" t="inlineStr">
        <is>
          <t>GÄVLEBORGS LÄN</t>
        </is>
      </c>
      <c r="E413" t="inlineStr">
        <is>
          <t>GÄVLE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30202-2025</t>
        </is>
      </c>
      <c r="B414" s="1" t="n">
        <v>45827</v>
      </c>
      <c r="C414" s="1" t="n">
        <v>45908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14563-2025</t>
        </is>
      </c>
      <c r="B415" s="1" t="n">
        <v>45741</v>
      </c>
      <c r="C415" s="1" t="n">
        <v>45908</v>
      </c>
      <c r="D415" t="inlineStr">
        <is>
          <t>GÄVLEBORGS LÄN</t>
        </is>
      </c>
      <c r="E415" t="inlineStr">
        <is>
          <t>GÄVLE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36516-2025</t>
        </is>
      </c>
      <c r="B416" s="1" t="n">
        <v>45869.58846064815</v>
      </c>
      <c r="C416" s="1" t="n">
        <v>45908</v>
      </c>
      <c r="D416" t="inlineStr">
        <is>
          <t>GÄVLEBORGS LÄN</t>
        </is>
      </c>
      <c r="E416" t="inlineStr">
        <is>
          <t>GÄVLE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36512-2025</t>
        </is>
      </c>
      <c r="B417" s="1" t="n">
        <v>45869.57649305555</v>
      </c>
      <c r="C417" s="1" t="n">
        <v>45908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30201-2025</t>
        </is>
      </c>
      <c r="B418" s="1" t="n">
        <v>45827.3578125</v>
      </c>
      <c r="C418" s="1" t="n">
        <v>45908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30277-2025</t>
        </is>
      </c>
      <c r="B419" s="1" t="n">
        <v>45827.45482638889</v>
      </c>
      <c r="C419" s="1" t="n">
        <v>45908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36511-2025</t>
        </is>
      </c>
      <c r="B420" s="1" t="n">
        <v>45869.57623842593</v>
      </c>
      <c r="C420" s="1" t="n">
        <v>45908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36449-2025</t>
        </is>
      </c>
      <c r="B421" s="1" t="n">
        <v>45869.42247685185</v>
      </c>
      <c r="C421" s="1" t="n">
        <v>45908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14564-2025</t>
        </is>
      </c>
      <c r="B422" s="1" t="n">
        <v>45741</v>
      </c>
      <c r="C422" s="1" t="n">
        <v>45908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30300-2025</t>
        </is>
      </c>
      <c r="B423" s="1" t="n">
        <v>45827.47604166667</v>
      </c>
      <c r="C423" s="1" t="n">
        <v>45908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30304-2025</t>
        </is>
      </c>
      <c r="B424" s="1" t="n">
        <v>45827.480625</v>
      </c>
      <c r="C424" s="1" t="n">
        <v>45908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36493-2025</t>
        </is>
      </c>
      <c r="B425" s="1" t="n">
        <v>45869.54342592593</v>
      </c>
      <c r="C425" s="1" t="n">
        <v>45908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36506-2025</t>
        </is>
      </c>
      <c r="B426" s="1" t="n">
        <v>45869.57229166666</v>
      </c>
      <c r="C426" s="1" t="n">
        <v>45908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36465-2025</t>
        </is>
      </c>
      <c r="B427" s="1" t="n">
        <v>45869.46657407407</v>
      </c>
      <c r="C427" s="1" t="n">
        <v>45908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53281-2024</t>
        </is>
      </c>
      <c r="B428" s="1" t="n">
        <v>45614.37862268519</v>
      </c>
      <c r="C428" s="1" t="n">
        <v>45908</v>
      </c>
      <c r="D428" t="inlineStr">
        <is>
          <t>GÄVLEBORGS LÄN</t>
        </is>
      </c>
      <c r="E428" t="inlineStr">
        <is>
          <t>GÄVLE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36680-2025</t>
        </is>
      </c>
      <c r="B429" s="1" t="n">
        <v>45873.39840277778</v>
      </c>
      <c r="C429" s="1" t="n">
        <v>45908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10118-2025</t>
        </is>
      </c>
      <c r="B430" s="1" t="n">
        <v>45719</v>
      </c>
      <c r="C430" s="1" t="n">
        <v>45908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37146-2025</t>
        </is>
      </c>
      <c r="B431" s="1" t="n">
        <v>45875.57041666667</v>
      </c>
      <c r="C431" s="1" t="n">
        <v>45908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31598-2025</t>
        </is>
      </c>
      <c r="B432" s="1" t="n">
        <v>45833.7103125</v>
      </c>
      <c r="C432" s="1" t="n">
        <v>45908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4290-2024</t>
        </is>
      </c>
      <c r="B433" s="1" t="n">
        <v>45324.60200231482</v>
      </c>
      <c r="C433" s="1" t="n">
        <v>45908</v>
      </c>
      <c r="D433" t="inlineStr">
        <is>
          <t>GÄVLEBORGS LÄN</t>
        </is>
      </c>
      <c r="E433" t="inlineStr">
        <is>
          <t>GÄVLE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13297-2021</t>
        </is>
      </c>
      <c r="B434" s="1" t="n">
        <v>44272.85908564815</v>
      </c>
      <c r="C434" s="1" t="n">
        <v>45908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30915-2025</t>
        </is>
      </c>
      <c r="B435" s="1" t="n">
        <v>45832.37814814815</v>
      </c>
      <c r="C435" s="1" t="n">
        <v>45908</v>
      </c>
      <c r="D435" t="inlineStr">
        <is>
          <t>GÄVLEBORGS LÄN</t>
        </is>
      </c>
      <c r="E435" t="inlineStr">
        <is>
          <t>GÄVLE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1969-2025</t>
        </is>
      </c>
      <c r="B436" s="1" t="n">
        <v>45672.38815972222</v>
      </c>
      <c r="C436" s="1" t="n">
        <v>45908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31004-2025</t>
        </is>
      </c>
      <c r="B437" s="1" t="n">
        <v>45832.49621527778</v>
      </c>
      <c r="C437" s="1" t="n">
        <v>45908</v>
      </c>
      <c r="D437" t="inlineStr">
        <is>
          <t>GÄVLEBORGS LÄN</t>
        </is>
      </c>
      <c r="E437" t="inlineStr">
        <is>
          <t>GÄVLE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31517-2025</t>
        </is>
      </c>
      <c r="B438" s="1" t="n">
        <v>45833.60619212963</v>
      </c>
      <c r="C438" s="1" t="n">
        <v>45908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31467-2025</t>
        </is>
      </c>
      <c r="B439" s="1" t="n">
        <v>45833</v>
      </c>
      <c r="C439" s="1" t="n">
        <v>45908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31595-2025</t>
        </is>
      </c>
      <c r="B440" s="1" t="n">
        <v>45833.7067824074</v>
      </c>
      <c r="C440" s="1" t="n">
        <v>45908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31919-2025</t>
        </is>
      </c>
      <c r="B441" s="1" t="n">
        <v>45834.79741898148</v>
      </c>
      <c r="C441" s="1" t="n">
        <v>45908</v>
      </c>
      <c r="D441" t="inlineStr">
        <is>
          <t>GÄVLEBORGS LÄN</t>
        </is>
      </c>
      <c r="E441" t="inlineStr">
        <is>
          <t>GÄVLE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32044-2025</t>
        </is>
      </c>
      <c r="B442" s="1" t="n">
        <v>45835.43945601852</v>
      </c>
      <c r="C442" s="1" t="n">
        <v>45908</v>
      </c>
      <c r="D442" t="inlineStr">
        <is>
          <t>GÄVLEBORGS LÄN</t>
        </is>
      </c>
      <c r="E442" t="inlineStr">
        <is>
          <t>GÄVLE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16504-2023</t>
        </is>
      </c>
      <c r="B443" s="1" t="n">
        <v>45029.62792824074</v>
      </c>
      <c r="C443" s="1" t="n">
        <v>45908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60879-2023</t>
        </is>
      </c>
      <c r="B444" s="1" t="n">
        <v>45261</v>
      </c>
      <c r="C444" s="1" t="n">
        <v>45908</v>
      </c>
      <c r="D444" t="inlineStr">
        <is>
          <t>GÄVLEBORGS LÄN</t>
        </is>
      </c>
      <c r="E444" t="inlineStr">
        <is>
          <t>GÄVLE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32058-2025</t>
        </is>
      </c>
      <c r="B445" s="1" t="n">
        <v>45835.44465277778</v>
      </c>
      <c r="C445" s="1" t="n">
        <v>45908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31920-2025</t>
        </is>
      </c>
      <c r="B446" s="1" t="n">
        <v>45834.79965277778</v>
      </c>
      <c r="C446" s="1" t="n">
        <v>45908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60885-2023</t>
        </is>
      </c>
      <c r="B447" s="1" t="n">
        <v>45261</v>
      </c>
      <c r="C447" s="1" t="n">
        <v>45908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31685-2025</t>
        </is>
      </c>
      <c r="B448" s="1" t="n">
        <v>45834.39266203704</v>
      </c>
      <c r="C448" s="1" t="n">
        <v>45908</v>
      </c>
      <c r="D448" t="inlineStr">
        <is>
          <t>GÄVLEBORGS LÄN</t>
        </is>
      </c>
      <c r="E448" t="inlineStr">
        <is>
          <t>GÄVLE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10095-2025</t>
        </is>
      </c>
      <c r="B449" s="1" t="n">
        <v>45719</v>
      </c>
      <c r="C449" s="1" t="n">
        <v>45908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26323-2021</t>
        </is>
      </c>
      <c r="B450" s="1" t="n">
        <v>44347</v>
      </c>
      <c r="C450" s="1" t="n">
        <v>45908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32049-2025</t>
        </is>
      </c>
      <c r="B451" s="1" t="n">
        <v>45835.44109953703</v>
      </c>
      <c r="C451" s="1" t="n">
        <v>45908</v>
      </c>
      <c r="D451" t="inlineStr">
        <is>
          <t>GÄVLEBORGS LÄN</t>
        </is>
      </c>
      <c r="E451" t="inlineStr">
        <is>
          <t>GÄVLE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37326-2025</t>
        </is>
      </c>
      <c r="B452" s="1" t="n">
        <v>45876.64011574074</v>
      </c>
      <c r="C452" s="1" t="n">
        <v>45908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32022-2025</t>
        </is>
      </c>
      <c r="B453" s="1" t="n">
        <v>45835.40670138889</v>
      </c>
      <c r="C453" s="1" t="n">
        <v>45908</v>
      </c>
      <c r="D453" t="inlineStr">
        <is>
          <t>GÄVLEBORGS LÄN</t>
        </is>
      </c>
      <c r="E453" t="inlineStr">
        <is>
          <t>GÄVLE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27179-2021</t>
        </is>
      </c>
      <c r="B454" s="1" t="n">
        <v>44350.66420138889</v>
      </c>
      <c r="C454" s="1" t="n">
        <v>45908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53268-2024</t>
        </is>
      </c>
      <c r="B455" s="1" t="n">
        <v>45614</v>
      </c>
      <c r="C455" s="1" t="n">
        <v>45908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16581-2021</t>
        </is>
      </c>
      <c r="B456" s="1" t="n">
        <v>44294.3290625</v>
      </c>
      <c r="C456" s="1" t="n">
        <v>45908</v>
      </c>
      <c r="D456" t="inlineStr">
        <is>
          <t>GÄVLEBORGS LÄN</t>
        </is>
      </c>
      <c r="E456" t="inlineStr">
        <is>
          <t>GÄVLE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38132-2025</t>
        </is>
      </c>
      <c r="B457" s="1" t="n">
        <v>45882.561875</v>
      </c>
      <c r="C457" s="1" t="n">
        <v>45908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37892-2025</t>
        </is>
      </c>
      <c r="B458" s="1" t="n">
        <v>45881</v>
      </c>
      <c r="C458" s="1" t="n">
        <v>45908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15312-2023</t>
        </is>
      </c>
      <c r="B459" s="1" t="n">
        <v>45019.47398148148</v>
      </c>
      <c r="C459" s="1" t="n">
        <v>45908</v>
      </c>
      <c r="D459" t="inlineStr">
        <is>
          <t>GÄVLEBORGS LÄN</t>
        </is>
      </c>
      <c r="E459" t="inlineStr">
        <is>
          <t>GÄVLE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15112-2025</t>
        </is>
      </c>
      <c r="B460" s="1" t="n">
        <v>45744.35600694444</v>
      </c>
      <c r="C460" s="1" t="n">
        <v>45908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34089-2025</t>
        </is>
      </c>
      <c r="B461" s="1" t="n">
        <v>45845.46960648148</v>
      </c>
      <c r="C461" s="1" t="n">
        <v>45908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38508-2025</t>
        </is>
      </c>
      <c r="B462" s="1" t="n">
        <v>45884.38775462963</v>
      </c>
      <c r="C462" s="1" t="n">
        <v>45908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38528-2025</t>
        </is>
      </c>
      <c r="B463" s="1" t="n">
        <v>45884.40722222222</v>
      </c>
      <c r="C463" s="1" t="n">
        <v>45908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21978-2025</t>
        </is>
      </c>
      <c r="B464" s="1" t="n">
        <v>45784.64991898148</v>
      </c>
      <c r="C464" s="1" t="n">
        <v>45908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38572-2025</t>
        </is>
      </c>
      <c r="B465" s="1" t="n">
        <v>45884.45953703704</v>
      </c>
      <c r="C465" s="1" t="n">
        <v>45908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34118-2025</t>
        </is>
      </c>
      <c r="B466" s="1" t="n">
        <v>45845.51532407408</v>
      </c>
      <c r="C466" s="1" t="n">
        <v>45908</v>
      </c>
      <c r="D466" t="inlineStr">
        <is>
          <t>GÄVLEBORGS LÄN</t>
        </is>
      </c>
      <c r="E466" t="inlineStr">
        <is>
          <t>GÄVLE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38516-2025</t>
        </is>
      </c>
      <c r="B467" s="1" t="n">
        <v>45884.3945949074</v>
      </c>
      <c r="C467" s="1" t="n">
        <v>45908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38520-2025</t>
        </is>
      </c>
      <c r="B468" s="1" t="n">
        <v>45884.39984953704</v>
      </c>
      <c r="C468" s="1" t="n">
        <v>45908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38608-2025</t>
        </is>
      </c>
      <c r="B469" s="1" t="n">
        <v>45884.53402777778</v>
      </c>
      <c r="C469" s="1" t="n">
        <v>45908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38627-2025</t>
        </is>
      </c>
      <c r="B470" s="1" t="n">
        <v>45884.55796296296</v>
      </c>
      <c r="C470" s="1" t="n">
        <v>45908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38503-2025</t>
        </is>
      </c>
      <c r="B471" s="1" t="n">
        <v>45884.38178240741</v>
      </c>
      <c r="C471" s="1" t="n">
        <v>45908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38506-2025</t>
        </is>
      </c>
      <c r="B472" s="1" t="n">
        <v>45884.38459490741</v>
      </c>
      <c r="C472" s="1" t="n">
        <v>45908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38523-2025</t>
        </is>
      </c>
      <c r="B473" s="1" t="n">
        <v>45884.40300925926</v>
      </c>
      <c r="C473" s="1" t="n">
        <v>45908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38517-2025</t>
        </is>
      </c>
      <c r="B474" s="1" t="n">
        <v>45884.39716435185</v>
      </c>
      <c r="C474" s="1" t="n">
        <v>45908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34105-2025</t>
        </is>
      </c>
      <c r="B475" s="1" t="n">
        <v>45845</v>
      </c>
      <c r="C475" s="1" t="n">
        <v>45908</v>
      </c>
      <c r="D475" t="inlineStr">
        <is>
          <t>GÄVLEBORGS LÄN</t>
        </is>
      </c>
      <c r="E475" t="inlineStr">
        <is>
          <t>GÄVLE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38555-2025</t>
        </is>
      </c>
      <c r="B476" s="1" t="n">
        <v>45884.44230324074</v>
      </c>
      <c r="C476" s="1" t="n">
        <v>45908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38512-2025</t>
        </is>
      </c>
      <c r="B477" s="1" t="n">
        <v>45884.39216435186</v>
      </c>
      <c r="C477" s="1" t="n">
        <v>45908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38546-2025</t>
        </is>
      </c>
      <c r="B478" s="1" t="n">
        <v>45884.43587962963</v>
      </c>
      <c r="C478" s="1" t="n">
        <v>45908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38550-2025</t>
        </is>
      </c>
      <c r="B479" s="1" t="n">
        <v>45884.43910879629</v>
      </c>
      <c r="C479" s="1" t="n">
        <v>45908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34116-2025</t>
        </is>
      </c>
      <c r="B480" s="1" t="n">
        <v>45845.51070601852</v>
      </c>
      <c r="C480" s="1" t="n">
        <v>45908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38565-2025</t>
        </is>
      </c>
      <c r="B481" s="1" t="n">
        <v>45884.45385416667</v>
      </c>
      <c r="C481" s="1" t="n">
        <v>45908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38569-2025</t>
        </is>
      </c>
      <c r="B482" s="1" t="n">
        <v>45884.45657407407</v>
      </c>
      <c r="C482" s="1" t="n">
        <v>45908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34113-2025</t>
        </is>
      </c>
      <c r="B483" s="1" t="n">
        <v>45845.50296296296</v>
      </c>
      <c r="C483" s="1" t="n">
        <v>45908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52387-2022</t>
        </is>
      </c>
      <c r="B484" s="1" t="n">
        <v>44874</v>
      </c>
      <c r="C484" s="1" t="n">
        <v>45908</v>
      </c>
      <c r="D484" t="inlineStr">
        <is>
          <t>GÄVLEBORGS LÄN</t>
        </is>
      </c>
      <c r="E484" t="inlineStr">
        <is>
          <t>GÄVLE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31011-2023</t>
        </is>
      </c>
      <c r="B485" s="1" t="n">
        <v>45113</v>
      </c>
      <c r="C485" s="1" t="n">
        <v>45908</v>
      </c>
      <c r="D485" t="inlineStr">
        <is>
          <t>GÄVLEBORGS LÄN</t>
        </is>
      </c>
      <c r="E485" t="inlineStr">
        <is>
          <t>GÄVLE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39022-2025</t>
        </is>
      </c>
      <c r="B486" s="1" t="n">
        <v>45888.37780092593</v>
      </c>
      <c r="C486" s="1" t="n">
        <v>45908</v>
      </c>
      <c r="D486" t="inlineStr">
        <is>
          <t>GÄVLEBORGS LÄN</t>
        </is>
      </c>
      <c r="E486" t="inlineStr">
        <is>
          <t>GÄVLE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39382-2025</t>
        </is>
      </c>
      <c r="B487" s="1" t="n">
        <v>45889.60938657408</v>
      </c>
      <c r="C487" s="1" t="n">
        <v>45908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39306-2025</t>
        </is>
      </c>
      <c r="B488" s="1" t="n">
        <v>45889.45825231481</v>
      </c>
      <c r="C488" s="1" t="n">
        <v>45908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22466-2023</t>
        </is>
      </c>
      <c r="B489" s="1" t="n">
        <v>45070</v>
      </c>
      <c r="C489" s="1" t="n">
        <v>45908</v>
      </c>
      <c r="D489" t="inlineStr">
        <is>
          <t>GÄVLEBORGS LÄN</t>
        </is>
      </c>
      <c r="E489" t="inlineStr">
        <is>
          <t>GÄVLE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56446-2023</t>
        </is>
      </c>
      <c r="B490" s="1" t="n">
        <v>45243.47311342593</v>
      </c>
      <c r="C490" s="1" t="n">
        <v>45908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34725-2025</t>
        </is>
      </c>
      <c r="B491" s="1" t="n">
        <v>45848.56725694444</v>
      </c>
      <c r="C491" s="1" t="n">
        <v>45908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34699-2025</t>
        </is>
      </c>
      <c r="B492" s="1" t="n">
        <v>45848.47416666667</v>
      </c>
      <c r="C492" s="1" t="n">
        <v>45908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39943-2025</t>
        </is>
      </c>
      <c r="B493" s="1" t="n">
        <v>45891.90513888889</v>
      </c>
      <c r="C493" s="1" t="n">
        <v>45908</v>
      </c>
      <c r="D493" t="inlineStr">
        <is>
          <t>GÄVLEBORGS LÄN</t>
        </is>
      </c>
      <c r="E493" t="inlineStr">
        <is>
          <t>GÄVLE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39878-2025</t>
        </is>
      </c>
      <c r="B494" s="1" t="n">
        <v>45891.61590277778</v>
      </c>
      <c r="C494" s="1" t="n">
        <v>45908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34722-2025</t>
        </is>
      </c>
      <c r="B495" s="1" t="n">
        <v>45848.53870370371</v>
      </c>
      <c r="C495" s="1" t="n">
        <v>45908</v>
      </c>
      <c r="D495" t="inlineStr">
        <is>
          <t>GÄVLEBORGS LÄN</t>
        </is>
      </c>
      <c r="E495" t="inlineStr">
        <is>
          <t>GÄVLE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17062-2023</t>
        </is>
      </c>
      <c r="B496" s="1" t="n">
        <v>45034</v>
      </c>
      <c r="C496" s="1" t="n">
        <v>45908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37253-2024</t>
        </is>
      </c>
      <c r="B497" s="1" t="n">
        <v>45540.36526620371</v>
      </c>
      <c r="C497" s="1" t="n">
        <v>45908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40314-2025</t>
        </is>
      </c>
      <c r="B498" s="1" t="n">
        <v>45895.42366898148</v>
      </c>
      <c r="C498" s="1" t="n">
        <v>45908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16023-2023</t>
        </is>
      </c>
      <c r="B499" s="1" t="n">
        <v>45026</v>
      </c>
      <c r="C499" s="1" t="n">
        <v>45908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40316-2025</t>
        </is>
      </c>
      <c r="B500" s="1" t="n">
        <v>45895.42797453704</v>
      </c>
      <c r="C500" s="1" t="n">
        <v>45908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35336-2025</t>
        </is>
      </c>
      <c r="B501" s="1" t="n">
        <v>45854.58572916667</v>
      </c>
      <c r="C501" s="1" t="n">
        <v>45908</v>
      </c>
      <c r="D501" t="inlineStr">
        <is>
          <t>GÄVLEBORGS LÄN</t>
        </is>
      </c>
      <c r="E501" t="inlineStr">
        <is>
          <t>GÄVLE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40882-2025</t>
        </is>
      </c>
      <c r="B502" s="1" t="n">
        <v>45897.5972337963</v>
      </c>
      <c r="C502" s="1" t="n">
        <v>45908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40534-2025</t>
        </is>
      </c>
      <c r="B503" s="1" t="n">
        <v>45896.39373842593</v>
      </c>
      <c r="C503" s="1" t="n">
        <v>45908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40528-2025</t>
        </is>
      </c>
      <c r="B504" s="1" t="n">
        <v>45896.38170138889</v>
      </c>
      <c r="C504" s="1" t="n">
        <v>45908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35450-2025</t>
        </is>
      </c>
      <c r="B505" s="1" t="n">
        <v>45855.56597222222</v>
      </c>
      <c r="C505" s="1" t="n">
        <v>45908</v>
      </c>
      <c r="D505" t="inlineStr">
        <is>
          <t>GÄVLEBORGS LÄN</t>
        </is>
      </c>
      <c r="E505" t="inlineStr">
        <is>
          <t>GÄVLE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40549-2025</t>
        </is>
      </c>
      <c r="B506" s="1" t="n">
        <v>45896.4344212963</v>
      </c>
      <c r="C506" s="1" t="n">
        <v>45908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57702-2020</t>
        </is>
      </c>
      <c r="B507" s="1" t="n">
        <v>44140.89601851852</v>
      </c>
      <c r="C507" s="1" t="n">
        <v>45908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35356-2025</t>
        </is>
      </c>
      <c r="B508" s="1" t="n">
        <v>45854.65872685185</v>
      </c>
      <c r="C508" s="1" t="n">
        <v>45908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40726-2025</t>
        </is>
      </c>
      <c r="B509" s="1" t="n">
        <v>45897.3466550926</v>
      </c>
      <c r="C509" s="1" t="n">
        <v>45908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25829-2024</t>
        </is>
      </c>
      <c r="B510" s="1" t="n">
        <v>45467.40538194445</v>
      </c>
      <c r="C510" s="1" t="n">
        <v>45908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40530-2025</t>
        </is>
      </c>
      <c r="B511" s="1" t="n">
        <v>45896.38710648148</v>
      </c>
      <c r="C511" s="1" t="n">
        <v>45908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20380-2025</t>
        </is>
      </c>
      <c r="B512" s="1" t="n">
        <v>45775.42958333333</v>
      </c>
      <c r="C512" s="1" t="n">
        <v>45908</v>
      </c>
      <c r="D512" t="inlineStr">
        <is>
          <t>GÄVLEBORGS LÄN</t>
        </is>
      </c>
      <c r="E512" t="inlineStr">
        <is>
          <t>GÄVLE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35337-2025</t>
        </is>
      </c>
      <c r="B513" s="1" t="n">
        <v>45854.58831018519</v>
      </c>
      <c r="C513" s="1" t="n">
        <v>45908</v>
      </c>
      <c r="D513" t="inlineStr">
        <is>
          <t>GÄVLEBORGS LÄN</t>
        </is>
      </c>
      <c r="E513" t="inlineStr">
        <is>
          <t>GÄVLE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25593-2024</t>
        </is>
      </c>
      <c r="B514" s="1" t="n">
        <v>45463.6169212963</v>
      </c>
      <c r="C514" s="1" t="n">
        <v>45908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41302-2025</t>
        </is>
      </c>
      <c r="B515" s="1" t="n">
        <v>45898.69194444444</v>
      </c>
      <c r="C515" s="1" t="n">
        <v>45908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34666-2025</t>
        </is>
      </c>
      <c r="B516" s="1" t="n">
        <v>45848</v>
      </c>
      <c r="C516" s="1" t="n">
        <v>45908</v>
      </c>
      <c r="D516" t="inlineStr">
        <is>
          <t>GÄVLEBORGS LÄN</t>
        </is>
      </c>
      <c r="E516" t="inlineStr">
        <is>
          <t>GÄVLE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40992-2025</t>
        </is>
      </c>
      <c r="B517" s="1" t="n">
        <v>45898.32689814815</v>
      </c>
      <c r="C517" s="1" t="n">
        <v>45908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40993-2025</t>
        </is>
      </c>
      <c r="B518" s="1" t="n">
        <v>45898.33373842593</v>
      </c>
      <c r="C518" s="1" t="n">
        <v>45908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41046-2025</t>
        </is>
      </c>
      <c r="B519" s="1" t="n">
        <v>45898.39636574074</v>
      </c>
      <c r="C519" s="1" t="n">
        <v>45908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41213-2025</t>
        </is>
      </c>
      <c r="B520" s="1" t="n">
        <v>45898.58056712963</v>
      </c>
      <c r="C520" s="1" t="n">
        <v>45908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41240-2025</t>
        </is>
      </c>
      <c r="B521" s="1" t="n">
        <v>45898.59614583333</v>
      </c>
      <c r="C521" s="1" t="n">
        <v>45908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41083-2025</t>
        </is>
      </c>
      <c r="B522" s="1" t="n">
        <v>45898.43148148148</v>
      </c>
      <c r="C522" s="1" t="n">
        <v>45908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40297-2025</t>
        </is>
      </c>
      <c r="B523" s="1" t="n">
        <v>45895</v>
      </c>
      <c r="C523" s="1" t="n">
        <v>45908</v>
      </c>
      <c r="D523" t="inlineStr">
        <is>
          <t>GÄVLEBORGS LÄN</t>
        </is>
      </c>
      <c r="E523" t="inlineStr">
        <is>
          <t>GÄVLE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41047-2025</t>
        </is>
      </c>
      <c r="B524" s="1" t="n">
        <v>45898.40085648148</v>
      </c>
      <c r="C524" s="1" t="n">
        <v>45908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41282-2025</t>
        </is>
      </c>
      <c r="B525" s="1" t="n">
        <v>45898.63521990741</v>
      </c>
      <c r="C525" s="1" t="n">
        <v>45908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41093-2025</t>
        </is>
      </c>
      <c r="B526" s="1" t="n">
        <v>45898.44236111111</v>
      </c>
      <c r="C526" s="1" t="n">
        <v>45908</v>
      </c>
      <c r="D526" t="inlineStr">
        <is>
          <t>GÄVLEBORGS LÄN</t>
        </is>
      </c>
      <c r="E526" t="inlineStr">
        <is>
          <t>GÄVLE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7235-2025</t>
        </is>
      </c>
      <c r="B527" s="1" t="n">
        <v>45702.51921296296</v>
      </c>
      <c r="C527" s="1" t="n">
        <v>45908</v>
      </c>
      <c r="D527" t="inlineStr">
        <is>
          <t>GÄVLEBORGS LÄN</t>
        </is>
      </c>
      <c r="E527" t="inlineStr">
        <is>
          <t>GÄVLE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7297-2025</t>
        </is>
      </c>
      <c r="B528" s="1" t="n">
        <v>45702.65013888889</v>
      </c>
      <c r="C528" s="1" t="n">
        <v>45908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41241-2025</t>
        </is>
      </c>
      <c r="B529" s="1" t="n">
        <v>45898.59780092593</v>
      </c>
      <c r="C529" s="1" t="n">
        <v>45908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35650-2025</t>
        </is>
      </c>
      <c r="B530" s="1" t="n">
        <v>45859.51940972222</v>
      </c>
      <c r="C530" s="1" t="n">
        <v>45908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42037-2025</t>
        </is>
      </c>
      <c r="B531" s="1" t="n">
        <v>45903.61300925926</v>
      </c>
      <c r="C531" s="1" t="n">
        <v>45908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71215-2021</t>
        </is>
      </c>
      <c r="B532" s="1" t="n">
        <v>44539.56224537037</v>
      </c>
      <c r="C532" s="1" t="n">
        <v>45908</v>
      </c>
      <c r="D532" t="inlineStr">
        <is>
          <t>GÄVLEBORGS LÄN</t>
        </is>
      </c>
      <c r="E532" t="inlineStr">
        <is>
          <t>GÄVLE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3712-2023</t>
        </is>
      </c>
      <c r="B533" s="1" t="n">
        <v>44951.33599537037</v>
      </c>
      <c r="C533" s="1" t="n">
        <v>45908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42039-2025</t>
        </is>
      </c>
      <c r="B534" s="1" t="n">
        <v>45903.61480324074</v>
      </c>
      <c r="C534" s="1" t="n">
        <v>45908</v>
      </c>
      <c r="D534" t="inlineStr">
        <is>
          <t>GÄVLEBORGS LÄN</t>
        </is>
      </c>
      <c r="E534" t="inlineStr">
        <is>
          <t>GÄVLE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6797-2025</t>
        </is>
      </c>
      <c r="B535" s="1" t="n">
        <v>45700.66565972222</v>
      </c>
      <c r="C535" s="1" t="n">
        <v>45908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41683-2025</t>
        </is>
      </c>
      <c r="B536" s="1" t="n">
        <v>45902.38427083333</v>
      </c>
      <c r="C536" s="1" t="n">
        <v>45908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11407-2025</t>
        </is>
      </c>
      <c r="B537" s="1" t="n">
        <v>45726.58489583333</v>
      </c>
      <c r="C537" s="1" t="n">
        <v>45908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12434-2025</t>
        </is>
      </c>
      <c r="B538" s="1" t="n">
        <v>45730.46855324074</v>
      </c>
      <c r="C538" s="1" t="n">
        <v>45908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11080-2025</t>
        </is>
      </c>
      <c r="B539" s="1" t="n">
        <v>45723.56122685185</v>
      </c>
      <c r="C539" s="1" t="n">
        <v>45908</v>
      </c>
      <c r="D539" t="inlineStr">
        <is>
          <t>GÄVLEBORGS LÄN</t>
        </is>
      </c>
      <c r="E539" t="inlineStr">
        <is>
          <t>GÄVLE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18217-2024</t>
        </is>
      </c>
      <c r="B540" s="1" t="n">
        <v>45420</v>
      </c>
      <c r="C540" s="1" t="n">
        <v>45908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61879-2024</t>
        </is>
      </c>
      <c r="B541" s="1" t="n">
        <v>45652.43678240741</v>
      </c>
      <c r="C541" s="1" t="n">
        <v>45908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13027-2025</t>
        </is>
      </c>
      <c r="B542" s="1" t="n">
        <v>45734.56173611111</v>
      </c>
      <c r="C542" s="1" t="n">
        <v>45908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42247-2025</t>
        </is>
      </c>
      <c r="B543" s="1" t="n">
        <v>45904.57777777778</v>
      </c>
      <c r="C543" s="1" t="n">
        <v>45908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42251-2025</t>
        </is>
      </c>
      <c r="B544" s="1" t="n">
        <v>45904.58163194444</v>
      </c>
      <c r="C544" s="1" t="n">
        <v>45908</v>
      </c>
      <c r="D544" t="inlineStr">
        <is>
          <t>GÄVLEBORGS LÄN</t>
        </is>
      </c>
      <c r="E544" t="inlineStr">
        <is>
          <t>GÄVLE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36197-2024</t>
        </is>
      </c>
      <c r="B545" s="1" t="n">
        <v>45534.43164351852</v>
      </c>
      <c r="C545" s="1" t="n">
        <v>45908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5906-2025</t>
        </is>
      </c>
      <c r="B546" s="1" t="n">
        <v>45695.40210648148</v>
      </c>
      <c r="C546" s="1" t="n">
        <v>45908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19712-2022</t>
        </is>
      </c>
      <c r="B547" s="1" t="n">
        <v>44694</v>
      </c>
      <c r="C547" s="1" t="n">
        <v>45908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35878-2025</t>
        </is>
      </c>
      <c r="B548" s="1" t="n">
        <v>45862.37017361111</v>
      </c>
      <c r="C548" s="1" t="n">
        <v>45908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39509-2022</t>
        </is>
      </c>
      <c r="B549" s="1" t="n">
        <v>44818</v>
      </c>
      <c r="C549" s="1" t="n">
        <v>45908</v>
      </c>
      <c r="D549" t="inlineStr">
        <is>
          <t>GÄVLEBORGS LÄN</t>
        </is>
      </c>
      <c r="E549" t="inlineStr">
        <is>
          <t>GÄVLE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9391-2025</t>
        </is>
      </c>
      <c r="B550" s="1" t="n">
        <v>45715.35465277778</v>
      </c>
      <c r="C550" s="1" t="n">
        <v>45908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701-2025</t>
        </is>
      </c>
      <c r="B551" s="1" t="n">
        <v>45665</v>
      </c>
      <c r="C551" s="1" t="n">
        <v>45908</v>
      </c>
      <c r="D551" t="inlineStr">
        <is>
          <t>GÄVLEBORGS LÄN</t>
        </is>
      </c>
      <c r="E551" t="inlineStr">
        <is>
          <t>GÄVLE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30662-2022</t>
        </is>
      </c>
      <c r="B552" s="1" t="n">
        <v>44763</v>
      </c>
      <c r="C552" s="1" t="n">
        <v>45908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18377-2024</t>
        </is>
      </c>
      <c r="B553" s="1" t="n">
        <v>45423</v>
      </c>
      <c r="C553" s="1" t="n">
        <v>45908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44935.38945601852</v>
      </c>
      <c r="C554" s="1" t="n">
        <v>45908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35938-2025</t>
        </is>
      </c>
      <c r="B555" s="1" t="n">
        <v>45862.64209490741</v>
      </c>
      <c r="C555" s="1" t="n">
        <v>45908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42277-2025</t>
        </is>
      </c>
      <c r="B556" s="1" t="n">
        <v>45904.61524305555</v>
      </c>
      <c r="C556" s="1" t="n">
        <v>45908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61004-2024</t>
        </is>
      </c>
      <c r="B557" s="1" t="n">
        <v>45645.44195601852</v>
      </c>
      <c r="C557" s="1" t="n">
        <v>45908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42592-2025</t>
        </is>
      </c>
      <c r="B558" s="1" t="n">
        <v>45905.6455787037</v>
      </c>
      <c r="C558" s="1" t="n">
        <v>45908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2547-2022</t>
        </is>
      </c>
      <c r="B559" s="1" t="n">
        <v>44579.98798611111</v>
      </c>
      <c r="C559" s="1" t="n">
        <v>45908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35916-2025</t>
        </is>
      </c>
      <c r="B560" s="1" t="n">
        <v>45862.5516087963</v>
      </c>
      <c r="C560" s="1" t="n">
        <v>45908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35919-2025</t>
        </is>
      </c>
      <c r="B561" s="1" t="n">
        <v>45862.56378472222</v>
      </c>
      <c r="C561" s="1" t="n">
        <v>45908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37352-2024</t>
        </is>
      </c>
      <c r="B562" s="1" t="n">
        <v>45540</v>
      </c>
      <c r="C562" s="1" t="n">
        <v>45908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17605-2025</t>
        </is>
      </c>
      <c r="B563" s="1" t="n">
        <v>45757.73100694444</v>
      </c>
      <c r="C563" s="1" t="n">
        <v>45908</v>
      </c>
      <c r="D563" t="inlineStr">
        <is>
          <t>GÄVLEBORGS LÄN</t>
        </is>
      </c>
      <c r="E563" t="inlineStr">
        <is>
          <t>GÄVLE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17607-2025</t>
        </is>
      </c>
      <c r="B564" s="1" t="n">
        <v>45757.74027777778</v>
      </c>
      <c r="C564" s="1" t="n">
        <v>45908</v>
      </c>
      <c r="D564" t="inlineStr">
        <is>
          <t>GÄVLEBORGS LÄN</t>
        </is>
      </c>
      <c r="E564" t="inlineStr">
        <is>
          <t>GÄVLE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42557-2025</t>
        </is>
      </c>
      <c r="B565" s="1" t="n">
        <v>45905.59543981482</v>
      </c>
      <c r="C565" s="1" t="n">
        <v>45908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4090-2025</t>
        </is>
      </c>
      <c r="B566" s="1" t="n">
        <v>45684.67178240741</v>
      </c>
      <c r="C566" s="1" t="n">
        <v>45908</v>
      </c>
      <c r="D566" t="inlineStr">
        <is>
          <t>GÄVLEBORGS LÄN</t>
        </is>
      </c>
      <c r="E566" t="inlineStr">
        <is>
          <t>GÄVLE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4097-2025</t>
        </is>
      </c>
      <c r="B567" s="1" t="n">
        <v>45684.68004629629</v>
      </c>
      <c r="C567" s="1" t="n">
        <v>45908</v>
      </c>
      <c r="D567" t="inlineStr">
        <is>
          <t>GÄVLEBORGS LÄN</t>
        </is>
      </c>
      <c r="E567" t="inlineStr">
        <is>
          <t>GÄVLE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53517-2020</t>
        </is>
      </c>
      <c r="B568" s="1" t="n">
        <v>44124</v>
      </c>
      <c r="C568" s="1" t="n">
        <v>45908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10352-2025</t>
        </is>
      </c>
      <c r="B569" s="1" t="n">
        <v>45720.51222222222</v>
      </c>
      <c r="C569" s="1" t="n">
        <v>45908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56487-2023</t>
        </is>
      </c>
      <c r="B570" s="1" t="n">
        <v>45243</v>
      </c>
      <c r="C570" s="1" t="n">
        <v>45908</v>
      </c>
      <c r="D570" t="inlineStr">
        <is>
          <t>GÄVLEBORGS LÄN</t>
        </is>
      </c>
      <c r="E570" t="inlineStr">
        <is>
          <t>GÄVLE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9307-2022</t>
        </is>
      </c>
      <c r="B571" s="1" t="n">
        <v>44616.49033564814</v>
      </c>
      <c r="C571" s="1" t="n">
        <v>45908</v>
      </c>
      <c r="D571" t="inlineStr">
        <is>
          <t>GÄVLEBORGS LÄN</t>
        </is>
      </c>
      <c r="E571" t="inlineStr">
        <is>
          <t>GÄVLE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5462-2023</t>
        </is>
      </c>
      <c r="B572" s="1" t="n">
        <v>44960.32700231481</v>
      </c>
      <c r="C572" s="1" t="n">
        <v>45908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24720-2023</t>
        </is>
      </c>
      <c r="B573" s="1" t="n">
        <v>45084</v>
      </c>
      <c r="C573" s="1" t="n">
        <v>45908</v>
      </c>
      <c r="D573" t="inlineStr">
        <is>
          <t>GÄVLEBORGS LÄN</t>
        </is>
      </c>
      <c r="E573" t="inlineStr">
        <is>
          <t>GÄVLE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13193-2025</t>
        </is>
      </c>
      <c r="B574" s="1" t="n">
        <v>45735.41233796296</v>
      </c>
      <c r="C574" s="1" t="n">
        <v>45908</v>
      </c>
      <c r="D574" t="inlineStr">
        <is>
          <t>GÄVLEBORGS LÄN</t>
        </is>
      </c>
      <c r="E574" t="inlineStr">
        <is>
          <t>GÄVLE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31866-2023</t>
        </is>
      </c>
      <c r="B575" s="1" t="n">
        <v>45106</v>
      </c>
      <c r="C575" s="1" t="n">
        <v>45908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14807-2023</t>
        </is>
      </c>
      <c r="B576" s="1" t="n">
        <v>45014.63493055556</v>
      </c>
      <c r="C576" s="1" t="n">
        <v>45908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8693-2024</t>
        </is>
      </c>
      <c r="B577" s="1" t="n">
        <v>45356.36994212963</v>
      </c>
      <c r="C577" s="1" t="n">
        <v>45908</v>
      </c>
      <c r="D577" t="inlineStr">
        <is>
          <t>GÄVLEBORGS LÄN</t>
        </is>
      </c>
      <c r="E577" t="inlineStr">
        <is>
          <t>GÄVLE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7296-2025</t>
        </is>
      </c>
      <c r="B578" s="1" t="n">
        <v>45702.64880787037</v>
      </c>
      <c r="C578" s="1" t="n">
        <v>45908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65879-2021</t>
        </is>
      </c>
      <c r="B579" s="1" t="n">
        <v>44517</v>
      </c>
      <c r="C579" s="1" t="n">
        <v>45908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33880-2022</t>
        </is>
      </c>
      <c r="B580" s="1" t="n">
        <v>44790.59284722222</v>
      </c>
      <c r="C580" s="1" t="n">
        <v>45908</v>
      </c>
      <c r="D580" t="inlineStr">
        <is>
          <t>GÄVLEBORGS LÄN</t>
        </is>
      </c>
      <c r="E580" t="inlineStr">
        <is>
          <t>GÄVLE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4405-2025</t>
        </is>
      </c>
      <c r="B581" s="1" t="n">
        <v>45686</v>
      </c>
      <c r="C581" s="1" t="n">
        <v>45908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45908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6370-2025</t>
        </is>
      </c>
      <c r="B583" s="1" t="n">
        <v>45699.39001157408</v>
      </c>
      <c r="C583" s="1" t="n">
        <v>45908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46800-2021</t>
        </is>
      </c>
      <c r="B584" s="1" t="n">
        <v>44446.30126157407</v>
      </c>
      <c r="C584" s="1" t="n">
        <v>45908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12992-2025</t>
        </is>
      </c>
      <c r="B585" s="1" t="n">
        <v>45734.48538194445</v>
      </c>
      <c r="C585" s="1" t="n">
        <v>45908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11691-2024</t>
        </is>
      </c>
      <c r="B586" s="1" t="n">
        <v>45373.59789351852</v>
      </c>
      <c r="C586" s="1" t="n">
        <v>45908</v>
      </c>
      <c r="D586" t="inlineStr">
        <is>
          <t>GÄVLEBORGS LÄN</t>
        </is>
      </c>
      <c r="E586" t="inlineStr">
        <is>
          <t>GÄVLE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13825-2025</t>
        </is>
      </c>
      <c r="B587" s="1" t="n">
        <v>45737.54068287037</v>
      </c>
      <c r="C587" s="1" t="n">
        <v>45908</v>
      </c>
      <c r="D587" t="inlineStr">
        <is>
          <t>GÄVLEBORGS LÄN</t>
        </is>
      </c>
      <c r="E587" t="inlineStr">
        <is>
          <t>GÄVLE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62766-2022</t>
        </is>
      </c>
      <c r="B588" s="1" t="n">
        <v>44885</v>
      </c>
      <c r="C588" s="1" t="n">
        <v>45908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70043-2021</t>
        </is>
      </c>
      <c r="B589" s="1" t="n">
        <v>44533</v>
      </c>
      <c r="C589" s="1" t="n">
        <v>45908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11643-2025</t>
        </is>
      </c>
      <c r="B590" s="1" t="n">
        <v>45727.47241898148</v>
      </c>
      <c r="C590" s="1" t="n">
        <v>45908</v>
      </c>
      <c r="D590" t="inlineStr">
        <is>
          <t>GÄVLEBORGS LÄN</t>
        </is>
      </c>
      <c r="E590" t="inlineStr">
        <is>
          <t>GÄVLE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64873-2023</t>
        </is>
      </c>
      <c r="B591" s="1" t="n">
        <v>45282</v>
      </c>
      <c r="C591" s="1" t="n">
        <v>45908</v>
      </c>
      <c r="D591" t="inlineStr">
        <is>
          <t>GÄVLEBORGS LÄN</t>
        </is>
      </c>
      <c r="E591" t="inlineStr">
        <is>
          <t>GÄVLE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3718-2025</t>
        </is>
      </c>
      <c r="B592" s="1" t="n">
        <v>45681.5280787037</v>
      </c>
      <c r="C592" s="1" t="n">
        <v>45908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57184-2023</t>
        </is>
      </c>
      <c r="B593" s="1" t="n">
        <v>45245.46905092592</v>
      </c>
      <c r="C593" s="1" t="n">
        <v>45908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13806-2025</t>
        </is>
      </c>
      <c r="B594" s="1" t="n">
        <v>45737.4896875</v>
      </c>
      <c r="C594" s="1" t="n">
        <v>45908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34600-2024</t>
        </is>
      </c>
      <c r="B595" s="1" t="n">
        <v>45526.39949074074</v>
      </c>
      <c r="C595" s="1" t="n">
        <v>45908</v>
      </c>
      <c r="D595" t="inlineStr">
        <is>
          <t>GÄVLEBORGS LÄN</t>
        </is>
      </c>
      <c r="E595" t="inlineStr">
        <is>
          <t>GÄVLE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2397-2025</t>
        </is>
      </c>
      <c r="B596" s="1" t="n">
        <v>45674.34046296297</v>
      </c>
      <c r="C596" s="1" t="n">
        <v>45908</v>
      </c>
      <c r="D596" t="inlineStr">
        <is>
          <t>GÄVLEBORGS LÄN</t>
        </is>
      </c>
      <c r="E596" t="inlineStr">
        <is>
          <t>GÄVLE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48834-2024</t>
        </is>
      </c>
      <c r="B597" s="1" t="n">
        <v>45593.71982638889</v>
      </c>
      <c r="C597" s="1" t="n">
        <v>45908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26131-2024</t>
        </is>
      </c>
      <c r="B598" s="1" t="n">
        <v>45468.47575231481</v>
      </c>
      <c r="C598" s="1" t="n">
        <v>45908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29862-2023</t>
        </is>
      </c>
      <c r="B599" s="1" t="n">
        <v>45107.60888888889</v>
      </c>
      <c r="C599" s="1" t="n">
        <v>45908</v>
      </c>
      <c r="D599" t="inlineStr">
        <is>
          <t>GÄVLEBORGS LÄN</t>
        </is>
      </c>
      <c r="E599" t="inlineStr">
        <is>
          <t>GÄVLE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20657-2021</t>
        </is>
      </c>
      <c r="B600" s="1" t="n">
        <v>44316</v>
      </c>
      <c r="C600" s="1" t="n">
        <v>45908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57341-2023</t>
        </is>
      </c>
      <c r="B601" s="1" t="n">
        <v>45245</v>
      </c>
      <c r="C601" s="1" t="n">
        <v>45908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10126-2025</t>
        </is>
      </c>
      <c r="B602" s="1" t="n">
        <v>45719.60510416667</v>
      </c>
      <c r="C602" s="1" t="n">
        <v>45908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18162-2022</t>
        </is>
      </c>
      <c r="B603" s="1" t="n">
        <v>44684</v>
      </c>
      <c r="C603" s="1" t="n">
        <v>45908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41525-2024</t>
        </is>
      </c>
      <c r="B604" s="1" t="n">
        <v>45560</v>
      </c>
      <c r="C604" s="1" t="n">
        <v>45908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15105-2025</t>
        </is>
      </c>
      <c r="B605" s="1" t="n">
        <v>45744.34733796296</v>
      </c>
      <c r="C605" s="1" t="n">
        <v>45908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28403-2021</t>
        </is>
      </c>
      <c r="B606" s="1" t="n">
        <v>44356</v>
      </c>
      <c r="C606" s="1" t="n">
        <v>45908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38255-2023</t>
        </is>
      </c>
      <c r="B607" s="1" t="n">
        <v>45161.58774305556</v>
      </c>
      <c r="C607" s="1" t="n">
        <v>45908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40402-2024</t>
        </is>
      </c>
      <c r="B608" s="1" t="n">
        <v>45555</v>
      </c>
      <c r="C608" s="1" t="n">
        <v>45908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24478-2023</t>
        </is>
      </c>
      <c r="B609" s="1" t="n">
        <v>45082</v>
      </c>
      <c r="C609" s="1" t="n">
        <v>45908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31062-2023</t>
        </is>
      </c>
      <c r="B610" s="1" t="n">
        <v>45113</v>
      </c>
      <c r="C610" s="1" t="n">
        <v>45908</v>
      </c>
      <c r="D610" t="inlineStr">
        <is>
          <t>GÄVLEBORGS LÄN</t>
        </is>
      </c>
      <c r="E610" t="inlineStr">
        <is>
          <t>GÄVLE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17088-2023</t>
        </is>
      </c>
      <c r="B611" s="1" t="n">
        <v>45034.52115740741</v>
      </c>
      <c r="C611" s="1" t="n">
        <v>45908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20364-2025</t>
        </is>
      </c>
      <c r="B612" s="1" t="n">
        <v>45775.40340277777</v>
      </c>
      <c r="C612" s="1" t="n">
        <v>45908</v>
      </c>
      <c r="D612" t="inlineStr">
        <is>
          <t>GÄVLEBORGS LÄN</t>
        </is>
      </c>
      <c r="E612" t="inlineStr">
        <is>
          <t>GÄVLE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44973.42633101852</v>
      </c>
      <c r="C613" s="1" t="n">
        <v>45908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14735-2024</t>
        </is>
      </c>
      <c r="B614" s="1" t="n">
        <v>45397</v>
      </c>
      <c r="C614" s="1" t="n">
        <v>45908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26249-2022</t>
        </is>
      </c>
      <c r="B615" s="1" t="n">
        <v>44735.49341435185</v>
      </c>
      <c r="C615" s="1" t="n">
        <v>45908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51876-2023</t>
        </is>
      </c>
      <c r="B616" s="1" t="n">
        <v>45223.38060185185</v>
      </c>
      <c r="C616" s="1" t="n">
        <v>45908</v>
      </c>
      <c r="D616" t="inlineStr">
        <is>
          <t>GÄVLEBORGS LÄN</t>
        </is>
      </c>
      <c r="E616" t="inlineStr">
        <is>
          <t>GÄVLE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35761-2022</t>
        </is>
      </c>
      <c r="B617" s="1" t="n">
        <v>44800</v>
      </c>
      <c r="C617" s="1" t="n">
        <v>45908</v>
      </c>
      <c r="D617" t="inlineStr">
        <is>
          <t>GÄVLEBORGS LÄN</t>
        </is>
      </c>
      <c r="E617" t="inlineStr">
        <is>
          <t>GÄVLE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9419-2025</t>
        </is>
      </c>
      <c r="B618" s="1" t="n">
        <v>45715.39568287037</v>
      </c>
      <c r="C618" s="1" t="n">
        <v>45908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16895-2025</t>
        </is>
      </c>
      <c r="B619" s="1" t="n">
        <v>45755.33472222222</v>
      </c>
      <c r="C619" s="1" t="n">
        <v>45908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14594-2021</t>
        </is>
      </c>
      <c r="B620" s="1" t="n">
        <v>44279</v>
      </c>
      <c r="C620" s="1" t="n">
        <v>45908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19555-2022</t>
        </is>
      </c>
      <c r="B621" s="1" t="n">
        <v>44693</v>
      </c>
      <c r="C621" s="1" t="n">
        <v>45908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15444-2024</t>
        </is>
      </c>
      <c r="B622" s="1" t="n">
        <v>45401</v>
      </c>
      <c r="C622" s="1" t="n">
        <v>45908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63036-2023</t>
        </is>
      </c>
      <c r="B623" s="1" t="n">
        <v>45272</v>
      </c>
      <c r="C623" s="1" t="n">
        <v>45908</v>
      </c>
      <c r="D623" t="inlineStr">
        <is>
          <t>GÄVLEBORGS LÄN</t>
        </is>
      </c>
      <c r="E623" t="inlineStr">
        <is>
          <t>GÄVLE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2901-2021</t>
        </is>
      </c>
      <c r="B624" s="1" t="n">
        <v>44216</v>
      </c>
      <c r="C624" s="1" t="n">
        <v>45908</v>
      </c>
      <c r="D624" t="inlineStr">
        <is>
          <t>GÄVLEBORGS LÄN</t>
        </is>
      </c>
      <c r="E624" t="inlineStr">
        <is>
          <t>GÄVLE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23638-2024</t>
        </is>
      </c>
      <c r="B625" s="1" t="n">
        <v>45454.48969907407</v>
      </c>
      <c r="C625" s="1" t="n">
        <v>45908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23643-2024</t>
        </is>
      </c>
      <c r="B626" s="1" t="n">
        <v>45454.49773148148</v>
      </c>
      <c r="C626" s="1" t="n">
        <v>45908</v>
      </c>
      <c r="D626" t="inlineStr">
        <is>
          <t>GÄVLEBORGS LÄN</t>
        </is>
      </c>
      <c r="E626" t="inlineStr">
        <is>
          <t>GÄVLE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49380-2024</t>
        </is>
      </c>
      <c r="B627" s="1" t="n">
        <v>45595.64767361111</v>
      </c>
      <c r="C627" s="1" t="n">
        <v>45908</v>
      </c>
      <c r="D627" t="inlineStr">
        <is>
          <t>GÄVLEBORGS LÄN</t>
        </is>
      </c>
      <c r="E627" t="inlineStr">
        <is>
          <t>GÄVLE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14606-2025</t>
        </is>
      </c>
      <c r="B628" s="1" t="n">
        <v>45742.37480324074</v>
      </c>
      <c r="C628" s="1" t="n">
        <v>45908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29840-2023</t>
        </is>
      </c>
      <c r="B629" s="1" t="n">
        <v>45107.58261574074</v>
      </c>
      <c r="C629" s="1" t="n">
        <v>45908</v>
      </c>
      <c r="D629" t="inlineStr">
        <is>
          <t>GÄVLEBORGS LÄN</t>
        </is>
      </c>
      <c r="E629" t="inlineStr">
        <is>
          <t>GÄVLE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46549-2021</t>
        </is>
      </c>
      <c r="B630" s="1" t="n">
        <v>44445</v>
      </c>
      <c r="C630" s="1" t="n">
        <v>45908</v>
      </c>
      <c r="D630" t="inlineStr">
        <is>
          <t>GÄVLEBORGS LÄN</t>
        </is>
      </c>
      <c r="E630" t="inlineStr">
        <is>
          <t>GÄVLE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39107-2022</t>
        </is>
      </c>
      <c r="B631" s="1" t="n">
        <v>44817.43700231481</v>
      </c>
      <c r="C631" s="1" t="n">
        <v>45908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3334-2022</t>
        </is>
      </c>
      <c r="B632" s="1" t="n">
        <v>44585.3431712963</v>
      </c>
      <c r="C632" s="1" t="n">
        <v>45908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55110-2024</t>
        </is>
      </c>
      <c r="B633" s="1" t="n">
        <v>45621.44861111111</v>
      </c>
      <c r="C633" s="1" t="n">
        <v>45908</v>
      </c>
      <c r="D633" t="inlineStr">
        <is>
          <t>GÄVLEBORGS LÄN</t>
        </is>
      </c>
      <c r="E633" t="inlineStr">
        <is>
          <t>GÄVLE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18216-2024</t>
        </is>
      </c>
      <c r="B634" s="1" t="n">
        <v>45420</v>
      </c>
      <c r="C634" s="1" t="n">
        <v>45908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69215-2020</t>
        </is>
      </c>
      <c r="B635" s="1" t="n">
        <v>44192</v>
      </c>
      <c r="C635" s="1" t="n">
        <v>45908</v>
      </c>
      <c r="D635" t="inlineStr">
        <is>
          <t>GÄVLEBORGS LÄN</t>
        </is>
      </c>
      <c r="E635" t="inlineStr">
        <is>
          <t>GÄVLE</t>
        </is>
      </c>
      <c r="F635" t="inlineStr">
        <is>
          <t>Kommuner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61918-2023</t>
        </is>
      </c>
      <c r="B636" s="1" t="n">
        <v>45266.48171296297</v>
      </c>
      <c r="C636" s="1" t="n">
        <v>45908</v>
      </c>
      <c r="D636" t="inlineStr">
        <is>
          <t>GÄVLEBORGS LÄN</t>
        </is>
      </c>
      <c r="E636" t="inlineStr">
        <is>
          <t>GÄVLE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17245-2024</t>
        </is>
      </c>
      <c r="B637" s="1" t="n">
        <v>45414</v>
      </c>
      <c r="C637" s="1" t="n">
        <v>45908</v>
      </c>
      <c r="D637" t="inlineStr">
        <is>
          <t>GÄVLEBORGS LÄN</t>
        </is>
      </c>
      <c r="E637" t="inlineStr">
        <is>
          <t>GÄVLE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6935-2023</t>
        </is>
      </c>
      <c r="B638" s="1" t="n">
        <v>44967</v>
      </c>
      <c r="C638" s="1" t="n">
        <v>45908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58196-2024</t>
        </is>
      </c>
      <c r="B639" s="1" t="n">
        <v>45632.48064814815</v>
      </c>
      <c r="C639" s="1" t="n">
        <v>45908</v>
      </c>
      <c r="D639" t="inlineStr">
        <is>
          <t>GÄVLEBORGS LÄN</t>
        </is>
      </c>
      <c r="E639" t="inlineStr">
        <is>
          <t>GÄVLE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15101-2025</t>
        </is>
      </c>
      <c r="B640" s="1" t="n">
        <v>45744.34550925926</v>
      </c>
      <c r="C640" s="1" t="n">
        <v>45908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9454-2025</t>
        </is>
      </c>
      <c r="B641" s="1" t="n">
        <v>45715.43168981482</v>
      </c>
      <c r="C641" s="1" t="n">
        <v>45908</v>
      </c>
      <c r="D641" t="inlineStr">
        <is>
          <t>GÄVLEBORGS LÄN</t>
        </is>
      </c>
      <c r="E641" t="inlineStr">
        <is>
          <t>GÄVLE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62255-2022</t>
        </is>
      </c>
      <c r="B642" s="1" t="n">
        <v>44922</v>
      </c>
      <c r="C642" s="1" t="n">
        <v>45908</v>
      </c>
      <c r="D642" t="inlineStr">
        <is>
          <t>GÄVLEBORGS LÄN</t>
        </is>
      </c>
      <c r="E642" t="inlineStr">
        <is>
          <t>GÄVLE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26334-2022</t>
        </is>
      </c>
      <c r="B643" s="1" t="n">
        <v>44735.61462962963</v>
      </c>
      <c r="C643" s="1" t="n">
        <v>45908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57928-2024</t>
        </is>
      </c>
      <c r="B644" s="1" t="n">
        <v>45631.52173611111</v>
      </c>
      <c r="C644" s="1" t="n">
        <v>45908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9422-2025</t>
        </is>
      </c>
      <c r="B645" s="1" t="n">
        <v>45715.39962962963</v>
      </c>
      <c r="C645" s="1" t="n">
        <v>45908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20999-2022</t>
        </is>
      </c>
      <c r="B646" s="1" t="n">
        <v>44701</v>
      </c>
      <c r="C646" s="1" t="n">
        <v>45908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61843-2023</t>
        </is>
      </c>
      <c r="B647" s="1" t="n">
        <v>45266.36988425926</v>
      </c>
      <c r="C647" s="1" t="n">
        <v>45908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214-2025</t>
        </is>
      </c>
      <c r="B648" s="1" t="n">
        <v>45660.34046296297</v>
      </c>
      <c r="C648" s="1" t="n">
        <v>45908</v>
      </c>
      <c r="D648" t="inlineStr">
        <is>
          <t>GÄVLEBORGS LÄN</t>
        </is>
      </c>
      <c r="E648" t="inlineStr">
        <is>
          <t>GÄVLE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10430-2025</t>
        </is>
      </c>
      <c r="B649" s="1" t="n">
        <v>45720.65740740741</v>
      </c>
      <c r="C649" s="1" t="n">
        <v>45908</v>
      </c>
      <c r="D649" t="inlineStr">
        <is>
          <t>GÄVLEBORGS LÄN</t>
        </is>
      </c>
      <c r="E649" t="inlineStr">
        <is>
          <t>GÄVLE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32143-2024</t>
        </is>
      </c>
      <c r="B650" s="1" t="n">
        <v>45511.55277777778</v>
      </c>
      <c r="C650" s="1" t="n">
        <v>45908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33449-2024</t>
        </is>
      </c>
      <c r="B651" s="1" t="n">
        <v>45519.56657407407</v>
      </c>
      <c r="C651" s="1" t="n">
        <v>45908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7260-2025</t>
        </is>
      </c>
      <c r="B652" s="1" t="n">
        <v>45702</v>
      </c>
      <c r="C652" s="1" t="n">
        <v>45908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57570-2024</t>
        </is>
      </c>
      <c r="B653" s="1" t="n">
        <v>45630.46627314815</v>
      </c>
      <c r="C653" s="1" t="n">
        <v>45908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2274-2025</t>
        </is>
      </c>
      <c r="B654" s="1" t="n">
        <v>45673.55641203704</v>
      </c>
      <c r="C654" s="1" t="n">
        <v>45908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35440-2023</t>
        </is>
      </c>
      <c r="B655" s="1" t="n">
        <v>45146.63849537037</v>
      </c>
      <c r="C655" s="1" t="n">
        <v>45908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14222-2025</t>
        </is>
      </c>
      <c r="B656" s="1" t="n">
        <v>45740.58918981482</v>
      </c>
      <c r="C656" s="1" t="n">
        <v>45908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16389-2025</t>
        </is>
      </c>
      <c r="B657" s="1" t="n">
        <v>45751</v>
      </c>
      <c r="C657" s="1" t="n">
        <v>45908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18218-2024</t>
        </is>
      </c>
      <c r="B658" s="1" t="n">
        <v>45420</v>
      </c>
      <c r="C658" s="1" t="n">
        <v>45908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19551-2025</t>
        </is>
      </c>
      <c r="B659" s="1" t="n">
        <v>45770.50553240741</v>
      </c>
      <c r="C659" s="1" t="n">
        <v>45908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3662-2022</t>
        </is>
      </c>
      <c r="B660" s="1" t="n">
        <v>44586</v>
      </c>
      <c r="C660" s="1" t="n">
        <v>45908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7410-2025</t>
        </is>
      </c>
      <c r="B661" s="1" t="n">
        <v>45705.36710648148</v>
      </c>
      <c r="C661" s="1" t="n">
        <v>45908</v>
      </c>
      <c r="D661" t="inlineStr">
        <is>
          <t>GÄVLEBORGS LÄN</t>
        </is>
      </c>
      <c r="E661" t="inlineStr">
        <is>
          <t>GÄVLE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35331-2024</t>
        </is>
      </c>
      <c r="B662" s="1" t="n">
        <v>45530.76390046296</v>
      </c>
      <c r="C662" s="1" t="n">
        <v>45908</v>
      </c>
      <c r="D662" t="inlineStr">
        <is>
          <t>GÄVLEBORGS LÄN</t>
        </is>
      </c>
      <c r="E662" t="inlineStr">
        <is>
          <t>GÄVLE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11-2023</t>
        </is>
      </c>
      <c r="B663" s="1" t="n">
        <v>44927</v>
      </c>
      <c r="C663" s="1" t="n">
        <v>45908</v>
      </c>
      <c r="D663" t="inlineStr">
        <is>
          <t>GÄVLEBORGS LÄN</t>
        </is>
      </c>
      <c r="E663" t="inlineStr">
        <is>
          <t>GÄVLE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44806-2024</t>
        </is>
      </c>
      <c r="B664" s="1" t="n">
        <v>45574.65305555556</v>
      </c>
      <c r="C664" s="1" t="n">
        <v>45908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30330-2021</t>
        </is>
      </c>
      <c r="B665" s="1" t="n">
        <v>44364.38038194444</v>
      </c>
      <c r="C665" s="1" t="n">
        <v>45908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45908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52250-2024</t>
        </is>
      </c>
      <c r="B667" s="1" t="n">
        <v>45608.62623842592</v>
      </c>
      <c r="C667" s="1" t="n">
        <v>45908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18950-2025</t>
        </is>
      </c>
      <c r="B668" s="1" t="n">
        <v>45764</v>
      </c>
      <c r="C668" s="1" t="n">
        <v>45908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17788-2025</t>
        </is>
      </c>
      <c r="B669" s="1" t="n">
        <v>45758.5408912037</v>
      </c>
      <c r="C669" s="1" t="n">
        <v>45908</v>
      </c>
      <c r="D669" t="inlineStr">
        <is>
          <t>GÄVLEBORGS LÄN</t>
        </is>
      </c>
      <c r="E669" t="inlineStr">
        <is>
          <t>GÄVLE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30875-2022</t>
        </is>
      </c>
      <c r="B670" s="1" t="n">
        <v>44767.55229166667</v>
      </c>
      <c r="C670" s="1" t="n">
        <v>45908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59072-2020</t>
        </is>
      </c>
      <c r="B671" s="1" t="n">
        <v>44147</v>
      </c>
      <c r="C671" s="1" t="n">
        <v>45908</v>
      </c>
      <c r="D671" t="inlineStr">
        <is>
          <t>GÄVLEBORGS LÄN</t>
        </is>
      </c>
      <c r="E671" t="inlineStr">
        <is>
          <t>GÄVLE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45908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41100-2024</t>
        </is>
      </c>
      <c r="B673" s="1" t="n">
        <v>45559</v>
      </c>
      <c r="C673" s="1" t="n">
        <v>45908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19730-2022</t>
        </is>
      </c>
      <c r="B674" s="1" t="n">
        <v>44694</v>
      </c>
      <c r="C674" s="1" t="n">
        <v>45908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34233-2023</t>
        </is>
      </c>
      <c r="B675" s="1" t="n">
        <v>45138.52274305555</v>
      </c>
      <c r="C675" s="1" t="n">
        <v>45908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40091-2023</t>
        </is>
      </c>
      <c r="B676" s="1" t="n">
        <v>45168.92969907408</v>
      </c>
      <c r="C676" s="1" t="n">
        <v>45908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3714-2023</t>
        </is>
      </c>
      <c r="B677" s="1" t="n">
        <v>44951.34615740741</v>
      </c>
      <c r="C677" s="1" t="n">
        <v>45908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3715-2023</t>
        </is>
      </c>
      <c r="B678" s="1" t="n">
        <v>44951</v>
      </c>
      <c r="C678" s="1" t="n">
        <v>45908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51368-2024</t>
        </is>
      </c>
      <c r="B679" s="1" t="n">
        <v>45604.37246527777</v>
      </c>
      <c r="C679" s="1" t="n">
        <v>45908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35205-2024</t>
        </is>
      </c>
      <c r="B680" s="1" t="n">
        <v>45530</v>
      </c>
      <c r="C680" s="1" t="n">
        <v>45908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62215-2023</t>
        </is>
      </c>
      <c r="B681" s="1" t="n">
        <v>45267</v>
      </c>
      <c r="C681" s="1" t="n">
        <v>45908</v>
      </c>
      <c r="D681" t="inlineStr">
        <is>
          <t>GÄVLEBORGS LÄN</t>
        </is>
      </c>
      <c r="E681" t="inlineStr">
        <is>
          <t>GÄVLE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16401-2025</t>
        </is>
      </c>
      <c r="B682" s="1" t="n">
        <v>45751</v>
      </c>
      <c r="C682" s="1" t="n">
        <v>45908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5633-2024</t>
        </is>
      </c>
      <c r="B683" s="1" t="n">
        <v>45334.61027777778</v>
      </c>
      <c r="C683" s="1" t="n">
        <v>45908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50191-2024</t>
        </is>
      </c>
      <c r="B684" s="1" t="n">
        <v>45600.48091435185</v>
      </c>
      <c r="C684" s="1" t="n">
        <v>45908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13961-2024</t>
        </is>
      </c>
      <c r="B685" s="1" t="n">
        <v>45392.3412962963</v>
      </c>
      <c r="C685" s="1" t="n">
        <v>45908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59322-2022</t>
        </is>
      </c>
      <c r="B686" s="1" t="n">
        <v>44904.63638888889</v>
      </c>
      <c r="C686" s="1" t="n">
        <v>45908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5728-2023</t>
        </is>
      </c>
      <c r="B687" s="1" t="n">
        <v>44962.43650462963</v>
      </c>
      <c r="C687" s="1" t="n">
        <v>45908</v>
      </c>
      <c r="D687" t="inlineStr">
        <is>
          <t>GÄVLEBORGS LÄN</t>
        </is>
      </c>
      <c r="E687" t="inlineStr">
        <is>
          <t>GÄVLE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247-2025</t>
        </is>
      </c>
      <c r="B688" s="1" t="n">
        <v>45660.41883101852</v>
      </c>
      <c r="C688" s="1" t="n">
        <v>45908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55473-2023</t>
        </is>
      </c>
      <c r="B689" s="1" t="n">
        <v>45231</v>
      </c>
      <c r="C689" s="1" t="n">
        <v>45908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17170-2025</t>
        </is>
      </c>
      <c r="B690" s="1" t="n">
        <v>45756.3708912037</v>
      </c>
      <c r="C690" s="1" t="n">
        <v>45908</v>
      </c>
      <c r="D690" t="inlineStr">
        <is>
          <t>GÄVLEBORGS LÄN</t>
        </is>
      </c>
      <c r="E690" t="inlineStr">
        <is>
          <t>GÄVLE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25466-2023</t>
        </is>
      </c>
      <c r="B691" s="1" t="n">
        <v>45089.45114583334</v>
      </c>
      <c r="C691" s="1" t="n">
        <v>45908</v>
      </c>
      <c r="D691" t="inlineStr">
        <is>
          <t>GÄVLEBORGS LÄN</t>
        </is>
      </c>
      <c r="E691" t="inlineStr">
        <is>
          <t>GÄVLE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2247-2023</t>
        </is>
      </c>
      <c r="B692" s="1" t="n">
        <v>44942.47491898148</v>
      </c>
      <c r="C692" s="1" t="n">
        <v>45908</v>
      </c>
      <c r="D692" t="inlineStr">
        <is>
          <t>GÄVLEBORGS LÄN</t>
        </is>
      </c>
      <c r="E692" t="inlineStr">
        <is>
          <t>GÄVLE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47108-2024</t>
        </is>
      </c>
      <c r="B693" s="1" t="n">
        <v>45586.55236111111</v>
      </c>
      <c r="C693" s="1" t="n">
        <v>45908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4091-2025</t>
        </is>
      </c>
      <c r="B694" s="1" t="n">
        <v>45684.67659722222</v>
      </c>
      <c r="C694" s="1" t="n">
        <v>45908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21300-2024</t>
        </is>
      </c>
      <c r="B695" s="1" t="n">
        <v>45440.67074074074</v>
      </c>
      <c r="C695" s="1" t="n">
        <v>45908</v>
      </c>
      <c r="D695" t="inlineStr">
        <is>
          <t>GÄVLEBORGS LÄN</t>
        </is>
      </c>
      <c r="E695" t="inlineStr">
        <is>
          <t>GÄVLE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47746-2023</t>
        </is>
      </c>
      <c r="B696" s="1" t="n">
        <v>45203</v>
      </c>
      <c r="C696" s="1" t="n">
        <v>45908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6780-2025</t>
        </is>
      </c>
      <c r="B697" s="1" t="n">
        <v>45700.64942129629</v>
      </c>
      <c r="C697" s="1" t="n">
        <v>45908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10423-2025</t>
        </is>
      </c>
      <c r="B698" s="1" t="n">
        <v>45720.64939814815</v>
      </c>
      <c r="C698" s="1" t="n">
        <v>45908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58192-2024</t>
        </is>
      </c>
      <c r="B699" s="1" t="n">
        <v>45632.47849537037</v>
      </c>
      <c r="C699" s="1" t="n">
        <v>45908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7060-2022</t>
        </is>
      </c>
      <c r="B700" s="1" t="n">
        <v>44603.53943287037</v>
      </c>
      <c r="C700" s="1" t="n">
        <v>45908</v>
      </c>
      <c r="D700" t="inlineStr">
        <is>
          <t>GÄVLEBORGS LÄN</t>
        </is>
      </c>
      <c r="E700" t="inlineStr">
        <is>
          <t>GÄVLE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9452-2025</t>
        </is>
      </c>
      <c r="B701" s="1" t="n">
        <v>45715.42872685185</v>
      </c>
      <c r="C701" s="1" t="n">
        <v>45908</v>
      </c>
      <c r="D701" t="inlineStr">
        <is>
          <t>GÄVLEBORGS LÄN</t>
        </is>
      </c>
      <c r="E701" t="inlineStr">
        <is>
          <t>GÄVLE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2461-2024</t>
        </is>
      </c>
      <c r="B702" s="1" t="n">
        <v>45312.93891203704</v>
      </c>
      <c r="C702" s="1" t="n">
        <v>45908</v>
      </c>
      <c r="D702" t="inlineStr">
        <is>
          <t>GÄVLEBORGS LÄN</t>
        </is>
      </c>
      <c r="E702" t="inlineStr">
        <is>
          <t>GÄVLE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52495-2021</t>
        </is>
      </c>
      <c r="B703" s="1" t="n">
        <v>44466.43295138889</v>
      </c>
      <c r="C703" s="1" t="n">
        <v>45908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41708-2023</t>
        </is>
      </c>
      <c r="B704" s="1" t="n">
        <v>45176</v>
      </c>
      <c r="C704" s="1" t="n">
        <v>45908</v>
      </c>
      <c r="D704" t="inlineStr">
        <is>
          <t>GÄVLEBORGS LÄN</t>
        </is>
      </c>
      <c r="E704" t="inlineStr">
        <is>
          <t>GÄVLE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41712-2023</t>
        </is>
      </c>
      <c r="B705" s="1" t="n">
        <v>45176</v>
      </c>
      <c r="C705" s="1" t="n">
        <v>45908</v>
      </c>
      <c r="D705" t="inlineStr">
        <is>
          <t>GÄVLEBORGS LÄN</t>
        </is>
      </c>
      <c r="E705" t="inlineStr">
        <is>
          <t>GÄVLE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34668-2024</t>
        </is>
      </c>
      <c r="B706" s="1" t="n">
        <v>45526.51855324074</v>
      </c>
      <c r="C706" s="1" t="n">
        <v>45908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5413-2023</t>
        </is>
      </c>
      <c r="B707" s="1" t="n">
        <v>44959.72408564815</v>
      </c>
      <c r="C707" s="1" t="n">
        <v>45908</v>
      </c>
      <c r="D707" t="inlineStr">
        <is>
          <t>GÄVLEBORGS LÄN</t>
        </is>
      </c>
      <c r="E707" t="inlineStr">
        <is>
          <t>GÄVLE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1062-2025</t>
        </is>
      </c>
      <c r="B708" s="1" t="n">
        <v>45666.58149305556</v>
      </c>
      <c r="C708" s="1" t="n">
        <v>45908</v>
      </c>
      <c r="D708" t="inlineStr">
        <is>
          <t>GÄVLEBORGS LÄN</t>
        </is>
      </c>
      <c r="E708" t="inlineStr">
        <is>
          <t>GÄVLE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60617-2024</t>
        </is>
      </c>
      <c r="B709" s="1" t="n">
        <v>45644.38703703704</v>
      </c>
      <c r="C709" s="1" t="n">
        <v>45908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20689-2024</t>
        </is>
      </c>
      <c r="B710" s="1" t="n">
        <v>45436</v>
      </c>
      <c r="C710" s="1" t="n">
        <v>45908</v>
      </c>
      <c r="D710" t="inlineStr">
        <is>
          <t>GÄVLEBORGS LÄN</t>
        </is>
      </c>
      <c r="E710" t="inlineStr">
        <is>
          <t>GÄVLE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45626-2022</t>
        </is>
      </c>
      <c r="B711" s="1" t="n">
        <v>44845</v>
      </c>
      <c r="C711" s="1" t="n">
        <v>45908</v>
      </c>
      <c r="D711" t="inlineStr">
        <is>
          <t>GÄVLEBORGS LÄN</t>
        </is>
      </c>
      <c r="E711" t="inlineStr">
        <is>
          <t>GÄVLE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32353-2023</t>
        </is>
      </c>
      <c r="B712" s="1" t="n">
        <v>45120.51550925926</v>
      </c>
      <c r="C712" s="1" t="n">
        <v>45908</v>
      </c>
      <c r="D712" t="inlineStr">
        <is>
          <t>GÄVLEBORGS LÄN</t>
        </is>
      </c>
      <c r="E712" t="inlineStr">
        <is>
          <t>GÄVLE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4235-2025</t>
        </is>
      </c>
      <c r="B713" s="1" t="n">
        <v>45685.56496527778</v>
      </c>
      <c r="C713" s="1" t="n">
        <v>45908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6331-2022</t>
        </is>
      </c>
      <c r="B714" s="1" t="n">
        <v>44600</v>
      </c>
      <c r="C714" s="1" t="n">
        <v>45908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250-2025</t>
        </is>
      </c>
      <c r="B715" s="1" t="n">
        <v>45660.42574074074</v>
      </c>
      <c r="C715" s="1" t="n">
        <v>45908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60602-2024</t>
        </is>
      </c>
      <c r="B716" s="1" t="n">
        <v>45644.37484953704</v>
      </c>
      <c r="C716" s="1" t="n">
        <v>45908</v>
      </c>
      <c r="D716" t="inlineStr">
        <is>
          <t>GÄVLEBORGS LÄN</t>
        </is>
      </c>
      <c r="E716" t="inlineStr">
        <is>
          <t>GÄVLE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56138-2023</t>
        </is>
      </c>
      <c r="B717" s="1" t="n">
        <v>45240.59244212963</v>
      </c>
      <c r="C717" s="1" t="n">
        <v>45908</v>
      </c>
      <c r="D717" t="inlineStr">
        <is>
          <t>GÄVLEBORGS LÄN</t>
        </is>
      </c>
      <c r="E717" t="inlineStr">
        <is>
          <t>GÄVLE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61301-2024</t>
        </is>
      </c>
      <c r="B718" s="1" t="n">
        <v>45645.9084375</v>
      </c>
      <c r="C718" s="1" t="n">
        <v>45908</v>
      </c>
      <c r="D718" t="inlineStr">
        <is>
          <t>GÄVLEBORGS LÄN</t>
        </is>
      </c>
      <c r="E718" t="inlineStr">
        <is>
          <t>GÄVLE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8670-2025</t>
        </is>
      </c>
      <c r="B719" s="1" t="n">
        <v>45712</v>
      </c>
      <c r="C719" s="1" t="n">
        <v>45908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5972-2021</t>
        </is>
      </c>
      <c r="B720" s="1" t="n">
        <v>44231</v>
      </c>
      <c r="C720" s="1" t="n">
        <v>45908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15126-2025</t>
        </is>
      </c>
      <c r="B721" s="1" t="n">
        <v>45744.37953703704</v>
      </c>
      <c r="C721" s="1" t="n">
        <v>45908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64868-2023</t>
        </is>
      </c>
      <c r="B722" s="1" t="n">
        <v>45282</v>
      </c>
      <c r="C722" s="1" t="n">
        <v>45908</v>
      </c>
      <c r="D722" t="inlineStr">
        <is>
          <t>GÄVLEBORGS LÄN</t>
        </is>
      </c>
      <c r="E722" t="inlineStr">
        <is>
          <t>GÄVLE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1974-2025</t>
        </is>
      </c>
      <c r="B723" s="1" t="n">
        <v>45672.39145833333</v>
      </c>
      <c r="C723" s="1" t="n">
        <v>45908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33635-2024</t>
        </is>
      </c>
      <c r="B724" s="1" t="n">
        <v>45520.4345949074</v>
      </c>
      <c r="C724" s="1" t="n">
        <v>45908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33637-2024</t>
        </is>
      </c>
      <c r="B725" s="1" t="n">
        <v>45520.44162037037</v>
      </c>
      <c r="C725" s="1" t="n">
        <v>45908</v>
      </c>
      <c r="D725" t="inlineStr">
        <is>
          <t>GÄVLEBORGS LÄN</t>
        </is>
      </c>
      <c r="E725" t="inlineStr">
        <is>
          <t>GÄVLE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61016-2024</t>
        </is>
      </c>
      <c r="B726" s="1" t="n">
        <v>45645.45041666667</v>
      </c>
      <c r="C726" s="1" t="n">
        <v>45908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18361-2024</t>
        </is>
      </c>
      <c r="B727" s="1" t="n">
        <v>45422</v>
      </c>
      <c r="C727" s="1" t="n">
        <v>45908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25645-2023</t>
        </is>
      </c>
      <c r="B728" s="1" t="n">
        <v>45089.77170138889</v>
      </c>
      <c r="C728" s="1" t="n">
        <v>45908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7998-2023</t>
        </is>
      </c>
      <c r="B729" s="1" t="n">
        <v>44973</v>
      </c>
      <c r="C729" s="1" t="n">
        <v>45908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45908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11340-2025</t>
        </is>
      </c>
      <c r="B731" s="1" t="n">
        <v>45726.49440972223</v>
      </c>
      <c r="C731" s="1" t="n">
        <v>45908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25655-2024</t>
        </is>
      </c>
      <c r="B732" s="1" t="n">
        <v>45463.68395833333</v>
      </c>
      <c r="C732" s="1" t="n">
        <v>45908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20682-2023</t>
        </is>
      </c>
      <c r="B733" s="1" t="n">
        <v>45058.38581018519</v>
      </c>
      <c r="C733" s="1" t="n">
        <v>45908</v>
      </c>
      <c r="D733" t="inlineStr">
        <is>
          <t>GÄVLEBORGS LÄN</t>
        </is>
      </c>
      <c r="E733" t="inlineStr">
        <is>
          <t>GÄVLE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7298-2025</t>
        </is>
      </c>
      <c r="B734" s="1" t="n">
        <v>45702.65122685185</v>
      </c>
      <c r="C734" s="1" t="n">
        <v>45908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54207-2023</t>
        </is>
      </c>
      <c r="B735" s="1" t="n">
        <v>45232.56643518519</v>
      </c>
      <c r="C735" s="1" t="n">
        <v>45908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4402-2025</t>
        </is>
      </c>
      <c r="B736" s="1" t="n">
        <v>45686</v>
      </c>
      <c r="C736" s="1" t="n">
        <v>45908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15935-2025</t>
        </is>
      </c>
      <c r="B737" s="1" t="n">
        <v>45749</v>
      </c>
      <c r="C737" s="1" t="n">
        <v>45908</v>
      </c>
      <c r="D737" t="inlineStr">
        <is>
          <t>GÄVLEBORGS LÄN</t>
        </is>
      </c>
      <c r="E737" t="inlineStr">
        <is>
          <t>GÄVLE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3639-2022</t>
        </is>
      </c>
      <c r="B738" s="1" t="n">
        <v>44586</v>
      </c>
      <c r="C738" s="1" t="n">
        <v>45908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25814-2023</t>
        </is>
      </c>
      <c r="B739" s="1" t="n">
        <v>45090.53184027778</v>
      </c>
      <c r="C739" s="1" t="n">
        <v>45908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19696-2025</t>
        </is>
      </c>
      <c r="B740" s="1" t="n">
        <v>45771</v>
      </c>
      <c r="C740" s="1" t="n">
        <v>45908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24-2025</t>
        </is>
      </c>
      <c r="B741" s="1" t="n">
        <v>45658.82557870371</v>
      </c>
      <c r="C741" s="1" t="n">
        <v>45908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66351-2021</t>
        </is>
      </c>
      <c r="B742" s="1" t="n">
        <v>44518</v>
      </c>
      <c r="C742" s="1" t="n">
        <v>45908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7731-2025</t>
        </is>
      </c>
      <c r="B743" s="1" t="n">
        <v>45706.46439814815</v>
      </c>
      <c r="C743" s="1" t="n">
        <v>45908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24724-2023</t>
        </is>
      </c>
      <c r="B744" s="1" t="n">
        <v>45084</v>
      </c>
      <c r="C744" s="1" t="n">
        <v>45908</v>
      </c>
      <c r="D744" t="inlineStr">
        <is>
          <t>GÄVLEBORGS LÄN</t>
        </is>
      </c>
      <c r="E744" t="inlineStr">
        <is>
          <t>GÄVLE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5487-2025</t>
        </is>
      </c>
      <c r="B745" s="1" t="n">
        <v>45693.36196759259</v>
      </c>
      <c r="C745" s="1" t="n">
        <v>45908</v>
      </c>
      <c r="D745" t="inlineStr">
        <is>
          <t>GÄVLEBORGS LÄN</t>
        </is>
      </c>
      <c r="E745" t="inlineStr">
        <is>
          <t>GÄVLE</t>
        </is>
      </c>
      <c r="F745" t="inlineStr">
        <is>
          <t>Kyrkan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14792-2023</t>
        </is>
      </c>
      <c r="B746" s="1" t="n">
        <v>45014</v>
      </c>
      <c r="C746" s="1" t="n">
        <v>45908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12079-2025</t>
        </is>
      </c>
      <c r="B747" s="1" t="n">
        <v>45728.88731481481</v>
      </c>
      <c r="C747" s="1" t="n">
        <v>45908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35204-2024</t>
        </is>
      </c>
      <c r="B748" s="1" t="n">
        <v>45530</v>
      </c>
      <c r="C748" s="1" t="n">
        <v>45908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1594-2024</t>
        </is>
      </c>
      <c r="B749" s="1" t="n">
        <v>45306.58793981482</v>
      </c>
      <c r="C749" s="1" t="n">
        <v>45908</v>
      </c>
      <c r="D749" t="inlineStr">
        <is>
          <t>GÄVLEBORGS LÄN</t>
        </is>
      </c>
      <c r="E749" t="inlineStr">
        <is>
          <t>GÄVLE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12083-2025</t>
        </is>
      </c>
      <c r="B750" s="1" t="n">
        <v>45728.9183449074</v>
      </c>
      <c r="C750" s="1" t="n">
        <v>45908</v>
      </c>
      <c r="D750" t="inlineStr">
        <is>
          <t>GÄVLEBORGS LÄN</t>
        </is>
      </c>
      <c r="E750" t="inlineStr">
        <is>
          <t>GÄVLE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14145-2025</t>
        </is>
      </c>
      <c r="B751" s="1" t="n">
        <v>45740.48784722222</v>
      </c>
      <c r="C751" s="1" t="n">
        <v>45908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29929-2022</t>
        </is>
      </c>
      <c r="B752" s="1" t="n">
        <v>44756.57740740741</v>
      </c>
      <c r="C752" s="1" t="n">
        <v>45908</v>
      </c>
      <c r="D752" t="inlineStr">
        <is>
          <t>GÄVLEBORGS LÄN</t>
        </is>
      </c>
      <c r="E752" t="inlineStr">
        <is>
          <t>GÄVLE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38673-2024</t>
        </is>
      </c>
      <c r="B753" s="1" t="n">
        <v>45547.33135416666</v>
      </c>
      <c r="C753" s="1" t="n">
        <v>45908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11084-2025</t>
        </is>
      </c>
      <c r="B754" s="1" t="n">
        <v>45723.56917824074</v>
      </c>
      <c r="C754" s="1" t="n">
        <v>45908</v>
      </c>
      <c r="D754" t="inlineStr">
        <is>
          <t>GÄVLEBORGS LÄN</t>
        </is>
      </c>
      <c r="E754" t="inlineStr">
        <is>
          <t>GÄVLE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1244-2023</t>
        </is>
      </c>
      <c r="B755" s="1" t="n">
        <v>44936.34145833334</v>
      </c>
      <c r="C755" s="1" t="n">
        <v>45908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62983-2023</t>
        </is>
      </c>
      <c r="B756" s="1" t="n">
        <v>45272</v>
      </c>
      <c r="C756" s="1" t="n">
        <v>45908</v>
      </c>
      <c r="D756" t="inlineStr">
        <is>
          <t>GÄVLEBORGS LÄN</t>
        </is>
      </c>
      <c r="E756" t="inlineStr">
        <is>
          <t>GÄVLE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13227-2024</t>
        </is>
      </c>
      <c r="B757" s="1" t="n">
        <v>45386</v>
      </c>
      <c r="C757" s="1" t="n">
        <v>45908</v>
      </c>
      <c r="D757" t="inlineStr">
        <is>
          <t>GÄVLEBORGS LÄN</t>
        </is>
      </c>
      <c r="E757" t="inlineStr">
        <is>
          <t>GÄVLE</t>
        </is>
      </c>
      <c r="F757" t="inlineStr">
        <is>
          <t>Övriga statliga verk och myndigheter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69219-2020</t>
        </is>
      </c>
      <c r="B758" s="1" t="n">
        <v>44192</v>
      </c>
      <c r="C758" s="1" t="n">
        <v>45908</v>
      </c>
      <c r="D758" t="inlineStr">
        <is>
          <t>GÄVLEBORGS LÄN</t>
        </is>
      </c>
      <c r="E758" t="inlineStr">
        <is>
          <t>GÄVLE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69251-2020</t>
        </is>
      </c>
      <c r="B759" s="1" t="n">
        <v>44192</v>
      </c>
      <c r="C759" s="1" t="n">
        <v>45908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69252-2020</t>
        </is>
      </c>
      <c r="B760" s="1" t="n">
        <v>44192</v>
      </c>
      <c r="C760" s="1" t="n">
        <v>45908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69254-2020</t>
        </is>
      </c>
      <c r="B761" s="1" t="n">
        <v>44192</v>
      </c>
      <c r="C761" s="1" t="n">
        <v>45908</v>
      </c>
      <c r="D761" t="inlineStr">
        <is>
          <t>GÄVLEBORGS LÄN</t>
        </is>
      </c>
      <c r="E761" t="inlineStr">
        <is>
          <t>GÄVLE</t>
        </is>
      </c>
      <c r="F761" t="inlineStr">
        <is>
          <t>Kommuner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60442-2022</t>
        </is>
      </c>
      <c r="B762" s="1" t="n">
        <v>44911.36083333333</v>
      </c>
      <c r="C762" s="1" t="n">
        <v>45908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50314-2024</t>
        </is>
      </c>
      <c r="B763" s="1" t="n">
        <v>45600.65686342592</v>
      </c>
      <c r="C763" s="1" t="n">
        <v>45908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33901-2024</t>
        </is>
      </c>
      <c r="B764" s="1" t="n">
        <v>45523</v>
      </c>
      <c r="C764" s="1" t="n">
        <v>45908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61786-2024</t>
        </is>
      </c>
      <c r="B765" s="1" t="n">
        <v>45649</v>
      </c>
      <c r="C765" s="1" t="n">
        <v>45908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35989-2024</t>
        </is>
      </c>
      <c r="B766" s="1" t="n">
        <v>45533.52966435185</v>
      </c>
      <c r="C766" s="1" t="n">
        <v>45908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HYPERLINK("https://klasma.github.io/Logging_2180/knärot/A 35989-2024 karta knärot.png", "A 35989-2024")</f>
        <v/>
      </c>
      <c r="V766">
        <f>HYPERLINK("https://klasma.github.io/Logging_2180/klagomål/A 35989-2024 FSC-klagomål.docx", "A 35989-2024")</f>
        <v/>
      </c>
      <c r="W766">
        <f>HYPERLINK("https://klasma.github.io/Logging_2180/klagomålsmail/A 35989-2024 FSC-klagomål mail.docx", "A 35989-2024")</f>
        <v/>
      </c>
      <c r="X766">
        <f>HYPERLINK("https://klasma.github.io/Logging_2180/tillsyn/A 35989-2024 tillsynsbegäran.docx", "A 35989-2024")</f>
        <v/>
      </c>
      <c r="Y766">
        <f>HYPERLINK("https://klasma.github.io/Logging_2180/tillsynsmail/A 35989-2024 tillsynsbegäran mail.docx", "A 35989-2024")</f>
        <v/>
      </c>
    </row>
    <row r="767" ht="15" customHeight="1">
      <c r="A767" t="inlineStr">
        <is>
          <t>A 30104-2024</t>
        </is>
      </c>
      <c r="B767" s="1" t="n">
        <v>45485</v>
      </c>
      <c r="C767" s="1" t="n">
        <v>45908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35910-2024</t>
        </is>
      </c>
      <c r="B768" s="1" t="n">
        <v>45533.41340277778</v>
      </c>
      <c r="C768" s="1" t="n">
        <v>45908</v>
      </c>
      <c r="D768" t="inlineStr">
        <is>
          <t>GÄVLEBORGS LÄN</t>
        </is>
      </c>
      <c r="E768" t="inlineStr">
        <is>
          <t>GÄVLE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3615-2024</t>
        </is>
      </c>
      <c r="B769" s="1" t="n">
        <v>45320</v>
      </c>
      <c r="C769" s="1" t="n">
        <v>45908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17180-2025</t>
        </is>
      </c>
      <c r="B770" s="1" t="n">
        <v>45756.38221064815</v>
      </c>
      <c r="C770" s="1" t="n">
        <v>45908</v>
      </c>
      <c r="D770" t="inlineStr">
        <is>
          <t>GÄVLEBORGS LÄN</t>
        </is>
      </c>
      <c r="E770" t="inlineStr">
        <is>
          <t>GÄVLE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18431-2021</t>
        </is>
      </c>
      <c r="B771" s="1" t="n">
        <v>44305</v>
      </c>
      <c r="C771" s="1" t="n">
        <v>45908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57464-2024</t>
        </is>
      </c>
      <c r="B772" s="1" t="n">
        <v>45630.32444444444</v>
      </c>
      <c r="C772" s="1" t="n">
        <v>45908</v>
      </c>
      <c r="D772" t="inlineStr">
        <is>
          <t>GÄVLEBORGS LÄN</t>
        </is>
      </c>
      <c r="E772" t="inlineStr">
        <is>
          <t>GÄVLE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32255-2023</t>
        </is>
      </c>
      <c r="B773" s="1" t="n">
        <v>45120.29087962963</v>
      </c>
      <c r="C773" s="1" t="n">
        <v>45908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21004-2021</t>
        </is>
      </c>
      <c r="B774" s="1" t="n">
        <v>44319</v>
      </c>
      <c r="C774" s="1" t="n">
        <v>45908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2025-09-08T08:59:54Z</dcterms:created>
  <dcterms:modified xmlns:dcterms="http://purl.org/dc/terms/" xmlns:xsi="http://www.w3.org/2001/XMLSchema-instance" xsi:type="dcterms:W3CDTF">2025-09-08T08:59:54Z</dcterms:modified>
</cp:coreProperties>
</file>