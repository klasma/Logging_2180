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46236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46236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46236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46236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46236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46236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46236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46236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46236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46236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46236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46236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64567-2023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46236</v>
      </c>
      <c r="F28" t="inlineStr">
        <is>
          <t>GÄVLEBORGS LÄN</t>
        </is>
      </c>
      <c r="G28" t="inlineStr">
        <is>
          <t>GÄVLE</t>
        </is>
      </c>
      <c r="I28" t="n">
        <v>2.6</v>
      </c>
      <c r="J28" t="n">
        <v>0</v>
      </c>
      <c r="K28" t="n">
        <v>2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4</v>
      </c>
      <c r="T28" t="n">
        <v>4</v>
      </c>
      <c r="U28" t="n">
        <v>1</v>
      </c>
      <c r="V28" s="2" t="inlineStr">
        <is>
          <t>Ask
Brunfläckig pärlemorfjäril
Jättesvampmal
Strimspindling</t>
        </is>
      </c>
      <c r="W28">
        <f>HYPERLINK("https://klasma.github.io/Logging_2180/artfynd/A 64567-2023 artfynd.xlsx", "A 64567-2023")</f>
        <v/>
      </c>
      <c r="X28">
        <f>HYPERLINK("https://klasma.github.io/Logging_2180/kartor/A 64567-2023 karta.png", "A 64567-2023")</f>
        <v/>
      </c>
      <c r="Y28">
        <f>HYPERLINK("https://klasma.github.io/Logging_2180/kartor_geotiff/A 64567-2023 georefererad karta.tif", "A 64567-2023")</f>
        <v/>
      </c>
      <c r="AA28">
        <f>HYPERLINK("https://klasma.github.io/Logging_2180/klagomål/A 64567-2023 FSC-klagomål.docx", "A 64567-2023")</f>
        <v/>
      </c>
      <c r="AB28">
        <f>HYPERLINK("https://klasma.github.io/Logging_2180/klagomålsmail/A 64567-2023 FSC-klagomål mail.docx", "A 64567-2023")</f>
        <v/>
      </c>
      <c r="AC28">
        <f>HYPERLINK("https://klasma.github.io/Logging_2180/tillsyn/A 64567-2023 tillsynsbegäran.docx", "A 64567-2023")</f>
        <v/>
      </c>
      <c r="AD28">
        <f>HYPERLINK("https://klasma.github.io/Logging_2180/tillsynsmail/A 64567-2023 tillsynsbegäran mail.docx", "A 64567-2023")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46236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46236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46236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4287-2024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46236</v>
      </c>
      <c r="F32" t="inlineStr">
        <is>
          <t>GÄVLEBORGS LÄN</t>
        </is>
      </c>
      <c r="G32" t="inlineStr">
        <is>
          <t>GÄVLE</t>
        </is>
      </c>
      <c r="I32" t="n">
        <v>1.6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Järnsparv
Rödvingetrast
Talltita
Grönsiska</t>
        </is>
      </c>
      <c r="W32">
        <f>HYPERLINK("https://klasma.github.io/Logging_2180/artfynd/A 4287-2024 artfynd.xlsx", "A 4287-2024")</f>
        <v/>
      </c>
      <c r="X32">
        <f>HYPERLINK("https://klasma.github.io/Logging_2180/kartor/A 4287-2024 karta.png", "A 4287-2024")</f>
        <v/>
      </c>
      <c r="Y32">
        <f>HYPERLINK("https://klasma.github.io/Logging_2180/kartor_geotiff/A 4287-2024 georefererad karta.tif", "A 4287-2024")</f>
        <v/>
      </c>
      <c r="AA32">
        <f>HYPERLINK("https://klasma.github.io/Logging_2180/klagomål/A 4287-2024 FSC-klagomål.docx", "A 4287-2024")</f>
        <v/>
      </c>
      <c r="AB32">
        <f>HYPERLINK("https://klasma.github.io/Logging_2180/klagomålsmail/A 4287-2024 FSC-klagomål mail.docx", "A 4287-2024")</f>
        <v/>
      </c>
      <c r="AC32">
        <f>HYPERLINK("https://klasma.github.io/Logging_2180/tillsyn/A 4287-2024 tillsynsbegäran.docx", "A 4287-2024")</f>
        <v/>
      </c>
      <c r="AD32">
        <f>HYPERLINK("https://klasma.github.io/Logging_2180/tillsynsmail/A 4287-2024 tillsynsbegäran mail.docx", "A 4287-2024")</f>
        <v/>
      </c>
      <c r="AE32">
        <f>HYPERLINK("https://klasma.github.io/Logging_2180/fåglar/A 4287-2024 prioriterade fågelarter.docx", "A 4287-2024")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46236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1</v>
      </c>
      <c r="V33" s="2" t="inlineStr">
        <is>
          <t>Trastsångare
Enkelbeckasin
Buskskvätta
Trana</t>
        </is>
      </c>
      <c r="W33">
        <f>HYPERLINK("https://klasma.github.io/Logging_2180/artfynd/A 3193-2026 artfynd.xlsx", "A 3193-2026")</f>
        <v/>
      </c>
      <c r="X33">
        <f>HYPERLINK("https://klasma.github.io/Logging_2180/kartor/A 3193-2026 karta.png", "A 3193-2026")</f>
        <v/>
      </c>
      <c r="Y33">
        <f>HYPERLINK("https://klasma.github.io/Logging_2180/kartor_geotiff/A 3193-2026 georefererad karta.tif", "A 3193-2026")</f>
        <v/>
      </c>
      <c r="AA33">
        <f>HYPERLINK("https://klasma.github.io/Logging_2180/klagomål/A 3193-2026 FSC-klagomål.docx", "A 3193-2026")</f>
        <v/>
      </c>
      <c r="AB33">
        <f>HYPERLINK("https://klasma.github.io/Logging_2180/klagomålsmail/A 3193-2026 FSC-klagomål mail.docx", "A 3193-2026")</f>
        <v/>
      </c>
      <c r="AC33">
        <f>HYPERLINK("https://klasma.github.io/Logging_2180/tillsyn/A 3193-2026 tillsynsbegäran.docx", "A 3193-2026")</f>
        <v/>
      </c>
      <c r="AD33">
        <f>HYPERLINK("https://klasma.github.io/Logging_2180/tillsynsmail/A 3193-2026 tillsynsbegäran mail.docx", "A 3193-2026")</f>
        <v/>
      </c>
      <c r="AE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46236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27044-2026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46236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27044-2026 artfynd.xlsx", "A 27044-2026")</f>
        <v/>
      </c>
      <c r="X35">
        <f>HYPERLINK("https://klasma.github.io/Logging_2180/kartor/A 27044-2026 karta.png", "A 27044-2026")</f>
        <v/>
      </c>
      <c r="Y35">
        <f>HYPERLINK("https://klasma.github.io/Logging_2180/kartor_geotiff/A 27044-2026 georefererad karta.tif", "A 27044-2026")</f>
        <v/>
      </c>
      <c r="AA35">
        <f>HYPERLINK("https://klasma.github.io/Logging_2180/klagomål/A 27044-2026 FSC-klagomål.docx", "A 27044-2026")</f>
        <v/>
      </c>
      <c r="AB35">
        <f>HYPERLINK("https://klasma.github.io/Logging_2180/klagomålsmail/A 27044-2026 FSC-klagomål mail.docx", "A 27044-2026")</f>
        <v/>
      </c>
      <c r="AC35">
        <f>HYPERLINK("https://klasma.github.io/Logging_2180/tillsyn/A 27044-2026 tillsynsbegäran.docx", "A 27044-2026")</f>
        <v/>
      </c>
      <c r="AD35">
        <f>HYPERLINK("https://klasma.github.io/Logging_2180/tillsynsmail/A 27044-2026 tillsynsbegäran mail.docx", "A 27044-2026")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46236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18215-2024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45420</v>
      </c>
      <c r="E37" s="1" t="n">
        <v>46236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68.59999999999999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Brunklöver
Tjäder
Huggorm</t>
        </is>
      </c>
      <c r="W37">
        <f>HYPERLINK("https://klasma.github.io/Logging_2180/artfynd/A 18215-2024 artfynd.xlsx", "A 18215-2024")</f>
        <v/>
      </c>
      <c r="X37">
        <f>HYPERLINK("https://klasma.github.io/Logging_2180/kartor/A 18215-2024 karta.png", "A 18215-2024")</f>
        <v/>
      </c>
      <c r="Y37">
        <f>HYPERLINK("https://klasma.github.io/Logging_2180/kartor_geotiff/A 18215-2024 georefererad karta.tif", "A 18215-2024")</f>
        <v/>
      </c>
      <c r="AA37">
        <f>HYPERLINK("https://klasma.github.io/Logging_2180/klagomål/A 18215-2024 FSC-klagomål.docx", "A 18215-2024")</f>
        <v/>
      </c>
      <c r="AB37">
        <f>HYPERLINK("https://klasma.github.io/Logging_2180/klagomålsmail/A 18215-2024 FSC-klagomål mail.docx", "A 18215-2024")</f>
        <v/>
      </c>
      <c r="AC37">
        <f>HYPERLINK("https://klasma.github.io/Logging_2180/tillsyn/A 18215-2024 tillsynsbegäran.docx", "A 18215-2024")</f>
        <v/>
      </c>
      <c r="AD37">
        <f>HYPERLINK("https://klasma.github.io/Logging_2180/tillsynsmail/A 18215-2024 tillsynsbegäran mail.docx", "A 18215-2024")</f>
        <v/>
      </c>
      <c r="AE37">
        <f>HYPERLINK("https://klasma.github.io/Logging_2180/fåglar/A 18215-2024 prioriterade fågelarter.docx", "A 18215-2024")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46236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46236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46236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46236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46236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46236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46236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46236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46236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46236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46236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46236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18218-2024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46236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Blåsippa
Havsörn</t>
        </is>
      </c>
      <c r="W54">
        <f>HYPERLINK("https://klasma.github.io/Logging_2180/artfynd/A 18218-2024 artfynd.xlsx", "A 18218-2024")</f>
        <v/>
      </c>
      <c r="X54">
        <f>HYPERLINK("https://klasma.github.io/Logging_2180/kartor/A 18218-2024 karta.png", "A 18218-2024")</f>
        <v/>
      </c>
      <c r="Y54">
        <f>HYPERLINK("https://klasma.github.io/Logging_2180/kartor_geotiff/A 18218-2024 georefererad karta.tif", "A 18218-2024")</f>
        <v/>
      </c>
      <c r="AA54">
        <f>HYPERLINK("https://klasma.github.io/Logging_2180/klagomål/A 18218-2024 FSC-klagomål.docx", "A 18218-2024")</f>
        <v/>
      </c>
      <c r="AB54">
        <f>HYPERLINK("https://klasma.github.io/Logging_2180/klagomålsmail/A 18218-2024 FSC-klagomål mail.docx", "A 18218-2024")</f>
        <v/>
      </c>
      <c r="AC54">
        <f>HYPERLINK("https://klasma.github.io/Logging_2180/tillsyn/A 18218-2024 tillsynsbegäran.docx", "A 18218-2024")</f>
        <v/>
      </c>
      <c r="AD54">
        <f>HYPERLINK("https://klasma.github.io/Logging_2180/tillsynsmail/A 18218-2024 tillsynsbegäran mail.docx", "A 18218-2024")</f>
        <v/>
      </c>
      <c r="AE54">
        <f>HYPERLINK("https://klasma.github.io/Logging_2180/fåglar/A 18218-2024 prioriterade fågelarter.docx", "A 18218-2024")</f>
        <v/>
      </c>
    </row>
    <row r="55" ht="15" customHeight="1">
      <c r="A55" t="inlineStr">
        <is>
          <t>A 14701-2026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46101</v>
      </c>
      <c r="E55" s="1" t="n">
        <v>46236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Fläcknycklar</t>
        </is>
      </c>
      <c r="W55">
        <f>HYPERLINK("https://klasma.github.io/Logging_2180/artfynd/A 14701-2026 artfynd.xlsx", "A 14701-2026")</f>
        <v/>
      </c>
      <c r="X55">
        <f>HYPERLINK("https://klasma.github.io/Logging_2180/kartor/A 14701-2026 karta.png", "A 14701-2026")</f>
        <v/>
      </c>
      <c r="Y55">
        <f>HYPERLINK("https://klasma.github.io/Logging_2180/kartor_geotiff/A 14701-2026 georefererad karta.tif", "A 14701-2026")</f>
        <v/>
      </c>
      <c r="AA55">
        <f>HYPERLINK("https://klasma.github.io/Logging_2180/klagomål/A 14701-2026 FSC-klagomål.docx", "A 14701-2026")</f>
        <v/>
      </c>
      <c r="AB55">
        <f>HYPERLINK("https://klasma.github.io/Logging_2180/klagomålsmail/A 14701-2026 FSC-klagomål mail.docx", "A 14701-2026")</f>
        <v/>
      </c>
      <c r="AC55">
        <f>HYPERLINK("https://klasma.github.io/Logging_2180/tillsyn/A 14701-2026 tillsynsbegäran.docx", "A 14701-2026")</f>
        <v/>
      </c>
      <c r="AD55">
        <f>HYPERLINK("https://klasma.github.io/Logging_2180/tillsynsmail/A 14701-2026 tillsynsbegäran mail.docx", "A 14701-2026")</f>
        <v/>
      </c>
      <c r="AE55">
        <f>HYPERLINK("https://klasma.github.io/Logging_2180/fåglar/A 14701-2026 prioriterade fågelarter.docx", "A 14701-2026")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46236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22149-2026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46153</v>
      </c>
      <c r="E57" s="1" t="n">
        <v>46236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Vedtrappmossa
Rödgul trumpetsvamp</t>
        </is>
      </c>
      <c r="W57">
        <f>HYPERLINK("https://klasma.github.io/Logging_2180/artfynd/A 22149-2026 artfynd.xlsx", "A 22149-2026")</f>
        <v/>
      </c>
      <c r="X57">
        <f>HYPERLINK("https://klasma.github.io/Logging_2180/kartor/A 22149-2026 karta.png", "A 22149-2026")</f>
        <v/>
      </c>
      <c r="Y57">
        <f>HYPERLINK("https://klasma.github.io/Logging_2180/kartor_geotiff/A 22149-2026 georefererad karta.tif", "A 22149-2026")</f>
        <v/>
      </c>
      <c r="AA57">
        <f>HYPERLINK("https://klasma.github.io/Logging_2180/klagomål/A 22149-2026 FSC-klagomål.docx", "A 22149-2026")</f>
        <v/>
      </c>
      <c r="AB57">
        <f>HYPERLINK("https://klasma.github.io/Logging_2180/klagomålsmail/A 22149-2026 FSC-klagomål mail.docx", "A 22149-2026")</f>
        <v/>
      </c>
      <c r="AC57">
        <f>HYPERLINK("https://klasma.github.io/Logging_2180/tillsyn/A 22149-2026 tillsynsbegäran.docx", "A 22149-2026")</f>
        <v/>
      </c>
      <c r="AD57">
        <f>HYPERLINK("https://klasma.github.io/Logging_2180/tillsynsmail/A 22149-2026 tillsynsbegäran mail.docx", "A 22149-2026")</f>
        <v/>
      </c>
    </row>
    <row r="58" ht="15" customHeight="1">
      <c r="A58" t="inlineStr">
        <is>
          <t>A 17297-2026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46236</v>
      </c>
      <c r="F58" t="inlineStr">
        <is>
          <t>GÄVLEBORGS LÄN</t>
        </is>
      </c>
      <c r="G58" t="inlineStr">
        <is>
          <t>GÄVLE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Slåtterfibbla
Blåsippa</t>
        </is>
      </c>
      <c r="W58">
        <f>HYPERLINK("https://klasma.github.io/Logging_2180/artfynd/A 17297-2026 artfynd.xlsx", "A 17297-2026")</f>
        <v/>
      </c>
      <c r="X58">
        <f>HYPERLINK("https://klasma.github.io/Logging_2180/kartor/A 17297-2026 karta.png", "A 17297-2026")</f>
        <v/>
      </c>
      <c r="Y58">
        <f>HYPERLINK("https://klasma.github.io/Logging_2180/kartor_geotiff/A 17297-2026 georefererad karta.tif", "A 17297-2026")</f>
        <v/>
      </c>
      <c r="AA58">
        <f>HYPERLINK("https://klasma.github.io/Logging_2180/klagomål/A 17297-2026 FSC-klagomål.docx", "A 17297-2026")</f>
        <v/>
      </c>
      <c r="AB58">
        <f>HYPERLINK("https://klasma.github.io/Logging_2180/klagomålsmail/A 17297-2026 FSC-klagomål mail.docx", "A 17297-2026")</f>
        <v/>
      </c>
      <c r="AC58">
        <f>HYPERLINK("https://klasma.github.io/Logging_2180/tillsyn/A 17297-2026 tillsynsbegäran.docx", "A 17297-2026")</f>
        <v/>
      </c>
      <c r="AD58">
        <f>HYPERLINK("https://klasma.github.io/Logging_2180/tillsynsmail/A 17297-2026 tillsynsbegäran mail.docx", "A 17297-2026")</f>
        <v/>
      </c>
    </row>
    <row r="59" ht="15" customHeight="1">
      <c r="A59" t="inlineStr">
        <is>
          <t>A 29634-2026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46236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6.3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Brunag
Strandlummer</t>
        </is>
      </c>
      <c r="W59">
        <f>HYPERLINK("https://klasma.github.io/Logging_2180/artfynd/A 29634-2026 artfynd.xlsx", "A 29634-2026")</f>
        <v/>
      </c>
      <c r="X59">
        <f>HYPERLINK("https://klasma.github.io/Logging_2180/kartor/A 29634-2026 karta.png", "A 29634-2026")</f>
        <v/>
      </c>
      <c r="Y59">
        <f>HYPERLINK("https://klasma.github.io/Logging_2180/kartor_geotiff/A 29634-2026 georefererad karta.tif", "A 29634-2026")</f>
        <v/>
      </c>
      <c r="AA59">
        <f>HYPERLINK("https://klasma.github.io/Logging_2180/klagomål/A 29634-2026 FSC-klagomål.docx", "A 29634-2026")</f>
        <v/>
      </c>
      <c r="AB59">
        <f>HYPERLINK("https://klasma.github.io/Logging_2180/klagomålsmail/A 29634-2026 FSC-klagomål mail.docx", "A 29634-2026")</f>
        <v/>
      </c>
      <c r="AC59">
        <f>HYPERLINK("https://klasma.github.io/Logging_2180/tillsyn/A 29634-2026 tillsynsbegäran.docx", "A 29634-2026")</f>
        <v/>
      </c>
      <c r="AD59">
        <f>HYPERLINK("https://klasma.github.io/Logging_2180/tillsynsmail/A 29634-2026 tillsynsbegäran mail.docx", "A 29634-2026")</f>
        <v/>
      </c>
    </row>
    <row r="60" ht="15" customHeight="1">
      <c r="A60" t="inlineStr">
        <is>
          <t>A 23257-2026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46236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42.1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Havsörn</t>
        </is>
      </c>
      <c r="W60">
        <f>HYPERLINK("https://klasma.github.io/Logging_2180/artfynd/A 23257-2026 artfynd.xlsx", "A 23257-2026")</f>
        <v/>
      </c>
      <c r="X60">
        <f>HYPERLINK("https://klasma.github.io/Logging_2180/kartor/A 23257-2026 karta.png", "A 23257-2026")</f>
        <v/>
      </c>
      <c r="Y60">
        <f>HYPERLINK("https://klasma.github.io/Logging_2180/kartor_geotiff/A 23257-2026 georefererad karta.tif", "A 23257-2026")</f>
        <v/>
      </c>
      <c r="AA60">
        <f>HYPERLINK("https://klasma.github.io/Logging_2180/klagomål/A 23257-2026 FSC-klagomål.docx", "A 23257-2026")</f>
        <v/>
      </c>
      <c r="AB60">
        <f>HYPERLINK("https://klasma.github.io/Logging_2180/klagomålsmail/A 23257-2026 FSC-klagomål mail.docx", "A 23257-2026")</f>
        <v/>
      </c>
      <c r="AC60">
        <f>HYPERLINK("https://klasma.github.io/Logging_2180/tillsyn/A 23257-2026 tillsynsbegäran.docx", "A 23257-2026")</f>
        <v/>
      </c>
      <c r="AD60">
        <f>HYPERLINK("https://klasma.github.io/Logging_2180/tillsynsmail/A 23257-2026 tillsynsbegäran mail.docx", "A 23257-2026")</f>
        <v/>
      </c>
      <c r="AE60">
        <f>HYPERLINK("https://klasma.github.io/Logging_2180/fåglar/A 23257-2026 prioriterade fågelarter.docx", "A 23257-2026")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46236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46236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24310-2026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46236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24310-2026 artfynd.xlsx", "A 24310-2026")</f>
        <v/>
      </c>
      <c r="X63">
        <f>HYPERLINK("https://klasma.github.io/Logging_2180/kartor/A 24310-2026 karta.png", "A 24310-2026")</f>
        <v/>
      </c>
      <c r="Y63">
        <f>HYPERLINK("https://klasma.github.io/Logging_2180/kartor_geotiff/A 24310-2026 georefererad karta.tif", "A 24310-2026")</f>
        <v/>
      </c>
      <c r="AA63">
        <f>HYPERLINK("https://klasma.github.io/Logging_2180/klagomål/A 24310-2026 FSC-klagomål.docx", "A 24310-2026")</f>
        <v/>
      </c>
      <c r="AB63">
        <f>HYPERLINK("https://klasma.github.io/Logging_2180/klagomålsmail/A 24310-2026 FSC-klagomål mail.docx", "A 24310-2026")</f>
        <v/>
      </c>
      <c r="AC63">
        <f>HYPERLINK("https://klasma.github.io/Logging_2180/tillsyn/A 24310-2026 tillsynsbegäran.docx", "A 24310-2026")</f>
        <v/>
      </c>
      <c r="AD63">
        <f>HYPERLINK("https://klasma.github.io/Logging_2180/tillsynsmail/A 24310-2026 tillsynsbegäran mail.docx", "A 24310-2026")</f>
        <v/>
      </c>
    </row>
    <row r="64" ht="15" customHeight="1">
      <c r="A64" t="inlineStr">
        <is>
          <t>A 24915-2026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46236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3.1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5</v>
      </c>
      <c r="U64" t="n">
        <v>0</v>
      </c>
      <c r="V64" s="2" t="inlineStr">
        <is>
          <t>Höstlåsbräken
Månlåsbräken</t>
        </is>
      </c>
      <c r="W64">
        <f>HYPERLINK("https://klasma.github.io/Logging_2180/artfynd/A 24915-2026 artfynd.xlsx", "A 24915-2026")</f>
        <v/>
      </c>
      <c r="X64">
        <f>HYPERLINK("https://klasma.github.io/Logging_2180/kartor/A 24915-2026 karta.png", "A 24915-2026")</f>
        <v/>
      </c>
      <c r="Y64">
        <f>HYPERLINK("https://klasma.github.io/Logging_2180/kartor_geotiff/A 24915-2026 georefererad karta.tif", "A 24915-2026")</f>
        <v/>
      </c>
      <c r="AA64">
        <f>HYPERLINK("https://klasma.github.io/Logging_2180/klagomål/A 24915-2026 FSC-klagomål.docx", "A 24915-2026")</f>
        <v/>
      </c>
      <c r="AB64">
        <f>HYPERLINK("https://klasma.github.io/Logging_2180/klagomålsmail/A 24915-2026 FSC-klagomål mail.docx", "A 24915-2026")</f>
        <v/>
      </c>
      <c r="AC64">
        <f>HYPERLINK("https://klasma.github.io/Logging_2180/tillsyn/A 24915-2026 tillsynsbegäran.docx", "A 24915-2026")</f>
        <v/>
      </c>
      <c r="AD64">
        <f>HYPERLINK("https://klasma.github.io/Logging_2180/tillsynsmail/A 24915-2026 tillsynsbegäran mail.docx", "A 24915-2026")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46236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121</v>
      </c>
      <c r="U65" t="n">
        <v>0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46236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27045-2026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46236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27045-2026 artfynd.xlsx", "A 27045-2026")</f>
        <v/>
      </c>
      <c r="X67">
        <f>HYPERLINK("https://klasma.github.io/Logging_2180/kartor/A 27045-2026 karta.png", "A 27045-2026")</f>
        <v/>
      </c>
      <c r="Y67">
        <f>HYPERLINK("https://klasma.github.io/Logging_2180/kartor_geotiff/A 27045-2026 georefererad karta.tif", "A 27045-2026")</f>
        <v/>
      </c>
      <c r="AA67">
        <f>HYPERLINK("https://klasma.github.io/Logging_2180/klagomål/A 27045-2026 FSC-klagomål.docx", "A 27045-2026")</f>
        <v/>
      </c>
      <c r="AB67">
        <f>HYPERLINK("https://klasma.github.io/Logging_2180/klagomålsmail/A 27045-2026 FSC-klagomål mail.docx", "A 27045-2026")</f>
        <v/>
      </c>
      <c r="AC67">
        <f>HYPERLINK("https://klasma.github.io/Logging_2180/tillsyn/A 27045-2026 tillsynsbegäran.docx", "A 27045-2026")</f>
        <v/>
      </c>
      <c r="AD67">
        <f>HYPERLINK("https://klasma.github.io/Logging_2180/tillsynsmail/A 27045-2026 tillsynsbegäran mail.docx", "A 27045-2026")</f>
        <v/>
      </c>
    </row>
    <row r="68" ht="15" customHeight="1">
      <c r="A68" t="inlineStr">
        <is>
          <t>A 64533-2023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46236</v>
      </c>
      <c r="F68" t="inlineStr">
        <is>
          <t>GÄVLEBORGS LÄN</t>
        </is>
      </c>
      <c r="G68" t="inlineStr">
        <is>
          <t>GÄVLE</t>
        </is>
      </c>
      <c r="I68" t="n">
        <v>1.1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Aspvedgnagare
Jättesvampmal</t>
        </is>
      </c>
      <c r="W68">
        <f>HYPERLINK("https://klasma.github.io/Logging_2180/artfynd/A 64533-2023 artfynd.xlsx", "A 64533-2023")</f>
        <v/>
      </c>
      <c r="X68">
        <f>HYPERLINK("https://klasma.github.io/Logging_2180/kartor/A 64533-2023 karta.png", "A 64533-2023")</f>
        <v/>
      </c>
      <c r="Y68">
        <f>HYPERLINK("https://klasma.github.io/Logging_2180/kartor_geotiff/A 64533-2023 georefererad karta.tif", "A 64533-2023")</f>
        <v/>
      </c>
      <c r="AA68">
        <f>HYPERLINK("https://klasma.github.io/Logging_2180/klagomål/A 64533-2023 FSC-klagomål.docx", "A 64533-2023")</f>
        <v/>
      </c>
      <c r="AB68">
        <f>HYPERLINK("https://klasma.github.io/Logging_2180/klagomålsmail/A 64533-2023 FSC-klagomål mail.docx", "A 64533-2023")</f>
        <v/>
      </c>
      <c r="AC68">
        <f>HYPERLINK("https://klasma.github.io/Logging_2180/tillsyn/A 64533-2023 tillsynsbegäran.docx", "A 64533-2023")</f>
        <v/>
      </c>
      <c r="AD68">
        <f>HYPERLINK("https://klasma.github.io/Logging_2180/tillsynsmail/A 64533-2023 tillsynsbegäran mail.docx", "A 64533-2023")</f>
        <v/>
      </c>
    </row>
    <row r="69" ht="15" customHeight="1">
      <c r="A69" t="inlineStr">
        <is>
          <t>A 13487-2026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46094</v>
      </c>
      <c r="E69" s="1" t="n">
        <v>46236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0.6</v>
      </c>
      <c r="J69" t="n">
        <v>2</v>
      </c>
      <c r="K69" t="n">
        <v>0</v>
      </c>
      <c r="L69" t="n">
        <v>1</v>
      </c>
      <c r="M69" t="n">
        <v>0</v>
      </c>
      <c r="N69" t="n">
        <v>1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Pärluggla
Sparvuggla</t>
        </is>
      </c>
      <c r="W69">
        <f>HYPERLINK("https://klasma.github.io/Logging_2180/artfynd/A 13487-2026 artfynd.xlsx", "A 13487-2026")</f>
        <v/>
      </c>
      <c r="X69">
        <f>HYPERLINK("https://klasma.github.io/Logging_2180/kartor/A 13487-2026 karta.png", "A 13487-2026")</f>
        <v/>
      </c>
      <c r="Y69">
        <f>HYPERLINK("https://klasma.github.io/Logging_2180/kartor_geotiff/A 13487-2026 georefererad karta.tif", "A 13487-2026")</f>
        <v/>
      </c>
      <c r="AA69">
        <f>HYPERLINK("https://klasma.github.io/Logging_2180/klagomål/A 13487-2026 FSC-klagomål.docx", "A 13487-2026")</f>
        <v/>
      </c>
      <c r="AB69">
        <f>HYPERLINK("https://klasma.github.io/Logging_2180/klagomålsmail/A 13487-2026 FSC-klagomål mail.docx", "A 13487-2026")</f>
        <v/>
      </c>
      <c r="AC69">
        <f>HYPERLINK("https://klasma.github.io/Logging_2180/tillsyn/A 13487-2026 tillsynsbegäran.docx", "A 13487-2026")</f>
        <v/>
      </c>
      <c r="AD69">
        <f>HYPERLINK("https://klasma.github.io/Logging_2180/tillsynsmail/A 13487-2026 tillsynsbegäran mail.docx", "A 13487-2026")</f>
        <v/>
      </c>
      <c r="AE69">
        <f>HYPERLINK("https://klasma.github.io/Logging_2180/fåglar/A 13487-2026 prioriterade fågelarter.docx", "A 13487-2026")</f>
        <v/>
      </c>
    </row>
    <row r="70" ht="15" customHeight="1">
      <c r="A70" t="inlineStr">
        <is>
          <t>A 13248-2026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46236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Fläcknycklar</t>
        </is>
      </c>
      <c r="W70">
        <f>HYPERLINK("https://klasma.github.io/Logging_2180/artfynd/A 13248-2026 artfynd.xlsx", "A 13248-2026")</f>
        <v/>
      </c>
      <c r="X70">
        <f>HYPERLINK("https://klasma.github.io/Logging_2180/kartor/A 13248-2026 karta.png", "A 13248-2026")</f>
        <v/>
      </c>
      <c r="Y70">
        <f>HYPERLINK("https://klasma.github.io/Logging_2180/kartor_geotiff/A 13248-2026 georefererad karta.tif", "A 13248-2026")</f>
        <v/>
      </c>
      <c r="AA70">
        <f>HYPERLINK("https://klasma.github.io/Logging_2180/klagomål/A 13248-2026 FSC-klagomål.docx", "A 13248-2026")</f>
        <v/>
      </c>
      <c r="AB70">
        <f>HYPERLINK("https://klasma.github.io/Logging_2180/klagomålsmail/A 13248-2026 FSC-klagomål mail.docx", "A 13248-2026")</f>
        <v/>
      </c>
      <c r="AC70">
        <f>HYPERLINK("https://klasma.github.io/Logging_2180/tillsyn/A 13248-2026 tillsynsbegäran.docx", "A 13248-2026")</f>
        <v/>
      </c>
      <c r="AD70">
        <f>HYPERLINK("https://klasma.github.io/Logging_2180/tillsynsmail/A 13248-2026 tillsynsbegäran mail.docx", "A 13248-2026")</f>
        <v/>
      </c>
    </row>
    <row r="71" ht="15" customHeight="1">
      <c r="A71" t="inlineStr">
        <is>
          <t>A 19718-2026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46236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10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Rödvingetrast
Nattskärra</t>
        </is>
      </c>
      <c r="W71">
        <f>HYPERLINK("https://klasma.github.io/Logging_2180/artfynd/A 19718-2026 artfynd.xlsx", "A 19718-2026")</f>
        <v/>
      </c>
      <c r="X71">
        <f>HYPERLINK("https://klasma.github.io/Logging_2180/kartor/A 19718-2026 karta.png", "A 19718-2026")</f>
        <v/>
      </c>
      <c r="Y71">
        <f>HYPERLINK("https://klasma.github.io/Logging_2180/kartor_geotiff/A 19718-2026 georefererad karta.tif", "A 19718-2026")</f>
        <v/>
      </c>
      <c r="AA71">
        <f>HYPERLINK("https://klasma.github.io/Logging_2180/klagomål/A 19718-2026 FSC-klagomål.docx", "A 19718-2026")</f>
        <v/>
      </c>
      <c r="AB71">
        <f>HYPERLINK("https://klasma.github.io/Logging_2180/klagomålsmail/A 19718-2026 FSC-klagomål mail.docx", "A 19718-2026")</f>
        <v/>
      </c>
      <c r="AC71">
        <f>HYPERLINK("https://klasma.github.io/Logging_2180/tillsyn/A 19718-2026 tillsynsbegäran.docx", "A 19718-2026")</f>
        <v/>
      </c>
      <c r="AD71">
        <f>HYPERLINK("https://klasma.github.io/Logging_2180/tillsynsmail/A 19718-2026 tillsynsbegäran mail.docx", "A 19718-2026")</f>
        <v/>
      </c>
      <c r="AE71">
        <f>HYPERLINK("https://klasma.github.io/Logging_2180/fåglar/A 19718-2026 prioriterade fågelarter.docx", "A 19718-2026")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46236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46236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46236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46236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37927-2022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46236</v>
      </c>
      <c r="F77" t="inlineStr">
        <is>
          <t>GÄVLEBORGS LÄN</t>
        </is>
      </c>
      <c r="G77" t="inlineStr">
        <is>
          <t>GÄVLE</t>
        </is>
      </c>
      <c r="I77" t="n">
        <v>1.6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10</v>
      </c>
      <c r="U77" t="n">
        <v>10</v>
      </c>
      <c r="V77" s="2" t="inlineStr">
        <is>
          <t>Knärot</t>
        </is>
      </c>
      <c r="W77">
        <f>HYPERLINK("https://klasma.github.io/Logging_2180/artfynd/A 37927-2022 artfynd.xlsx", "A 37927-2022")</f>
        <v/>
      </c>
      <c r="X77">
        <f>HYPERLINK("https://klasma.github.io/Logging_2180/kartor/A 37927-2022 karta.png", "A 37927-2022")</f>
        <v/>
      </c>
      <c r="Y77">
        <f>HYPERLINK("https://klasma.github.io/Logging_2180/kartor_geotiff/A 37927-2022 georefererad karta.tif", "A 37927-2022")</f>
        <v/>
      </c>
      <c r="Z77">
        <f>HYPERLINK("https://klasma.github.io/Logging_2180/knärot/A 37927-2022 karta knärot.png", "A 37927-2022")</f>
        <v/>
      </c>
      <c r="AA77">
        <f>HYPERLINK("https://klasma.github.io/Logging_2180/klagomål/A 37927-2022 FSC-klagomål.docx", "A 37927-2022")</f>
        <v/>
      </c>
      <c r="AB77">
        <f>HYPERLINK("https://klasma.github.io/Logging_2180/klagomålsmail/A 37927-2022 FSC-klagomål mail.docx", "A 37927-2022")</f>
        <v/>
      </c>
      <c r="AC77">
        <f>HYPERLINK("https://klasma.github.io/Logging_2180/tillsyn/A 37927-2022 tillsynsbegäran.docx", "A 37927-2022")</f>
        <v/>
      </c>
      <c r="AD77">
        <f>HYPERLINK("https://klasma.github.io/Logging_2180/tillsynsmail/A 37927-2022 tillsynsbegäran mail.docx", "A 37927-2022")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46236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Slåtterfibbla</t>
        </is>
      </c>
      <c r="W78">
        <f>HYPERLINK("https://klasma.github.io/Logging_2180/artfynd/A 32254-2023 artfynd.xlsx", "A 32254-2023")</f>
        <v/>
      </c>
      <c r="X78">
        <f>HYPERLINK("https://klasma.github.io/Logging_2180/kartor/A 32254-2023 karta.png", "A 32254-2023")</f>
        <v/>
      </c>
      <c r="Y78">
        <f>HYPERLINK("https://klasma.github.io/Logging_2180/kartor_geotiff/A 32254-2023 georefererad karta.tif", "A 32254-2023")</f>
        <v/>
      </c>
      <c r="AA78">
        <f>HYPERLINK("https://klasma.github.io/Logging_2180/klagomål/A 32254-2023 FSC-klagomål.docx", "A 32254-2023")</f>
        <v/>
      </c>
      <c r="AB78">
        <f>HYPERLINK("https://klasma.github.io/Logging_2180/klagomålsmail/A 32254-2023 FSC-klagomål mail.docx", "A 32254-2023")</f>
        <v/>
      </c>
      <c r="AC78">
        <f>HYPERLINK("https://klasma.github.io/Logging_2180/tillsyn/A 32254-2023 tillsynsbegäran.docx", "A 32254-2023")</f>
        <v/>
      </c>
      <c r="AD78">
        <f>HYPERLINK("https://klasma.github.io/Logging_2180/tillsynsmail/A 32254-2023 tillsynsbegäran mail.docx", "A 32254-2023")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46236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46236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26157-2022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44735</v>
      </c>
      <c r="E81" s="1" t="n">
        <v>46236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Mattlummer</t>
        </is>
      </c>
      <c r="W81">
        <f>HYPERLINK("https://klasma.github.io/Logging_2180/artfynd/A 26157-2022 artfynd.xlsx", "A 26157-2022")</f>
        <v/>
      </c>
      <c r="X81">
        <f>HYPERLINK("https://klasma.github.io/Logging_2180/kartor/A 26157-2022 karta.png", "A 26157-2022")</f>
        <v/>
      </c>
      <c r="Y81">
        <f>HYPERLINK("https://klasma.github.io/Logging_2180/kartor_geotiff/A 26157-2022 georefererad karta.tif", "A 26157-2022")</f>
        <v/>
      </c>
      <c r="AA81">
        <f>HYPERLINK("https://klasma.github.io/Logging_2180/klagomål/A 26157-2022 FSC-klagomål.docx", "A 26157-2022")</f>
        <v/>
      </c>
      <c r="AB81">
        <f>HYPERLINK("https://klasma.github.io/Logging_2180/klagomålsmail/A 26157-2022 FSC-klagomål mail.docx", "A 26157-2022")</f>
        <v/>
      </c>
      <c r="AC81">
        <f>HYPERLINK("https://klasma.github.io/Logging_2180/tillsyn/A 26157-2022 tillsynsbegäran.docx", "A 26157-2022")</f>
        <v/>
      </c>
      <c r="AD81">
        <f>HYPERLINK("https://klasma.github.io/Logging_2180/tillsynsmail/A 26157-2022 tillsynsbegäran mail.docx", "A 26157-2022")</f>
        <v/>
      </c>
    </row>
    <row r="82" ht="15" customHeight="1">
      <c r="A82" t="inlineStr">
        <is>
          <t>A 51508-2024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46236</v>
      </c>
      <c r="F82" t="inlineStr">
        <is>
          <t>GÄVLEBORGS LÄN</t>
        </is>
      </c>
      <c r="G82" t="inlineStr">
        <is>
          <t>GÄVLE</t>
        </is>
      </c>
      <c r="I82" t="n">
        <v>0.9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Tibast</t>
        </is>
      </c>
      <c r="W82">
        <f>HYPERLINK("https://klasma.github.io/Logging_2180/artfynd/A 51508-2024 artfynd.xlsx", "A 51508-2024")</f>
        <v/>
      </c>
      <c r="X82">
        <f>HYPERLINK("https://klasma.github.io/Logging_2180/kartor/A 51508-2024 karta.png", "A 51508-2024")</f>
        <v/>
      </c>
      <c r="Y82">
        <f>HYPERLINK("https://klasma.github.io/Logging_2180/kartor_geotiff/A 51508-2024 georefererad karta.tif", "A 51508-2024")</f>
        <v/>
      </c>
      <c r="AA82">
        <f>HYPERLINK("https://klasma.github.io/Logging_2180/klagomål/A 51508-2024 FSC-klagomål.docx", "A 51508-2024")</f>
        <v/>
      </c>
      <c r="AB82">
        <f>HYPERLINK("https://klasma.github.io/Logging_2180/klagomålsmail/A 51508-2024 FSC-klagomål mail.docx", "A 51508-2024")</f>
        <v/>
      </c>
      <c r="AC82">
        <f>HYPERLINK("https://klasma.github.io/Logging_2180/tillsyn/A 51508-2024 tillsynsbegäran.docx", "A 51508-2024")</f>
        <v/>
      </c>
      <c r="AD82">
        <f>HYPERLINK("https://klasma.github.io/Logging_2180/tillsynsmail/A 51508-2024 tillsynsbegäran mail.docx", "A 51508-2024")</f>
        <v/>
      </c>
    </row>
    <row r="83" ht="15" customHeight="1">
      <c r="A83" t="inlineStr">
        <is>
          <t>A 14730-2026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46101</v>
      </c>
      <c r="E83" s="1" t="n">
        <v>46236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8.199999999999999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HYPERLINK("https://klasma.github.io/Logging_2180/artfynd/A 14730-2026 artfynd.xlsx", "A 14730-2026")</f>
        <v/>
      </c>
      <c r="X83">
        <f>HYPERLINK("https://klasma.github.io/Logging_2180/kartor/A 14730-2026 karta.png", "A 14730-2026")</f>
        <v/>
      </c>
      <c r="Y83">
        <f>HYPERLINK("https://klasma.github.io/Logging_2180/kartor_geotiff/A 14730-2026 georefererad karta.tif", "A 14730-2026")</f>
        <v/>
      </c>
      <c r="AA83">
        <f>HYPERLINK("https://klasma.github.io/Logging_2180/klagomål/A 14730-2026 FSC-klagomål.docx", "A 14730-2026")</f>
        <v/>
      </c>
      <c r="AB83">
        <f>HYPERLINK("https://klasma.github.io/Logging_2180/klagomålsmail/A 14730-2026 FSC-klagomål mail.docx", "A 14730-2026")</f>
        <v/>
      </c>
      <c r="AC83">
        <f>HYPERLINK("https://klasma.github.io/Logging_2180/tillsyn/A 14730-2026 tillsynsbegäran.docx", "A 14730-2026")</f>
        <v/>
      </c>
      <c r="AD83">
        <f>HYPERLINK("https://klasma.github.io/Logging_2180/tillsynsmail/A 14730-2026 tillsynsbegäran mail.docx", "A 14730-2026")</f>
        <v/>
      </c>
      <c r="AE83">
        <f>HYPERLINK("https://klasma.github.io/Logging_2180/fåglar/A 14730-2026 prioriterade fågelarter.docx", "A 14730-2026")</f>
        <v/>
      </c>
    </row>
    <row r="84" ht="15" customHeight="1">
      <c r="A84" t="inlineStr">
        <is>
          <t>A 14711-2026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46101</v>
      </c>
      <c r="E84" s="1" t="n">
        <v>46236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1.2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spiklav</t>
        </is>
      </c>
      <c r="W84">
        <f>HYPERLINK("https://klasma.github.io/Logging_2180/artfynd/A 14711-2026 artfynd.xlsx", "A 14711-2026")</f>
        <v/>
      </c>
      <c r="X84">
        <f>HYPERLINK("https://klasma.github.io/Logging_2180/kartor/A 14711-2026 karta.png", "A 14711-2026")</f>
        <v/>
      </c>
      <c r="Y84">
        <f>HYPERLINK("https://klasma.github.io/Logging_2180/kartor_geotiff/A 14711-2026 georefererad karta.tif", "A 14711-2026")</f>
        <v/>
      </c>
      <c r="AA84">
        <f>HYPERLINK("https://klasma.github.io/Logging_2180/klagomål/A 14711-2026 FSC-klagomål.docx", "A 14711-2026")</f>
        <v/>
      </c>
      <c r="AB84">
        <f>HYPERLINK("https://klasma.github.io/Logging_2180/klagomålsmail/A 14711-2026 FSC-klagomål mail.docx", "A 14711-2026")</f>
        <v/>
      </c>
      <c r="AC84">
        <f>HYPERLINK("https://klasma.github.io/Logging_2180/tillsyn/A 14711-2026 tillsynsbegäran.docx", "A 14711-2026")</f>
        <v/>
      </c>
      <c r="AD84">
        <f>HYPERLINK("https://klasma.github.io/Logging_2180/tillsynsmail/A 14711-2026 tillsynsbegäran mail.docx", "A 14711-2026")</f>
        <v/>
      </c>
    </row>
    <row r="85" ht="15" customHeight="1">
      <c r="A85" t="inlineStr">
        <is>
          <t>A 14714-2026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46101</v>
      </c>
      <c r="E85" s="1" t="n">
        <v>46236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1.8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Tjäder</t>
        </is>
      </c>
      <c r="W85">
        <f>HYPERLINK("https://klasma.github.io/Logging_2180/artfynd/A 14714-2026 artfynd.xlsx", "A 14714-2026")</f>
        <v/>
      </c>
      <c r="X85">
        <f>HYPERLINK("https://klasma.github.io/Logging_2180/kartor/A 14714-2026 karta.png", "A 14714-2026")</f>
        <v/>
      </c>
      <c r="Y85">
        <f>HYPERLINK("https://klasma.github.io/Logging_2180/kartor_geotiff/A 14714-2026 georefererad karta.tif", "A 14714-2026")</f>
        <v/>
      </c>
      <c r="AA85">
        <f>HYPERLINK("https://klasma.github.io/Logging_2180/klagomål/A 14714-2026 FSC-klagomål.docx", "A 14714-2026")</f>
        <v/>
      </c>
      <c r="AB85">
        <f>HYPERLINK("https://klasma.github.io/Logging_2180/klagomålsmail/A 14714-2026 FSC-klagomål mail.docx", "A 14714-2026")</f>
        <v/>
      </c>
      <c r="AC85">
        <f>HYPERLINK("https://klasma.github.io/Logging_2180/tillsyn/A 14714-2026 tillsynsbegäran.docx", "A 14714-2026")</f>
        <v/>
      </c>
      <c r="AD85">
        <f>HYPERLINK("https://klasma.github.io/Logging_2180/tillsynsmail/A 14714-2026 tillsynsbegäran mail.docx", "A 14714-2026")</f>
        <v/>
      </c>
      <c r="AE85">
        <f>HYPERLINK("https://klasma.github.io/Logging_2180/fåglar/A 14714-2026 prioriterade fågelarter.docx", "A 14714-2026")</f>
        <v/>
      </c>
    </row>
    <row r="86" ht="15" customHeight="1">
      <c r="A86" t="inlineStr">
        <is>
          <t>A 10064-2025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46236</v>
      </c>
      <c r="F86" t="inlineStr">
        <is>
          <t>GÄVLEBORGS LÄN</t>
        </is>
      </c>
      <c r="G86" t="inlineStr">
        <is>
          <t>GÄVLE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Älg</t>
        </is>
      </c>
      <c r="W86">
        <f>HYPERLINK("https://klasma.github.io/Logging_2180/artfynd/A 10064-2025 artfynd.xlsx", "A 10064-2025")</f>
        <v/>
      </c>
      <c r="X86">
        <f>HYPERLINK("https://klasma.github.io/Logging_2180/kartor/A 10064-2025 karta.png", "A 10064-2025")</f>
        <v/>
      </c>
      <c r="Y86">
        <f>HYPERLINK("https://klasma.github.io/Logging_2180/kartor_geotiff/A 10064-2025 georefererad karta.tif", "A 10064-2025")</f>
        <v/>
      </c>
      <c r="AA86">
        <f>HYPERLINK("https://klasma.github.io/Logging_2180/klagomål/A 10064-2025 FSC-klagomål.docx", "A 10064-2025")</f>
        <v/>
      </c>
      <c r="AB86">
        <f>HYPERLINK("https://klasma.github.io/Logging_2180/klagomålsmail/A 10064-2025 FSC-klagomål mail.docx", "A 10064-2025")</f>
        <v/>
      </c>
      <c r="AC86">
        <f>HYPERLINK("https://klasma.github.io/Logging_2180/tillsyn/A 10064-2025 tillsynsbegäran.docx", "A 10064-2025")</f>
        <v/>
      </c>
      <c r="AD86">
        <f>HYPERLINK("https://klasma.github.io/Logging_2180/tillsynsmail/A 10064-2025 tillsynsbegäran mail.docx", "A 10064-2025")</f>
        <v/>
      </c>
    </row>
    <row r="87" ht="15" customHeight="1">
      <c r="A87" t="inlineStr">
        <is>
          <t>A 20734-2026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46236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20734-2026 artfynd.xlsx", "A 20734-2026")</f>
        <v/>
      </c>
      <c r="X87">
        <f>HYPERLINK("https://klasma.github.io/Logging_2180/kartor/A 20734-2026 karta.png", "A 20734-2026")</f>
        <v/>
      </c>
      <c r="Y87">
        <f>HYPERLINK("https://klasma.github.io/Logging_2180/kartor_geotiff/A 20734-2026 georefererad karta.tif", "A 20734-2026")</f>
        <v/>
      </c>
      <c r="AA87">
        <f>HYPERLINK("https://klasma.github.io/Logging_2180/klagomål/A 20734-2026 FSC-klagomål.docx", "A 20734-2026")</f>
        <v/>
      </c>
      <c r="AB87">
        <f>HYPERLINK("https://klasma.github.io/Logging_2180/klagomålsmail/A 20734-2026 FSC-klagomål mail.docx", "A 20734-2026")</f>
        <v/>
      </c>
      <c r="AC87">
        <f>HYPERLINK("https://klasma.github.io/Logging_2180/tillsyn/A 20734-2026 tillsynsbegäran.docx", "A 20734-2026")</f>
        <v/>
      </c>
      <c r="AD87">
        <f>HYPERLINK("https://klasma.github.io/Logging_2180/tillsynsmail/A 20734-2026 tillsynsbegäran mail.docx", "A 20734-2026")</f>
        <v/>
      </c>
    </row>
    <row r="88" ht="15" customHeight="1">
      <c r="A88" t="inlineStr">
        <is>
          <t>A 15001-2023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45015</v>
      </c>
      <c r="E88" s="1" t="n">
        <v>46236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2.7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Ängsblåvinge</t>
        </is>
      </c>
      <c r="W88">
        <f>HYPERLINK("https://klasma.github.io/Logging_2180/artfynd/A 15001-2023 artfynd.xlsx", "A 15001-2023")</f>
        <v/>
      </c>
      <c r="X88">
        <f>HYPERLINK("https://klasma.github.io/Logging_2180/kartor/A 15001-2023 karta.png", "A 15001-2023")</f>
        <v/>
      </c>
      <c r="Y88">
        <f>HYPERLINK("https://klasma.github.io/Logging_2180/kartor_geotiff/A 15001-2023 georefererad karta.tif", "A 15001-2023")</f>
        <v/>
      </c>
      <c r="AA88">
        <f>HYPERLINK("https://klasma.github.io/Logging_2180/klagomål/A 15001-2023 FSC-klagomål.docx", "A 15001-2023")</f>
        <v/>
      </c>
      <c r="AB88">
        <f>HYPERLINK("https://klasma.github.io/Logging_2180/klagomålsmail/A 15001-2023 FSC-klagomål mail.docx", "A 15001-2023")</f>
        <v/>
      </c>
      <c r="AC88">
        <f>HYPERLINK("https://klasma.github.io/Logging_2180/tillsyn/A 15001-2023 tillsynsbegäran.docx", "A 15001-2023")</f>
        <v/>
      </c>
      <c r="AD88">
        <f>HYPERLINK("https://klasma.github.io/Logging_2180/tillsynsmail/A 15001-2023 tillsynsbegäran mail.docx", "A 15001-2023")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46236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46236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49393-2025 artfynd.xlsx", "A 49393-2025")</f>
        <v/>
      </c>
      <c r="X90">
        <f>HYPERLINK("https://klasma.github.io/Logging_2180/kartor/A 49393-2025 karta.png", "A 49393-2025")</f>
        <v/>
      </c>
      <c r="Y90">
        <f>HYPERLINK("https://klasma.github.io/Logging_2180/kartor_geotiff/A 49393-2025 georefererad karta.tif", "A 49393-2025")</f>
        <v/>
      </c>
      <c r="AA90">
        <f>HYPERLINK("https://klasma.github.io/Logging_2180/klagomål/A 49393-2025 FSC-klagomål.docx", "A 49393-2025")</f>
        <v/>
      </c>
      <c r="AB90">
        <f>HYPERLINK("https://klasma.github.io/Logging_2180/klagomålsmail/A 49393-2025 FSC-klagomål mail.docx", "A 49393-2025")</f>
        <v/>
      </c>
      <c r="AC90">
        <f>HYPERLINK("https://klasma.github.io/Logging_2180/tillsyn/A 49393-2025 tillsynsbegäran.docx", "A 49393-2025")</f>
        <v/>
      </c>
      <c r="AD90">
        <f>HYPERLINK("https://klasma.github.io/Logging_2180/tillsynsmail/A 49393-2025 tillsynsbegäran mail.docx", "A 49393-2025")</f>
        <v/>
      </c>
    </row>
    <row r="91" ht="15" customHeight="1">
      <c r="A91" t="inlineStr">
        <is>
          <t>A 13269-2026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46236</v>
      </c>
      <c r="F91" t="inlineStr">
        <is>
          <t>GÄVLEBORGS LÄN</t>
        </is>
      </c>
      <c r="G91" t="inlineStr">
        <is>
          <t>GÄVLE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HYPERLINK("https://klasma.github.io/Logging_2180/artfynd/A 13269-2026 artfynd.xlsx", "A 13269-2026")</f>
        <v/>
      </c>
      <c r="X91">
        <f>HYPERLINK("https://klasma.github.io/Logging_2180/kartor/A 13269-2026 karta.png", "A 13269-2026")</f>
        <v/>
      </c>
      <c r="Y91">
        <f>HYPERLINK("https://klasma.github.io/Logging_2180/kartor_geotiff/A 13269-2026 georefererad karta.tif", "A 13269-2026")</f>
        <v/>
      </c>
      <c r="AA91">
        <f>HYPERLINK("https://klasma.github.io/Logging_2180/klagomål/A 13269-2026 FSC-klagomål.docx", "A 13269-2026")</f>
        <v/>
      </c>
      <c r="AB91">
        <f>HYPERLINK("https://klasma.github.io/Logging_2180/klagomålsmail/A 13269-2026 FSC-klagomål mail.docx", "A 13269-2026")</f>
        <v/>
      </c>
      <c r="AC91">
        <f>HYPERLINK("https://klasma.github.io/Logging_2180/tillsyn/A 13269-2026 tillsynsbegäran.docx", "A 13269-2026")</f>
        <v/>
      </c>
      <c r="AD91">
        <f>HYPERLINK("https://klasma.github.io/Logging_2180/tillsynsmail/A 13269-2026 tillsynsbegäran mail.docx", "A 13269-2026")</f>
        <v/>
      </c>
      <c r="AE91">
        <f>HYPERLINK("https://klasma.github.io/Logging_2180/fåglar/A 13269-2026 prioriterade fågelarter.docx", "A 13269-2026")</f>
        <v/>
      </c>
    </row>
    <row r="92" ht="15" customHeight="1">
      <c r="A92" t="inlineStr">
        <is>
          <t>A 14703-2026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46236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HYPERLINK("https://klasma.github.io/Logging_2180/artfynd/A 14703-2026 artfynd.xlsx", "A 14703-2026")</f>
        <v/>
      </c>
      <c r="X92">
        <f>HYPERLINK("https://klasma.github.io/Logging_2180/kartor/A 14703-2026 karta.png", "A 14703-2026")</f>
        <v/>
      </c>
      <c r="Y92">
        <f>HYPERLINK("https://klasma.github.io/Logging_2180/kartor_geotiff/A 14703-2026 georefererad karta.tif", "A 14703-2026")</f>
        <v/>
      </c>
      <c r="AA92">
        <f>HYPERLINK("https://klasma.github.io/Logging_2180/klagomål/A 14703-2026 FSC-klagomål.docx", "A 14703-2026")</f>
        <v/>
      </c>
      <c r="AB92">
        <f>HYPERLINK("https://klasma.github.io/Logging_2180/klagomålsmail/A 14703-2026 FSC-klagomål mail.docx", "A 14703-2026")</f>
        <v/>
      </c>
      <c r="AC92">
        <f>HYPERLINK("https://klasma.github.io/Logging_2180/tillsyn/A 14703-2026 tillsynsbegäran.docx", "A 14703-2026")</f>
        <v/>
      </c>
      <c r="AD92">
        <f>HYPERLINK("https://klasma.github.io/Logging_2180/tillsynsmail/A 14703-2026 tillsynsbegäran mail.docx", "A 14703-2026")</f>
        <v/>
      </c>
      <c r="AE92">
        <f>HYPERLINK("https://klasma.github.io/Logging_2180/fåglar/A 14703-2026 prioriterade fågelarter.docx", "A 14703-2026")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46236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22052-2026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46236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Gullpudra</t>
        </is>
      </c>
      <c r="W94">
        <f>HYPERLINK("https://klasma.github.io/Logging_2180/artfynd/A 22052-2026 artfynd.xlsx", "A 22052-2026")</f>
        <v/>
      </c>
      <c r="X94">
        <f>HYPERLINK("https://klasma.github.io/Logging_2180/kartor/A 22052-2026 karta.png", "A 22052-2026")</f>
        <v/>
      </c>
      <c r="Y94">
        <f>HYPERLINK("https://klasma.github.io/Logging_2180/kartor_geotiff/A 22052-2026 georefererad karta.tif", "A 22052-2026")</f>
        <v/>
      </c>
      <c r="AA94">
        <f>HYPERLINK("https://klasma.github.io/Logging_2180/klagomål/A 22052-2026 FSC-klagomål.docx", "A 22052-2026")</f>
        <v/>
      </c>
      <c r="AB94">
        <f>HYPERLINK("https://klasma.github.io/Logging_2180/klagomålsmail/A 22052-2026 FSC-klagomål mail.docx", "A 22052-2026")</f>
        <v/>
      </c>
      <c r="AC94">
        <f>HYPERLINK("https://klasma.github.io/Logging_2180/tillsyn/A 22052-2026 tillsynsbegäran.docx", "A 22052-2026")</f>
        <v/>
      </c>
      <c r="AD94">
        <f>HYPERLINK("https://klasma.github.io/Logging_2180/tillsynsmail/A 22052-2026 tillsynsbegäran mail.docx", "A 22052-2026")</f>
        <v/>
      </c>
    </row>
    <row r="95" ht="15" customHeight="1">
      <c r="A95" t="inlineStr">
        <is>
          <t>A 61056-2024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46236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5.3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Myggblomster</t>
        </is>
      </c>
      <c r="W95">
        <f>HYPERLINK("https://klasma.github.io/Logging_2180/artfynd/A 61056-2024 artfynd.xlsx", "A 61056-2024")</f>
        <v/>
      </c>
      <c r="X95">
        <f>HYPERLINK("https://klasma.github.io/Logging_2180/kartor/A 61056-2024 karta.png", "A 61056-2024")</f>
        <v/>
      </c>
      <c r="Y95">
        <f>HYPERLINK("https://klasma.github.io/Logging_2180/kartor_geotiff/A 61056-2024 georefererad karta.tif", "A 61056-2024")</f>
        <v/>
      </c>
      <c r="AA95">
        <f>HYPERLINK("https://klasma.github.io/Logging_2180/klagomål/A 61056-2024 FSC-klagomål.docx", "A 61056-2024")</f>
        <v/>
      </c>
      <c r="AB95">
        <f>HYPERLINK("https://klasma.github.io/Logging_2180/klagomålsmail/A 61056-2024 FSC-klagomål mail.docx", "A 61056-2024")</f>
        <v/>
      </c>
      <c r="AC95">
        <f>HYPERLINK("https://klasma.github.io/Logging_2180/tillsyn/A 61056-2024 tillsynsbegäran.docx", "A 61056-2024")</f>
        <v/>
      </c>
      <c r="AD95">
        <f>HYPERLINK("https://klasma.github.io/Logging_2180/tillsynsmail/A 61056-2024 tillsynsbegäran mail.docx", "A 61056-2024")</f>
        <v/>
      </c>
    </row>
    <row r="96" ht="15" customHeight="1">
      <c r="A96" t="inlineStr">
        <is>
          <t>A 12083-2025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46236</v>
      </c>
      <c r="F96" t="inlineStr">
        <is>
          <t>GÄVLEBORGS LÄN</t>
        </is>
      </c>
      <c r="G96" t="inlineStr">
        <is>
          <t>GÄVLE</t>
        </is>
      </c>
      <c r="I96" t="n">
        <v>6.3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Grönsiska</t>
        </is>
      </c>
      <c r="W96">
        <f>HYPERLINK("https://klasma.github.io/Logging_2180/artfynd/A 12083-2025 artfynd.xlsx", "A 12083-2025")</f>
        <v/>
      </c>
      <c r="X96">
        <f>HYPERLINK("https://klasma.github.io/Logging_2180/kartor/A 12083-2025 karta.png", "A 12083-2025")</f>
        <v/>
      </c>
      <c r="Y96">
        <f>HYPERLINK("https://klasma.github.io/Logging_2180/kartor_geotiff/A 12083-2025 georefererad karta.tif", "A 12083-2025")</f>
        <v/>
      </c>
      <c r="AA96">
        <f>HYPERLINK("https://klasma.github.io/Logging_2180/klagomål/A 12083-2025 FSC-klagomål.docx", "A 12083-2025")</f>
        <v/>
      </c>
      <c r="AB96">
        <f>HYPERLINK("https://klasma.github.io/Logging_2180/klagomålsmail/A 12083-2025 FSC-klagomål mail.docx", "A 12083-2025")</f>
        <v/>
      </c>
      <c r="AC96">
        <f>HYPERLINK("https://klasma.github.io/Logging_2180/tillsyn/A 12083-2025 tillsynsbegäran.docx", "A 12083-2025")</f>
        <v/>
      </c>
      <c r="AD96">
        <f>HYPERLINK("https://klasma.github.io/Logging_2180/tillsynsmail/A 12083-2025 tillsynsbegäran mail.docx", "A 12083-2025")</f>
        <v/>
      </c>
    </row>
    <row r="97" ht="15" customHeight="1">
      <c r="A97" t="inlineStr">
        <is>
          <t>A 28546-2026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46236</v>
      </c>
      <c r="F97" t="inlineStr">
        <is>
          <t>GÄVLEBORGS LÄN</t>
        </is>
      </c>
      <c r="G97" t="inlineStr">
        <is>
          <t>GÄVLE</t>
        </is>
      </c>
      <c r="H97" t="inlineStr">
        <is>
          <t>BillerudKorsnäs AB</t>
        </is>
      </c>
      <c r="I97" t="n">
        <v>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Fiskgjuse</t>
        </is>
      </c>
      <c r="W97">
        <f>HYPERLINK("https://klasma.github.io/Logging_2180/artfynd/A 28546-2026 artfynd.xlsx", "A 28546-2026")</f>
        <v/>
      </c>
      <c r="X97">
        <f>HYPERLINK("https://klasma.github.io/Logging_2180/kartor/A 28546-2026 karta.png", "A 28546-2026")</f>
        <v/>
      </c>
      <c r="Y97">
        <f>HYPERLINK("https://klasma.github.io/Logging_2180/kartor_geotiff/A 28546-2026 georefererad karta.tif", "A 28546-2026")</f>
        <v/>
      </c>
      <c r="AA97">
        <f>HYPERLINK("https://klasma.github.io/Logging_2180/klagomål/A 28546-2026 FSC-klagomål.docx", "A 28546-2026")</f>
        <v/>
      </c>
      <c r="AB97">
        <f>HYPERLINK("https://klasma.github.io/Logging_2180/klagomålsmail/A 28546-2026 FSC-klagomål mail.docx", "A 28546-2026")</f>
        <v/>
      </c>
      <c r="AC97">
        <f>HYPERLINK("https://klasma.github.io/Logging_2180/tillsyn/A 28546-2026 tillsynsbegäran.docx", "A 28546-2026")</f>
        <v/>
      </c>
      <c r="AD97">
        <f>HYPERLINK("https://klasma.github.io/Logging_2180/tillsynsmail/A 28546-2026 tillsynsbegäran mail.docx", "A 28546-2026")</f>
        <v/>
      </c>
      <c r="AE97">
        <f>HYPERLINK("https://klasma.github.io/Logging_2180/fåglar/A 28546-2026 prioriterade fågelarter.docx", "A 28546-2026")</f>
        <v/>
      </c>
    </row>
    <row r="98" ht="15" customHeight="1">
      <c r="A98" t="inlineStr">
        <is>
          <t>A 11407-2025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46236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Myskmadra</t>
        </is>
      </c>
      <c r="W98">
        <f>HYPERLINK("https://klasma.github.io/Logging_2180/artfynd/A 11407-2025 artfynd.xlsx", "A 11407-2025")</f>
        <v/>
      </c>
      <c r="X98">
        <f>HYPERLINK("https://klasma.github.io/Logging_2180/kartor/A 11407-2025 karta.png", "A 11407-2025")</f>
        <v/>
      </c>
      <c r="Y98">
        <f>HYPERLINK("https://klasma.github.io/Logging_2180/kartor_geotiff/A 11407-2025 georefererad karta.tif", "A 11407-2025")</f>
        <v/>
      </c>
      <c r="AA98">
        <f>HYPERLINK("https://klasma.github.io/Logging_2180/klagomål/A 11407-2025 FSC-klagomål.docx", "A 11407-2025")</f>
        <v/>
      </c>
      <c r="AB98">
        <f>HYPERLINK("https://klasma.github.io/Logging_2180/klagomålsmail/A 11407-2025 FSC-klagomål mail.docx", "A 11407-2025")</f>
        <v/>
      </c>
      <c r="AC98">
        <f>HYPERLINK("https://klasma.github.io/Logging_2180/tillsyn/A 11407-2025 tillsynsbegäran.docx", "A 11407-2025")</f>
        <v/>
      </c>
      <c r="AD98">
        <f>HYPERLINK("https://klasma.github.io/Logging_2180/tillsynsmail/A 11407-2025 tillsynsbegäran mail.docx", "A 11407-2025")</f>
        <v/>
      </c>
    </row>
    <row r="99" ht="15" customHeight="1">
      <c r="A99" t="inlineStr">
        <is>
          <t>A 54252-2025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46236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HYPERLINK("https://klasma.github.io/Logging_2180/artfynd/A 54252-2025 artfynd.xlsx", "A 54252-2025")</f>
        <v/>
      </c>
      <c r="X99">
        <f>HYPERLINK("https://klasma.github.io/Logging_2180/kartor/A 54252-2025 karta.png", "A 54252-2025")</f>
        <v/>
      </c>
      <c r="Y99">
        <f>HYPERLINK("https://klasma.github.io/Logging_2180/kartor_geotiff/A 54252-2025 georefererad karta.tif", "A 54252-2025")</f>
        <v/>
      </c>
      <c r="AA99">
        <f>HYPERLINK("https://klasma.github.io/Logging_2180/klagomål/A 54252-2025 FSC-klagomål.docx", "A 54252-2025")</f>
        <v/>
      </c>
      <c r="AB99">
        <f>HYPERLINK("https://klasma.github.io/Logging_2180/klagomålsmail/A 54252-2025 FSC-klagomål mail.docx", "A 54252-2025")</f>
        <v/>
      </c>
      <c r="AC99">
        <f>HYPERLINK("https://klasma.github.io/Logging_2180/tillsyn/A 54252-2025 tillsynsbegäran.docx", "A 54252-2025")</f>
        <v/>
      </c>
      <c r="AD99">
        <f>HYPERLINK("https://klasma.github.io/Logging_2180/tillsynsmail/A 54252-2025 tillsynsbegäran mail.docx", "A 54252-2025")</f>
        <v/>
      </c>
    </row>
    <row r="100" ht="15" customHeight="1">
      <c r="A100" t="inlineStr">
        <is>
          <t>A 45241-2022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46236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22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HYPERLINK("https://klasma.github.io/Logging_2180/artfynd/A 45241-2022 artfynd.xlsx", "A 45241-2022")</f>
        <v/>
      </c>
      <c r="X100">
        <f>HYPERLINK("https://klasma.github.io/Logging_2180/kartor/A 45241-2022 karta.png", "A 45241-2022")</f>
        <v/>
      </c>
      <c r="Y100">
        <f>HYPERLINK("https://klasma.github.io/Logging_2180/kartor_geotiff/A 45241-2022 georefererad karta.tif", "A 45241-2022")</f>
        <v/>
      </c>
      <c r="AA100">
        <f>HYPERLINK("https://klasma.github.io/Logging_2180/klagomål/A 45241-2022 FSC-klagomål.docx", "A 45241-2022")</f>
        <v/>
      </c>
      <c r="AB100">
        <f>HYPERLINK("https://klasma.github.io/Logging_2180/klagomålsmail/A 45241-2022 FSC-klagomål mail.docx", "A 45241-2022")</f>
        <v/>
      </c>
      <c r="AC100">
        <f>HYPERLINK("https://klasma.github.io/Logging_2180/tillsyn/A 45241-2022 tillsynsbegäran.docx", "A 45241-2022")</f>
        <v/>
      </c>
      <c r="AD100">
        <f>HYPERLINK("https://klasma.github.io/Logging_2180/tillsynsmail/A 45241-2022 tillsynsbegäran mail.docx", "A 45241-2022")</f>
        <v/>
      </c>
    </row>
    <row r="101" ht="15" customHeight="1">
      <c r="A101" t="inlineStr">
        <is>
          <t>A 54963-2025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46236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HYPERLINK("https://klasma.github.io/Logging_2180/artfynd/A 54963-2025 artfynd.xlsx", "A 54963-2025")</f>
        <v/>
      </c>
      <c r="X101">
        <f>HYPERLINK("https://klasma.github.io/Logging_2180/kartor/A 54963-2025 karta.png", "A 54963-2025")</f>
        <v/>
      </c>
      <c r="Y101">
        <f>HYPERLINK("https://klasma.github.io/Logging_2180/kartor_geotiff/A 54963-2025 georefererad karta.tif", "A 54963-2025")</f>
        <v/>
      </c>
      <c r="AA101">
        <f>HYPERLINK("https://klasma.github.io/Logging_2180/klagomål/A 54963-2025 FSC-klagomål.docx", "A 54963-2025")</f>
        <v/>
      </c>
      <c r="AB101">
        <f>HYPERLINK("https://klasma.github.io/Logging_2180/klagomålsmail/A 54963-2025 FSC-klagomål mail.docx", "A 54963-2025")</f>
        <v/>
      </c>
      <c r="AC101">
        <f>HYPERLINK("https://klasma.github.io/Logging_2180/tillsyn/A 54963-2025 tillsynsbegäran.docx", "A 54963-2025")</f>
        <v/>
      </c>
      <c r="AD101">
        <f>HYPERLINK("https://klasma.github.io/Logging_2180/tillsynsmail/A 54963-2025 tillsynsbegäran mail.docx", "A 54963-2025")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46236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23003-2026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46160</v>
      </c>
      <c r="E103" s="1" t="n">
        <v>46236</v>
      </c>
      <c r="F103" t="inlineStr">
        <is>
          <t>GÄVLEBORGS LÄN</t>
        </is>
      </c>
      <c r="G103" t="inlineStr">
        <is>
          <t>GÄVLE</t>
        </is>
      </c>
      <c r="I103" t="n">
        <v>12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23003-2026 artfynd.xlsx", "A 23003-2026")</f>
        <v/>
      </c>
      <c r="X103">
        <f>HYPERLINK("https://klasma.github.io/Logging_2180/kartor/A 23003-2026 karta.png", "A 23003-2026")</f>
        <v/>
      </c>
      <c r="Y103">
        <f>HYPERLINK("https://klasma.github.io/Logging_2180/kartor_geotiff/A 23003-2026 georefererad karta.tif", "A 23003-2026")</f>
        <v/>
      </c>
      <c r="AA103">
        <f>HYPERLINK("https://klasma.github.io/Logging_2180/klagomål/A 23003-2026 FSC-klagomål.docx", "A 23003-2026")</f>
        <v/>
      </c>
      <c r="AB103">
        <f>HYPERLINK("https://klasma.github.io/Logging_2180/klagomålsmail/A 23003-2026 FSC-klagomål mail.docx", "A 23003-2026")</f>
        <v/>
      </c>
      <c r="AC103">
        <f>HYPERLINK("https://klasma.github.io/Logging_2180/tillsyn/A 23003-2026 tillsynsbegäran.docx", "A 23003-2026")</f>
        <v/>
      </c>
      <c r="AD103">
        <f>HYPERLINK("https://klasma.github.io/Logging_2180/tillsynsmail/A 23003-2026 tillsynsbegäran mail.docx", "A 23003-2026")</f>
        <v/>
      </c>
      <c r="AE103">
        <f>HYPERLINK("https://klasma.github.io/Logging_2180/fåglar/A 23003-2026 prioriterade fågelarter.docx", "A 23003-2026")</f>
        <v/>
      </c>
    </row>
    <row r="104" ht="15" customHeight="1">
      <c r="A104" t="inlineStr">
        <is>
          <t>A 22892-2026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46236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22892-2026 artfynd.xlsx", "A 22892-2026")</f>
        <v/>
      </c>
      <c r="X104">
        <f>HYPERLINK("https://klasma.github.io/Logging_2180/kartor/A 22892-2026 karta.png", "A 22892-2026")</f>
        <v/>
      </c>
      <c r="Y104">
        <f>HYPERLINK("https://klasma.github.io/Logging_2180/kartor_geotiff/A 22892-2026 georefererad karta.tif", "A 22892-2026")</f>
        <v/>
      </c>
      <c r="AA104">
        <f>HYPERLINK("https://klasma.github.io/Logging_2180/klagomål/A 22892-2026 FSC-klagomål.docx", "A 22892-2026")</f>
        <v/>
      </c>
      <c r="AB104">
        <f>HYPERLINK("https://klasma.github.io/Logging_2180/klagomålsmail/A 22892-2026 FSC-klagomål mail.docx", "A 22892-2026")</f>
        <v/>
      </c>
      <c r="AC104">
        <f>HYPERLINK("https://klasma.github.io/Logging_2180/tillsyn/A 22892-2026 tillsynsbegäran.docx", "A 22892-2026")</f>
        <v/>
      </c>
      <c r="AD104">
        <f>HYPERLINK("https://klasma.github.io/Logging_2180/tillsynsmail/A 22892-2026 tillsynsbegäran mail.docx", "A 22892-2026")</f>
        <v/>
      </c>
      <c r="AE104">
        <f>HYPERLINK("https://klasma.github.io/Logging_2180/fåglar/A 22892-2026 prioriterade fågelarter.docx", "A 22892-2026")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46236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12437-2024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45379</v>
      </c>
      <c r="E106" s="1" t="n">
        <v>46236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HYPERLINK("https://klasma.github.io/Logging_2180/artfynd/A 12437-2024 artfynd.xlsx", "A 12437-2024")</f>
        <v/>
      </c>
      <c r="X106">
        <f>HYPERLINK("https://klasma.github.io/Logging_2180/kartor/A 12437-2024 karta.png", "A 12437-2024")</f>
        <v/>
      </c>
      <c r="Y106">
        <f>HYPERLINK("https://klasma.github.io/Logging_2180/kartor_geotiff/A 12437-2024 georefererad karta.tif", "A 12437-2024")</f>
        <v/>
      </c>
      <c r="AA106">
        <f>HYPERLINK("https://klasma.github.io/Logging_2180/klagomål/A 12437-2024 FSC-klagomål.docx", "A 12437-2024")</f>
        <v/>
      </c>
      <c r="AB106">
        <f>HYPERLINK("https://klasma.github.io/Logging_2180/klagomålsmail/A 12437-2024 FSC-klagomål mail.docx", "A 12437-2024")</f>
        <v/>
      </c>
      <c r="AC106">
        <f>HYPERLINK("https://klasma.github.io/Logging_2180/tillsyn/A 12437-2024 tillsynsbegäran.docx", "A 12437-2024")</f>
        <v/>
      </c>
      <c r="AD106">
        <f>HYPERLINK("https://klasma.github.io/Logging_2180/tillsynsmail/A 12437-2024 tillsynsbegäran mail.docx", "A 12437-2024")</f>
        <v/>
      </c>
    </row>
    <row r="107" ht="15" customHeight="1">
      <c r="A107" t="inlineStr">
        <is>
          <t>A 5409-2023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46236</v>
      </c>
      <c r="F107" t="inlineStr">
        <is>
          <t>GÄVLEBORGS LÄN</t>
        </is>
      </c>
      <c r="G107" t="inlineStr">
        <is>
          <t>GÄVLE</t>
        </is>
      </c>
      <c r="I107" t="n">
        <v>0.3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HYPERLINK("https://klasma.github.io/Logging_2180/artfynd/A 5409-2023 artfynd.xlsx", "A 5409-2023")</f>
        <v/>
      </c>
      <c r="X107">
        <f>HYPERLINK("https://klasma.github.io/Logging_2180/kartor/A 5409-2023 karta.png", "A 5409-2023")</f>
        <v/>
      </c>
      <c r="Y107">
        <f>HYPERLINK("https://klasma.github.io/Logging_2180/kartor_geotiff/A 5409-2023 georefererad karta.tif", "A 5409-2023")</f>
        <v/>
      </c>
      <c r="AA107">
        <f>HYPERLINK("https://klasma.github.io/Logging_2180/klagomål/A 5409-2023 FSC-klagomål.docx", "A 5409-2023")</f>
        <v/>
      </c>
      <c r="AB107">
        <f>HYPERLINK("https://klasma.github.io/Logging_2180/klagomålsmail/A 5409-2023 FSC-klagomål mail.docx", "A 5409-2023")</f>
        <v/>
      </c>
      <c r="AC107">
        <f>HYPERLINK("https://klasma.github.io/Logging_2180/tillsyn/A 5409-2023 tillsynsbegäran.docx", "A 5409-2023")</f>
        <v/>
      </c>
      <c r="AD107">
        <f>HYPERLINK("https://klasma.github.io/Logging_2180/tillsynsmail/A 5409-2023 tillsynsbegäran mail.docx", "A 5409-2023")</f>
        <v/>
      </c>
    </row>
    <row r="108" ht="15" customHeight="1">
      <c r="A108" t="inlineStr">
        <is>
          <t>A 5415-2023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44959</v>
      </c>
      <c r="E108" s="1" t="n">
        <v>46236</v>
      </c>
      <c r="F108" t="inlineStr">
        <is>
          <t>GÄVLEBORGS LÄN</t>
        </is>
      </c>
      <c r="G108" t="inlineStr">
        <is>
          <t>GÄVLE</t>
        </is>
      </c>
      <c r="I108" t="n">
        <v>0.1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Skogsklocka</t>
        </is>
      </c>
      <c r="W108">
        <f>HYPERLINK("https://klasma.github.io/Logging_2180/artfynd/A 5415-2023 artfynd.xlsx", "A 5415-2023")</f>
        <v/>
      </c>
      <c r="X108">
        <f>HYPERLINK("https://klasma.github.io/Logging_2180/kartor/A 5415-2023 karta.png", "A 5415-2023")</f>
        <v/>
      </c>
      <c r="Y108">
        <f>HYPERLINK("https://klasma.github.io/Logging_2180/kartor_geotiff/A 5415-2023 georefererad karta.tif", "A 5415-2023")</f>
        <v/>
      </c>
      <c r="AA108">
        <f>HYPERLINK("https://klasma.github.io/Logging_2180/klagomål/A 5415-2023 FSC-klagomål.docx", "A 5415-2023")</f>
        <v/>
      </c>
      <c r="AB108">
        <f>HYPERLINK("https://klasma.github.io/Logging_2180/klagomålsmail/A 5415-2023 FSC-klagomål mail.docx", "A 5415-2023")</f>
        <v/>
      </c>
      <c r="AC108">
        <f>HYPERLINK("https://klasma.github.io/Logging_2180/tillsyn/A 5415-2023 tillsynsbegäran.docx", "A 5415-2023")</f>
        <v/>
      </c>
      <c r="AD108">
        <f>HYPERLINK("https://klasma.github.io/Logging_2180/tillsynsmail/A 5415-2023 tillsynsbegäran mail.docx", "A 5415-2023")</f>
        <v/>
      </c>
    </row>
    <row r="109" ht="15" customHeight="1">
      <c r="A109" t="inlineStr">
        <is>
          <t>A 31448-2026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46236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6.8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tåtelsmygare</t>
        </is>
      </c>
      <c r="W109">
        <f>HYPERLINK("https://klasma.github.io/Logging_2180/artfynd/A 31448-2026 artfynd.xlsx", "A 31448-2026")</f>
        <v/>
      </c>
      <c r="X109">
        <f>HYPERLINK("https://klasma.github.io/Logging_2180/kartor/A 31448-2026 karta.png", "A 31448-2026")</f>
        <v/>
      </c>
      <c r="Y109">
        <f>HYPERLINK("https://klasma.github.io/Logging_2180/kartor_geotiff/A 31448-2026 georefererad karta.tif", "A 31448-2026")</f>
        <v/>
      </c>
      <c r="AA109">
        <f>HYPERLINK("https://klasma.github.io/Logging_2180/klagomål/A 31448-2026 FSC-klagomål.docx", "A 31448-2026")</f>
        <v/>
      </c>
      <c r="AB109">
        <f>HYPERLINK("https://klasma.github.io/Logging_2180/klagomålsmail/A 31448-2026 FSC-klagomål mail.docx", "A 31448-2026")</f>
        <v/>
      </c>
      <c r="AC109">
        <f>HYPERLINK("https://klasma.github.io/Logging_2180/tillsyn/A 31448-2026 tillsynsbegäran.docx", "A 31448-2026")</f>
        <v/>
      </c>
      <c r="AD109">
        <f>HYPERLINK("https://klasma.github.io/Logging_2180/tillsynsmail/A 31448-2026 tillsynsbegäran mail.docx", "A 31448-2026")</f>
        <v/>
      </c>
    </row>
    <row r="110" ht="15" customHeight="1">
      <c r="A110" t="inlineStr">
        <is>
          <t>A 63288-2025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46236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5.3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Scharlakansskål</t>
        </is>
      </c>
      <c r="W110">
        <f>HYPERLINK("https://klasma.github.io/Logging_2180/artfynd/A 63288-2025 artfynd.xlsx", "A 63288-2025")</f>
        <v/>
      </c>
      <c r="X110">
        <f>HYPERLINK("https://klasma.github.io/Logging_2180/kartor/A 63288-2025 karta.png", "A 63288-2025")</f>
        <v/>
      </c>
      <c r="Y110">
        <f>HYPERLINK("https://klasma.github.io/Logging_2180/kartor_geotiff/A 63288-2025 georefererad karta.tif", "A 63288-2025")</f>
        <v/>
      </c>
      <c r="AA110">
        <f>HYPERLINK("https://klasma.github.io/Logging_2180/klagomål/A 63288-2025 FSC-klagomål.docx", "A 63288-2025")</f>
        <v/>
      </c>
      <c r="AB110">
        <f>HYPERLINK("https://klasma.github.io/Logging_2180/klagomålsmail/A 63288-2025 FSC-klagomål mail.docx", "A 63288-2025")</f>
        <v/>
      </c>
      <c r="AC110">
        <f>HYPERLINK("https://klasma.github.io/Logging_2180/tillsyn/A 63288-2025 tillsynsbegäran.docx", "A 63288-2025")</f>
        <v/>
      </c>
      <c r="AD110">
        <f>HYPERLINK("https://klasma.github.io/Logging_2180/tillsynsmail/A 63288-2025 tillsynsbegäran mail.docx", "A 63288-2025")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46236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26871-2026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46236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4.2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HYPERLINK("https://klasma.github.io/Logging_2180/artfynd/A 26871-2026 artfynd.xlsx", "A 26871-2026")</f>
        <v/>
      </c>
      <c r="X112">
        <f>HYPERLINK("https://klasma.github.io/Logging_2180/kartor/A 26871-2026 karta.png", "A 26871-2026")</f>
        <v/>
      </c>
      <c r="Y112">
        <f>HYPERLINK("https://klasma.github.io/Logging_2180/kartor_geotiff/A 26871-2026 georefererad karta.tif", "A 26871-2026")</f>
        <v/>
      </c>
      <c r="AA112">
        <f>HYPERLINK("https://klasma.github.io/Logging_2180/klagomål/A 26871-2026 FSC-klagomål.docx", "A 26871-2026")</f>
        <v/>
      </c>
      <c r="AB112">
        <f>HYPERLINK("https://klasma.github.io/Logging_2180/klagomålsmail/A 26871-2026 FSC-klagomål mail.docx", "A 26871-2026")</f>
        <v/>
      </c>
      <c r="AC112">
        <f>HYPERLINK("https://klasma.github.io/Logging_2180/tillsyn/A 26871-2026 tillsynsbegäran.docx", "A 26871-2026")</f>
        <v/>
      </c>
      <c r="AD112">
        <f>HYPERLINK("https://klasma.github.io/Logging_2180/tillsynsmail/A 26871-2026 tillsynsbegäran mail.docx", "A 26871-2026")</f>
        <v/>
      </c>
    </row>
    <row r="113" ht="15" customHeight="1">
      <c r="A113" t="inlineStr">
        <is>
          <t>A 21282-2024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46236</v>
      </c>
      <c r="F113" t="inlineStr">
        <is>
          <t>GÄVLEBORGS LÄN</t>
        </is>
      </c>
      <c r="G113" t="inlineStr">
        <is>
          <t>GÄVLE</t>
        </is>
      </c>
      <c r="I113" t="n">
        <v>7.4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1</v>
      </c>
      <c r="V113" s="2" t="inlineStr">
        <is>
          <t>Skogsklocka</t>
        </is>
      </c>
      <c r="W113">
        <f>HYPERLINK("https://klasma.github.io/Logging_2180/artfynd/A 21282-2024 artfynd.xlsx", "A 21282-2024")</f>
        <v/>
      </c>
      <c r="X113">
        <f>HYPERLINK("https://klasma.github.io/Logging_2180/kartor/A 21282-2024 karta.png", "A 21282-2024")</f>
        <v/>
      </c>
      <c r="Y113">
        <f>HYPERLINK("https://klasma.github.io/Logging_2180/kartor_geotiff/A 21282-2024 georefererad karta.tif", "A 21282-2024")</f>
        <v/>
      </c>
      <c r="AA113">
        <f>HYPERLINK("https://klasma.github.io/Logging_2180/klagomål/A 21282-2024 FSC-klagomål.docx", "A 21282-2024")</f>
        <v/>
      </c>
      <c r="AB113">
        <f>HYPERLINK("https://klasma.github.io/Logging_2180/klagomålsmail/A 21282-2024 FSC-klagomål mail.docx", "A 21282-2024")</f>
        <v/>
      </c>
      <c r="AC113">
        <f>HYPERLINK("https://klasma.github.io/Logging_2180/tillsyn/A 21282-2024 tillsynsbegäran.docx", "A 21282-2024")</f>
        <v/>
      </c>
      <c r="AD113">
        <f>HYPERLINK("https://klasma.github.io/Logging_2180/tillsynsmail/A 21282-2024 tillsynsbegäran mail.docx", "A 21282-2024")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46236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27058-2026 artfynd.xlsx", "A 27058-2026")</f>
        <v/>
      </c>
      <c r="X114">
        <f>HYPERLINK("https://klasma.github.io/Logging_2180/kartor/A 27058-2026 karta.png", "A 27058-2026")</f>
        <v/>
      </c>
      <c r="Y114">
        <f>HYPERLINK("https://klasma.github.io/Logging_2180/kartor_geotiff/A 27058-2026 georefererad karta.tif", "A 27058-2026")</f>
        <v/>
      </c>
      <c r="AA114">
        <f>HYPERLINK("https://klasma.github.io/Logging_2180/klagomål/A 27058-2026 FSC-klagomål.docx", "A 27058-2026")</f>
        <v/>
      </c>
      <c r="AB114">
        <f>HYPERLINK("https://klasma.github.io/Logging_2180/klagomålsmail/A 27058-2026 FSC-klagomål mail.docx", "A 27058-2026")</f>
        <v/>
      </c>
      <c r="AC114">
        <f>HYPERLINK("https://klasma.github.io/Logging_2180/tillsyn/A 27058-2026 tillsynsbegäran.docx", "A 27058-2026")</f>
        <v/>
      </c>
      <c r="AD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46236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57932-2024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46236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48.7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HYPERLINK("https://klasma.github.io/Logging_2180/artfynd/A 57932-2024 artfynd.xlsx", "A 57932-2024")</f>
        <v/>
      </c>
      <c r="X116">
        <f>HYPERLINK("https://klasma.github.io/Logging_2180/kartor/A 57932-2024 karta.png", "A 57932-2024")</f>
        <v/>
      </c>
      <c r="Y116">
        <f>HYPERLINK("https://klasma.github.io/Logging_2180/kartor_geotiff/A 57932-2024 georefererad karta.tif", "A 57932-2024")</f>
        <v/>
      </c>
      <c r="AA116">
        <f>HYPERLINK("https://klasma.github.io/Logging_2180/klagomål/A 57932-2024 FSC-klagomål.docx", "A 57932-2024")</f>
        <v/>
      </c>
      <c r="AB116">
        <f>HYPERLINK("https://klasma.github.io/Logging_2180/klagomålsmail/A 57932-2024 FSC-klagomål mail.docx", "A 57932-2024")</f>
        <v/>
      </c>
      <c r="AC116">
        <f>HYPERLINK("https://klasma.github.io/Logging_2180/tillsyn/A 57932-2024 tillsynsbegäran.docx", "A 57932-2024")</f>
        <v/>
      </c>
      <c r="AD116">
        <f>HYPERLINK("https://klasma.github.io/Logging_2180/tillsynsmail/A 57932-2024 tillsynsbegäran mail.docx", "A 57932-2024")</f>
        <v/>
      </c>
      <c r="AE116">
        <f>HYPERLINK("https://klasma.github.io/Logging_2180/fåglar/A 57932-2024 prioriterade fågelarter.docx", "A 57932-2024")</f>
        <v/>
      </c>
    </row>
    <row r="117" ht="15" customHeight="1">
      <c r="A117" t="inlineStr">
        <is>
          <t>A 50052-2025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45943</v>
      </c>
      <c r="E117" s="1" t="n">
        <v>46236</v>
      </c>
      <c r="F117" t="inlineStr">
        <is>
          <t>GÄVLEBORGS LÄN</t>
        </is>
      </c>
      <c r="G117" t="inlineStr">
        <is>
          <t>GÄVLE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3</v>
      </c>
      <c r="U117" t="n">
        <v>0</v>
      </c>
      <c r="V117" s="2" t="inlineStr">
        <is>
          <t>Mosippa</t>
        </is>
      </c>
      <c r="W117">
        <f>HYPERLINK("https://klasma.github.io/Logging_2180/artfynd/A 50052-2025 artfynd.xlsx", "A 50052-2025")</f>
        <v/>
      </c>
      <c r="X117">
        <f>HYPERLINK("https://klasma.github.io/Logging_2180/kartor/A 50052-2025 karta.png", "A 50052-2025")</f>
        <v/>
      </c>
      <c r="Y117">
        <f>HYPERLINK("https://klasma.github.io/Logging_2180/kartor_geotiff/A 50052-2025 georefererad karta.tif", "A 50052-2025")</f>
        <v/>
      </c>
      <c r="AA117">
        <f>HYPERLINK("https://klasma.github.io/Logging_2180/klagomål/A 50052-2025 FSC-klagomål.docx", "A 50052-2025")</f>
        <v/>
      </c>
      <c r="AB117">
        <f>HYPERLINK("https://klasma.github.io/Logging_2180/klagomålsmail/A 50052-2025 FSC-klagomål mail.docx", "A 50052-2025")</f>
        <v/>
      </c>
      <c r="AC117">
        <f>HYPERLINK("https://klasma.github.io/Logging_2180/tillsyn/A 50052-2025 tillsynsbegäran.docx", "A 50052-2025")</f>
        <v/>
      </c>
      <c r="AD117">
        <f>HYPERLINK("https://klasma.github.io/Logging_2180/tillsynsmail/A 50052-2025 tillsynsbegäran mail.docx", "A 50052-2025")</f>
        <v/>
      </c>
    </row>
    <row r="118" ht="15" customHeight="1">
      <c r="A118" t="inlineStr">
        <is>
          <t>A 35225-2024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46236</v>
      </c>
      <c r="F118" t="inlineStr">
        <is>
          <t>GÄVLEBORGS LÄN</t>
        </is>
      </c>
      <c r="G118" t="inlineStr">
        <is>
          <t>GÄVLE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HYPERLINK("https://klasma.github.io/Logging_2180/artfynd/A 35225-2024 artfynd.xlsx", "A 35225-2024")</f>
        <v/>
      </c>
      <c r="X118">
        <f>HYPERLINK("https://klasma.github.io/Logging_2180/kartor/A 35225-2024 karta.png", "A 35225-2024")</f>
        <v/>
      </c>
      <c r="Y118">
        <f>HYPERLINK("https://klasma.github.io/Logging_2180/kartor_geotiff/A 35225-2024 georefererad karta.tif", "A 35225-2024")</f>
        <v/>
      </c>
      <c r="AA118">
        <f>HYPERLINK("https://klasma.github.io/Logging_2180/klagomål/A 35225-2024 FSC-klagomål.docx", "A 35225-2024")</f>
        <v/>
      </c>
      <c r="AB118">
        <f>HYPERLINK("https://klasma.github.io/Logging_2180/klagomålsmail/A 35225-2024 FSC-klagomål mail.docx", "A 35225-2024")</f>
        <v/>
      </c>
      <c r="AC118">
        <f>HYPERLINK("https://klasma.github.io/Logging_2180/tillsyn/A 35225-2024 tillsynsbegäran.docx", "A 35225-2024")</f>
        <v/>
      </c>
      <c r="AD118">
        <f>HYPERLINK("https://klasma.github.io/Logging_2180/tillsynsmail/A 35225-2024 tillsynsbegäran mail.docx", "A 35225-2024")</f>
        <v/>
      </c>
    </row>
    <row r="119" ht="15" customHeight="1">
      <c r="A119" t="inlineStr">
        <is>
          <t>A 13684-2026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46236</v>
      </c>
      <c r="F119" t="inlineStr">
        <is>
          <t>GÄVLEBORGS LÄN</t>
        </is>
      </c>
      <c r="G119" t="inlineStr">
        <is>
          <t>GÄVLE</t>
        </is>
      </c>
      <c r="I119" t="n">
        <v>21.3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Igelkott</t>
        </is>
      </c>
      <c r="W119">
        <f>HYPERLINK("https://klasma.github.io/Logging_2180/artfynd/A 13684-2026 artfynd.xlsx", "A 13684-2026")</f>
        <v/>
      </c>
      <c r="X119">
        <f>HYPERLINK("https://klasma.github.io/Logging_2180/kartor/A 13684-2026 karta.png", "A 13684-2026")</f>
        <v/>
      </c>
      <c r="Y119">
        <f>HYPERLINK("https://klasma.github.io/Logging_2180/kartor_geotiff/A 13684-2026 georefererad karta.tif", "A 13684-2026")</f>
        <v/>
      </c>
      <c r="AA119">
        <f>HYPERLINK("https://klasma.github.io/Logging_2180/klagomål/A 13684-2026 FSC-klagomål.docx", "A 13684-2026")</f>
        <v/>
      </c>
      <c r="AB119">
        <f>HYPERLINK("https://klasma.github.io/Logging_2180/klagomålsmail/A 13684-2026 FSC-klagomål mail.docx", "A 13684-2026")</f>
        <v/>
      </c>
      <c r="AC119">
        <f>HYPERLINK("https://klasma.github.io/Logging_2180/tillsyn/A 13684-2026 tillsynsbegäran.docx", "A 13684-2026")</f>
        <v/>
      </c>
      <c r="AD119">
        <f>HYPERLINK("https://klasma.github.io/Logging_2180/tillsynsmail/A 13684-2026 tillsynsbegäran mail.docx", "A 13684-2026")</f>
        <v/>
      </c>
    </row>
    <row r="120" ht="15" customHeight="1">
      <c r="A120" t="inlineStr">
        <is>
          <t>A 12381-2023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46236</v>
      </c>
      <c r="F120" t="inlineStr">
        <is>
          <t>GÄVLEBORGS LÄN</t>
        </is>
      </c>
      <c r="G120" t="inlineStr">
        <is>
          <t>GÄVLE</t>
        </is>
      </c>
      <c r="I120" t="n">
        <v>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Brunlångöra</t>
        </is>
      </c>
      <c r="W120">
        <f>HYPERLINK("https://klasma.github.io/Logging_2180/artfynd/A 12381-2023 artfynd.xlsx", "A 12381-2023")</f>
        <v/>
      </c>
      <c r="X120">
        <f>HYPERLINK("https://klasma.github.io/Logging_2180/kartor/A 12381-2023 karta.png", "A 12381-2023")</f>
        <v/>
      </c>
      <c r="Y120">
        <f>HYPERLINK("https://klasma.github.io/Logging_2180/kartor_geotiff/A 12381-2023 georefererad karta.tif", "A 12381-2023")</f>
        <v/>
      </c>
      <c r="AA120">
        <f>HYPERLINK("https://klasma.github.io/Logging_2180/klagomål/A 12381-2023 FSC-klagomål.docx", "A 12381-2023")</f>
        <v/>
      </c>
      <c r="AB120">
        <f>HYPERLINK("https://klasma.github.io/Logging_2180/klagomålsmail/A 12381-2023 FSC-klagomål mail.docx", "A 12381-2023")</f>
        <v/>
      </c>
      <c r="AC120">
        <f>HYPERLINK("https://klasma.github.io/Logging_2180/tillsyn/A 12381-2023 tillsynsbegäran.docx", "A 12381-2023")</f>
        <v/>
      </c>
      <c r="AD120">
        <f>HYPERLINK("https://klasma.github.io/Logging_2180/tillsynsmail/A 12381-2023 tillsynsbegäran mail.docx", "A 12381-2023")</f>
        <v/>
      </c>
    </row>
    <row r="121" ht="15" customHeight="1">
      <c r="A121" t="inlineStr">
        <is>
          <t>A 17251-2026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46236</v>
      </c>
      <c r="F121" t="inlineStr">
        <is>
          <t>GÄVLEBORGS LÄN</t>
        </is>
      </c>
      <c r="G121" t="inlineStr">
        <is>
          <t>GÄVLE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17251-2026 artfynd.xlsx", "A 17251-2026")</f>
        <v/>
      </c>
      <c r="X121">
        <f>HYPERLINK("https://klasma.github.io/Logging_2180/kartor/A 17251-2026 karta.png", "A 17251-2026")</f>
        <v/>
      </c>
      <c r="Y121">
        <f>HYPERLINK("https://klasma.github.io/Logging_2180/kartor_geotiff/A 17251-2026 georefererad karta.tif", "A 17251-2026")</f>
        <v/>
      </c>
      <c r="AA121">
        <f>HYPERLINK("https://klasma.github.io/Logging_2180/klagomål/A 17251-2026 FSC-klagomål.docx", "A 17251-2026")</f>
        <v/>
      </c>
      <c r="AB121">
        <f>HYPERLINK("https://klasma.github.io/Logging_2180/klagomålsmail/A 17251-2026 FSC-klagomål mail.docx", "A 17251-2026")</f>
        <v/>
      </c>
      <c r="AC121">
        <f>HYPERLINK("https://klasma.github.io/Logging_2180/tillsyn/A 17251-2026 tillsynsbegäran.docx", "A 17251-2026")</f>
        <v/>
      </c>
      <c r="AD121">
        <f>HYPERLINK("https://klasma.github.io/Logging_2180/tillsynsmail/A 17251-2026 tillsynsbegäran mail.docx", "A 17251-2026")</f>
        <v/>
      </c>
    </row>
    <row r="122" ht="15" customHeight="1">
      <c r="A122" t="inlineStr">
        <is>
          <t>A 18060-2026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46125</v>
      </c>
      <c r="E122" s="1" t="n">
        <v>46236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HYPERLINK("https://klasma.github.io/Logging_2180/artfynd/A 18060-2026 artfynd.xlsx", "A 18060-2026")</f>
        <v/>
      </c>
      <c r="X122">
        <f>HYPERLINK("https://klasma.github.io/Logging_2180/kartor/A 18060-2026 karta.png", "A 18060-2026")</f>
        <v/>
      </c>
      <c r="Y122">
        <f>HYPERLINK("https://klasma.github.io/Logging_2180/kartor_geotiff/A 18060-2026 georefererad karta.tif", "A 18060-2026")</f>
        <v/>
      </c>
      <c r="AA122">
        <f>HYPERLINK("https://klasma.github.io/Logging_2180/klagomål/A 18060-2026 FSC-klagomål.docx", "A 18060-2026")</f>
        <v/>
      </c>
      <c r="AB122">
        <f>HYPERLINK("https://klasma.github.io/Logging_2180/klagomålsmail/A 18060-2026 FSC-klagomål mail.docx", "A 18060-2026")</f>
        <v/>
      </c>
      <c r="AC122">
        <f>HYPERLINK("https://klasma.github.io/Logging_2180/tillsyn/A 18060-2026 tillsynsbegäran.docx", "A 18060-2026")</f>
        <v/>
      </c>
      <c r="AD122">
        <f>HYPERLINK("https://klasma.github.io/Logging_2180/tillsynsmail/A 18060-2026 tillsynsbegäran mail.docx", "A 18060-2026")</f>
        <v/>
      </c>
    </row>
    <row r="123" ht="15" customHeight="1">
      <c r="A123" t="inlineStr">
        <is>
          <t>A 18216-2024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46236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2.3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Dofttaggsvamp</t>
        </is>
      </c>
      <c r="W123">
        <f>HYPERLINK("https://klasma.github.io/Logging_2180/artfynd/A 18216-2024 artfynd.xlsx", "A 18216-2024")</f>
        <v/>
      </c>
      <c r="X123">
        <f>HYPERLINK("https://klasma.github.io/Logging_2180/kartor/A 18216-2024 karta.png", "A 18216-2024")</f>
        <v/>
      </c>
      <c r="Y123">
        <f>HYPERLINK("https://klasma.github.io/Logging_2180/kartor_geotiff/A 18216-2024 georefererad karta.tif", "A 18216-2024")</f>
        <v/>
      </c>
      <c r="AA123">
        <f>HYPERLINK("https://klasma.github.io/Logging_2180/klagomål/A 18216-2024 FSC-klagomål.docx", "A 18216-2024")</f>
        <v/>
      </c>
      <c r="AB123">
        <f>HYPERLINK("https://klasma.github.io/Logging_2180/klagomålsmail/A 18216-2024 FSC-klagomål mail.docx", "A 18216-2024")</f>
        <v/>
      </c>
      <c r="AC123">
        <f>HYPERLINK("https://klasma.github.io/Logging_2180/tillsyn/A 18216-2024 tillsynsbegäran.docx", "A 18216-2024")</f>
        <v/>
      </c>
      <c r="AD123">
        <f>HYPERLINK("https://klasma.github.io/Logging_2180/tillsynsmail/A 18216-2024 tillsynsbegäran mail.docx", "A 18216-2024")</f>
        <v/>
      </c>
    </row>
    <row r="124" ht="15" customHeight="1">
      <c r="A124" t="inlineStr">
        <is>
          <t>A 33812-2022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44790</v>
      </c>
      <c r="E124" s="1" t="n">
        <v>46236</v>
      </c>
      <c r="F124" t="inlineStr">
        <is>
          <t>GÄVLEBORGS LÄN</t>
        </is>
      </c>
      <c r="G124" t="inlineStr">
        <is>
          <t>GÄVLE</t>
        </is>
      </c>
      <c r="I124" t="n">
        <v>2.1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HYPERLINK("https://klasma.github.io/Logging_2180/artfynd/A 33812-2022 artfynd.xlsx", "A 33812-2022")</f>
        <v/>
      </c>
      <c r="X124">
        <f>HYPERLINK("https://klasma.github.io/Logging_2180/kartor/A 33812-2022 karta.png", "A 33812-2022")</f>
        <v/>
      </c>
      <c r="Y124">
        <f>HYPERLINK("https://klasma.github.io/Logging_2180/kartor_geotiff/A 33812-2022 georefererad karta.tif", "A 33812-2022")</f>
        <v/>
      </c>
      <c r="AA124">
        <f>HYPERLINK("https://klasma.github.io/Logging_2180/klagomål/A 33812-2022 FSC-klagomål.docx", "A 33812-2022")</f>
        <v/>
      </c>
      <c r="AB124">
        <f>HYPERLINK("https://klasma.github.io/Logging_2180/klagomålsmail/A 33812-2022 FSC-klagomål mail.docx", "A 33812-2022")</f>
        <v/>
      </c>
      <c r="AC124">
        <f>HYPERLINK("https://klasma.github.io/Logging_2180/tillsyn/A 33812-2022 tillsynsbegäran.docx", "A 33812-2022")</f>
        <v/>
      </c>
      <c r="AD124">
        <f>HYPERLINK("https://klasma.github.io/Logging_2180/tillsynsmail/A 33812-2022 tillsynsbegäran mail.docx", "A 33812-2022")</f>
        <v/>
      </c>
    </row>
    <row r="125" ht="15" customHeight="1">
      <c r="A125" t="inlineStr">
        <is>
          <t>A 19635-2026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46236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Skinnlav</t>
        </is>
      </c>
      <c r="W125">
        <f>HYPERLINK("https://klasma.github.io/Logging_2180/artfynd/A 19635-2026 artfynd.xlsx", "A 19635-2026")</f>
        <v/>
      </c>
      <c r="X125">
        <f>HYPERLINK("https://klasma.github.io/Logging_2180/kartor/A 19635-2026 karta.png", "A 19635-2026")</f>
        <v/>
      </c>
      <c r="Y125">
        <f>HYPERLINK("https://klasma.github.io/Logging_2180/kartor_geotiff/A 19635-2026 georefererad karta.tif", "A 19635-2026")</f>
        <v/>
      </c>
      <c r="AA125">
        <f>HYPERLINK("https://klasma.github.io/Logging_2180/klagomål/A 19635-2026 FSC-klagomål.docx", "A 19635-2026")</f>
        <v/>
      </c>
      <c r="AB125">
        <f>HYPERLINK("https://klasma.github.io/Logging_2180/klagomålsmail/A 19635-2026 FSC-klagomål mail.docx", "A 19635-2026")</f>
        <v/>
      </c>
      <c r="AC125">
        <f>HYPERLINK("https://klasma.github.io/Logging_2180/tillsyn/A 19635-2026 tillsynsbegäran.docx", "A 19635-2026")</f>
        <v/>
      </c>
      <c r="AD125">
        <f>HYPERLINK("https://klasma.github.io/Logging_2180/tillsynsmail/A 19635-2026 tillsynsbegäran mail.docx", "A 19635-2026")</f>
        <v/>
      </c>
    </row>
    <row r="126" ht="15" customHeight="1">
      <c r="A126" t="inlineStr">
        <is>
          <t>A 13396-2026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46236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HYPERLINK("https://klasma.github.io/Logging_2180/artfynd/A 13396-2026 artfynd.xlsx", "A 13396-2026")</f>
        <v/>
      </c>
      <c r="X126">
        <f>HYPERLINK("https://klasma.github.io/Logging_2180/kartor/A 13396-2026 karta.png", "A 13396-2026")</f>
        <v/>
      </c>
      <c r="Y126">
        <f>HYPERLINK("https://klasma.github.io/Logging_2180/kartor_geotiff/A 13396-2026 georefererad karta.tif", "A 13396-2026")</f>
        <v/>
      </c>
      <c r="AA126">
        <f>HYPERLINK("https://klasma.github.io/Logging_2180/klagomål/A 13396-2026 FSC-klagomål.docx", "A 13396-2026")</f>
        <v/>
      </c>
      <c r="AB126">
        <f>HYPERLINK("https://klasma.github.io/Logging_2180/klagomålsmail/A 13396-2026 FSC-klagomål mail.docx", "A 13396-2026")</f>
        <v/>
      </c>
      <c r="AC126">
        <f>HYPERLINK("https://klasma.github.io/Logging_2180/tillsyn/A 13396-2026 tillsynsbegäran.docx", "A 13396-2026")</f>
        <v/>
      </c>
      <c r="AD126">
        <f>HYPERLINK("https://klasma.github.io/Logging_2180/tillsynsmail/A 13396-2026 tillsynsbegäran mail.docx", "A 13396-2026")</f>
        <v/>
      </c>
    </row>
    <row r="127" ht="15" customHeight="1">
      <c r="A127" t="inlineStr">
        <is>
          <t>A 47642-2024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46236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8.199999999999999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HYPERLINK("https://klasma.github.io/Logging_2180/artfynd/A 47642-2024 artfynd.xlsx", "A 47642-2024")</f>
        <v/>
      </c>
      <c r="X127">
        <f>HYPERLINK("https://klasma.github.io/Logging_2180/kartor/A 47642-2024 karta.png", "A 47642-2024")</f>
        <v/>
      </c>
      <c r="Y127">
        <f>HYPERLINK("https://klasma.github.io/Logging_2180/kartor_geotiff/A 47642-2024 georefererad karta.tif", "A 47642-2024")</f>
        <v/>
      </c>
      <c r="AA127">
        <f>HYPERLINK("https://klasma.github.io/Logging_2180/klagomål/A 47642-2024 FSC-klagomål.docx", "A 47642-2024")</f>
        <v/>
      </c>
      <c r="AB127">
        <f>HYPERLINK("https://klasma.github.io/Logging_2180/klagomålsmail/A 47642-2024 FSC-klagomål mail.docx", "A 47642-2024")</f>
        <v/>
      </c>
      <c r="AC127">
        <f>HYPERLINK("https://klasma.github.io/Logging_2180/tillsyn/A 47642-2024 tillsynsbegäran.docx", "A 47642-2024")</f>
        <v/>
      </c>
      <c r="AD127">
        <f>HYPERLINK("https://klasma.github.io/Logging_2180/tillsynsmail/A 47642-2024 tillsynsbegäran mail.docx", "A 47642-2024")</f>
        <v/>
      </c>
      <c r="AE127">
        <f>HYPERLINK("https://klasma.github.io/Logging_2180/fåglar/A 47642-2024 prioriterade fågelarter.docx", "A 47642-2024")</f>
        <v/>
      </c>
    </row>
    <row r="128" ht="15" customHeight="1">
      <c r="A128" t="inlineStr">
        <is>
          <t>A 12338-2025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46236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1</v>
      </c>
      <c r="V128" s="2" t="inlineStr">
        <is>
          <t>Skogsklocka</t>
        </is>
      </c>
      <c r="W128">
        <f>HYPERLINK("https://klasma.github.io/Logging_2180/artfynd/A 12338-2025 artfynd.xlsx", "A 12338-2025")</f>
        <v/>
      </c>
      <c r="X128">
        <f>HYPERLINK("https://klasma.github.io/Logging_2180/kartor/A 12338-2025 karta.png", "A 12338-2025")</f>
        <v/>
      </c>
      <c r="Y128">
        <f>HYPERLINK("https://klasma.github.io/Logging_2180/kartor_geotiff/A 12338-2025 georefererad karta.tif", "A 12338-2025")</f>
        <v/>
      </c>
      <c r="AA128">
        <f>HYPERLINK("https://klasma.github.io/Logging_2180/klagomål/A 12338-2025 FSC-klagomål.docx", "A 12338-2025")</f>
        <v/>
      </c>
      <c r="AB128">
        <f>HYPERLINK("https://klasma.github.io/Logging_2180/klagomålsmail/A 12338-2025 FSC-klagomål mail.docx", "A 12338-2025")</f>
        <v/>
      </c>
      <c r="AC128">
        <f>HYPERLINK("https://klasma.github.io/Logging_2180/tillsyn/A 12338-2025 tillsynsbegäran.docx", "A 12338-2025")</f>
        <v/>
      </c>
      <c r="AD128">
        <f>HYPERLINK("https://klasma.github.io/Logging_2180/tillsynsmail/A 12338-2025 tillsynsbegäran mail.docx", "A 12338-2025")</f>
        <v/>
      </c>
    </row>
    <row r="129" ht="15" customHeight="1">
      <c r="A129" t="inlineStr">
        <is>
          <t>A 30302-2025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46236</v>
      </c>
      <c r="F129" t="inlineStr">
        <is>
          <t>GÄVLEBORGS LÄN</t>
        </is>
      </c>
      <c r="G129" t="inlineStr">
        <is>
          <t>GÄVLE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Fläcknycklar</t>
        </is>
      </c>
      <c r="W129">
        <f>HYPERLINK("https://klasma.github.io/Logging_2180/artfynd/A 30302-2025 artfynd.xlsx", "A 30302-2025")</f>
        <v/>
      </c>
      <c r="X129">
        <f>HYPERLINK("https://klasma.github.io/Logging_2180/kartor/A 30302-2025 karta.png", "A 30302-2025")</f>
        <v/>
      </c>
      <c r="Y129">
        <f>HYPERLINK("https://klasma.github.io/Logging_2180/kartor_geotiff/A 30302-2025 georefererad karta.tif", "A 30302-2025")</f>
        <v/>
      </c>
      <c r="AA129">
        <f>HYPERLINK("https://klasma.github.io/Logging_2180/klagomål/A 30302-2025 FSC-klagomål.docx", "A 30302-2025")</f>
        <v/>
      </c>
      <c r="AB129">
        <f>HYPERLINK("https://klasma.github.io/Logging_2180/klagomålsmail/A 30302-2025 FSC-klagomål mail.docx", "A 30302-2025")</f>
        <v/>
      </c>
      <c r="AC129">
        <f>HYPERLINK("https://klasma.github.io/Logging_2180/tillsyn/A 30302-2025 tillsynsbegäran.docx", "A 30302-2025")</f>
        <v/>
      </c>
      <c r="AD129">
        <f>HYPERLINK("https://klasma.github.io/Logging_2180/tillsynsmail/A 30302-2025 tillsynsbegäran mail.docx", "A 30302-2025")</f>
        <v/>
      </c>
    </row>
    <row r="130" ht="15" customHeight="1">
      <c r="A130" t="inlineStr">
        <is>
          <t>A 11411-2025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46236</v>
      </c>
      <c r="F130" t="inlineStr">
        <is>
          <t>GÄVLEBORGS LÄN</t>
        </is>
      </c>
      <c r="G130" t="inlineStr">
        <is>
          <t>GÄVLE</t>
        </is>
      </c>
      <c r="I130" t="n">
        <v>2.4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11411-2025 artfynd.xlsx", "A 11411-2025")</f>
        <v/>
      </c>
      <c r="X130">
        <f>HYPERLINK("https://klasma.github.io/Logging_2180/kartor/A 11411-2025 karta.png", "A 11411-2025")</f>
        <v/>
      </c>
      <c r="Y130">
        <f>HYPERLINK("https://klasma.github.io/Logging_2180/kartor_geotiff/A 11411-2025 georefererad karta.tif", "A 11411-2025")</f>
        <v/>
      </c>
      <c r="AA130">
        <f>HYPERLINK("https://klasma.github.io/Logging_2180/klagomål/A 11411-2025 FSC-klagomål.docx", "A 11411-2025")</f>
        <v/>
      </c>
      <c r="AB130">
        <f>HYPERLINK("https://klasma.github.io/Logging_2180/klagomålsmail/A 11411-2025 FSC-klagomål mail.docx", "A 11411-2025")</f>
        <v/>
      </c>
      <c r="AC130">
        <f>HYPERLINK("https://klasma.github.io/Logging_2180/tillsyn/A 11411-2025 tillsynsbegäran.docx", "A 11411-2025")</f>
        <v/>
      </c>
      <c r="AD130">
        <f>HYPERLINK("https://klasma.github.io/Logging_2180/tillsynsmail/A 11411-2025 tillsynsbegäran mail.docx", "A 11411-2025")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46236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46236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46236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46236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46236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46236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46236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46236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46236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46236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46236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46236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46236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46236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46236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46236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46236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46236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46236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46236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46236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46236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46236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46236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46236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46236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46236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46236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46236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46236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46236</v>
      </c>
      <c r="F163" t="inlineStr">
        <is>
          <t>GÄVLEBORGS LÄN</t>
        </is>
      </c>
      <c r="G163" t="inlineStr">
        <is>
          <t>GÄVLE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46236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44823</v>
      </c>
      <c r="E165" s="1" t="n">
        <v>46236</v>
      </c>
      <c r="F165" t="inlineStr">
        <is>
          <t>GÄVLEBORGS LÄN</t>
        </is>
      </c>
      <c r="G165" t="inlineStr">
        <is>
          <t>GÄVLE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44840</v>
      </c>
      <c r="E166" s="1" t="n">
        <v>46236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46236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46236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46236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46236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46236</v>
      </c>
      <c r="F171" t="inlineStr">
        <is>
          <t>GÄVLEBORGS LÄN</t>
        </is>
      </c>
      <c r="G171" t="inlineStr">
        <is>
          <t>GÄVLE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46236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45134-2021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46236</v>
      </c>
      <c r="F173" t="inlineStr">
        <is>
          <t>GÄVLEBORGS LÄN</t>
        </is>
      </c>
      <c r="G173" t="inlineStr">
        <is>
          <t>GÄVLE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46236</v>
      </c>
      <c r="F174" t="inlineStr">
        <is>
          <t>GÄVLEBORGS LÄN</t>
        </is>
      </c>
      <c r="G174" t="inlineStr">
        <is>
          <t>GÄVLE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70043-2021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44533</v>
      </c>
      <c r="E175" s="1" t="n">
        <v>46236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46236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46236</v>
      </c>
      <c r="F177" t="inlineStr">
        <is>
          <t>GÄVLEBORGS LÄN</t>
        </is>
      </c>
      <c r="G177" t="inlineStr">
        <is>
          <t>GÄVLE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44911</v>
      </c>
      <c r="E178" s="1" t="n">
        <v>46236</v>
      </c>
      <c r="F178" t="inlineStr">
        <is>
          <t>GÄVLEBORGS LÄN</t>
        </is>
      </c>
      <c r="G178" t="inlineStr">
        <is>
          <t>GÄVLE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44735</v>
      </c>
      <c r="E179" s="1" t="n">
        <v>46236</v>
      </c>
      <c r="F179" t="inlineStr">
        <is>
          <t>GÄVLEBORGS LÄN</t>
        </is>
      </c>
      <c r="G179" t="inlineStr">
        <is>
          <t>GÄVLE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44942</v>
      </c>
      <c r="E180" s="1" t="n">
        <v>46236</v>
      </c>
      <c r="F180" t="inlineStr">
        <is>
          <t>GÄVLEBORGS LÄN</t>
        </is>
      </c>
      <c r="G180" t="inlineStr">
        <is>
          <t>GÄVLE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46236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öst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46236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44684</v>
      </c>
      <c r="E183" s="1" t="n">
        <v>46236</v>
      </c>
      <c r="F183" t="inlineStr">
        <is>
          <t>GÄVLEBORGS LÄN</t>
        </is>
      </c>
      <c r="G183" t="inlineStr">
        <is>
          <t>GÄVLE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46236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59515-2021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46236</v>
      </c>
      <c r="F185" t="inlineStr">
        <is>
          <t>GÄVLEBORGS LÄN</t>
        </is>
      </c>
      <c r="G185" t="inlineStr">
        <is>
          <t>GÄVLE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46236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46236</v>
      </c>
      <c r="F187" t="inlineStr">
        <is>
          <t>GÄVLEBORGS LÄN</t>
        </is>
      </c>
      <c r="G187" t="inlineStr">
        <is>
          <t>GÄVLE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44936</v>
      </c>
      <c r="E188" s="1" t="n">
        <v>46236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46236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45511</v>
      </c>
      <c r="E190" s="1" t="n">
        <v>46236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45658</v>
      </c>
      <c r="E191" s="1" t="n">
        <v>46236</v>
      </c>
      <c r="F191" t="inlineStr">
        <is>
          <t>GÄVLEBORGS LÄN</t>
        </is>
      </c>
      <c r="G191" t="inlineStr">
        <is>
          <t>GÄVLE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46236</v>
      </c>
      <c r="F192" t="inlineStr">
        <is>
          <t>GÄVLEBORGS LÄN</t>
        </is>
      </c>
      <c r="G192" t="inlineStr">
        <is>
          <t>GÄVLE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46236</v>
      </c>
      <c r="F193" t="inlineStr">
        <is>
          <t>GÄVLEBORGS LÄN</t>
        </is>
      </c>
      <c r="G193" t="inlineStr">
        <is>
          <t>GÄVLE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44693</v>
      </c>
      <c r="E194" s="1" t="n">
        <v>46236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45644</v>
      </c>
      <c r="E195" s="1" t="n">
        <v>46236</v>
      </c>
      <c r="F195" t="inlineStr">
        <is>
          <t>GÄVLEBORGS LÄN</t>
        </is>
      </c>
      <c r="G195" t="inlineStr">
        <is>
          <t>GÄVLE</t>
        </is>
      </c>
      <c r="H195" t="inlineStr">
        <is>
          <t>Kyrkan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46236</v>
      </c>
      <c r="F196" t="inlineStr">
        <is>
          <t>GÄVLEBORGS LÄN</t>
        </is>
      </c>
      <c r="G196" t="inlineStr">
        <is>
          <t>GÄVLE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45467</v>
      </c>
      <c r="E197" s="1" t="n">
        <v>46236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46236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46236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44445</v>
      </c>
      <c r="E200" s="1" t="n">
        <v>46236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60879-2023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46236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46236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46236</v>
      </c>
      <c r="F203" t="inlineStr">
        <is>
          <t>GÄVLEBORGS LÄN</t>
        </is>
      </c>
      <c r="G203" t="inlineStr">
        <is>
          <t>GÄVLE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45158</v>
      </c>
      <c r="E204" s="1" t="n">
        <v>46236</v>
      </c>
      <c r="F204" t="inlineStr">
        <is>
          <t>GÄVLEBORGS LÄN</t>
        </is>
      </c>
      <c r="G204" t="inlineStr">
        <is>
          <t>GÄVLE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45158</v>
      </c>
      <c r="E205" s="1" t="n">
        <v>46236</v>
      </c>
      <c r="F205" t="inlineStr">
        <is>
          <t>GÄVLEBORGS LÄN</t>
        </is>
      </c>
      <c r="G205" t="inlineStr">
        <is>
          <t>GÄVLE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45138</v>
      </c>
      <c r="E206" s="1" t="n">
        <v>46236</v>
      </c>
      <c r="F206" t="inlineStr">
        <is>
          <t>GÄVLEBORGS LÄN</t>
        </is>
      </c>
      <c r="G206" t="inlineStr">
        <is>
          <t>GÄVLE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44656</v>
      </c>
      <c r="E207" s="1" t="n">
        <v>46236</v>
      </c>
      <c r="F207" t="inlineStr">
        <is>
          <t>GÄVLEBORGS LÄN</t>
        </is>
      </c>
      <c r="G207" t="inlineStr">
        <is>
          <t>GÄVLE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46236</v>
      </c>
      <c r="F208" t="inlineStr">
        <is>
          <t>GÄVLEBORGS LÄN</t>
        </is>
      </c>
      <c r="G208" t="inlineStr">
        <is>
          <t>GÄVLE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46236</v>
      </c>
      <c r="F209" t="inlineStr">
        <is>
          <t>GÄVLEBORGS LÄN</t>
        </is>
      </c>
      <c r="G209" t="inlineStr">
        <is>
          <t>GÄVLE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45436</v>
      </c>
      <c r="E210" s="1" t="n">
        <v>46236</v>
      </c>
      <c r="F210" t="inlineStr">
        <is>
          <t>GÄVLEBORGS LÄN</t>
        </is>
      </c>
      <c r="G210" t="inlineStr">
        <is>
          <t>GÄVLE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46236</v>
      </c>
      <c r="F211" t="inlineStr">
        <is>
          <t>GÄVLEBORGS LÄN</t>
        </is>
      </c>
      <c r="G211" t="inlineStr">
        <is>
          <t>GÄVLE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46236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53432-2021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44468</v>
      </c>
      <c r="E213" s="1" t="n">
        <v>46236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öst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46236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öst AB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46236</v>
      </c>
      <c r="F215" t="inlineStr">
        <is>
          <t>GÄVLEBORGS LÄN</t>
        </is>
      </c>
      <c r="G215" t="inlineStr">
        <is>
          <t>GÄVLE</t>
        </is>
      </c>
      <c r="H215" t="inlineStr">
        <is>
          <t>Kyrkan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46236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46236</v>
      </c>
      <c r="F217" t="inlineStr">
        <is>
          <t>GÄVLEBORGS LÄN</t>
        </is>
      </c>
      <c r="G217" t="inlineStr">
        <is>
          <t>GÄVLE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44876</v>
      </c>
      <c r="E218" s="1" t="n">
        <v>46236</v>
      </c>
      <c r="F218" t="inlineStr">
        <is>
          <t>GÄVLEBORGS LÄN</t>
        </is>
      </c>
      <c r="G218" t="inlineStr">
        <is>
          <t>GÄVLE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19712-2022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44694</v>
      </c>
      <c r="E219" s="1" t="n">
        <v>46236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46236</v>
      </c>
      <c r="F220" t="inlineStr">
        <is>
          <t>GÄVLEBORGS LÄN</t>
        </is>
      </c>
      <c r="G220" t="inlineStr">
        <is>
          <t>GÄVLE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46236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46236</v>
      </c>
      <c r="F222" t="inlineStr">
        <is>
          <t>GÄVLEBORGS LÄN</t>
        </is>
      </c>
      <c r="G222" t="inlineStr">
        <is>
          <t>GÄVLE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45742</v>
      </c>
      <c r="E223" s="1" t="n">
        <v>46236</v>
      </c>
      <c r="F223" t="inlineStr">
        <is>
          <t>GÄVLEBORGS LÄN</t>
        </is>
      </c>
      <c r="G223" t="inlineStr">
        <is>
          <t>GÄVLE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14173-2022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44651</v>
      </c>
      <c r="E224" s="1" t="n">
        <v>46236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45454</v>
      </c>
      <c r="E225" s="1" t="n">
        <v>46236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46236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46236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46236</v>
      </c>
      <c r="F228" t="inlineStr">
        <is>
          <t>GÄVLEBORGS LÄN</t>
        </is>
      </c>
      <c r="G228" t="inlineStr">
        <is>
          <t>GÄVLE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44693</v>
      </c>
      <c r="E229" s="1" t="n">
        <v>46236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46236</v>
      </c>
      <c r="F230" t="inlineStr">
        <is>
          <t>GÄVLEBORGS LÄN</t>
        </is>
      </c>
      <c r="G230" t="inlineStr">
        <is>
          <t>GÄVLE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45454</v>
      </c>
      <c r="E231" s="1" t="n">
        <v>46236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46236</v>
      </c>
      <c r="F232" t="inlineStr">
        <is>
          <t>GÄVLEBORGS LÄN</t>
        </is>
      </c>
      <c r="G232" t="inlineStr">
        <is>
          <t>GÄVLE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46236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44498</v>
      </c>
      <c r="E234" s="1" t="n">
        <v>46236</v>
      </c>
      <c r="F234" t="inlineStr">
        <is>
          <t>GÄVLEBORGS LÄN</t>
        </is>
      </c>
      <c r="G234" t="inlineStr">
        <is>
          <t>GÄVLE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46236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46236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46236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46236</v>
      </c>
      <c r="F238" t="inlineStr">
        <is>
          <t>GÄVLEBORGS LÄN</t>
        </is>
      </c>
      <c r="G238" t="inlineStr">
        <is>
          <t>GÄVLE</t>
        </is>
      </c>
      <c r="H238" t="inlineStr">
        <is>
          <t>Kyrkan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46236</v>
      </c>
      <c r="F239" t="inlineStr">
        <is>
          <t>GÄVLEBORGS LÄN</t>
        </is>
      </c>
      <c r="G239" t="inlineStr">
        <is>
          <t>GÄVLE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40297-2025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45895</v>
      </c>
      <c r="E240" s="1" t="n">
        <v>46236</v>
      </c>
      <c r="F240" t="inlineStr">
        <is>
          <t>GÄVLEBORGS LÄN</t>
        </is>
      </c>
      <c r="G240" t="inlineStr">
        <is>
          <t>GÄVLE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46236</v>
      </c>
      <c r="F241" t="inlineStr">
        <is>
          <t>GÄVLEBORGS LÄN</t>
        </is>
      </c>
      <c r="G241" t="inlineStr">
        <is>
          <t>GÄVLE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46236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46107</v>
      </c>
      <c r="E243" s="1" t="n">
        <v>46236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46236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46236</v>
      </c>
      <c r="F245" t="inlineStr">
        <is>
          <t>GÄVLEBORGS LÄN</t>
        </is>
      </c>
      <c r="G245" t="inlineStr">
        <is>
          <t>GÄVLE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46236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46236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46236</v>
      </c>
      <c r="F248" t="inlineStr">
        <is>
          <t>GÄVLEBORGS LÄN</t>
        </is>
      </c>
      <c r="G248" t="inlineStr">
        <is>
          <t>GÄVLE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45652</v>
      </c>
      <c r="E249" s="1" t="n">
        <v>46236</v>
      </c>
      <c r="F249" t="inlineStr">
        <is>
          <t>GÄVLEBORGS LÄN</t>
        </is>
      </c>
      <c r="G249" t="inlineStr">
        <is>
          <t>GÄVLE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46236</v>
      </c>
      <c r="F250" t="inlineStr">
        <is>
          <t>GÄVLEBORGS LÄN</t>
        </is>
      </c>
      <c r="G250" t="inlineStr">
        <is>
          <t>GÄVLE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46236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19095-2022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44691</v>
      </c>
      <c r="E252" s="1" t="n">
        <v>46236</v>
      </c>
      <c r="F252" t="inlineStr">
        <is>
          <t>GÄVLEBORGS LÄN</t>
        </is>
      </c>
      <c r="G252" t="inlineStr">
        <is>
          <t>GÄVLE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46236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46236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46236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46236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26094-2025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45805</v>
      </c>
      <c r="E257" s="1" t="n">
        <v>46236</v>
      </c>
      <c r="F257" t="inlineStr">
        <is>
          <t>GÄVLEBORGS LÄN</t>
        </is>
      </c>
      <c r="G257" t="inlineStr">
        <is>
          <t>GÄVLE</t>
        </is>
      </c>
      <c r="I257" t="n">
        <v>12.4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46236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46236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46236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46236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46236</v>
      </c>
      <c r="F262" t="inlineStr">
        <is>
          <t>GÄVLEBORGS LÄN</t>
        </is>
      </c>
      <c r="G262" t="inlineStr">
        <is>
          <t>GÄVLE</t>
        </is>
      </c>
      <c r="I262" t="n">
        <v>12.7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46236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46236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45749</v>
      </c>
      <c r="E265" s="1" t="n">
        <v>46236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49380-2024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45595</v>
      </c>
      <c r="E266" s="1" t="n">
        <v>46236</v>
      </c>
      <c r="F266" t="inlineStr">
        <is>
          <t>GÄVLEBORGS LÄN</t>
        </is>
      </c>
      <c r="G266" t="inlineStr">
        <is>
          <t>GÄVLE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45686</v>
      </c>
      <c r="E267" s="1" t="n">
        <v>46236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44962</v>
      </c>
      <c r="E268" s="1" t="n">
        <v>46236</v>
      </c>
      <c r="F268" t="inlineStr">
        <is>
          <t>GÄVLEBORGS LÄN</t>
        </is>
      </c>
      <c r="G268" t="inlineStr">
        <is>
          <t>GÄVLE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46236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45705</v>
      </c>
      <c r="E270" s="1" t="n">
        <v>46236</v>
      </c>
      <c r="F270" t="inlineStr">
        <is>
          <t>GÄVLEBORGS LÄN</t>
        </is>
      </c>
      <c r="G270" t="inlineStr">
        <is>
          <t>GÄVLE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46236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46236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46236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46070</v>
      </c>
      <c r="E274" s="1" t="n">
        <v>46236</v>
      </c>
      <c r="F274" t="inlineStr">
        <is>
          <t>GÄVLEBORGS LÄN</t>
        </is>
      </c>
      <c r="G274" t="inlineStr">
        <is>
          <t>GÄVLE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46236</v>
      </c>
      <c r="F275" t="inlineStr">
        <is>
          <t>GÄVLEBORGS LÄN</t>
        </is>
      </c>
      <c r="G275" t="inlineStr">
        <is>
          <t>GÄVLE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64871-2023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45282</v>
      </c>
      <c r="E276" s="1" t="n">
        <v>46236</v>
      </c>
      <c r="F276" t="inlineStr">
        <is>
          <t>GÄVLEBORGS LÄN</t>
        </is>
      </c>
      <c r="G276" t="inlineStr">
        <is>
          <t>GÄVLE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64875-2023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45282</v>
      </c>
      <c r="E277" s="1" t="n">
        <v>46236</v>
      </c>
      <c r="F277" t="inlineStr">
        <is>
          <t>GÄVLEBORGS LÄN</t>
        </is>
      </c>
      <c r="G277" t="inlineStr">
        <is>
          <t>GÄVLE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46236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46236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46236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46236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46236</v>
      </c>
      <c r="F282" t="inlineStr">
        <is>
          <t>GÄVLEBORGS LÄN</t>
        </is>
      </c>
      <c r="G282" t="inlineStr">
        <is>
          <t>GÄVLE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46236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46236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46236</v>
      </c>
      <c r="F285" t="inlineStr">
        <is>
          <t>GÄVLEBORGS LÄN</t>
        </is>
      </c>
      <c r="G285" t="inlineStr">
        <is>
          <t>GÄVLE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46236</v>
      </c>
      <c r="F286" t="inlineStr">
        <is>
          <t>GÄVLEBORGS LÄN</t>
        </is>
      </c>
      <c r="G286" t="inlineStr">
        <is>
          <t>GÄVLE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22577-2022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44713</v>
      </c>
      <c r="E287" s="1" t="n">
        <v>46236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45330</v>
      </c>
      <c r="E288" s="1" t="n">
        <v>46236</v>
      </c>
      <c r="F288" t="inlineStr">
        <is>
          <t>GÄVLEBORGS LÄN</t>
        </is>
      </c>
      <c r="G288" t="inlineStr">
        <is>
          <t>GÄVLE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46236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46236</v>
      </c>
      <c r="F290" t="inlineStr">
        <is>
          <t>GÄVLEBORGS LÄN</t>
        </is>
      </c>
      <c r="G290" t="inlineStr">
        <is>
          <t>GÄVLE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42592-2025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46236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44708</v>
      </c>
      <c r="E292" s="1" t="n">
        <v>46236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45699</v>
      </c>
      <c r="E293" s="1" t="n">
        <v>46236</v>
      </c>
      <c r="F293" t="inlineStr">
        <is>
          <t>GÄVLEBORGS LÄN</t>
        </is>
      </c>
      <c r="G293" t="inlineStr">
        <is>
          <t>GÄVLE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46236</v>
      </c>
      <c r="F294" t="inlineStr">
        <is>
          <t>GÄVLEBORGS LÄN</t>
        </is>
      </c>
      <c r="G294" t="inlineStr">
        <is>
          <t>GÄVLE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45744</v>
      </c>
      <c r="E295" s="1" t="n">
        <v>46236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46236</v>
      </c>
      <c r="F296" t="inlineStr">
        <is>
          <t>GÄVLEBORGS LÄN</t>
        </is>
      </c>
      <c r="G296" t="inlineStr">
        <is>
          <t>GÄVLE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46236</v>
      </c>
      <c r="F297" t="inlineStr">
        <is>
          <t>GÄVLEBORGS LÄN</t>
        </is>
      </c>
      <c r="G297" t="inlineStr">
        <is>
          <t>GÄVLE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46236</v>
      </c>
      <c r="F298" t="inlineStr">
        <is>
          <t>GÄVLEBORGS LÄN</t>
        </is>
      </c>
      <c r="G298" t="inlineStr">
        <is>
          <t>GÄVLE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46236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46033</v>
      </c>
      <c r="E300" s="1" t="n">
        <v>46236</v>
      </c>
      <c r="F300" t="inlineStr">
        <is>
          <t>GÄVLEBORGS LÄN</t>
        </is>
      </c>
      <c r="G300" t="inlineStr">
        <is>
          <t>GÄVLE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46236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45850-2025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45923</v>
      </c>
      <c r="E302" s="1" t="n">
        <v>46236</v>
      </c>
      <c r="F302" t="inlineStr">
        <is>
          <t>GÄVLEBORGS LÄN</t>
        </is>
      </c>
      <c r="G302" t="inlineStr">
        <is>
          <t>GÄVLE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46236</v>
      </c>
      <c r="F303" t="inlineStr">
        <is>
          <t>GÄVLEBORGS LÄN</t>
        </is>
      </c>
      <c r="G303" t="inlineStr">
        <is>
          <t>GÄVLE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46065</v>
      </c>
      <c r="E304" s="1" t="n">
        <v>46236</v>
      </c>
      <c r="F304" t="inlineStr">
        <is>
          <t>GÄVLEBORGS LÄN</t>
        </is>
      </c>
      <c r="G304" t="inlineStr">
        <is>
          <t>GÄVLE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46236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46236</v>
      </c>
      <c r="F306" t="inlineStr">
        <is>
          <t>GÄVLEBORGS LÄN</t>
        </is>
      </c>
      <c r="G306" t="inlineStr">
        <is>
          <t>GÄVLE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45422</v>
      </c>
      <c r="E307" s="1" t="n">
        <v>46236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46236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46236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46236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46236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46236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46236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46236</v>
      </c>
      <c r="F314" t="inlineStr">
        <is>
          <t>GÄVLEBORGS LÄN</t>
        </is>
      </c>
      <c r="G314" t="inlineStr">
        <is>
          <t>GÄVLE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46236</v>
      </c>
      <c r="F315" t="inlineStr">
        <is>
          <t>GÄVLEBORGS LÄN</t>
        </is>
      </c>
      <c r="G315" t="inlineStr">
        <is>
          <t>GÄVLE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45034</v>
      </c>
      <c r="E316" s="1" t="n">
        <v>46236</v>
      </c>
      <c r="F316" t="inlineStr">
        <is>
          <t>GÄVLEBORGS LÄN</t>
        </is>
      </c>
      <c r="G316" t="inlineStr">
        <is>
          <t>GÄVLE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46236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46236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46236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44927</v>
      </c>
      <c r="E320" s="1" t="n">
        <v>46236</v>
      </c>
      <c r="F320" t="inlineStr">
        <is>
          <t>GÄVLEBORGS LÄN</t>
        </is>
      </c>
      <c r="G320" t="inlineStr">
        <is>
          <t>GÄVLE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33015-2023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45125</v>
      </c>
      <c r="E321" s="1" t="n">
        <v>46236</v>
      </c>
      <c r="F321" t="inlineStr">
        <is>
          <t>GÄVLEBORGS LÄN</t>
        </is>
      </c>
      <c r="G321" t="inlineStr">
        <is>
          <t>GÄVLE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46236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46236</v>
      </c>
      <c r="F323" t="inlineStr">
        <is>
          <t>GÄVLEBORGS LÄN</t>
        </is>
      </c>
      <c r="G323" t="inlineStr">
        <is>
          <t>GÄVLE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46236</v>
      </c>
      <c r="F324" t="inlineStr">
        <is>
          <t>GÄVLEBORGS LÄN</t>
        </is>
      </c>
      <c r="G324" t="inlineStr">
        <is>
          <t>GÄVLE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46236</v>
      </c>
      <c r="F325" t="inlineStr">
        <is>
          <t>GÄVLEBORGS LÄN</t>
        </is>
      </c>
      <c r="G325" t="inlineStr">
        <is>
          <t>GÄVLE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46236</v>
      </c>
      <c r="F326" t="inlineStr">
        <is>
          <t>GÄVLEBORGS LÄN</t>
        </is>
      </c>
      <c r="G326" t="inlineStr">
        <is>
          <t>GÄVLE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46236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46236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46236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46236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46236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46236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46236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45282</v>
      </c>
      <c r="E334" s="1" t="n">
        <v>46236</v>
      </c>
      <c r="F334" t="inlineStr">
        <is>
          <t>GÄVLEBORGS LÄN</t>
        </is>
      </c>
      <c r="G334" t="inlineStr">
        <is>
          <t>GÄVLE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46236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46236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46236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46236</v>
      </c>
      <c r="F338" t="inlineStr">
        <is>
          <t>GÄVLEBORGS LÄN</t>
        </is>
      </c>
      <c r="G338" t="inlineStr">
        <is>
          <t>GÄVLE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46236</v>
      </c>
      <c r="F339" t="inlineStr">
        <is>
          <t>GÄVLEBORGS LÄN</t>
        </is>
      </c>
      <c r="G339" t="inlineStr">
        <is>
          <t>GÄVLE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45672</v>
      </c>
      <c r="E340" s="1" t="n">
        <v>46236</v>
      </c>
      <c r="F340" t="inlineStr">
        <is>
          <t>GÄVLEBORGS LÄN</t>
        </is>
      </c>
      <c r="G340" t="inlineStr">
        <is>
          <t>GÄVLE</t>
        </is>
      </c>
      <c r="H340" t="inlineStr">
        <is>
          <t>Kyrkan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46236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44936</v>
      </c>
      <c r="E342" s="1" t="n">
        <v>46236</v>
      </c>
      <c r="F342" t="inlineStr">
        <is>
          <t>GÄVLEBORGS LÄN</t>
        </is>
      </c>
      <c r="G342" t="inlineStr">
        <is>
          <t>GÄVLE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66351-2021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44518</v>
      </c>
      <c r="E343" s="1" t="n">
        <v>46236</v>
      </c>
      <c r="F343" t="inlineStr">
        <is>
          <t>GÄVLEBORGS LÄN</t>
        </is>
      </c>
      <c r="G343" t="inlineStr">
        <is>
          <t>GÄVLE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46236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21364-2026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46147</v>
      </c>
      <c r="E345" s="1" t="n">
        <v>46236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46236</v>
      </c>
      <c r="F346" t="inlineStr">
        <is>
          <t>GÄVLEBORGS LÄN</t>
        </is>
      </c>
      <c r="G346" t="inlineStr">
        <is>
          <t>GÄVLE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46236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46236</v>
      </c>
      <c r="F348" t="inlineStr">
        <is>
          <t>GÄVLEBORGS LÄN</t>
        </is>
      </c>
      <c r="G348" t="inlineStr">
        <is>
          <t>GÄVLE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9235-2022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46236</v>
      </c>
      <c r="F349" t="inlineStr">
        <is>
          <t>GÄVLEBORGS LÄN</t>
        </is>
      </c>
      <c r="G349" t="inlineStr">
        <is>
          <t>GÄVLE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46236</v>
      </c>
      <c r="F350" t="inlineStr">
        <is>
          <t>GÄVLEBORGS LÄN</t>
        </is>
      </c>
      <c r="G350" t="inlineStr">
        <is>
          <t>GÄVLE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46236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46236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46236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46236</v>
      </c>
      <c r="F354" t="inlineStr">
        <is>
          <t>GÄVLEBORGS LÄN</t>
        </is>
      </c>
      <c r="G354" t="inlineStr">
        <is>
          <t>GÄVLE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46236</v>
      </c>
      <c r="F355" t="inlineStr">
        <is>
          <t>GÄVLEBORGS LÄN</t>
        </is>
      </c>
      <c r="G355" t="inlineStr">
        <is>
          <t>GÄVLE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46236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46236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52495-2021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44466</v>
      </c>
      <c r="E358" s="1" t="n">
        <v>46236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46236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62255-2022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44922</v>
      </c>
      <c r="E360" s="1" t="n">
        <v>46236</v>
      </c>
      <c r="F360" t="inlineStr">
        <is>
          <t>GÄVLEBORGS LÄN</t>
        </is>
      </c>
      <c r="G360" t="inlineStr">
        <is>
          <t>GÄVLE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45817</v>
      </c>
      <c r="E361" s="1" t="n">
        <v>46236</v>
      </c>
      <c r="F361" t="inlineStr">
        <is>
          <t>GÄVLEBORGS LÄN</t>
        </is>
      </c>
      <c r="G361" t="inlineStr">
        <is>
          <t>GÄVLE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45034</v>
      </c>
      <c r="E362" s="1" t="n">
        <v>46236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45089</v>
      </c>
      <c r="E363" s="1" t="n">
        <v>46236</v>
      </c>
      <c r="F363" t="inlineStr">
        <is>
          <t>GÄVLEBORGS LÄN</t>
        </is>
      </c>
      <c r="G363" t="inlineStr">
        <is>
          <t>GÄVLE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46236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46236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46236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45950</v>
      </c>
      <c r="E367" s="1" t="n">
        <v>46236</v>
      </c>
      <c r="F367" t="inlineStr">
        <is>
          <t>GÄVLEBORGS LÄN</t>
        </is>
      </c>
      <c r="G367" t="inlineStr">
        <is>
          <t>GÄVLE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46236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32255-2023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45120</v>
      </c>
      <c r="E369" s="1" t="n">
        <v>46236</v>
      </c>
      <c r="F369" t="inlineStr">
        <is>
          <t>GÄVLEBORGS LÄN</t>
        </is>
      </c>
      <c r="G369" t="inlineStr">
        <is>
          <t>GÄVLE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46236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46236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46236</v>
      </c>
      <c r="F372" t="inlineStr">
        <is>
          <t>GÄVLEBORGS LÄN</t>
        </is>
      </c>
      <c r="G372" t="inlineStr">
        <is>
          <t>GÄVLE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46236</v>
      </c>
      <c r="F373" t="inlineStr">
        <is>
          <t>GÄVLEBORGS LÄN</t>
        </is>
      </c>
      <c r="G373" t="inlineStr">
        <is>
          <t>GÄVLE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46236</v>
      </c>
      <c r="F374" t="inlineStr">
        <is>
          <t>GÄVLEBORGS LÄN</t>
        </is>
      </c>
      <c r="G374" t="inlineStr">
        <is>
          <t>GÄVLE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46236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46236</v>
      </c>
      <c r="F376" t="inlineStr">
        <is>
          <t>GÄVLEBORGS LÄN</t>
        </is>
      </c>
      <c r="G376" t="inlineStr">
        <is>
          <t>GÄVLE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46236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45953</v>
      </c>
      <c r="E378" s="1" t="n">
        <v>46236</v>
      </c>
      <c r="F378" t="inlineStr">
        <is>
          <t>GÄVLEBORGS LÄN</t>
        </is>
      </c>
      <c r="G378" t="inlineStr">
        <is>
          <t>GÄVLE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31062-2023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45113</v>
      </c>
      <c r="E379" s="1" t="n">
        <v>46236</v>
      </c>
      <c r="F379" t="inlineStr">
        <is>
          <t>GÄVLEBORGS LÄN</t>
        </is>
      </c>
      <c r="G379" t="inlineStr">
        <is>
          <t>GÄVLE</t>
        </is>
      </c>
      <c r="H379" t="inlineStr">
        <is>
          <t>Kommuner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46236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46236</v>
      </c>
      <c r="F381" t="inlineStr">
        <is>
          <t>GÄVLEBORGS LÄN</t>
        </is>
      </c>
      <c r="G381" t="inlineStr">
        <is>
          <t>GÄVLE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46236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57570-2024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46236</v>
      </c>
      <c r="F383" t="inlineStr">
        <is>
          <t>GÄVLEBORGS LÄN</t>
        </is>
      </c>
      <c r="G383" t="inlineStr">
        <is>
          <t>GÄVLE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46236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45184</v>
      </c>
      <c r="E385" s="1" t="n">
        <v>46236</v>
      </c>
      <c r="F385" t="inlineStr">
        <is>
          <t>GÄVLEBORGS LÄN</t>
        </is>
      </c>
      <c r="G385" t="inlineStr">
        <is>
          <t>GÄVLE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46236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44694</v>
      </c>
      <c r="E387" s="1" t="n">
        <v>46236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45957</v>
      </c>
      <c r="E388" s="1" t="n">
        <v>46236</v>
      </c>
      <c r="F388" t="inlineStr">
        <is>
          <t>GÄVLEBORGS LÄN</t>
        </is>
      </c>
      <c r="G388" t="inlineStr">
        <is>
          <t>GÄVLE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46236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22358-2026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46236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46154</v>
      </c>
      <c r="E391" s="1" t="n">
        <v>46236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52970-2025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45957</v>
      </c>
      <c r="E392" s="1" t="n">
        <v>46236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46154</v>
      </c>
      <c r="E393" s="1" t="n">
        <v>46236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46236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46236</v>
      </c>
      <c r="F395" t="inlineStr">
        <is>
          <t>GÄVLEBORGS LÄN</t>
        </is>
      </c>
      <c r="G395" t="inlineStr">
        <is>
          <t>GÄVLE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53541-2025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46236</v>
      </c>
      <c r="F396" t="inlineStr">
        <is>
          <t>GÄVLEBORGS LÄN</t>
        </is>
      </c>
      <c r="G396" t="inlineStr">
        <is>
          <t>GÄVLE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46197</v>
      </c>
      <c r="E397" s="1" t="n">
        <v>46236</v>
      </c>
      <c r="F397" t="inlineStr">
        <is>
          <t>GÄVLEBORGS LÄN</t>
        </is>
      </c>
      <c r="G397" t="inlineStr">
        <is>
          <t>GÄVLE</t>
        </is>
      </c>
      <c r="H397" t="inlineStr">
        <is>
          <t>BillerudKorsnäs AB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46236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45660</v>
      </c>
      <c r="E399" s="1" t="n">
        <v>46236</v>
      </c>
      <c r="F399" t="inlineStr">
        <is>
          <t>GÄVLEBORGS LÄN</t>
        </is>
      </c>
      <c r="G399" t="inlineStr">
        <is>
          <t>GÄVLE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46236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54135-2025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45964</v>
      </c>
      <c r="E401" s="1" t="n">
        <v>46236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46236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46236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46236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44756</v>
      </c>
      <c r="E405" s="1" t="n">
        <v>46236</v>
      </c>
      <c r="F405" t="inlineStr">
        <is>
          <t>GÄVLEBORGS LÄN</t>
        </is>
      </c>
      <c r="G405" t="inlineStr">
        <is>
          <t>GÄVLE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29927-2022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44756</v>
      </c>
      <c r="E406" s="1" t="n">
        <v>46236</v>
      </c>
      <c r="F406" t="inlineStr">
        <is>
          <t>GÄVLEBORGS LÄN</t>
        </is>
      </c>
      <c r="G406" t="inlineStr">
        <is>
          <t>GÄVLE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46236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46236</v>
      </c>
      <c r="F408" t="inlineStr">
        <is>
          <t>GÄVLEBORGS LÄN</t>
        </is>
      </c>
      <c r="G408" t="inlineStr">
        <is>
          <t>GÄVLE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45014</v>
      </c>
      <c r="E409" s="1" t="n">
        <v>46236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46236</v>
      </c>
      <c r="F410" t="inlineStr">
        <is>
          <t>GÄVLEBORGS LÄN</t>
        </is>
      </c>
      <c r="G410" t="inlineStr">
        <is>
          <t>GÄVLE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54480-2025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45965</v>
      </c>
      <c r="E411" s="1" t="n">
        <v>46236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46236</v>
      </c>
      <c r="F412" t="inlineStr">
        <is>
          <t>GÄVLEBORGS LÄN</t>
        </is>
      </c>
      <c r="G412" t="inlineStr">
        <is>
          <t>GÄVLE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46236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46236</v>
      </c>
      <c r="F414" t="inlineStr">
        <is>
          <t>GÄVLEBORGS LÄN</t>
        </is>
      </c>
      <c r="G414" t="inlineStr">
        <is>
          <t>GÄVLE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46236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46236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45652</v>
      </c>
      <c r="E417" s="1" t="n">
        <v>46236</v>
      </c>
      <c r="F417" t="inlineStr">
        <is>
          <t>GÄVLEBORGS LÄN</t>
        </is>
      </c>
      <c r="G417" t="inlineStr">
        <is>
          <t>GÄVLE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46236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10.1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46236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46236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45967</v>
      </c>
      <c r="E421" s="1" t="n">
        <v>46236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46236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46236</v>
      </c>
      <c r="F423" t="inlineStr">
        <is>
          <t>GÄVLEBORGS LÄN</t>
        </is>
      </c>
      <c r="G423" t="inlineStr">
        <is>
          <t>GÄVLE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46236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46236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46236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46236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46202</v>
      </c>
      <c r="E428" s="1" t="n">
        <v>46236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46236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46236</v>
      </c>
      <c r="F430" t="inlineStr">
        <is>
          <t>GÄVLEBORGS LÄN</t>
        </is>
      </c>
      <c r="G430" t="inlineStr">
        <is>
          <t>GÄVLE</t>
        </is>
      </c>
      <c r="H430" t="inlineStr">
        <is>
          <t>Kyrkan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46236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46236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56268-2025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46236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6.8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46236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46236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46236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46236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46236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46236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46236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46236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45685</v>
      </c>
      <c r="E442" s="1" t="n">
        <v>46236</v>
      </c>
      <c r="F442" t="inlineStr">
        <is>
          <t>GÄVLEBORGS LÄN</t>
        </is>
      </c>
      <c r="G442" t="inlineStr">
        <is>
          <t>GÄVLE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45660</v>
      </c>
      <c r="E443" s="1" t="n">
        <v>46236</v>
      </c>
      <c r="F443" t="inlineStr">
        <is>
          <t>GÄVLEBORGS LÄN</t>
        </is>
      </c>
      <c r="G443" t="inlineStr">
        <is>
          <t>GÄVLE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45660</v>
      </c>
      <c r="E444" s="1" t="n">
        <v>46236</v>
      </c>
      <c r="F444" t="inlineStr">
        <is>
          <t>GÄVLEBORGS LÄN</t>
        </is>
      </c>
      <c r="G444" t="inlineStr">
        <is>
          <t>GÄVLE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46107</v>
      </c>
      <c r="E445" s="1" t="n">
        <v>46236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46236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46236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46236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46236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45176</v>
      </c>
      <c r="E450" s="1" t="n">
        <v>46236</v>
      </c>
      <c r="F450" t="inlineStr">
        <is>
          <t>GÄVLEBORGS LÄN</t>
        </is>
      </c>
      <c r="G450" t="inlineStr">
        <is>
          <t>GÄVLE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46236</v>
      </c>
      <c r="F451" t="inlineStr">
        <is>
          <t>GÄVLEBORGS LÄN</t>
        </is>
      </c>
      <c r="G451" t="inlineStr">
        <is>
          <t>GÄVLE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56120-2025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46236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56122-2025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45973</v>
      </c>
      <c r="E453" s="1" t="n">
        <v>46236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45681</v>
      </c>
      <c r="E454" s="1" t="n">
        <v>46236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8031-2024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45350</v>
      </c>
      <c r="E455" s="1" t="n">
        <v>46236</v>
      </c>
      <c r="F455" t="inlineStr">
        <is>
          <t>GÄVLEBORGS LÄN</t>
        </is>
      </c>
      <c r="G455" t="inlineStr">
        <is>
          <t>GÄVLE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44973</v>
      </c>
      <c r="E456" s="1" t="n">
        <v>46236</v>
      </c>
      <c r="F456" t="inlineStr">
        <is>
          <t>GÄVLEBORGS LÄN</t>
        </is>
      </c>
      <c r="G456" t="inlineStr">
        <is>
          <t>GÄVLE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46236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44589</v>
      </c>
      <c r="E458" s="1" t="n">
        <v>46236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46236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46236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46236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46236</v>
      </c>
      <c r="F462" t="inlineStr">
        <is>
          <t>GÄVLEBORGS LÄN</t>
        </is>
      </c>
      <c r="G462" t="inlineStr">
        <is>
          <t>GÄVLE</t>
        </is>
      </c>
      <c r="I462" t="n">
        <v>8.699999999999999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46236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46236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46236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71249-2021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46236</v>
      </c>
      <c r="F466" t="inlineStr">
        <is>
          <t>GÄVLEBORGS LÄN</t>
        </is>
      </c>
      <c r="G466" t="inlineStr">
        <is>
          <t>GÄVLE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46236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45312</v>
      </c>
      <c r="E468" s="1" t="n">
        <v>46236</v>
      </c>
      <c r="F468" t="inlineStr">
        <is>
          <t>GÄVLEBORGS LÄN</t>
        </is>
      </c>
      <c r="G468" t="inlineStr">
        <is>
          <t>GÄVLE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45026</v>
      </c>
      <c r="E469" s="1" t="n">
        <v>46236</v>
      </c>
      <c r="F469" t="inlineStr">
        <is>
          <t>GÄVLEBORGS LÄN</t>
        </is>
      </c>
      <c r="G469" t="inlineStr">
        <is>
          <t>GÄVLE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46236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46236</v>
      </c>
      <c r="F471" t="inlineStr">
        <is>
          <t>GÄVLEBORGS LÄN</t>
        </is>
      </c>
      <c r="G471" t="inlineStr">
        <is>
          <t>GÄVLE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46236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52.7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46236</v>
      </c>
      <c r="F473" t="inlineStr">
        <is>
          <t>GÄVLEBORGS LÄN</t>
        </is>
      </c>
      <c r="G473" t="inlineStr">
        <is>
          <t>GÄVLE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46236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45320</v>
      </c>
      <c r="E475" s="1" t="n">
        <v>46236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46236</v>
      </c>
      <c r="F476" t="inlineStr">
        <is>
          <t>GÄVLEBORGS LÄN</t>
        </is>
      </c>
      <c r="G476" t="inlineStr">
        <is>
          <t>GÄVLE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46236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46236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46236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45912</v>
      </c>
      <c r="E480" s="1" t="n">
        <v>46236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45922</v>
      </c>
      <c r="E481" s="1" t="n">
        <v>46236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45548-2025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45922</v>
      </c>
      <c r="E482" s="1" t="n">
        <v>46236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46236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46236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46236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45912</v>
      </c>
      <c r="E486" s="1" t="n">
        <v>46236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46236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46236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45987</v>
      </c>
      <c r="E489" s="1" t="n">
        <v>46236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45456-2025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46236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46236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46236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46236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46236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46236</v>
      </c>
      <c r="F495" t="inlineStr">
        <is>
          <t>GÄVLEBORGS LÄN</t>
        </is>
      </c>
      <c r="G495" t="inlineStr">
        <is>
          <t>GÄVLE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52250-2024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45608</v>
      </c>
      <c r="E496" s="1" t="n">
        <v>46236</v>
      </c>
      <c r="F496" t="inlineStr">
        <is>
          <t>GÄVLEBORGS LÄN</t>
        </is>
      </c>
      <c r="G496" t="inlineStr">
        <is>
          <t>GÄVLE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46236</v>
      </c>
      <c r="F497" t="inlineStr">
        <is>
          <t>GÄVLEBORGS LÄN</t>
        </is>
      </c>
      <c r="G497" t="inlineStr">
        <is>
          <t>GÄVLE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44951</v>
      </c>
      <c r="E498" s="1" t="n">
        <v>46236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7743-2025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46236</v>
      </c>
      <c r="F499" t="inlineStr">
        <is>
          <t>GÄVLEBORGS LÄN</t>
        </is>
      </c>
      <c r="G499" t="inlineStr">
        <is>
          <t>GÄVLE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45203</v>
      </c>
      <c r="E500" s="1" t="n">
        <v>46236</v>
      </c>
      <c r="F500" t="inlineStr">
        <is>
          <t>GÄVLEBORGS LÄN</t>
        </is>
      </c>
      <c r="G500" t="inlineStr">
        <is>
          <t>GÄVLE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45468</v>
      </c>
      <c r="E501" s="1" t="n">
        <v>46236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9.9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46236</v>
      </c>
      <c r="F502" t="inlineStr">
        <is>
          <t>GÄVLEBORGS LÄN</t>
        </is>
      </c>
      <c r="G502" t="inlineStr">
        <is>
          <t>GÄVLE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46236</v>
      </c>
      <c r="F503" t="inlineStr">
        <is>
          <t>GÄVLEBORGS LÄN</t>
        </is>
      </c>
      <c r="G503" t="inlineStr">
        <is>
          <t>GÄVLE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46236</v>
      </c>
      <c r="F504" t="inlineStr">
        <is>
          <t>GÄVLEBORGS LÄN</t>
        </is>
      </c>
      <c r="G504" t="inlineStr">
        <is>
          <t>GÄVLE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45757</v>
      </c>
      <c r="E505" s="1" t="n">
        <v>46236</v>
      </c>
      <c r="F505" t="inlineStr">
        <is>
          <t>GÄVLEBORGS LÄN</t>
        </is>
      </c>
      <c r="G505" t="inlineStr">
        <is>
          <t>GÄVLE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46236</v>
      </c>
      <c r="F506" t="inlineStr">
        <is>
          <t>GÄVLEBORGS LÄN</t>
        </is>
      </c>
      <c r="G506" t="inlineStr">
        <is>
          <t>GÄVLE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46236</v>
      </c>
      <c r="F507" t="inlineStr">
        <is>
          <t>GÄVLEBORGS LÄN</t>
        </is>
      </c>
      <c r="G507" t="inlineStr">
        <is>
          <t>GÄVLE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60038-2025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45993</v>
      </c>
      <c r="E508" s="1" t="n">
        <v>46236</v>
      </c>
      <c r="F508" t="inlineStr">
        <is>
          <t>GÄVLEBORGS LÄN</t>
        </is>
      </c>
      <c r="G508" t="inlineStr">
        <is>
          <t>GÄVLE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46236</v>
      </c>
      <c r="F509" t="inlineStr">
        <is>
          <t>GÄVLEBORGS LÄN</t>
        </is>
      </c>
      <c r="G509" t="inlineStr">
        <is>
          <t>GÄVLE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23591-2026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46163</v>
      </c>
      <c r="E510" s="1" t="n">
        <v>46236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46236</v>
      </c>
      <c r="F511" t="inlineStr">
        <is>
          <t>GÄVLEBORGS LÄN</t>
        </is>
      </c>
      <c r="G511" t="inlineStr">
        <is>
          <t>GÄVLE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45757</v>
      </c>
      <c r="E512" s="1" t="n">
        <v>46236</v>
      </c>
      <c r="F512" t="inlineStr">
        <is>
          <t>GÄVLEBORGS LÄN</t>
        </is>
      </c>
      <c r="G512" t="inlineStr">
        <is>
          <t>GÄVLE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46236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46236</v>
      </c>
      <c r="F514" t="inlineStr">
        <is>
          <t>GÄVLEBORGS LÄN</t>
        </is>
      </c>
      <c r="G514" t="inlineStr">
        <is>
          <t>GÄVLE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46236</v>
      </c>
      <c r="F515" t="inlineStr">
        <is>
          <t>GÄVLEBORGS LÄN</t>
        </is>
      </c>
      <c r="G515" t="inlineStr">
        <is>
          <t>GÄVLE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62983-2023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45272</v>
      </c>
      <c r="E516" s="1" t="n">
        <v>46236</v>
      </c>
      <c r="F516" t="inlineStr">
        <is>
          <t>GÄVLEBORGS LÄN</t>
        </is>
      </c>
      <c r="G516" t="inlineStr">
        <is>
          <t>GÄVLE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52387-2022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44874</v>
      </c>
      <c r="E517" s="1" t="n">
        <v>46236</v>
      </c>
      <c r="F517" t="inlineStr">
        <is>
          <t>GÄVLEBORGS LÄN</t>
        </is>
      </c>
      <c r="G517" t="inlineStr">
        <is>
          <t>GÄVLE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46236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46210</v>
      </c>
      <c r="E519" s="1" t="n">
        <v>46236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50871-2022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44867</v>
      </c>
      <c r="E520" s="1" t="n">
        <v>46236</v>
      </c>
      <c r="F520" t="inlineStr">
        <is>
          <t>GÄVLEBORGS LÄN</t>
        </is>
      </c>
      <c r="G520" t="inlineStr">
        <is>
          <t>GÄVLE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46236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60922-2025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46236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61093-2025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46236</v>
      </c>
      <c r="F523" t="inlineStr">
        <is>
          <t>GÄVLEBORGS LÄN</t>
        </is>
      </c>
      <c r="G523" t="inlineStr">
        <is>
          <t>GÄVLE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46236</v>
      </c>
      <c r="F524" t="inlineStr">
        <is>
          <t>GÄVLEBORGS LÄN</t>
        </is>
      </c>
      <c r="G524" t="inlineStr">
        <is>
          <t>GÄVLE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46168</v>
      </c>
      <c r="E525" s="1" t="n">
        <v>46236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46236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61648-2025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46002</v>
      </c>
      <c r="E527" s="1" t="n">
        <v>46236</v>
      </c>
      <c r="F527" t="inlineStr">
        <is>
          <t>GÄVLEBORGS LÄN</t>
        </is>
      </c>
      <c r="G527" t="inlineStr">
        <is>
          <t>GÄVLE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61651-2025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46002</v>
      </c>
      <c r="E528" s="1" t="n">
        <v>46236</v>
      </c>
      <c r="F528" t="inlineStr">
        <is>
          <t>GÄVLEBORGS LÄN</t>
        </is>
      </c>
      <c r="G528" t="inlineStr">
        <is>
          <t>GÄVLE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46207</v>
      </c>
      <c r="E529" s="1" t="n">
        <v>46236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46002</v>
      </c>
      <c r="E530" s="1" t="n">
        <v>46236</v>
      </c>
      <c r="F530" t="inlineStr">
        <is>
          <t>GÄVLEBORGS LÄN</t>
        </is>
      </c>
      <c r="G530" t="inlineStr">
        <is>
          <t>GÄVLE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61449-2025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46236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61880-2025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46003</v>
      </c>
      <c r="E532" s="1" t="n">
        <v>46236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45334</v>
      </c>
      <c r="E533" s="1" t="n">
        <v>46236</v>
      </c>
      <c r="F533" t="inlineStr">
        <is>
          <t>GÄVLEBORGS LÄN</t>
        </is>
      </c>
      <c r="G533" t="inlineStr">
        <is>
          <t>GÄVLE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46006</v>
      </c>
      <c r="E534" s="1" t="n">
        <v>46236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46236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45278-2022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46236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46236</v>
      </c>
      <c r="F537" t="inlineStr">
        <is>
          <t>GÄVLEBORGS LÄN</t>
        </is>
      </c>
      <c r="G537" t="inlineStr">
        <is>
          <t>GÄVLE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46168</v>
      </c>
      <c r="E538" s="1" t="n">
        <v>46236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46210</v>
      </c>
      <c r="E539" s="1" t="n">
        <v>46236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71215-2021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44539</v>
      </c>
      <c r="E540" s="1" t="n">
        <v>46236</v>
      </c>
      <c r="F540" t="inlineStr">
        <is>
          <t>GÄVLEBORGS LÄN</t>
        </is>
      </c>
      <c r="G540" t="inlineStr">
        <is>
          <t>GÄVLE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46236</v>
      </c>
      <c r="F541" t="inlineStr">
        <is>
          <t>GÄVLEBORGS LÄN</t>
        </is>
      </c>
      <c r="G541" t="inlineStr">
        <is>
          <t>GÄVLE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24398-2026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46169</v>
      </c>
      <c r="E542" s="1" t="n">
        <v>46236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46169</v>
      </c>
      <c r="E543" s="1" t="n">
        <v>46236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62742-2025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46236</v>
      </c>
      <c r="F544" t="inlineStr">
        <is>
          <t>GÄVLEBORGS LÄN</t>
        </is>
      </c>
      <c r="G544" t="inlineStr">
        <is>
          <t>GÄVLE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46236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46236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46169</v>
      </c>
      <c r="E547" s="1" t="n">
        <v>46236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24373-2026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46169</v>
      </c>
      <c r="E548" s="1" t="n">
        <v>46236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24294-2026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46236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46236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34600-2024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46236</v>
      </c>
      <c r="F551" t="inlineStr">
        <is>
          <t>GÄVLEBORGS LÄN</t>
        </is>
      </c>
      <c r="G551" t="inlineStr">
        <is>
          <t>GÄVLE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46236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45240</v>
      </c>
      <c r="E553" s="1" t="n">
        <v>46236</v>
      </c>
      <c r="F553" t="inlineStr">
        <is>
          <t>GÄVLEBORGS LÄN</t>
        </is>
      </c>
      <c r="G553" t="inlineStr">
        <is>
          <t>GÄVLE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25768-2022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44733</v>
      </c>
      <c r="E554" s="1" t="n">
        <v>46236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45217</v>
      </c>
      <c r="E555" s="1" t="n">
        <v>46236</v>
      </c>
      <c r="F555" t="inlineStr">
        <is>
          <t>GÄVLEBORGS LÄN</t>
        </is>
      </c>
      <c r="G555" t="inlineStr">
        <is>
          <t>GÄVLE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48834-2024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45593</v>
      </c>
      <c r="E556" s="1" t="n">
        <v>46236</v>
      </c>
      <c r="F556" t="inlineStr">
        <is>
          <t>GÄVLEBORGS LÄN</t>
        </is>
      </c>
      <c r="G556" t="inlineStr">
        <is>
          <t>GÄVLE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46236</v>
      </c>
      <c r="F557" t="inlineStr">
        <is>
          <t>GÄVLEBORGS LÄN</t>
        </is>
      </c>
      <c r="G557" t="inlineStr">
        <is>
          <t>GÄVLE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46213</v>
      </c>
      <c r="E558" s="1" t="n">
        <v>46236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42876-2023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46236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22.7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24669-2026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46171</v>
      </c>
      <c r="E560" s="1" t="n">
        <v>46236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21.4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46236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46173</v>
      </c>
      <c r="E562" s="1" t="n">
        <v>46236</v>
      </c>
      <c r="F562" t="inlineStr">
        <is>
          <t>GÄVLEBORGS LÄN</t>
        </is>
      </c>
      <c r="G562" t="inlineStr">
        <is>
          <t>GÄVLE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46236</v>
      </c>
      <c r="F563" t="inlineStr">
        <is>
          <t>GÄVLEBORGS LÄN</t>
        </is>
      </c>
      <c r="G563" t="inlineStr">
        <is>
          <t>GÄVLE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46213</v>
      </c>
      <c r="E564" s="1" t="n">
        <v>46236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63801-2025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46019</v>
      </c>
      <c r="E565" s="1" t="n">
        <v>46236</v>
      </c>
      <c r="F565" t="inlineStr">
        <is>
          <t>GÄVLEBORGS LÄN</t>
        </is>
      </c>
      <c r="G565" t="inlineStr">
        <is>
          <t>GÄVLE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54953-2025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45967</v>
      </c>
      <c r="E566" s="1" t="n">
        <v>46236</v>
      </c>
      <c r="F566" t="inlineStr">
        <is>
          <t>GÄVLEBORGS LÄN</t>
        </is>
      </c>
      <c r="G566" t="inlineStr">
        <is>
          <t>GÄVLE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47694-2025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45931</v>
      </c>
      <c r="E567" s="1" t="n">
        <v>46236</v>
      </c>
      <c r="F567" t="inlineStr">
        <is>
          <t>GÄVLEBORGS LÄN</t>
        </is>
      </c>
      <c r="G567" t="inlineStr">
        <is>
          <t>GÄVLE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48864-2025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45937</v>
      </c>
      <c r="E568" s="1" t="n">
        <v>46236</v>
      </c>
      <c r="F568" t="inlineStr">
        <is>
          <t>GÄVLEBORGS LÄN</t>
        </is>
      </c>
      <c r="G568" t="inlineStr">
        <is>
          <t>GÄVLE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45855</v>
      </c>
      <c r="E569" s="1" t="n">
        <v>46236</v>
      </c>
      <c r="F569" t="inlineStr">
        <is>
          <t>GÄVLEBORGS LÄN</t>
        </is>
      </c>
      <c r="G569" t="inlineStr">
        <is>
          <t>GÄVLE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46800-2021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44446</v>
      </c>
      <c r="E570" s="1" t="n">
        <v>46236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63800-2025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46019</v>
      </c>
      <c r="E571" s="1" t="n">
        <v>46236</v>
      </c>
      <c r="F571" t="inlineStr">
        <is>
          <t>GÄVLEBORGS LÄN</t>
        </is>
      </c>
      <c r="G571" t="inlineStr">
        <is>
          <t>GÄVLE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42788-2025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45908</v>
      </c>
      <c r="E572" s="1" t="n">
        <v>46236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45932</v>
      </c>
      <c r="E573" s="1" t="n">
        <v>46236</v>
      </c>
      <c r="F573" t="inlineStr">
        <is>
          <t>GÄVLEBORGS LÄN</t>
        </is>
      </c>
      <c r="G573" t="inlineStr">
        <is>
          <t>GÄVLE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47981-2025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45932</v>
      </c>
      <c r="E574" s="1" t="n">
        <v>46236</v>
      </c>
      <c r="F574" t="inlineStr">
        <is>
          <t>GÄVLEBORGS LÄN</t>
        </is>
      </c>
      <c r="G574" t="inlineStr">
        <is>
          <t>GÄVLE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46213</v>
      </c>
      <c r="E575" s="1" t="n">
        <v>46236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48928-2025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45937</v>
      </c>
      <c r="E576" s="1" t="n">
        <v>46236</v>
      </c>
      <c r="F576" t="inlineStr">
        <is>
          <t>GÄVLEBORGS LÄN</t>
        </is>
      </c>
      <c r="G576" t="inlineStr">
        <is>
          <t>GÄVLE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45908</v>
      </c>
      <c r="E577" s="1" t="n">
        <v>46236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64142-2025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46022</v>
      </c>
      <c r="E578" s="1" t="n">
        <v>46236</v>
      </c>
      <c r="F578" t="inlineStr">
        <is>
          <t>GÄVLEBORGS LÄN</t>
        </is>
      </c>
      <c r="G578" t="inlineStr">
        <is>
          <t>GÄVLE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61016-2024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46236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47916-2025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45932</v>
      </c>
      <c r="E580" s="1" t="n">
        <v>46236</v>
      </c>
      <c r="F580" t="inlineStr">
        <is>
          <t>GÄVLEBORGS LÄN</t>
        </is>
      </c>
      <c r="G580" t="inlineStr">
        <is>
          <t>GÄVLE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45672</v>
      </c>
      <c r="E581" s="1" t="n">
        <v>46236</v>
      </c>
      <c r="F581" t="inlineStr">
        <is>
          <t>GÄVLEBORGS LÄN</t>
        </is>
      </c>
      <c r="G581" t="inlineStr">
        <is>
          <t>GÄVLE</t>
        </is>
      </c>
      <c r="H581" t="inlineStr">
        <is>
          <t>Kyrkan</t>
        </is>
      </c>
      <c r="I581" t="n">
        <v>6.7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45660</v>
      </c>
      <c r="E582" s="1" t="n">
        <v>46236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45660</v>
      </c>
      <c r="E583" s="1" t="n">
        <v>46236</v>
      </c>
      <c r="F583" t="inlineStr">
        <is>
          <t>GÄVLEBORGS LÄN</t>
        </is>
      </c>
      <c r="G583" t="inlineStr">
        <is>
          <t>GÄVLE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46236</v>
      </c>
      <c r="F584" t="inlineStr">
        <is>
          <t>GÄVLEBORGS LÄN</t>
        </is>
      </c>
      <c r="G584" t="inlineStr">
        <is>
          <t>GÄVLE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46236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989-2023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44935</v>
      </c>
      <c r="E586" s="1" t="n">
        <v>46236</v>
      </c>
      <c r="F586" t="inlineStr">
        <is>
          <t>GÄVLEBORGS LÄN</t>
        </is>
      </c>
      <c r="G586" t="inlineStr">
        <is>
          <t>GÄVLE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46236</v>
      </c>
      <c r="F587" t="inlineStr">
        <is>
          <t>GÄVLEBORGS LÄN</t>
        </is>
      </c>
      <c r="G587" t="inlineStr">
        <is>
          <t>GÄVLE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46236</v>
      </c>
      <c r="F588" t="inlineStr">
        <is>
          <t>GÄVLEBORGS LÄN</t>
        </is>
      </c>
      <c r="G588" t="inlineStr">
        <is>
          <t>GÄVLE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46236</v>
      </c>
      <c r="F589" t="inlineStr">
        <is>
          <t>GÄVLEBORGS LÄN</t>
        </is>
      </c>
      <c r="G589" t="inlineStr">
        <is>
          <t>GÄVLE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61786-2024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45649</v>
      </c>
      <c r="E590" s="1" t="n">
        <v>46236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46236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46034</v>
      </c>
      <c r="E592" s="1" t="n">
        <v>46236</v>
      </c>
      <c r="F592" t="inlineStr">
        <is>
          <t>GÄVLEBORGS LÄN</t>
        </is>
      </c>
      <c r="G592" t="inlineStr">
        <is>
          <t>GÄVLE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45162</v>
      </c>
      <c r="E593" s="1" t="n">
        <v>46236</v>
      </c>
      <c r="F593" t="inlineStr">
        <is>
          <t>GÄVLEBORGS LÄN</t>
        </is>
      </c>
      <c r="G593" t="inlineStr">
        <is>
          <t>GÄVLE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46003</v>
      </c>
      <c r="E594" s="1" t="n">
        <v>46236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46236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46236</v>
      </c>
      <c r="F596" t="inlineStr">
        <is>
          <t>GÄVLEBORGS LÄN</t>
        </is>
      </c>
      <c r="G596" t="inlineStr">
        <is>
          <t>GÄVLE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46236</v>
      </c>
      <c r="F597" t="inlineStr">
        <is>
          <t>GÄVLEBORGS LÄN</t>
        </is>
      </c>
      <c r="G597" t="inlineStr">
        <is>
          <t>GÄVLE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45519</v>
      </c>
      <c r="E598" s="1" t="n">
        <v>46236</v>
      </c>
      <c r="F598" t="inlineStr">
        <is>
          <t>GÄVLEBORGS LÄN</t>
        </is>
      </c>
      <c r="G598" t="inlineStr">
        <is>
          <t>GÄVLE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46236</v>
      </c>
      <c r="F599" t="inlineStr">
        <is>
          <t>GÄVLEBORGS LÄN</t>
        </is>
      </c>
      <c r="G599" t="inlineStr">
        <is>
          <t>GÄVLE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46236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46236</v>
      </c>
      <c r="F601" t="inlineStr">
        <is>
          <t>GÄVLEBORGS LÄN</t>
        </is>
      </c>
      <c r="G601" t="inlineStr">
        <is>
          <t>GÄVLE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46236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44910</v>
      </c>
      <c r="E603" s="1" t="n">
        <v>46236</v>
      </c>
      <c r="F603" t="inlineStr">
        <is>
          <t>GÄVLEBORGS LÄN</t>
        </is>
      </c>
      <c r="G603" t="inlineStr">
        <is>
          <t>GÄVLE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60396-2022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44910</v>
      </c>
      <c r="E604" s="1" t="n">
        <v>46236</v>
      </c>
      <c r="F604" t="inlineStr">
        <is>
          <t>GÄVLEBORGS LÄN</t>
        </is>
      </c>
      <c r="G604" t="inlineStr">
        <is>
          <t>GÄVLE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45645</v>
      </c>
      <c r="E605" s="1" t="n">
        <v>46236</v>
      </c>
      <c r="F605" t="inlineStr">
        <is>
          <t>GÄVLEBORGS LÄN</t>
        </is>
      </c>
      <c r="G605" t="inlineStr">
        <is>
          <t>GÄVLE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46147</v>
      </c>
      <c r="E606" s="1" t="n">
        <v>46236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25367-2026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46236</v>
      </c>
      <c r="F607" t="inlineStr">
        <is>
          <t>GÄVLEBORGS LÄN</t>
        </is>
      </c>
      <c r="G607" t="inlineStr">
        <is>
          <t>GÄVLE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62766-2022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44885</v>
      </c>
      <c r="E608" s="1" t="n">
        <v>46236</v>
      </c>
      <c r="F608" t="inlineStr">
        <is>
          <t>GÄVLEBORGS LÄN</t>
        </is>
      </c>
      <c r="G608" t="inlineStr">
        <is>
          <t>GÄVLE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46549-2021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44445</v>
      </c>
      <c r="E609" s="1" t="n">
        <v>46236</v>
      </c>
      <c r="F609" t="inlineStr">
        <is>
          <t>GÄVLEBORGS LÄN</t>
        </is>
      </c>
      <c r="G609" t="inlineStr">
        <is>
          <t>GÄVLE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46236</v>
      </c>
      <c r="F610" t="inlineStr">
        <is>
          <t>GÄVLEBORGS LÄN</t>
        </is>
      </c>
      <c r="G610" t="inlineStr">
        <is>
          <t>GÄVLE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46217</v>
      </c>
      <c r="E611" s="1" t="n">
        <v>46236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väst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46236</v>
      </c>
      <c r="F612" t="inlineStr">
        <is>
          <t>GÄVLEBORGS LÄN</t>
        </is>
      </c>
      <c r="G612" t="inlineStr">
        <is>
          <t>GÄVLE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46223</v>
      </c>
      <c r="E613" s="1" t="n">
        <v>46236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45306</v>
      </c>
      <c r="E614" s="1" t="n">
        <v>46236</v>
      </c>
      <c r="F614" t="inlineStr">
        <is>
          <t>GÄVLEBORGS LÄN</t>
        </is>
      </c>
      <c r="G614" t="inlineStr">
        <is>
          <t>GÄVLE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46178</v>
      </c>
      <c r="E615" s="1" t="n">
        <v>46236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46236</v>
      </c>
      <c r="F616" t="inlineStr">
        <is>
          <t>GÄVLEBORGS LÄN</t>
        </is>
      </c>
      <c r="G616" t="inlineStr">
        <is>
          <t>GÄVLE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38255-2023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45161</v>
      </c>
      <c r="E617" s="1" t="n">
        <v>46236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72734-2021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44546</v>
      </c>
      <c r="E618" s="1" t="n">
        <v>46236</v>
      </c>
      <c r="F618" t="inlineStr">
        <is>
          <t>GÄVLEBORGS LÄN</t>
        </is>
      </c>
      <c r="G618" t="inlineStr">
        <is>
          <t>GÄVLE</t>
        </is>
      </c>
      <c r="H618" t="inlineStr">
        <is>
          <t>Kommuner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46236</v>
      </c>
      <c r="F619" t="inlineStr">
        <is>
          <t>GÄVLEBORGS LÄN</t>
        </is>
      </c>
      <c r="G619" t="inlineStr">
        <is>
          <t>GÄVLE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46236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46236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45104</v>
      </c>
      <c r="E622" s="1" t="n">
        <v>46236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17245-2024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45414</v>
      </c>
      <c r="E623" s="1" t="n">
        <v>46236</v>
      </c>
      <c r="F623" t="inlineStr">
        <is>
          <t>GÄVLEBORGS LÄN</t>
        </is>
      </c>
      <c r="G623" t="inlineStr">
        <is>
          <t>GÄVLE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31528-2026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46220</v>
      </c>
      <c r="E624" s="1" t="n">
        <v>46236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11.4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17113-2024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45412</v>
      </c>
      <c r="E625" s="1" t="n">
        <v>46236</v>
      </c>
      <c r="F625" t="inlineStr">
        <is>
          <t>GÄVLEBORGS LÄN</t>
        </is>
      </c>
      <c r="G625" t="inlineStr">
        <is>
          <t>GÄVLE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46236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46236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32353-2023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45120</v>
      </c>
      <c r="E628" s="1" t="n">
        <v>46236</v>
      </c>
      <c r="F628" t="inlineStr">
        <is>
          <t>GÄVLEBORGS LÄN</t>
        </is>
      </c>
      <c r="G628" t="inlineStr">
        <is>
          <t>GÄVLE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46051</v>
      </c>
      <c r="E629" s="1" t="n">
        <v>46236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26016-2026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46236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12228-2022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44637</v>
      </c>
      <c r="E631" s="1" t="n">
        <v>46236</v>
      </c>
      <c r="F631" t="inlineStr">
        <is>
          <t>GÄVLEBORGS LÄN</t>
        </is>
      </c>
      <c r="G631" t="inlineStr">
        <is>
          <t>GÄVLE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46236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46236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46236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45719</v>
      </c>
      <c r="E635" s="1" t="n">
        <v>46236</v>
      </c>
      <c r="F635" t="inlineStr">
        <is>
          <t>GÄVLEBORGS LÄN</t>
        </is>
      </c>
      <c r="G635" t="inlineStr">
        <is>
          <t>GÄVLE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46056</v>
      </c>
      <c r="E636" s="1" t="n">
        <v>46236</v>
      </c>
      <c r="F636" t="inlineStr">
        <is>
          <t>GÄVLEBORGS LÄN</t>
        </is>
      </c>
      <c r="G636" t="inlineStr">
        <is>
          <t>GÄVLE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46236</v>
      </c>
      <c r="F637" t="inlineStr">
        <is>
          <t>GÄVLEBORGS LÄN</t>
        </is>
      </c>
      <c r="G637" t="inlineStr">
        <is>
          <t>GÄVLE</t>
        </is>
      </c>
      <c r="I637" t="n">
        <v>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46236</v>
      </c>
      <c r="F638" t="inlineStr">
        <is>
          <t>GÄVLEBORGS LÄN</t>
        </is>
      </c>
      <c r="G638" t="inlineStr">
        <is>
          <t>GÄVLE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46236</v>
      </c>
      <c r="F639" t="inlineStr">
        <is>
          <t>GÄVLEBORGS LÄN</t>
        </is>
      </c>
      <c r="G639" t="inlineStr">
        <is>
          <t>GÄVLE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46236</v>
      </c>
      <c r="F640" t="inlineStr">
        <is>
          <t>GÄVLEBORGS LÄN</t>
        </is>
      </c>
      <c r="G640" t="inlineStr">
        <is>
          <t>GÄVLE</t>
        </is>
      </c>
      <c r="H640" t="inlineStr">
        <is>
          <t>Övriga statliga verk och myndigheter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7239-2026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46236</v>
      </c>
      <c r="F641" t="inlineStr">
        <is>
          <t>GÄVLEBORGS LÄN</t>
        </is>
      </c>
      <c r="G641" t="inlineStr">
        <is>
          <t>GÄVLE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39509-2022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44818</v>
      </c>
      <c r="E642" s="1" t="n">
        <v>46236</v>
      </c>
      <c r="F642" t="inlineStr">
        <is>
          <t>GÄVLEBORGS LÄN</t>
        </is>
      </c>
      <c r="G642" t="inlineStr">
        <is>
          <t>GÄVLE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4290-2024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45324</v>
      </c>
      <c r="E643" s="1" t="n">
        <v>46236</v>
      </c>
      <c r="F643" t="inlineStr">
        <is>
          <t>GÄVLEBORGS LÄN</t>
        </is>
      </c>
      <c r="G643" t="inlineStr">
        <is>
          <t>GÄVLE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46236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42934-2023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45182</v>
      </c>
      <c r="E645" s="1" t="n">
        <v>46236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46236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46236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46236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46236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46236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46236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46236</v>
      </c>
      <c r="F652" t="inlineStr">
        <is>
          <t>GÄVLEBORGS LÄN</t>
        </is>
      </c>
      <c r="G652" t="inlineStr">
        <is>
          <t>GÄVLE</t>
        </is>
      </c>
      <c r="H652" t="inlineStr">
        <is>
          <t>Kyrkan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46236</v>
      </c>
      <c r="F653" t="inlineStr">
        <is>
          <t>GÄVLEBORGS LÄN</t>
        </is>
      </c>
      <c r="G653" t="inlineStr">
        <is>
          <t>GÄVLE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46236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46236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46236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11.6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8303-2026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46063</v>
      </c>
      <c r="E657" s="1" t="n">
        <v>46236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46236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27041-2026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46236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46236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46236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26658-2026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46184</v>
      </c>
      <c r="E662" s="1" t="n">
        <v>46236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8298-2026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46236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8301-2026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46236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44585</v>
      </c>
      <c r="E665" s="1" t="n">
        <v>46236</v>
      </c>
      <c r="F665" t="inlineStr">
        <is>
          <t>GÄVLEBORGS LÄN</t>
        </is>
      </c>
      <c r="G665" t="inlineStr">
        <is>
          <t>GÄVLE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46236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46236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46236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35440-2023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45146</v>
      </c>
      <c r="E669" s="1" t="n">
        <v>46236</v>
      </c>
      <c r="F669" t="inlineStr">
        <is>
          <t>GÄVLEBORGS LÄN</t>
        </is>
      </c>
      <c r="G669" t="inlineStr">
        <is>
          <t>GÄVLE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31866-2023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46236</v>
      </c>
      <c r="F670" t="inlineStr">
        <is>
          <t>GÄVLEBORGS LÄN</t>
        </is>
      </c>
      <c r="G670" t="inlineStr">
        <is>
          <t>GÄVLE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40091-2023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45168</v>
      </c>
      <c r="E671" s="1" t="n">
        <v>46236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26942-2026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46236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26991-2026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46236</v>
      </c>
      <c r="F673" t="inlineStr">
        <is>
          <t>GÄVLEBORGS LÄN</t>
        </is>
      </c>
      <c r="G673" t="inlineStr">
        <is>
          <t>GÄVLE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46236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46236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46236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33901-2024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45523</v>
      </c>
      <c r="E677" s="1" t="n">
        <v>46236</v>
      </c>
      <c r="F677" t="inlineStr">
        <is>
          <t>GÄVLEBORGS LÄN</t>
        </is>
      </c>
      <c r="G677" t="inlineStr">
        <is>
          <t>GÄVLE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45660</v>
      </c>
      <c r="E678" s="1" t="n">
        <v>46236</v>
      </c>
      <c r="F678" t="inlineStr">
        <is>
          <t>GÄVLEBORGS LÄN</t>
        </is>
      </c>
      <c r="G678" t="inlineStr">
        <is>
          <t>GÄVLE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46236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46236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60792-2024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46236</v>
      </c>
      <c r="F681" t="inlineStr">
        <is>
          <t>GÄVLEBORGS LÄN</t>
        </is>
      </c>
      <c r="G681" t="inlineStr">
        <is>
          <t>GÄVLE</t>
        </is>
      </c>
      <c r="H681" t="inlineStr">
        <is>
          <t>Kyrkan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46236</v>
      </c>
      <c r="F682" t="inlineStr">
        <is>
          <t>GÄVLEBORGS LÄN</t>
        </is>
      </c>
      <c r="G682" t="inlineStr">
        <is>
          <t>GÄVLE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46236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27360-2026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46236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46069</v>
      </c>
      <c r="E685" s="1" t="n">
        <v>46236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väst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9129-2026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46069</v>
      </c>
      <c r="E686" s="1" t="n">
        <v>46236</v>
      </c>
      <c r="F686" t="inlineStr">
        <is>
          <t>GÄVLEBORGS LÄN</t>
        </is>
      </c>
      <c r="G686" t="inlineStr">
        <is>
          <t>GÄVLE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47143-2024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45586</v>
      </c>
      <c r="E687" s="1" t="n">
        <v>46236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46071</v>
      </c>
      <c r="E688" s="1" t="n">
        <v>46236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9779-2026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46236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28905-2023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45104</v>
      </c>
      <c r="E690" s="1" t="n">
        <v>46236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27361-2026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46236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45699</v>
      </c>
      <c r="E692" s="1" t="n">
        <v>46236</v>
      </c>
      <c r="F692" t="inlineStr">
        <is>
          <t>GÄVLEBORGS LÄN</t>
        </is>
      </c>
      <c r="G692" t="inlineStr">
        <is>
          <t>GÄVLE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7235-2025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45702</v>
      </c>
      <c r="E693" s="1" t="n">
        <v>46236</v>
      </c>
      <c r="F693" t="inlineStr">
        <is>
          <t>GÄVLEBORGS LÄN</t>
        </is>
      </c>
      <c r="G693" t="inlineStr">
        <is>
          <t>GÄVLE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46236</v>
      </c>
      <c r="F694" t="inlineStr">
        <is>
          <t>GÄVLEBORGS LÄN</t>
        </is>
      </c>
      <c r="G694" t="inlineStr">
        <is>
          <t>GÄVLE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9673-2026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46072</v>
      </c>
      <c r="E695" s="1" t="n">
        <v>46236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10273-2026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46236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46236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10063-2026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46073</v>
      </c>
      <c r="E698" s="1" t="n">
        <v>46236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10504-2026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46077</v>
      </c>
      <c r="E699" s="1" t="n">
        <v>46236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61004-2024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45645</v>
      </c>
      <c r="E700" s="1" t="n">
        <v>46236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46079</v>
      </c>
      <c r="E701" s="1" t="n">
        <v>46236</v>
      </c>
      <c r="F701" t="inlineStr">
        <is>
          <t>GÄVLEBORGS LÄN</t>
        </is>
      </c>
      <c r="G701" t="inlineStr">
        <is>
          <t>GÄVLE</t>
        </is>
      </c>
      <c r="H701" t="inlineStr">
        <is>
          <t>Kommuner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30662-2022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44763</v>
      </c>
      <c r="E702" s="1" t="n">
        <v>46236</v>
      </c>
      <c r="F702" t="inlineStr">
        <is>
          <t>GÄVLEBORGS LÄN</t>
        </is>
      </c>
      <c r="G702" t="inlineStr">
        <is>
          <t>GÄVLE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15935-2025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45749</v>
      </c>
      <c r="E703" s="1" t="n">
        <v>46236</v>
      </c>
      <c r="F703" t="inlineStr">
        <is>
          <t>GÄVLEBORGS LÄN</t>
        </is>
      </c>
      <c r="G703" t="inlineStr">
        <is>
          <t>GÄVLE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46236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18217-2024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45420</v>
      </c>
      <c r="E705" s="1" t="n">
        <v>46236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20682-2023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45058</v>
      </c>
      <c r="E706" s="1" t="n">
        <v>46236</v>
      </c>
      <c r="F706" t="inlineStr">
        <is>
          <t>GÄVLEBORGS LÄN</t>
        </is>
      </c>
      <c r="G706" t="inlineStr">
        <is>
          <t>GÄVLE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45356</v>
      </c>
      <c r="E707" s="1" t="n">
        <v>46236</v>
      </c>
      <c r="F707" t="inlineStr">
        <is>
          <t>GÄVLEBORGS LÄN</t>
        </is>
      </c>
      <c r="G707" t="inlineStr">
        <is>
          <t>GÄVLE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29929-2022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44756</v>
      </c>
      <c r="E708" s="1" t="n">
        <v>46236</v>
      </c>
      <c r="F708" t="inlineStr">
        <is>
          <t>GÄVLEBORGS LÄN</t>
        </is>
      </c>
      <c r="G708" t="inlineStr">
        <is>
          <t>GÄVLE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3662-2022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44586</v>
      </c>
      <c r="E709" s="1" t="n">
        <v>46236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11926-2026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46085</v>
      </c>
      <c r="E710" s="1" t="n">
        <v>46236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61501-2024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45646</v>
      </c>
      <c r="E711" s="1" t="n">
        <v>46236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46085</v>
      </c>
      <c r="E712" s="1" t="n">
        <v>46236</v>
      </c>
      <c r="F712" t="inlineStr">
        <is>
          <t>GÄVLEBORGS LÄN</t>
        </is>
      </c>
      <c r="G712" t="inlineStr">
        <is>
          <t>GÄVLE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45735</v>
      </c>
      <c r="E713" s="1" t="n">
        <v>46236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12738-2026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46236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13104-2026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46236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12990-2026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46092</v>
      </c>
      <c r="E716" s="1" t="n">
        <v>46236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12948-2026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46092</v>
      </c>
      <c r="E717" s="1" t="n">
        <v>46236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38793-2024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45547</v>
      </c>
      <c r="E718" s="1" t="n">
        <v>46236</v>
      </c>
      <c r="F718" t="inlineStr">
        <is>
          <t>GÄVLEBORGS LÄN</t>
        </is>
      </c>
      <c r="G718" t="inlineStr">
        <is>
          <t>GÄVLE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10352-2025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45720</v>
      </c>
      <c r="E719" s="1" t="n">
        <v>46236</v>
      </c>
      <c r="F719" t="inlineStr">
        <is>
          <t>GÄVLEBORGS LÄN</t>
        </is>
      </c>
      <c r="G719" t="inlineStr">
        <is>
          <t>GÄVLE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46092</v>
      </c>
      <c r="E720" s="1" t="n">
        <v>46236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13475-2026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46236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13498-2026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46236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13521-2026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46236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13503-2026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46236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45673</v>
      </c>
      <c r="E725" s="1" t="n">
        <v>46236</v>
      </c>
      <c r="F725" t="inlineStr">
        <is>
          <t>GÄVLEBORGS LÄN</t>
        </is>
      </c>
      <c r="G725" t="inlineStr">
        <is>
          <t>GÄVLE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2374-2025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45673</v>
      </c>
      <c r="E726" s="1" t="n">
        <v>46236</v>
      </c>
      <c r="F726" t="inlineStr">
        <is>
          <t>GÄVLEBORGS LÄN</t>
        </is>
      </c>
      <c r="G726" t="inlineStr">
        <is>
          <t>GÄVLE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46236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13574-2026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46095</v>
      </c>
      <c r="E728" s="1" t="n">
        <v>46236</v>
      </c>
      <c r="F728" t="inlineStr">
        <is>
          <t>GÄVLEBORGS LÄN</t>
        </is>
      </c>
      <c r="G728" t="inlineStr">
        <is>
          <t>GÄVLE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13489-2026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46236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13329-2026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46236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13389-2026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46236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46236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46236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13500-2026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46094</v>
      </c>
      <c r="E734" s="1" t="n">
        <v>46236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46236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18162-2022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44684</v>
      </c>
      <c r="E736" s="1" t="n">
        <v>46236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14280-2026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46099</v>
      </c>
      <c r="E737" s="1" t="n">
        <v>46236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12079-2025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45728</v>
      </c>
      <c r="E738" s="1" t="n">
        <v>46236</v>
      </c>
      <c r="F738" t="inlineStr">
        <is>
          <t>GÄVLEBORGS LÄN</t>
        </is>
      </c>
      <c r="G738" t="inlineStr">
        <is>
          <t>GÄVLE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24618-2023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45084</v>
      </c>
      <c r="E739" s="1" t="n">
        <v>46236</v>
      </c>
      <c r="F739" t="inlineStr">
        <is>
          <t>GÄVLEBORGS LÄN</t>
        </is>
      </c>
      <c r="G739" t="inlineStr">
        <is>
          <t>GÄVLE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7410-2025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45705</v>
      </c>
      <c r="E740" s="1" t="n">
        <v>46236</v>
      </c>
      <c r="F740" t="inlineStr">
        <is>
          <t>GÄVLEBORGS LÄN</t>
        </is>
      </c>
      <c r="G740" t="inlineStr">
        <is>
          <t>GÄVLE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25814-2023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45090</v>
      </c>
      <c r="E741" s="1" t="n">
        <v>46236</v>
      </c>
      <c r="F741" t="inlineStr">
        <is>
          <t>GÄVLEBORGS LÄN</t>
        </is>
      </c>
      <c r="G741" t="inlineStr">
        <is>
          <t>GÄVLE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45666</v>
      </c>
      <c r="E742" s="1" t="n">
        <v>46236</v>
      </c>
      <c r="F742" t="inlineStr">
        <is>
          <t>GÄVLEBORGS LÄN</t>
        </is>
      </c>
      <c r="G742" t="inlineStr">
        <is>
          <t>GÄVLE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14583-2026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46236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46100</v>
      </c>
      <c r="E744" s="1" t="n">
        <v>46236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46100</v>
      </c>
      <c r="E745" s="1" t="n">
        <v>46236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18168-2022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44684</v>
      </c>
      <c r="E746" s="1" t="n">
        <v>46236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51071-2023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45218</v>
      </c>
      <c r="E747" s="1" t="n">
        <v>46236</v>
      </c>
      <c r="F747" t="inlineStr">
        <is>
          <t>GÄVLEBORGS LÄN</t>
        </is>
      </c>
      <c r="G747" t="inlineStr">
        <is>
          <t>GÄVLE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58445-2021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44488</v>
      </c>
      <c r="E748" s="1" t="n">
        <v>46236</v>
      </c>
      <c r="F748" t="inlineStr">
        <is>
          <t>GÄVLEBORGS LÄN</t>
        </is>
      </c>
      <c r="G748" t="inlineStr">
        <is>
          <t>GÄVLE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15046-2026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46236</v>
      </c>
      <c r="F749" t="inlineStr">
        <is>
          <t>GÄVLEBORGS LÄN</t>
        </is>
      </c>
      <c r="G749" t="inlineStr">
        <is>
          <t>GÄVLE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44586</v>
      </c>
      <c r="E750" s="1" t="n">
        <v>46236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35206-2024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45530</v>
      </c>
      <c r="E751" s="1" t="n">
        <v>46236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46105</v>
      </c>
      <c r="E752" s="1" t="n">
        <v>46236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46236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1062-2025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45666</v>
      </c>
      <c r="E754" s="1" t="n">
        <v>46236</v>
      </c>
      <c r="F754" t="inlineStr">
        <is>
          <t>GÄVLEBORGS LÄN</t>
        </is>
      </c>
      <c r="G754" t="inlineStr">
        <is>
          <t>GÄVLE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15669-2026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46106</v>
      </c>
      <c r="E755" s="1" t="n">
        <v>46236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45266</v>
      </c>
      <c r="E756" s="1" t="n">
        <v>46236</v>
      </c>
      <c r="F756" t="inlineStr">
        <is>
          <t>GÄVLEBORGS LÄN</t>
        </is>
      </c>
      <c r="G756" t="inlineStr">
        <is>
          <t>GÄVLE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15535-2026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46236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45312</v>
      </c>
      <c r="E758" s="1" t="n">
        <v>46236</v>
      </c>
      <c r="F758" t="inlineStr">
        <is>
          <t>GÄVLEBORGS LÄN</t>
        </is>
      </c>
      <c r="G758" t="inlineStr">
        <is>
          <t>GÄVLE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16430-2026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46236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21300-2024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45440</v>
      </c>
      <c r="E760" s="1" t="n">
        <v>46236</v>
      </c>
      <c r="F760" t="inlineStr">
        <is>
          <t>GÄVLEBORGS LÄN</t>
        </is>
      </c>
      <c r="G760" t="inlineStr">
        <is>
          <t>GÄVLE</t>
        </is>
      </c>
      <c r="I760" t="n">
        <v>8.6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46236</v>
      </c>
      <c r="F761" t="inlineStr">
        <is>
          <t>GÄVLEBORGS LÄN</t>
        </is>
      </c>
      <c r="G761" t="inlineStr">
        <is>
          <t>GÄVLE</t>
        </is>
      </c>
      <c r="H761" t="inlineStr">
        <is>
          <t>Kyrkan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46236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61843-2023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45266</v>
      </c>
      <c r="E763" s="1" t="n">
        <v>46236</v>
      </c>
      <c r="F763" t="inlineStr">
        <is>
          <t>GÄVLEBORGS LÄN</t>
        </is>
      </c>
      <c r="G763" t="inlineStr">
        <is>
          <t>GÄVLE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45660</v>
      </c>
      <c r="E764" s="1" t="n">
        <v>46236</v>
      </c>
      <c r="F764" t="inlineStr">
        <is>
          <t>GÄVLEBORGS LÄN</t>
        </is>
      </c>
      <c r="G764" t="inlineStr">
        <is>
          <t>GÄVLE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49401-2024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45595</v>
      </c>
      <c r="E765" s="1" t="n">
        <v>46236</v>
      </c>
      <c r="F765" t="inlineStr">
        <is>
          <t>GÄVLEBORGS LÄN</t>
        </is>
      </c>
      <c r="G765" t="inlineStr">
        <is>
          <t>GÄVLE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33880-2022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44790</v>
      </c>
      <c r="E766" s="1" t="n">
        <v>46236</v>
      </c>
      <c r="F766" t="inlineStr">
        <is>
          <t>GÄVLEBORGS LÄN</t>
        </is>
      </c>
      <c r="G766" t="inlineStr">
        <is>
          <t>GÄVLE</t>
        </is>
      </c>
      <c r="I766" t="n">
        <v>9.4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45938-2024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45580</v>
      </c>
      <c r="E767" s="1" t="n">
        <v>46236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20621-2025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45776</v>
      </c>
      <c r="E768" s="1" t="n">
        <v>46236</v>
      </c>
      <c r="F768" t="inlineStr">
        <is>
          <t>GÄVLEBORGS LÄN</t>
        </is>
      </c>
      <c r="G768" t="inlineStr">
        <is>
          <t>GÄVLE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26249-2022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44735</v>
      </c>
      <c r="E769" s="1" t="n">
        <v>46236</v>
      </c>
      <c r="F769" t="inlineStr">
        <is>
          <t>GÄVLEBORGS LÄN</t>
        </is>
      </c>
      <c r="G769" t="inlineStr">
        <is>
          <t>GÄVLE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10488-2026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46236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20999-2022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44701</v>
      </c>
      <c r="E771" s="1" t="n">
        <v>46236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17695-2026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46236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21431-2025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45782</v>
      </c>
      <c r="E773" s="1" t="n">
        <v>46236</v>
      </c>
      <c r="F773" t="inlineStr">
        <is>
          <t>GÄVLEBORGS LÄN</t>
        </is>
      </c>
      <c r="G773" t="inlineStr">
        <is>
          <t>GÄVLE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17471-2026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46120</v>
      </c>
      <c r="E774" s="1" t="n">
        <v>46236</v>
      </c>
      <c r="F774" t="inlineStr">
        <is>
          <t>GÄVLEBORGS LÄN</t>
        </is>
      </c>
      <c r="G774" t="inlineStr">
        <is>
          <t>GÄVLE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17974-2026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46124</v>
      </c>
      <c r="E775" s="1" t="n">
        <v>46236</v>
      </c>
      <c r="F775" t="inlineStr">
        <is>
          <t>GÄVLEBORGS LÄN</t>
        </is>
      </c>
      <c r="G775" t="inlineStr">
        <is>
          <t>GÄVLE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17975-2026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46124</v>
      </c>
      <c r="E776" s="1" t="n">
        <v>46236</v>
      </c>
      <c r="F776" t="inlineStr">
        <is>
          <t>GÄVLEBORGS LÄN</t>
        </is>
      </c>
      <c r="G776" t="inlineStr">
        <is>
          <t>GÄVLE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17976-2026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46124</v>
      </c>
      <c r="E777" s="1" t="n">
        <v>46236</v>
      </c>
      <c r="F777" t="inlineStr">
        <is>
          <t>GÄVLEBORGS LÄN</t>
        </is>
      </c>
      <c r="G777" t="inlineStr">
        <is>
          <t>GÄVLE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17954-2026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46122</v>
      </c>
      <c r="E778" s="1" t="n">
        <v>46236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17830-2026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46122</v>
      </c>
      <c r="E779" s="1" t="n">
        <v>46236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46124</v>
      </c>
      <c r="E780" s="1" t="n">
        <v>46236</v>
      </c>
      <c r="F780" t="inlineStr">
        <is>
          <t>GÄVLEBORGS LÄN</t>
        </is>
      </c>
      <c r="G780" t="inlineStr">
        <is>
          <t>GÄVLE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46236</v>
      </c>
      <c r="F781" t="inlineStr">
        <is>
          <t>GÄVLEBORGS LÄN</t>
        </is>
      </c>
      <c r="G781" t="inlineStr">
        <is>
          <t>GÄVLE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46125</v>
      </c>
      <c r="E782" s="1" t="n">
        <v>46236</v>
      </c>
      <c r="F782" t="inlineStr">
        <is>
          <t>GÄVLEBORGS LÄN</t>
        </is>
      </c>
      <c r="G782" t="inlineStr">
        <is>
          <t>GÄVLE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13046-2026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46093</v>
      </c>
      <c r="E783" s="1" t="n">
        <v>46236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15558-2026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46236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15568-2026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46106</v>
      </c>
      <c r="E785" s="1" t="n">
        <v>46236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59044-2023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45252</v>
      </c>
      <c r="E786" s="1" t="n">
        <v>46236</v>
      </c>
      <c r="F786" t="inlineStr">
        <is>
          <t>GÄVLEBORGS LÄN</t>
        </is>
      </c>
      <c r="G786" t="inlineStr">
        <is>
          <t>GÄVLE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11572-2026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46084</v>
      </c>
      <c r="E787" s="1" t="n">
        <v>46236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15634-2026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46106</v>
      </c>
      <c r="E788" s="1" t="n">
        <v>46236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13492-2026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46236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46104</v>
      </c>
      <c r="E790" s="1" t="n">
        <v>46236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19088-2026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46132</v>
      </c>
      <c r="E791" s="1" t="n">
        <v>46236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27182-2022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44741</v>
      </c>
      <c r="E792" s="1" t="n">
        <v>46236</v>
      </c>
      <c r="F792" t="inlineStr">
        <is>
          <t>GÄVLEBORGS LÄN</t>
        </is>
      </c>
      <c r="G792" t="inlineStr">
        <is>
          <t>GÄVLE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15635-2026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46106</v>
      </c>
      <c r="E793" s="1" t="n">
        <v>46236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18657-2026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46236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18660-2026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46236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19122-2026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46132</v>
      </c>
      <c r="E796" s="1" t="n">
        <v>46236</v>
      </c>
      <c r="F796" t="inlineStr">
        <is>
          <t>GÄVLEBORGS LÄN</t>
        </is>
      </c>
      <c r="G796" t="inlineStr">
        <is>
          <t>GÄVLE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18659-2026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46236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35761-2022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44800</v>
      </c>
      <c r="E798" s="1" t="n">
        <v>46236</v>
      </c>
      <c r="F798" t="inlineStr">
        <is>
          <t>GÄVLEBORGS LÄN</t>
        </is>
      </c>
      <c r="G798" t="inlineStr">
        <is>
          <t>GÄVLE</t>
        </is>
      </c>
      <c r="I798" t="n">
        <v>8.199999999999999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7451-2025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45705</v>
      </c>
      <c r="E799" s="1" t="n">
        <v>46236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46132</v>
      </c>
      <c r="E800" s="1" t="n">
        <v>46236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18817-2026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46128</v>
      </c>
      <c r="E801" s="1" t="n">
        <v>46236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7202-2025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45702</v>
      </c>
      <c r="E802" s="1" t="n">
        <v>46236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19087-2026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46132</v>
      </c>
      <c r="E803" s="1" t="n">
        <v>46236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59322-2022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44904</v>
      </c>
      <c r="E804" s="1" t="n">
        <v>46236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45322</v>
      </c>
      <c r="E805" s="1" t="n">
        <v>46236</v>
      </c>
      <c r="F805" t="inlineStr">
        <is>
          <t>GÄVLEBORGS LÄN</t>
        </is>
      </c>
      <c r="G805" t="inlineStr">
        <is>
          <t>GÄVLE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61672-2023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45265</v>
      </c>
      <c r="E806" s="1" t="n">
        <v>46236</v>
      </c>
      <c r="F806" t="inlineStr">
        <is>
          <t>GÄVLEBORGS LÄN</t>
        </is>
      </c>
      <c r="G806" t="inlineStr">
        <is>
          <t>GÄVLE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46236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46105</v>
      </c>
      <c r="E808" s="1" t="n">
        <v>46236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30875-2022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44767</v>
      </c>
      <c r="E809" s="1" t="n">
        <v>46236</v>
      </c>
      <c r="F809" t="inlineStr">
        <is>
          <t>GÄVLEBORGS LÄN</t>
        </is>
      </c>
      <c r="G809" t="inlineStr">
        <is>
          <t>GÄVLE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19370-2026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46236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19371-2026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46133</v>
      </c>
      <c r="E811" s="1" t="n">
        <v>46236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14365-2026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46100</v>
      </c>
      <c r="E812" s="1" t="n">
        <v>46236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19714-2026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46236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19715-2026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46236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46236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46134</v>
      </c>
      <c r="E816" s="1" t="n">
        <v>46236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9426-2025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45715</v>
      </c>
      <c r="E817" s="1" t="n">
        <v>46236</v>
      </c>
      <c r="F817" t="inlineStr">
        <is>
          <t>GÄVLEBORGS LÄN</t>
        </is>
      </c>
      <c r="G817" t="inlineStr">
        <is>
          <t>GÄVLE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19711-2026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46134</v>
      </c>
      <c r="E818" s="1" t="n">
        <v>46236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46236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60885-2023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45261</v>
      </c>
      <c r="E820" s="1" t="n">
        <v>46236</v>
      </c>
      <c r="F820" t="inlineStr">
        <is>
          <t>GÄVLEBORGS LÄN</t>
        </is>
      </c>
      <c r="G820" t="inlineStr">
        <is>
          <t>GÄVLE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44000-2025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46236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19713-2026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46134</v>
      </c>
      <c r="E822" s="1" t="n">
        <v>46236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19716-2026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46236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12386-2026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46090</v>
      </c>
      <c r="E824" s="1" t="n">
        <v>46236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45312</v>
      </c>
      <c r="E825" s="1" t="n">
        <v>46236</v>
      </c>
      <c r="F825" t="inlineStr">
        <is>
          <t>GÄVLEBORGS LÄN</t>
        </is>
      </c>
      <c r="G825" t="inlineStr">
        <is>
          <t>GÄVLE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15689-2026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46107</v>
      </c>
      <c r="E826" s="1" t="n">
        <v>46236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36512-2025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45869</v>
      </c>
      <c r="E827" s="1" t="n">
        <v>46236</v>
      </c>
      <c r="F827" t="inlineStr">
        <is>
          <t>GÄVLEBORGS LÄN</t>
        </is>
      </c>
      <c r="G827" t="inlineStr">
        <is>
          <t>GÄVLE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22923-2025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45790</v>
      </c>
      <c r="E828" s="1" t="n">
        <v>46236</v>
      </c>
      <c r="F828" t="inlineStr">
        <is>
          <t>GÄVLEBORGS LÄN</t>
        </is>
      </c>
      <c r="G828" t="inlineStr">
        <is>
          <t>GÄVLE</t>
        </is>
      </c>
      <c r="I828" t="n">
        <v>20.8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35916-2025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45862</v>
      </c>
      <c r="E829" s="1" t="n">
        <v>46236</v>
      </c>
      <c r="F829" t="inlineStr">
        <is>
          <t>GÄVLEBORGS LÄN</t>
        </is>
      </c>
      <c r="G829" t="inlineStr">
        <is>
          <t>GÄVLE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9378-2025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45715</v>
      </c>
      <c r="E830" s="1" t="n">
        <v>46236</v>
      </c>
      <c r="F830" t="inlineStr">
        <is>
          <t>GÄVLEBORGS LÄN</t>
        </is>
      </c>
      <c r="G830" t="inlineStr">
        <is>
          <t>GÄVLE</t>
        </is>
      </c>
      <c r="H830" t="inlineStr">
        <is>
          <t>Kyrkan</t>
        </is>
      </c>
      <c r="I830" t="n">
        <v>8.1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6331-2022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44600</v>
      </c>
      <c r="E831" s="1" t="n">
        <v>46236</v>
      </c>
      <c r="F831" t="inlineStr">
        <is>
          <t>GÄVLEBORGS LÄN</t>
        </is>
      </c>
      <c r="G831" t="inlineStr">
        <is>
          <t>GÄVLE</t>
        </is>
      </c>
      <c r="H831" t="inlineStr">
        <is>
          <t>Kyrkan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16401-2025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45751</v>
      </c>
      <c r="E832" s="1" t="n">
        <v>46236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10487-2026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46077</v>
      </c>
      <c r="E833" s="1" t="n">
        <v>46236</v>
      </c>
      <c r="F833" t="inlineStr">
        <is>
          <t>GÄVLEBORGS LÄN</t>
        </is>
      </c>
      <c r="G833" t="inlineStr">
        <is>
          <t>GÄVLE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64868-2023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45282</v>
      </c>
      <c r="E834" s="1" t="n">
        <v>46236</v>
      </c>
      <c r="F834" t="inlineStr">
        <is>
          <t>GÄVLEBORGS LÄN</t>
        </is>
      </c>
      <c r="G834" t="inlineStr">
        <is>
          <t>GÄVLE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64873-2023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45282</v>
      </c>
      <c r="E835" s="1" t="n">
        <v>46236</v>
      </c>
      <c r="F835" t="inlineStr">
        <is>
          <t>GÄVLEBORGS LÄN</t>
        </is>
      </c>
      <c r="G835" t="inlineStr">
        <is>
          <t>GÄVLE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15536-2026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46106</v>
      </c>
      <c r="E836" s="1" t="n">
        <v>46236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22.4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15647-2026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46106</v>
      </c>
      <c r="E837" s="1" t="n">
        <v>46236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16076-2026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46108</v>
      </c>
      <c r="E838" s="1" t="n">
        <v>46236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22879-2025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45790</v>
      </c>
      <c r="E839" s="1" t="n">
        <v>46236</v>
      </c>
      <c r="F839" t="inlineStr">
        <is>
          <t>GÄVLEBORGS LÄN</t>
        </is>
      </c>
      <c r="G839" t="inlineStr">
        <is>
          <t>GÄVLE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45660</v>
      </c>
      <c r="E840" s="1" t="n">
        <v>46236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23324-2025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45791</v>
      </c>
      <c r="E841" s="1" t="n">
        <v>46236</v>
      </c>
      <c r="F841" t="inlineStr">
        <is>
          <t>GÄVLEBORGS LÄN</t>
        </is>
      </c>
      <c r="G841" t="inlineStr">
        <is>
          <t>GÄVLE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13961-2024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45392</v>
      </c>
      <c r="E842" s="1" t="n">
        <v>46236</v>
      </c>
      <c r="F842" t="inlineStr">
        <is>
          <t>GÄVLEBORGS LÄN</t>
        </is>
      </c>
      <c r="G842" t="inlineStr">
        <is>
          <t>GÄVLE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15444-2024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45401</v>
      </c>
      <c r="E843" s="1" t="n">
        <v>46236</v>
      </c>
      <c r="F843" t="inlineStr">
        <is>
          <t>GÄVLEBORGS LÄN</t>
        </is>
      </c>
      <c r="G843" t="inlineStr">
        <is>
          <t>GÄVLE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45526</v>
      </c>
      <c r="E844" s="1" t="n">
        <v>46236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61301-2024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45645</v>
      </c>
      <c r="E845" s="1" t="n">
        <v>46236</v>
      </c>
      <c r="F845" t="inlineStr">
        <is>
          <t>GÄVLEBORGS LÄN</t>
        </is>
      </c>
      <c r="G845" t="inlineStr">
        <is>
          <t>GÄVLE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44806-2024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45574</v>
      </c>
      <c r="E846" s="1" t="n">
        <v>46236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23291-2025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45791</v>
      </c>
      <c r="E847" s="1" t="n">
        <v>46236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23232-2025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45791</v>
      </c>
      <c r="E848" s="1" t="n">
        <v>46236</v>
      </c>
      <c r="F848" t="inlineStr">
        <is>
          <t>GÄVLEBORGS LÄN</t>
        </is>
      </c>
      <c r="G848" t="inlineStr">
        <is>
          <t>GÄVLE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47458-2022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44853</v>
      </c>
      <c r="E849" s="1" t="n">
        <v>46236</v>
      </c>
      <c r="F849" t="inlineStr">
        <is>
          <t>GÄVLEBORGS LÄN</t>
        </is>
      </c>
      <c r="G849" t="inlineStr">
        <is>
          <t>GÄVLE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48913-2024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45594</v>
      </c>
      <c r="E850" s="1" t="n">
        <v>46236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33635-2024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45520</v>
      </c>
      <c r="E851" s="1" t="n">
        <v>46236</v>
      </c>
      <c r="F851" t="inlineStr">
        <is>
          <t>GÄVLEBORGS LÄN</t>
        </is>
      </c>
      <c r="G851" t="inlineStr">
        <is>
          <t>GÄVLE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45520</v>
      </c>
      <c r="E852" s="1" t="n">
        <v>46236</v>
      </c>
      <c r="F852" t="inlineStr">
        <is>
          <t>GÄVLEBORGS LÄN</t>
        </is>
      </c>
      <c r="G852" t="inlineStr">
        <is>
          <t>GÄVLE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55878-2024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45623</v>
      </c>
      <c r="E853" s="1" t="n">
        <v>46236</v>
      </c>
      <c r="F853" t="inlineStr">
        <is>
          <t>GÄVLEBORGS LÄN</t>
        </is>
      </c>
      <c r="G853" t="inlineStr">
        <is>
          <t>GÄVLE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11410-2025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45726</v>
      </c>
      <c r="E854" s="1" t="n">
        <v>46236</v>
      </c>
      <c r="F854" t="inlineStr">
        <is>
          <t>GÄVLEBORGS LÄN</t>
        </is>
      </c>
      <c r="G854" t="inlineStr">
        <is>
          <t>GÄVLE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61492-2024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45646</v>
      </c>
      <c r="E855" s="1" t="n">
        <v>46236</v>
      </c>
      <c r="F855" t="inlineStr">
        <is>
          <t>GÄVLEBORGS LÄN</t>
        </is>
      </c>
      <c r="G855" t="inlineStr">
        <is>
          <t>GÄVLE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53138-2024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45611</v>
      </c>
      <c r="E856" s="1" t="n">
        <v>46236</v>
      </c>
      <c r="F856" t="inlineStr">
        <is>
          <t>GÄVLEBORGS LÄN</t>
        </is>
      </c>
      <c r="G856" t="inlineStr">
        <is>
          <t>GÄVLE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58373-2024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45632</v>
      </c>
      <c r="E857" s="1" t="n">
        <v>46236</v>
      </c>
      <c r="F857" t="inlineStr">
        <is>
          <t>GÄVLEBORGS LÄN</t>
        </is>
      </c>
      <c r="G857" t="inlineStr">
        <is>
          <t>GÄVLE</t>
        </is>
      </c>
      <c r="I857" t="n">
        <v>13.1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24225-2025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45797</v>
      </c>
      <c r="E858" s="1" t="n">
        <v>46236</v>
      </c>
      <c r="F858" t="inlineStr">
        <is>
          <t>GÄVLEBORGS LÄN</t>
        </is>
      </c>
      <c r="G858" t="inlineStr">
        <is>
          <t>GÄVLE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24614-2025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45798</v>
      </c>
      <c r="E859" s="1" t="n">
        <v>46236</v>
      </c>
      <c r="F859" t="inlineStr">
        <is>
          <t>GÄVLEBORGS LÄN</t>
        </is>
      </c>
      <c r="G859" t="inlineStr">
        <is>
          <t>GÄVLE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24228-2025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45797</v>
      </c>
      <c r="E860" s="1" t="n">
        <v>46236</v>
      </c>
      <c r="F860" t="inlineStr">
        <is>
          <t>GÄVLEBORGS LÄN</t>
        </is>
      </c>
      <c r="G860" t="inlineStr">
        <is>
          <t>GÄVLE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31367-2024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45505</v>
      </c>
      <c r="E861" s="1" t="n">
        <v>46236</v>
      </c>
      <c r="F861" t="inlineStr">
        <is>
          <t>GÄVLEBORGS LÄN</t>
        </is>
      </c>
      <c r="G861" t="inlineStr">
        <is>
          <t>GÄVLE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66493-2021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44519</v>
      </c>
      <c r="E862" s="1" t="n">
        <v>46236</v>
      </c>
      <c r="F862" t="inlineStr">
        <is>
          <t>GÄVLEBORGS LÄN</t>
        </is>
      </c>
      <c r="G862" t="inlineStr">
        <is>
          <t>GÄVLE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7060-2022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44603</v>
      </c>
      <c r="E863" s="1" t="n">
        <v>46236</v>
      </c>
      <c r="F863" t="inlineStr">
        <is>
          <t>GÄVLEBORGS LÄN</t>
        </is>
      </c>
      <c r="G863" t="inlineStr">
        <is>
          <t>GÄVLE</t>
        </is>
      </c>
      <c r="I863" t="n">
        <v>10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26564-2022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44739</v>
      </c>
      <c r="E864" s="1" t="n">
        <v>46236</v>
      </c>
      <c r="F864" t="inlineStr">
        <is>
          <t>GÄVLEBORGS LÄN</t>
        </is>
      </c>
      <c r="G864" t="inlineStr">
        <is>
          <t>GÄVLE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25878-2025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45804</v>
      </c>
      <c r="E865" s="1" t="n">
        <v>46236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27611-2025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45813</v>
      </c>
      <c r="E866" s="1" t="n">
        <v>46236</v>
      </c>
      <c r="F866" t="inlineStr">
        <is>
          <t>GÄVLEBORGS LÄN</t>
        </is>
      </c>
      <c r="G866" t="inlineStr">
        <is>
          <t>GÄVLE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27666-2025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45813</v>
      </c>
      <c r="E867" s="1" t="n">
        <v>46236</v>
      </c>
      <c r="F867" t="inlineStr">
        <is>
          <t>GÄVLEBORGS LÄN</t>
        </is>
      </c>
      <c r="G867" t="inlineStr">
        <is>
          <t>GÄVLE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28009-2025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45817</v>
      </c>
      <c r="E868" s="1" t="n">
        <v>46236</v>
      </c>
      <c r="F868" t="inlineStr">
        <is>
          <t>GÄVLEBORGS LÄN</t>
        </is>
      </c>
      <c r="G868" t="inlineStr">
        <is>
          <t>GÄVLE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28481-2025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45819</v>
      </c>
      <c r="E869" s="1" t="n">
        <v>46236</v>
      </c>
      <c r="F869" t="inlineStr">
        <is>
          <t>GÄVLEBORGS LÄN</t>
        </is>
      </c>
      <c r="G869" t="inlineStr">
        <is>
          <t>GÄVLE</t>
        </is>
      </c>
      <c r="I869" t="n">
        <v>13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28624-2025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45819</v>
      </c>
      <c r="E870" s="1" t="n">
        <v>46236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14563-2025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45741</v>
      </c>
      <c r="E871" s="1" t="n">
        <v>46236</v>
      </c>
      <c r="F871" t="inlineStr">
        <is>
          <t>GÄVLEBORGS LÄN</t>
        </is>
      </c>
      <c r="G871" t="inlineStr">
        <is>
          <t>GÄVLE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30300-2025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45827</v>
      </c>
      <c r="E872" s="1" t="n">
        <v>46236</v>
      </c>
      <c r="F872" t="inlineStr">
        <is>
          <t>GÄVLEBORGS LÄN</t>
        </is>
      </c>
      <c r="G872" t="inlineStr">
        <is>
          <t>GÄVLE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30304-2025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45827</v>
      </c>
      <c r="E873" s="1" t="n">
        <v>46236</v>
      </c>
      <c r="F873" t="inlineStr">
        <is>
          <t>GÄVLEBORGS LÄN</t>
        </is>
      </c>
      <c r="G873" t="inlineStr">
        <is>
          <t>GÄVLE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30301-2025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45827</v>
      </c>
      <c r="E874" s="1" t="n">
        <v>46236</v>
      </c>
      <c r="F874" t="inlineStr">
        <is>
          <t>GÄVLEBORGS LÄN</t>
        </is>
      </c>
      <c r="G874" t="inlineStr">
        <is>
          <t>GÄVLE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30202-2025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45827</v>
      </c>
      <c r="E875" s="1" t="n">
        <v>46236</v>
      </c>
      <c r="F875" t="inlineStr">
        <is>
          <t>GÄVLEBORGS LÄN</t>
        </is>
      </c>
      <c r="G875" t="inlineStr">
        <is>
          <t>GÄVLE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30915-2025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45832</v>
      </c>
      <c r="E876" s="1" t="n">
        <v>46236</v>
      </c>
      <c r="F876" t="inlineStr">
        <is>
          <t>GÄVLEBORGS LÄN</t>
        </is>
      </c>
      <c r="G876" t="inlineStr">
        <is>
          <t>GÄVLE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31920-2025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45834</v>
      </c>
      <c r="E877" s="1" t="n">
        <v>46236</v>
      </c>
      <c r="F877" t="inlineStr">
        <is>
          <t>GÄVLEBORGS LÄN</t>
        </is>
      </c>
      <c r="G877" t="inlineStr">
        <is>
          <t>GÄVLE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32022-2025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45835</v>
      </c>
      <c r="E878" s="1" t="n">
        <v>46236</v>
      </c>
      <c r="F878" t="inlineStr">
        <is>
          <t>GÄVLEBORGS LÄN</t>
        </is>
      </c>
      <c r="G878" t="inlineStr">
        <is>
          <t>GÄVLE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34116-2025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45845</v>
      </c>
      <c r="E879" s="1" t="n">
        <v>46236</v>
      </c>
      <c r="F879" t="inlineStr">
        <is>
          <t>GÄVLEBORGS LÄN</t>
        </is>
      </c>
      <c r="G879" t="inlineStr">
        <is>
          <t>GÄVLE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21978-2025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45784</v>
      </c>
      <c r="E880" s="1" t="n">
        <v>46236</v>
      </c>
      <c r="F880" t="inlineStr">
        <is>
          <t>GÄVLEBORGS LÄN</t>
        </is>
      </c>
      <c r="G880" t="inlineStr">
        <is>
          <t>GÄVLE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34113-2025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45845</v>
      </c>
      <c r="E881" s="1" t="n">
        <v>46236</v>
      </c>
      <c r="F881" t="inlineStr">
        <is>
          <t>GÄVLEBORGS LÄN</t>
        </is>
      </c>
      <c r="G881" t="inlineStr">
        <is>
          <t>GÄVLE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34722-2025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45848</v>
      </c>
      <c r="E882" s="1" t="n">
        <v>46236</v>
      </c>
      <c r="F882" t="inlineStr">
        <is>
          <t>GÄVLEBORGS LÄN</t>
        </is>
      </c>
      <c r="G882" t="inlineStr">
        <is>
          <t>GÄVLE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34725-2025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45848</v>
      </c>
      <c r="E883" s="1" t="n">
        <v>46236</v>
      </c>
      <c r="F883" t="inlineStr">
        <is>
          <t>GÄVLEBORGS LÄN</t>
        </is>
      </c>
      <c r="G883" t="inlineStr">
        <is>
          <t>GÄVLE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37253-2024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45540</v>
      </c>
      <c r="E884" s="1" t="n">
        <v>46236</v>
      </c>
      <c r="F884" t="inlineStr">
        <is>
          <t>GÄVLEBORGS LÄN</t>
        </is>
      </c>
      <c r="G884" t="inlineStr">
        <is>
          <t>GÄVLE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35337-2025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45854</v>
      </c>
      <c r="E885" s="1" t="n">
        <v>46236</v>
      </c>
      <c r="F885" t="inlineStr">
        <is>
          <t>GÄVLEBORGS LÄN</t>
        </is>
      </c>
      <c r="G885" t="inlineStr">
        <is>
          <t>GÄVLE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35650-2025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45859</v>
      </c>
      <c r="E886" s="1" t="n">
        <v>46236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35938-2025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45862</v>
      </c>
      <c r="E887" s="1" t="n">
        <v>46236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35878-2025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45862</v>
      </c>
      <c r="E888" s="1" t="n">
        <v>46236</v>
      </c>
      <c r="F888" t="inlineStr">
        <is>
          <t>GÄVLEBORGS LÄN</t>
        </is>
      </c>
      <c r="G888" t="inlineStr">
        <is>
          <t>GÄVLE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35919-2025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45862</v>
      </c>
      <c r="E889" s="1" t="n">
        <v>46236</v>
      </c>
      <c r="F889" t="inlineStr">
        <is>
          <t>GÄVLEBORGS LÄN</t>
        </is>
      </c>
      <c r="G889" t="inlineStr">
        <is>
          <t>GÄVLE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36106-2025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45866</v>
      </c>
      <c r="E890" s="1" t="n">
        <v>46236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36255-2025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45867</v>
      </c>
      <c r="E891" s="1" t="n">
        <v>46236</v>
      </c>
      <c r="F891" t="inlineStr">
        <is>
          <t>GÄVLEBORGS LÄN</t>
        </is>
      </c>
      <c r="G891" t="inlineStr">
        <is>
          <t>GÄVLE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36516-2025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45869</v>
      </c>
      <c r="E892" s="1" t="n">
        <v>46236</v>
      </c>
      <c r="F892" t="inlineStr">
        <is>
          <t>GÄVLEBORGS LÄN</t>
        </is>
      </c>
      <c r="G892" t="inlineStr">
        <is>
          <t>GÄVLE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36493-2025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45869</v>
      </c>
      <c r="E893" s="1" t="n">
        <v>46236</v>
      </c>
      <c r="F893" t="inlineStr">
        <is>
          <t>GÄVLEBORGS LÄN</t>
        </is>
      </c>
      <c r="G893" t="inlineStr">
        <is>
          <t>GÄVLE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36680-2025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45873</v>
      </c>
      <c r="E894" s="1" t="n">
        <v>46236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38240-2024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45545</v>
      </c>
      <c r="E895" s="1" t="n">
        <v>46236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14093-2025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45740</v>
      </c>
      <c r="E896" s="1" t="n">
        <v>46236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3425-2023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45205</v>
      </c>
      <c r="E897" s="1" t="n">
        <v>46236</v>
      </c>
      <c r="F897" t="inlineStr">
        <is>
          <t>GÄVLEBORGS LÄN</t>
        </is>
      </c>
      <c r="G897" t="inlineStr">
        <is>
          <t>GÄVLE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  <c r="Z897">
        <f>HYPERLINK("https://klasma.github.io/Logging_2180/knärot/S 3425-2023 karta knärot.png", "S 3425-2023")</f>
        <v/>
      </c>
      <c r="AA897">
        <f>HYPERLINK("https://klasma.github.io/Logging_2180/klagomål/S 3425-2023 FSC-klagomål.docx", "S 3425-2023")</f>
        <v/>
      </c>
      <c r="AB897">
        <f>HYPERLINK("https://klasma.github.io/Logging_2180/klagomålsmail/S 3425-2023 FSC-klagomål mail.docx", "S 3425-2023")</f>
        <v/>
      </c>
      <c r="AC897">
        <f>HYPERLINK("https://klasma.github.io/Logging_2180/tillsyn/S 3425-2023 tillsynsbegäran.docx", "S 3425-2023")</f>
        <v/>
      </c>
      <c r="AD897">
        <f>HYPERLINK("https://klasma.github.io/Logging_2180/tillsynsmail/S 3425-2023 tillsynsbegäran mail.docx", "S 3425-2023")</f>
        <v/>
      </c>
    </row>
    <row r="898" ht="15" customHeight="1">
      <c r="A898" t="inlineStr">
        <is>
          <t>S 889-2023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44995</v>
      </c>
      <c r="E898" s="1" t="n">
        <v>46236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886-2024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45376</v>
      </c>
      <c r="E899" s="1" t="n">
        <v>46236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2464-2024</t>
        </is>
      </c>
      <c r="B900" t="inlineStr">
        <is>
          <t>samrådsanmälan</t>
        </is>
      </c>
      <c r="C900" t="inlineStr">
        <is>
          <t>Skogsbilväg</t>
        </is>
      </c>
      <c r="D900" s="1" t="n">
        <v>45470</v>
      </c>
      <c r="E900" s="1" t="n">
        <v>46236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644-2026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46089</v>
      </c>
      <c r="E901" s="1" t="n">
        <v>46236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29.2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2026-08-02T01:52:51Z</dcterms:created>
  <dcterms:modified xmlns:dcterms="http://purl.org/dc/terms/" xmlns:xsi="http://www.w3.org/2001/XMLSchema-instance" xsi:type="dcterms:W3CDTF">2026-08-02T01:52:52Z</dcterms:modified>
</cp:coreProperties>
</file>