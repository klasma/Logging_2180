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46299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46299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46299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46299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46299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46299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46299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46299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46299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46299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46299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46299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46299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46299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46299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46299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38344-2026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46282</v>
      </c>
      <c r="E34" s="1" t="n">
        <v>46299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3.9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38344-2026 artfynd.xlsx", "A 38344-2026")</f>
        <v/>
      </c>
      <c r="X34">
        <f>HYPERLINK("https://klasma.github.io/Logging_2180/kartor/A 38344-2026 karta.png", "A 38344-2026")</f>
        <v/>
      </c>
      <c r="Y34">
        <f>HYPERLINK("https://klasma.github.io/Logging_2180/kartor_geotiff/A 38344-2026 georefererad karta.tif", "A 38344-2026")</f>
        <v/>
      </c>
      <c r="AA34">
        <f>HYPERLINK("https://klasma.github.io/Logging_2180/klagomål/A 38344-2026 FSC-klagomål.docx", "A 38344-2026")</f>
        <v/>
      </c>
      <c r="AB34">
        <f>HYPERLINK("https://klasma.github.io/Logging_2180/klagomålsmail/A 38344-2026 FSC-klagomål mail.docx", "A 38344-2026")</f>
        <v/>
      </c>
      <c r="AC34">
        <f>HYPERLINK("https://klasma.github.io/Logging_2180/tillsyn/A 38344-2026 tillsynsbegäran.docx", "A 38344-2026")</f>
        <v/>
      </c>
      <c r="AD34">
        <f>HYPERLINK("https://klasma.github.io/Logging_2180/tillsynsmail/A 38344-2026 tillsynsbegäran mail.docx", "A 38344-2026")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46299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46299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46299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46299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46299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46299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46299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46299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46299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46299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46299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46299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46299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46299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46299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46299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46299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23447-2025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46299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Kopparödla
Fläcknycklar</t>
        </is>
      </c>
      <c r="W54">
        <f>HYPERLINK("https://klasma.github.io/Logging_2180/artfynd/A 23447-2025 artfynd.xlsx", "A 23447-2025")</f>
        <v/>
      </c>
      <c r="X54">
        <f>HYPERLINK("https://klasma.github.io/Logging_2180/kartor/A 23447-2025 karta.png", "A 23447-2025")</f>
        <v/>
      </c>
      <c r="Y54">
        <f>HYPERLINK("https://klasma.github.io/Logging_2180/kartor_geotiff/A 23447-2025 georefererad karta.tif", "A 23447-2025")</f>
        <v/>
      </c>
      <c r="AA54">
        <f>HYPERLINK("https://klasma.github.io/Logging_2180/klagomål/A 23447-2025 FSC-klagomål.docx", "A 23447-2025")</f>
        <v/>
      </c>
      <c r="AB54">
        <f>HYPERLINK("https://klasma.github.io/Logging_2180/klagomålsmail/A 23447-2025 FSC-klagomål mail.docx", "A 23447-2025")</f>
        <v/>
      </c>
      <c r="AC54">
        <f>HYPERLINK("https://klasma.github.io/Logging_2180/tillsyn/A 23447-2025 tillsynsbegäran.docx", "A 23447-2025")</f>
        <v/>
      </c>
      <c r="AD54">
        <f>HYPERLINK("https://klasma.github.io/Logging_2180/tillsynsmail/A 23447-2025 tillsynsbegäran mail.docx", "A 23447-2025")</f>
        <v/>
      </c>
    </row>
    <row r="55" ht="15" customHeight="1">
      <c r="A55" t="inlineStr">
        <is>
          <t>A 14554-2026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46299</v>
      </c>
      <c r="F55" t="inlineStr">
        <is>
          <t>GÄVLEBORGS LÄN</t>
        </is>
      </c>
      <c r="G55" t="inlineStr">
        <is>
          <t>GÄVLE</t>
        </is>
      </c>
      <c r="H55" t="inlineStr">
        <is>
          <t>Övriga statliga verk och myndigheter</t>
        </is>
      </c>
      <c r="I55" t="n">
        <v>6.6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121</v>
      </c>
      <c r="U55" t="n">
        <v>0</v>
      </c>
      <c r="V55" s="2" t="inlineStr">
        <is>
          <t>Väddnätfjäril
Sotnätfjäril</t>
        </is>
      </c>
      <c r="W55">
        <f>HYPERLINK("https://klasma.github.io/Logging_2180/artfynd/A 14554-2026 artfynd.xlsx", "A 14554-2026")</f>
        <v/>
      </c>
      <c r="X55">
        <f>HYPERLINK("https://klasma.github.io/Logging_2180/kartor/A 14554-2026 karta.png", "A 14554-2026")</f>
        <v/>
      </c>
      <c r="Y55">
        <f>HYPERLINK("https://klasma.github.io/Logging_2180/kartor_geotiff/A 14554-2026 georefererad karta.tif", "A 14554-2026")</f>
        <v/>
      </c>
      <c r="AA55">
        <f>HYPERLINK("https://klasma.github.io/Logging_2180/klagomål/A 14554-2026 FSC-klagomål.docx", "A 14554-2026")</f>
        <v/>
      </c>
      <c r="AB55">
        <f>HYPERLINK("https://klasma.github.io/Logging_2180/klagomålsmail/A 14554-2026 FSC-klagomål mail.docx", "A 14554-2026")</f>
        <v/>
      </c>
      <c r="AC55">
        <f>HYPERLINK("https://klasma.github.io/Logging_2180/tillsyn/A 14554-2026 tillsynsbegäran.docx", "A 14554-2026")</f>
        <v/>
      </c>
      <c r="AD55">
        <f>HYPERLINK("https://klasma.github.io/Logging_2180/tillsynsmail/A 14554-2026 tillsynsbegäran mail.docx", "A 14554-2026")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46299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46299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46299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46299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46299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46299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46299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46299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64533-2023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46299</v>
      </c>
      <c r="F64" t="inlineStr">
        <is>
          <t>GÄVLEBORGS LÄN</t>
        </is>
      </c>
      <c r="G64" t="inlineStr">
        <is>
          <t>GÄVLE</t>
        </is>
      </c>
      <c r="I64" t="n">
        <v>1.1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Aspvedgnagare
Jättesvampmal</t>
        </is>
      </c>
      <c r="W64">
        <f>HYPERLINK("https://klasma.github.io/Logging_2180/artfynd/A 64533-2023 artfynd.xlsx", "A 64533-2023")</f>
        <v/>
      </c>
      <c r="X64">
        <f>HYPERLINK("https://klasma.github.io/Logging_2180/kartor/A 64533-2023 karta.png", "A 64533-2023")</f>
        <v/>
      </c>
      <c r="Y64">
        <f>HYPERLINK("https://klasma.github.io/Logging_2180/kartor_geotiff/A 64533-2023 georefererad karta.tif", "A 64533-2023")</f>
        <v/>
      </c>
      <c r="AA64">
        <f>HYPERLINK("https://klasma.github.io/Logging_2180/klagomål/A 64533-2023 FSC-klagomål.docx", "A 64533-2023")</f>
        <v/>
      </c>
      <c r="AB64">
        <f>HYPERLINK("https://klasma.github.io/Logging_2180/klagomålsmail/A 64533-2023 FSC-klagomål mail.docx", "A 64533-2023")</f>
        <v/>
      </c>
      <c r="AC64">
        <f>HYPERLINK("https://klasma.github.io/Logging_2180/tillsyn/A 64533-2023 tillsynsbegäran.docx", "A 64533-2023")</f>
        <v/>
      </c>
      <c r="AD64">
        <f>HYPERLINK("https://klasma.github.io/Logging_2180/tillsynsmail/A 64533-2023 tillsynsbegäran mail.docx", "A 64533-2023")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46299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46299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46299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Blåsippa</t>
        </is>
      </c>
      <c r="W67">
        <f>HYPERLINK("https://klasma.github.io/Logging_2180/artfynd/A 17297-2026 artfynd.xlsx", "A 17297-2026")</f>
        <v/>
      </c>
      <c r="X67">
        <f>HYPERLINK("https://klasma.github.io/Logging_2180/kartor/A 17297-2026 karta.png", "A 17297-2026")</f>
        <v/>
      </c>
      <c r="Y67">
        <f>HYPERLINK("https://klasma.github.io/Logging_2180/kartor_geotiff/A 17297-2026 georefererad karta.tif", "A 17297-2026")</f>
        <v/>
      </c>
      <c r="AA67">
        <f>HYPERLINK("https://klasma.github.io/Logging_2180/klagomål/A 17297-2026 FSC-klagomål.docx", "A 17297-2026")</f>
        <v/>
      </c>
      <c r="AB67">
        <f>HYPERLINK("https://klasma.github.io/Logging_2180/klagomålsmail/A 17297-2026 FSC-klagomål mail.docx", "A 17297-2026")</f>
        <v/>
      </c>
      <c r="AC67">
        <f>HYPERLINK("https://klasma.github.io/Logging_2180/tillsyn/A 17297-2026 tillsynsbegäran.docx", "A 17297-2026")</f>
        <v/>
      </c>
      <c r="AD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46299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46299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6473-2024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46299</v>
      </c>
      <c r="F70" t="inlineStr">
        <is>
          <t>GÄVLEBORGS LÄN</t>
        </is>
      </c>
      <c r="G70" t="inlineStr">
        <is>
          <t>GÄVLE</t>
        </is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Tibast
Nattviol</t>
        </is>
      </c>
      <c r="W70">
        <f>HYPERLINK("https://klasma.github.io/Logging_2180/artfynd/A 6473-2024 artfynd.xlsx", "A 6473-2024")</f>
        <v/>
      </c>
      <c r="X70">
        <f>HYPERLINK("https://klasma.github.io/Logging_2180/kartor/A 6473-2024 karta.png", "A 6473-2024")</f>
        <v/>
      </c>
      <c r="Y70">
        <f>HYPERLINK("https://klasma.github.io/Logging_2180/kartor_geotiff/A 6473-2024 georefererad karta.tif", "A 6473-2024")</f>
        <v/>
      </c>
      <c r="AA70">
        <f>HYPERLINK("https://klasma.github.io/Logging_2180/klagomål/A 6473-2024 FSC-klagomål.docx", "A 6473-2024")</f>
        <v/>
      </c>
      <c r="AB70">
        <f>HYPERLINK("https://klasma.github.io/Logging_2180/klagomålsmail/A 6473-2024 FSC-klagomål mail.docx", "A 6473-2024")</f>
        <v/>
      </c>
      <c r="AC70">
        <f>HYPERLINK("https://klasma.github.io/Logging_2180/tillsyn/A 6473-2024 tillsynsbegäran.docx", "A 6473-2024")</f>
        <v/>
      </c>
      <c r="AD70">
        <f>HYPERLINK("https://klasma.github.io/Logging_2180/tillsynsmail/A 6473-2024 tillsynsbegäran mail.docx", "A 6473-2024")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46299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46299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46299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46299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46299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35989-2024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46299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väst AB</t>
        </is>
      </c>
      <c r="I77" t="n">
        <v>3.1</v>
      </c>
      <c r="J77" t="n">
        <v>1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Knärot
Jättesvampmal</t>
        </is>
      </c>
      <c r="W77">
        <f>HYPERLINK("https://klasma.github.io/Logging_2180/artfynd/A 35989-2024 artfynd.xlsx", "A 35989-2024")</f>
        <v/>
      </c>
      <c r="X77">
        <f>HYPERLINK("https://klasma.github.io/Logging_2180/kartor/A 35989-2024 karta.png", "A 35989-2024")</f>
        <v/>
      </c>
      <c r="Y77">
        <f>HYPERLINK("https://klasma.github.io/Logging_2180/kartor_geotiff/A 35989-2024 georefererad karta.tif", "A 35989-2024")</f>
        <v/>
      </c>
      <c r="Z77">
        <f>HYPERLINK("https://klasma.github.io/Logging_2180/knärot/A 35989-2024 karta knärot.png", "A 35989-2024")</f>
        <v/>
      </c>
      <c r="AA77">
        <f>HYPERLINK("https://klasma.github.io/Logging_2180/klagomål/A 35989-2024 FSC-klagomål.docx", "A 35989-2024")</f>
        <v/>
      </c>
      <c r="AB77">
        <f>HYPERLINK("https://klasma.github.io/Logging_2180/klagomålsmail/A 35989-2024 FSC-klagomål mail.docx", "A 35989-2024")</f>
        <v/>
      </c>
      <c r="AC77">
        <f>HYPERLINK("https://klasma.github.io/Logging_2180/tillsyn/A 35989-2024 tillsynsbegäran.docx", "A 35989-2024")</f>
        <v/>
      </c>
      <c r="AD77">
        <f>HYPERLINK("https://klasma.github.io/Logging_2180/tillsynsmail/A 35989-2024 tillsynsbegäran mail.docx", "A 35989-2024")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46299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46299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46299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46299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46299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Ängsblåvinge</t>
        </is>
      </c>
      <c r="W83">
        <f>HYPERLINK("https://klasma.github.io/Logging_2180/artfynd/A 15001-2023 artfynd.xlsx", "A 15001-2023")</f>
        <v/>
      </c>
      <c r="X83">
        <f>HYPERLINK("https://klasma.github.io/Logging_2180/kartor/A 15001-2023 karta.png", "A 15001-2023")</f>
        <v/>
      </c>
      <c r="Y83">
        <f>HYPERLINK("https://klasma.github.io/Logging_2180/kartor_geotiff/A 15001-2023 georefererad karta.tif", "A 15001-2023")</f>
        <v/>
      </c>
      <c r="AA83">
        <f>HYPERLINK("https://klasma.github.io/Logging_2180/klagomål/A 15001-2023 FSC-klagomål.docx", "A 15001-2023")</f>
        <v/>
      </c>
      <c r="AB83">
        <f>HYPERLINK("https://klasma.github.io/Logging_2180/klagomålsmail/A 15001-2023 FSC-klagomål mail.docx", "A 15001-2023")</f>
        <v/>
      </c>
      <c r="AC83">
        <f>HYPERLINK("https://klasma.github.io/Logging_2180/tillsyn/A 15001-2023 tillsynsbegäran.docx", "A 15001-2023")</f>
        <v/>
      </c>
      <c r="AD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46299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46299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46299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46299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46299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47642-2024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46299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HYPERLINK("https://klasma.github.io/Logging_2180/artfynd/A 47642-2024 artfynd.xlsx", "A 47642-2024")</f>
        <v/>
      </c>
      <c r="X89">
        <f>HYPERLINK("https://klasma.github.io/Logging_2180/kartor/A 47642-2024 karta.png", "A 47642-2024")</f>
        <v/>
      </c>
      <c r="Y89">
        <f>HYPERLINK("https://klasma.github.io/Logging_2180/kartor_geotiff/A 47642-2024 georefererad karta.tif", "A 47642-2024")</f>
        <v/>
      </c>
      <c r="AA89">
        <f>HYPERLINK("https://klasma.github.io/Logging_2180/klagomål/A 47642-2024 FSC-klagomål.docx", "A 47642-2024")</f>
        <v/>
      </c>
      <c r="AB89">
        <f>HYPERLINK("https://klasma.github.io/Logging_2180/klagomålsmail/A 47642-2024 FSC-klagomål mail.docx", "A 47642-2024")</f>
        <v/>
      </c>
      <c r="AC89">
        <f>HYPERLINK("https://klasma.github.io/Logging_2180/tillsyn/A 47642-2024 tillsynsbegäran.docx", "A 47642-2024")</f>
        <v/>
      </c>
      <c r="AD89">
        <f>HYPERLINK("https://klasma.github.io/Logging_2180/tillsynsmail/A 47642-2024 tillsynsbegäran mail.docx", "A 47642-2024")</f>
        <v/>
      </c>
      <c r="AE89">
        <f>HYPERLINK("https://klasma.github.io/Logging_2180/fåglar/A 47642-2024 prioriterade fågelarter.docx", "A 47642-2024")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46299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46299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46299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12338-2025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46299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6.8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Skogsklocka</t>
        </is>
      </c>
      <c r="W93">
        <f>HYPERLINK("https://klasma.github.io/Logging_2180/artfynd/A 12338-2025 artfynd.xlsx", "A 12338-2025")</f>
        <v/>
      </c>
      <c r="X93">
        <f>HYPERLINK("https://klasma.github.io/Logging_2180/kartor/A 12338-2025 karta.png", "A 12338-2025")</f>
        <v/>
      </c>
      <c r="Y93">
        <f>HYPERLINK("https://klasma.github.io/Logging_2180/kartor_geotiff/A 12338-2025 georefererad karta.tif", "A 12338-2025")</f>
        <v/>
      </c>
      <c r="AA93">
        <f>HYPERLINK("https://klasma.github.io/Logging_2180/klagomål/A 12338-2025 FSC-klagomål.docx", "A 12338-2025")</f>
        <v/>
      </c>
      <c r="AB93">
        <f>HYPERLINK("https://klasma.github.io/Logging_2180/klagomålsmail/A 12338-2025 FSC-klagomål mail.docx", "A 12338-2025")</f>
        <v/>
      </c>
      <c r="AC93">
        <f>HYPERLINK("https://klasma.github.io/Logging_2180/tillsyn/A 12338-2025 tillsynsbegäran.docx", "A 12338-2025")</f>
        <v/>
      </c>
      <c r="AD93">
        <f>HYPERLINK("https://klasma.github.io/Logging_2180/tillsynsmail/A 12338-2025 tillsynsbegäran mail.docx", "A 12338-2025")</f>
        <v/>
      </c>
    </row>
    <row r="94" ht="15" customHeight="1">
      <c r="A94" t="inlineStr">
        <is>
          <t>A 50052-2025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46299</v>
      </c>
      <c r="F94" t="inlineStr">
        <is>
          <t>GÄVLEBORGS LÄN</t>
        </is>
      </c>
      <c r="G94" t="inlineStr">
        <is>
          <t>GÄVLE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Mosippa</t>
        </is>
      </c>
      <c r="W94">
        <f>HYPERLINK("https://klasma.github.io/Logging_2180/artfynd/A 50052-2025 artfynd.xlsx", "A 50052-2025")</f>
        <v/>
      </c>
      <c r="X94">
        <f>HYPERLINK("https://klasma.github.io/Logging_2180/kartor/A 50052-2025 karta.png", "A 50052-2025")</f>
        <v/>
      </c>
      <c r="Y94">
        <f>HYPERLINK("https://klasma.github.io/Logging_2180/kartor_geotiff/A 50052-2025 georefererad karta.tif", "A 50052-2025")</f>
        <v/>
      </c>
      <c r="AA94">
        <f>HYPERLINK("https://klasma.github.io/Logging_2180/klagomål/A 50052-2025 FSC-klagomål.docx", "A 50052-2025")</f>
        <v/>
      </c>
      <c r="AB94">
        <f>HYPERLINK("https://klasma.github.io/Logging_2180/klagomålsmail/A 50052-2025 FSC-klagomål mail.docx", "A 50052-2025")</f>
        <v/>
      </c>
      <c r="AC94">
        <f>HYPERLINK("https://klasma.github.io/Logging_2180/tillsyn/A 50052-2025 tillsynsbegäran.docx", "A 50052-2025")</f>
        <v/>
      </c>
      <c r="AD94">
        <f>HYPERLINK("https://klasma.github.io/Logging_2180/tillsynsmail/A 50052-2025 tillsynsbegäran mail.docx", "A 50052-2025")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46299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46299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13684-2026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46299</v>
      </c>
      <c r="F97" t="inlineStr">
        <is>
          <t>GÄVLEBORGS LÄN</t>
        </is>
      </c>
      <c r="G97" t="inlineStr">
        <is>
          <t>GÄVLE</t>
        </is>
      </c>
      <c r="I97" t="n">
        <v>21.3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HYPERLINK("https://klasma.github.io/Logging_2180/artfynd/A 13684-2026 artfynd.xlsx", "A 13684-2026")</f>
        <v/>
      </c>
      <c r="X97">
        <f>HYPERLINK("https://klasma.github.io/Logging_2180/kartor/A 13684-2026 karta.png", "A 13684-2026")</f>
        <v/>
      </c>
      <c r="Y97">
        <f>HYPERLINK("https://klasma.github.io/Logging_2180/kartor_geotiff/A 13684-2026 georefererad karta.tif", "A 13684-2026")</f>
        <v/>
      </c>
      <c r="AA97">
        <f>HYPERLINK("https://klasma.github.io/Logging_2180/klagomål/A 13684-2026 FSC-klagomål.docx", "A 13684-2026")</f>
        <v/>
      </c>
      <c r="AB97">
        <f>HYPERLINK("https://klasma.github.io/Logging_2180/klagomålsmail/A 13684-2026 FSC-klagomål mail.docx", "A 13684-2026")</f>
        <v/>
      </c>
      <c r="AC97">
        <f>HYPERLINK("https://klasma.github.io/Logging_2180/tillsyn/A 13684-2026 tillsynsbegäran.docx", "A 13684-2026")</f>
        <v/>
      </c>
      <c r="AD97">
        <f>HYPERLINK("https://klasma.github.io/Logging_2180/tillsynsmail/A 13684-2026 tillsynsbegäran mail.docx", "A 13684-2026")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46299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30302-2025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46299</v>
      </c>
      <c r="F99" t="inlineStr">
        <is>
          <t>GÄVLEBORGS LÄN</t>
        </is>
      </c>
      <c r="G99" t="inlineStr">
        <is>
          <t>GÄVLE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HYPERLINK("https://klasma.github.io/Logging_2180/artfynd/A 30302-2025 artfynd.xlsx", "A 30302-2025")</f>
        <v/>
      </c>
      <c r="X99">
        <f>HYPERLINK("https://klasma.github.io/Logging_2180/kartor/A 30302-2025 karta.png", "A 30302-2025")</f>
        <v/>
      </c>
      <c r="Y99">
        <f>HYPERLINK("https://klasma.github.io/Logging_2180/kartor_geotiff/A 30302-2025 georefererad karta.tif", "A 30302-2025")</f>
        <v/>
      </c>
      <c r="AA99">
        <f>HYPERLINK("https://klasma.github.io/Logging_2180/klagomål/A 30302-2025 FSC-klagomål.docx", "A 30302-2025")</f>
        <v/>
      </c>
      <c r="AB99">
        <f>HYPERLINK("https://klasma.github.io/Logging_2180/klagomålsmail/A 30302-2025 FSC-klagomål mail.docx", "A 30302-2025")</f>
        <v/>
      </c>
      <c r="AC99">
        <f>HYPERLINK("https://klasma.github.io/Logging_2180/tillsyn/A 30302-2025 tillsynsbegäran.docx", "A 30302-2025")</f>
        <v/>
      </c>
      <c r="AD99">
        <f>HYPERLINK("https://klasma.github.io/Logging_2180/tillsynsmail/A 30302-2025 tillsynsbegäran mail.docx", "A 30302-2025")</f>
        <v/>
      </c>
    </row>
    <row r="100" ht="15" customHeight="1">
      <c r="A100" t="inlineStr">
        <is>
          <t>A 19635-2026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46299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Skinnlav</t>
        </is>
      </c>
      <c r="W100">
        <f>HYPERLINK("https://klasma.github.io/Logging_2180/artfynd/A 19635-2026 artfynd.xlsx", "A 19635-2026")</f>
        <v/>
      </c>
      <c r="X100">
        <f>HYPERLINK("https://klasma.github.io/Logging_2180/kartor/A 19635-2026 karta.png", "A 19635-2026")</f>
        <v/>
      </c>
      <c r="Y100">
        <f>HYPERLINK("https://klasma.github.io/Logging_2180/kartor_geotiff/A 19635-2026 georefererad karta.tif", "A 19635-2026")</f>
        <v/>
      </c>
      <c r="AA100">
        <f>HYPERLINK("https://klasma.github.io/Logging_2180/klagomål/A 19635-2026 FSC-klagomål.docx", "A 19635-2026")</f>
        <v/>
      </c>
      <c r="AB100">
        <f>HYPERLINK("https://klasma.github.io/Logging_2180/klagomålsmail/A 19635-2026 FSC-klagomål mail.docx", "A 19635-2026")</f>
        <v/>
      </c>
      <c r="AC100">
        <f>HYPERLINK("https://klasma.github.io/Logging_2180/tillsyn/A 19635-2026 tillsynsbegäran.docx", "A 19635-2026")</f>
        <v/>
      </c>
      <c r="AD100">
        <f>HYPERLINK("https://klasma.github.io/Logging_2180/tillsynsmail/A 19635-2026 tillsynsbegäran mail.docx", "A 19635-2026")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46299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46299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46299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14714-2026 artfynd.xlsx", "A 14714-2026")</f>
        <v/>
      </c>
      <c r="X103">
        <f>HYPERLINK("https://klasma.github.io/Logging_2180/kartor/A 14714-2026 karta.png", "A 14714-2026")</f>
        <v/>
      </c>
      <c r="Y103">
        <f>HYPERLINK("https://klasma.github.io/Logging_2180/kartor_geotiff/A 14714-2026 georefererad karta.tif", "A 14714-2026")</f>
        <v/>
      </c>
      <c r="AA103">
        <f>HYPERLINK("https://klasma.github.io/Logging_2180/klagomål/A 14714-2026 FSC-klagomål.docx", "A 14714-2026")</f>
        <v/>
      </c>
      <c r="AB103">
        <f>HYPERLINK("https://klasma.github.io/Logging_2180/klagomålsmail/A 14714-2026 FSC-klagomål mail.docx", "A 14714-2026")</f>
        <v/>
      </c>
      <c r="AC103">
        <f>HYPERLINK("https://klasma.github.io/Logging_2180/tillsyn/A 14714-2026 tillsynsbegäran.docx", "A 14714-2026")</f>
        <v/>
      </c>
      <c r="AD103">
        <f>HYPERLINK("https://klasma.github.io/Logging_2180/tillsynsmail/A 14714-2026 tillsynsbegäran mail.docx", "A 14714-2026")</f>
        <v/>
      </c>
      <c r="AE103">
        <f>HYPERLINK("https://klasma.github.io/Logging_2180/fåglar/A 14714-2026 prioriterade fågelarter.docx", "A 14714-2026")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46299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46299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20734-2026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46299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20734-2026 artfynd.xlsx", "A 20734-2026")</f>
        <v/>
      </c>
      <c r="X106">
        <f>HYPERLINK("https://klasma.github.io/Logging_2180/kartor/A 20734-2026 karta.png", "A 20734-2026")</f>
        <v/>
      </c>
      <c r="Y106">
        <f>HYPERLINK("https://klasma.github.io/Logging_2180/kartor_geotiff/A 20734-2026 georefererad karta.tif", "A 20734-2026")</f>
        <v/>
      </c>
      <c r="AA106">
        <f>HYPERLINK("https://klasma.github.io/Logging_2180/klagomål/A 20734-2026 FSC-klagomål.docx", "A 20734-2026")</f>
        <v/>
      </c>
      <c r="AB106">
        <f>HYPERLINK("https://klasma.github.io/Logging_2180/klagomålsmail/A 20734-2026 FSC-klagomål mail.docx", "A 20734-2026")</f>
        <v/>
      </c>
      <c r="AC106">
        <f>HYPERLINK("https://klasma.github.io/Logging_2180/tillsyn/A 20734-2026 tillsynsbegäran.docx", "A 20734-2026")</f>
        <v/>
      </c>
      <c r="AD106">
        <f>HYPERLINK("https://klasma.github.io/Logging_2180/tillsynsmail/A 20734-2026 tillsynsbegäran mail.docx", "A 20734-2026")</f>
        <v/>
      </c>
    </row>
    <row r="107" ht="15" customHeight="1">
      <c r="A107" t="inlineStr">
        <is>
          <t>A 14703-2026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46299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14703-2026 artfynd.xlsx", "A 14703-2026")</f>
        <v/>
      </c>
      <c r="X107">
        <f>HYPERLINK("https://klasma.github.io/Logging_2180/kartor/A 14703-2026 karta.png", "A 14703-2026")</f>
        <v/>
      </c>
      <c r="Y107">
        <f>HYPERLINK("https://klasma.github.io/Logging_2180/kartor_geotiff/A 14703-2026 georefererad karta.tif", "A 14703-2026")</f>
        <v/>
      </c>
      <c r="AA107">
        <f>HYPERLINK("https://klasma.github.io/Logging_2180/klagomål/A 14703-2026 FSC-klagomål.docx", "A 14703-2026")</f>
        <v/>
      </c>
      <c r="AB107">
        <f>HYPERLINK("https://klasma.github.io/Logging_2180/klagomålsmail/A 14703-2026 FSC-klagomål mail.docx", "A 14703-2026")</f>
        <v/>
      </c>
      <c r="AC107">
        <f>HYPERLINK("https://klasma.github.io/Logging_2180/tillsyn/A 14703-2026 tillsynsbegäran.docx", "A 14703-2026")</f>
        <v/>
      </c>
      <c r="AD107">
        <f>HYPERLINK("https://klasma.github.io/Logging_2180/tillsynsmail/A 14703-2026 tillsynsbegäran mail.docx", "A 14703-2026")</f>
        <v/>
      </c>
      <c r="AE107">
        <f>HYPERLINK("https://klasma.github.io/Logging_2180/fåglar/A 14703-2026 prioriterade fågelarter.docx", "A 14703-2026")</f>
        <v/>
      </c>
    </row>
    <row r="108" ht="15" customHeight="1">
      <c r="A108" t="inlineStr">
        <is>
          <t>A 11411-2025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46299</v>
      </c>
      <c r="F108" t="inlineStr">
        <is>
          <t>GÄVLEBORGS LÄN</t>
        </is>
      </c>
      <c r="G108" t="inlineStr">
        <is>
          <t>GÄVLE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HYPERLINK("https://klasma.github.io/Logging_2180/artfynd/A 11411-2025 artfynd.xlsx", "A 11411-2025")</f>
        <v/>
      </c>
      <c r="X108">
        <f>HYPERLINK("https://klasma.github.io/Logging_2180/kartor/A 11411-2025 karta.png", "A 11411-2025")</f>
        <v/>
      </c>
      <c r="Y108">
        <f>HYPERLINK("https://klasma.github.io/Logging_2180/kartor_geotiff/A 11411-2025 georefererad karta.tif", "A 11411-2025")</f>
        <v/>
      </c>
      <c r="AA108">
        <f>HYPERLINK("https://klasma.github.io/Logging_2180/klagomål/A 11411-2025 FSC-klagomål.docx", "A 11411-2025")</f>
        <v/>
      </c>
      <c r="AB108">
        <f>HYPERLINK("https://klasma.github.io/Logging_2180/klagomålsmail/A 11411-2025 FSC-klagomål mail.docx", "A 11411-2025")</f>
        <v/>
      </c>
      <c r="AC108">
        <f>HYPERLINK("https://klasma.github.io/Logging_2180/tillsyn/A 11411-2025 tillsynsbegäran.docx", "A 11411-2025")</f>
        <v/>
      </c>
      <c r="AD108">
        <f>HYPERLINK("https://klasma.github.io/Logging_2180/tillsynsmail/A 11411-2025 tillsynsbegäran mail.docx", "A 11411-2025")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46299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51508-2024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46299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Tibast</t>
        </is>
      </c>
      <c r="W111">
        <f>HYPERLINK("https://klasma.github.io/Logging_2180/artfynd/A 51508-2024 artfynd.xlsx", "A 51508-2024")</f>
        <v/>
      </c>
      <c r="X111">
        <f>HYPERLINK("https://klasma.github.io/Logging_2180/kartor/A 51508-2024 karta.png", "A 51508-2024")</f>
        <v/>
      </c>
      <c r="Y111">
        <f>HYPERLINK("https://klasma.github.io/Logging_2180/kartor_geotiff/A 51508-2024 georefererad karta.tif", "A 51508-2024")</f>
        <v/>
      </c>
      <c r="AA111">
        <f>HYPERLINK("https://klasma.github.io/Logging_2180/klagomål/A 51508-2024 FSC-klagomål.docx", "A 51508-2024")</f>
        <v/>
      </c>
      <c r="AB111">
        <f>HYPERLINK("https://klasma.github.io/Logging_2180/klagomålsmail/A 51508-2024 FSC-klagomål mail.docx", "A 51508-2024")</f>
        <v/>
      </c>
      <c r="AC111">
        <f>HYPERLINK("https://klasma.github.io/Logging_2180/tillsyn/A 51508-2024 tillsynsbegäran.docx", "A 51508-2024")</f>
        <v/>
      </c>
      <c r="AD111">
        <f>HYPERLINK("https://klasma.github.io/Logging_2180/tillsynsmail/A 51508-2024 tillsynsbegäran mail.docx", "A 51508-2024")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46299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12437-2024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46299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Mindre bastardsvärmare</t>
        </is>
      </c>
      <c r="W113">
        <f>HYPERLINK("https://klasma.github.io/Logging_2180/artfynd/A 12437-2024 artfynd.xlsx", "A 12437-2024")</f>
        <v/>
      </c>
      <c r="X113">
        <f>HYPERLINK("https://klasma.github.io/Logging_2180/kartor/A 12437-2024 karta.png", "A 12437-2024")</f>
        <v/>
      </c>
      <c r="Y113">
        <f>HYPERLINK("https://klasma.github.io/Logging_2180/kartor_geotiff/A 12437-2024 georefererad karta.tif", "A 12437-2024")</f>
        <v/>
      </c>
      <c r="AA113">
        <f>HYPERLINK("https://klasma.github.io/Logging_2180/klagomål/A 12437-2024 FSC-klagomål.docx", "A 12437-2024")</f>
        <v/>
      </c>
      <c r="AB113">
        <f>HYPERLINK("https://klasma.github.io/Logging_2180/klagomålsmail/A 12437-2024 FSC-klagomål mail.docx", "A 12437-2024")</f>
        <v/>
      </c>
      <c r="AC113">
        <f>HYPERLINK("https://klasma.github.io/Logging_2180/tillsyn/A 12437-2024 tillsynsbegäran.docx", "A 12437-2024")</f>
        <v/>
      </c>
      <c r="AD113">
        <f>HYPERLINK("https://klasma.github.io/Logging_2180/tillsynsmail/A 12437-2024 tillsynsbegäran mail.docx", "A 12437-2024")</f>
        <v/>
      </c>
    </row>
    <row r="114" ht="15" customHeight="1">
      <c r="A114" t="inlineStr">
        <is>
          <t>A 10333-2025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46299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Tjäder</t>
        </is>
      </c>
      <c r="W114">
        <f>HYPERLINK("https://klasma.github.io/Logging_2180/artfynd/A 10333-2025 artfynd.xlsx", "A 10333-2025")</f>
        <v/>
      </c>
      <c r="X114">
        <f>HYPERLINK("https://klasma.github.io/Logging_2180/kartor/A 10333-2025 karta.png", "A 10333-2025")</f>
        <v/>
      </c>
      <c r="Y114">
        <f>HYPERLINK("https://klasma.github.io/Logging_2180/kartor_geotiff/A 10333-2025 georefererad karta.tif", "A 10333-2025")</f>
        <v/>
      </c>
      <c r="AA114">
        <f>HYPERLINK("https://klasma.github.io/Logging_2180/klagomål/A 10333-2025 FSC-klagomål.docx", "A 10333-2025")</f>
        <v/>
      </c>
      <c r="AB114">
        <f>HYPERLINK("https://klasma.github.io/Logging_2180/klagomålsmail/A 10333-2025 FSC-klagomål mail.docx", "A 10333-2025")</f>
        <v/>
      </c>
      <c r="AC114">
        <f>HYPERLINK("https://klasma.github.io/Logging_2180/tillsyn/A 10333-2025 tillsynsbegäran.docx", "A 10333-2025")</f>
        <v/>
      </c>
      <c r="AD114">
        <f>HYPERLINK("https://klasma.github.io/Logging_2180/tillsynsmail/A 10333-2025 tillsynsbegäran mail.docx", "A 10333-2025")</f>
        <v/>
      </c>
      <c r="AE114">
        <f>HYPERLINK("https://klasma.github.io/Logging_2180/fåglar/A 10333-2025 prioriterade fågelarter.docx", "A 10333-2025")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46299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27058-2026 artfynd.xlsx", "A 27058-2026")</f>
        <v/>
      </c>
      <c r="X116">
        <f>HYPERLINK("https://klasma.github.io/Logging_2180/kartor/A 27058-2026 karta.png", "A 27058-2026")</f>
        <v/>
      </c>
      <c r="Y116">
        <f>HYPERLINK("https://klasma.github.io/Logging_2180/kartor_geotiff/A 27058-2026 georefererad karta.tif", "A 27058-2026")</f>
        <v/>
      </c>
      <c r="AA116">
        <f>HYPERLINK("https://klasma.github.io/Logging_2180/klagomål/A 27058-2026 FSC-klagomål.docx", "A 27058-2026")</f>
        <v/>
      </c>
      <c r="AB116">
        <f>HYPERLINK("https://klasma.github.io/Logging_2180/klagomålsmail/A 27058-2026 FSC-klagomål mail.docx", "A 27058-2026")</f>
        <v/>
      </c>
      <c r="AC116">
        <f>HYPERLINK("https://klasma.github.io/Logging_2180/tillsyn/A 27058-2026 tillsynsbegäran.docx", "A 27058-2026")</f>
        <v/>
      </c>
      <c r="AD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46299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12381-2023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46299</v>
      </c>
      <c r="F118" t="inlineStr">
        <is>
          <t>GÄVLEBORGS LÄN</t>
        </is>
      </c>
      <c r="G118" t="inlineStr">
        <is>
          <t>GÄVLE</t>
        </is>
      </c>
      <c r="I118" t="n">
        <v>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Brunlångöra</t>
        </is>
      </c>
      <c r="W118">
        <f>HYPERLINK("https://klasma.github.io/Logging_2180/artfynd/A 12381-2023 artfynd.xlsx", "A 12381-2023")</f>
        <v/>
      </c>
      <c r="X118">
        <f>HYPERLINK("https://klasma.github.io/Logging_2180/kartor/A 12381-2023 karta.png", "A 12381-2023")</f>
        <v/>
      </c>
      <c r="Y118">
        <f>HYPERLINK("https://klasma.github.io/Logging_2180/kartor_geotiff/A 12381-2023 georefererad karta.tif", "A 12381-2023")</f>
        <v/>
      </c>
      <c r="AA118">
        <f>HYPERLINK("https://klasma.github.io/Logging_2180/klagomål/A 12381-2023 FSC-klagomål.docx", "A 12381-2023")</f>
        <v/>
      </c>
      <c r="AB118">
        <f>HYPERLINK("https://klasma.github.io/Logging_2180/klagomålsmail/A 12381-2023 FSC-klagomål mail.docx", "A 12381-2023")</f>
        <v/>
      </c>
      <c r="AC118">
        <f>HYPERLINK("https://klasma.github.io/Logging_2180/tillsyn/A 12381-2023 tillsynsbegäran.docx", "A 12381-2023")</f>
        <v/>
      </c>
      <c r="AD118">
        <f>HYPERLINK("https://klasma.github.io/Logging_2180/tillsynsmail/A 12381-2023 tillsynsbegäran mail.docx", "A 12381-2023")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46299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57932-2024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46299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48.7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HYPERLINK("https://klasma.github.io/Logging_2180/artfynd/A 57932-2024 artfynd.xlsx", "A 57932-2024")</f>
        <v/>
      </c>
      <c r="X120">
        <f>HYPERLINK("https://klasma.github.io/Logging_2180/kartor/A 57932-2024 karta.png", "A 57932-2024")</f>
        <v/>
      </c>
      <c r="Y120">
        <f>HYPERLINK("https://klasma.github.io/Logging_2180/kartor_geotiff/A 57932-2024 georefererad karta.tif", "A 57932-2024")</f>
        <v/>
      </c>
      <c r="AA120">
        <f>HYPERLINK("https://klasma.github.io/Logging_2180/klagomål/A 57932-2024 FSC-klagomål.docx", "A 57932-2024")</f>
        <v/>
      </c>
      <c r="AB120">
        <f>HYPERLINK("https://klasma.github.io/Logging_2180/klagomålsmail/A 57932-2024 FSC-klagomål mail.docx", "A 57932-2024")</f>
        <v/>
      </c>
      <c r="AC120">
        <f>HYPERLINK("https://klasma.github.io/Logging_2180/tillsyn/A 57932-2024 tillsynsbegäran.docx", "A 57932-2024")</f>
        <v/>
      </c>
      <c r="AD120">
        <f>HYPERLINK("https://klasma.github.io/Logging_2180/tillsynsmail/A 57932-2024 tillsynsbegäran mail.docx", "A 57932-2024")</f>
        <v/>
      </c>
      <c r="AE120">
        <f>HYPERLINK("https://klasma.github.io/Logging_2180/fåglar/A 57932-2024 prioriterade fågelarter.docx", "A 57932-2024")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46299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46299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46299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23003-2026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46299</v>
      </c>
      <c r="F124" t="inlineStr">
        <is>
          <t>GÄVLEBORGS LÄN</t>
        </is>
      </c>
      <c r="G124" t="inlineStr">
        <is>
          <t>GÄVLE</t>
        </is>
      </c>
      <c r="I124" t="n">
        <v>12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Tjäder</t>
        </is>
      </c>
      <c r="W124">
        <f>HYPERLINK("https://klasma.github.io/Logging_2180/artfynd/A 23003-2026 artfynd.xlsx", "A 23003-2026")</f>
        <v/>
      </c>
      <c r="X124">
        <f>HYPERLINK("https://klasma.github.io/Logging_2180/kartor/A 23003-2026 karta.png", "A 23003-2026")</f>
        <v/>
      </c>
      <c r="Y124">
        <f>HYPERLINK("https://klasma.github.io/Logging_2180/kartor_geotiff/A 23003-2026 georefererad karta.tif", "A 23003-2026")</f>
        <v/>
      </c>
      <c r="AA124">
        <f>HYPERLINK("https://klasma.github.io/Logging_2180/klagomål/A 23003-2026 FSC-klagomål.docx", "A 23003-2026")</f>
        <v/>
      </c>
      <c r="AB124">
        <f>HYPERLINK("https://klasma.github.io/Logging_2180/klagomålsmail/A 23003-2026 FSC-klagomål mail.docx", "A 23003-2026")</f>
        <v/>
      </c>
      <c r="AC124">
        <f>HYPERLINK("https://klasma.github.io/Logging_2180/tillsyn/A 23003-2026 tillsynsbegäran.docx", "A 23003-2026")</f>
        <v/>
      </c>
      <c r="AD124">
        <f>HYPERLINK("https://klasma.github.io/Logging_2180/tillsynsmail/A 23003-2026 tillsynsbegäran mail.docx", "A 23003-2026")</f>
        <v/>
      </c>
      <c r="AE124">
        <f>HYPERLINK("https://klasma.github.io/Logging_2180/fåglar/A 23003-2026 prioriterade fågelarter.docx", "A 23003-2026")</f>
        <v/>
      </c>
    </row>
    <row r="125" ht="15" customHeight="1">
      <c r="A125" t="inlineStr">
        <is>
          <t>A 37220-2026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46274</v>
      </c>
      <c r="E125" s="1" t="n">
        <v>46299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HYPERLINK("https://klasma.github.io/Logging_2180/artfynd/A 37220-2026 artfynd.xlsx", "A 37220-2026")</f>
        <v/>
      </c>
      <c r="X125">
        <f>HYPERLINK("https://klasma.github.io/Logging_2180/kartor/A 37220-2026 karta.png", "A 37220-2026")</f>
        <v/>
      </c>
      <c r="Y125">
        <f>HYPERLINK("https://klasma.github.io/Logging_2180/kartor_geotiff/A 37220-2026 georefererad karta.tif", "A 37220-2026")</f>
        <v/>
      </c>
      <c r="AA125">
        <f>HYPERLINK("https://klasma.github.io/Logging_2180/klagomål/A 37220-2026 FSC-klagomål.docx", "A 37220-2026")</f>
        <v/>
      </c>
      <c r="AB125">
        <f>HYPERLINK("https://klasma.github.io/Logging_2180/klagomålsmail/A 37220-2026 FSC-klagomål mail.docx", "A 37220-2026")</f>
        <v/>
      </c>
      <c r="AC125">
        <f>HYPERLINK("https://klasma.github.io/Logging_2180/tillsyn/A 37220-2026 tillsynsbegäran.docx", "A 37220-2026")</f>
        <v/>
      </c>
      <c r="AD125">
        <f>HYPERLINK("https://klasma.github.io/Logging_2180/tillsynsmail/A 37220-2026 tillsynsbegäran mail.docx", "A 37220-2026")</f>
        <v/>
      </c>
    </row>
    <row r="126" ht="15" customHeight="1">
      <c r="A126" t="inlineStr">
        <is>
          <t>A 38571-2026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46283</v>
      </c>
      <c r="E126" s="1" t="n">
        <v>46299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Platt spretmossa</t>
        </is>
      </c>
      <c r="W126">
        <f>HYPERLINK("https://klasma.github.io/Logging_2180/artfynd/A 38571-2026 artfynd.xlsx", "A 38571-2026")</f>
        <v/>
      </c>
      <c r="X126">
        <f>HYPERLINK("https://klasma.github.io/Logging_2180/kartor/A 38571-2026 karta.png", "A 38571-2026")</f>
        <v/>
      </c>
      <c r="Y126">
        <f>HYPERLINK("https://klasma.github.io/Logging_2180/kartor_geotiff/A 38571-2026 georefererad karta.tif", "A 38571-2026")</f>
        <v/>
      </c>
      <c r="AA126">
        <f>HYPERLINK("https://klasma.github.io/Logging_2180/klagomål/A 38571-2026 FSC-klagomål.docx", "A 38571-2026")</f>
        <v/>
      </c>
      <c r="AB126">
        <f>HYPERLINK("https://klasma.github.io/Logging_2180/klagomålsmail/A 38571-2026 FSC-klagomål mail.docx", "A 38571-2026")</f>
        <v/>
      </c>
      <c r="AC126">
        <f>HYPERLINK("https://klasma.github.io/Logging_2180/tillsyn/A 38571-2026 tillsynsbegäran.docx", "A 38571-2026")</f>
        <v/>
      </c>
      <c r="AD126">
        <f>HYPERLINK("https://klasma.github.io/Logging_2180/tillsynsmail/A 38571-2026 tillsynsbegäran mail.docx", "A 38571-2026")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46299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38300-2026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46282</v>
      </c>
      <c r="E128" s="1" t="n">
        <v>46299</v>
      </c>
      <c r="F128" t="inlineStr">
        <is>
          <t>GÄVLEBORGS LÄN</t>
        </is>
      </c>
      <c r="G128" t="inlineStr">
        <is>
          <t>GÄVLE</t>
        </is>
      </c>
      <c r="I128" t="n">
        <v>3.7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HYPERLINK("https://klasma.github.io/Logging_2180/artfynd/A 38300-2026 artfynd.xlsx", "A 38300-2026")</f>
        <v/>
      </c>
      <c r="X128">
        <f>HYPERLINK("https://klasma.github.io/Logging_2180/kartor/A 38300-2026 karta.png", "A 38300-2026")</f>
        <v/>
      </c>
      <c r="Y128">
        <f>HYPERLINK("https://klasma.github.io/Logging_2180/kartor_geotiff/A 38300-2026 georefererad karta.tif", "A 38300-2026")</f>
        <v/>
      </c>
      <c r="AA128">
        <f>HYPERLINK("https://klasma.github.io/Logging_2180/klagomål/A 38300-2026 FSC-klagomål.docx", "A 38300-2026")</f>
        <v/>
      </c>
      <c r="AB128">
        <f>HYPERLINK("https://klasma.github.io/Logging_2180/klagomålsmail/A 38300-2026 FSC-klagomål mail.docx", "A 38300-2026")</f>
        <v/>
      </c>
      <c r="AC128">
        <f>HYPERLINK("https://klasma.github.io/Logging_2180/tillsyn/A 38300-2026 tillsynsbegäran.docx", "A 38300-2026")</f>
        <v/>
      </c>
      <c r="AD128">
        <f>HYPERLINK("https://klasma.github.io/Logging_2180/tillsynsmail/A 38300-2026 tillsynsbegäran mail.docx", "A 38300-2026")</f>
        <v/>
      </c>
      <c r="AE128">
        <f>HYPERLINK("https://klasma.github.io/Logging_2180/fåglar/A 38300-2026 prioriterade fågelarter.docx", "A 38300-2026")</f>
        <v/>
      </c>
    </row>
    <row r="129" ht="15" customHeight="1">
      <c r="A129" t="inlineStr">
        <is>
          <t>A 26871-2026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46299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HYPERLINK("https://klasma.github.io/Logging_2180/artfynd/A 26871-2026 artfynd.xlsx", "A 26871-2026")</f>
        <v/>
      </c>
      <c r="X129">
        <f>HYPERLINK("https://klasma.github.io/Logging_2180/kartor/A 26871-2026 karta.png", "A 26871-2026")</f>
        <v/>
      </c>
      <c r="Y129">
        <f>HYPERLINK("https://klasma.github.io/Logging_2180/kartor_geotiff/A 26871-2026 georefererad karta.tif", "A 26871-2026")</f>
        <v/>
      </c>
      <c r="AA129">
        <f>HYPERLINK("https://klasma.github.io/Logging_2180/klagomål/A 26871-2026 FSC-klagomål.docx", "A 26871-2026")</f>
        <v/>
      </c>
      <c r="AB129">
        <f>HYPERLINK("https://klasma.github.io/Logging_2180/klagomålsmail/A 26871-2026 FSC-klagomål mail.docx", "A 26871-2026")</f>
        <v/>
      </c>
      <c r="AC129">
        <f>HYPERLINK("https://klasma.github.io/Logging_2180/tillsyn/A 26871-2026 tillsynsbegäran.docx", "A 26871-2026")</f>
        <v/>
      </c>
      <c r="AD129">
        <f>HYPERLINK("https://klasma.github.io/Logging_2180/tillsynsmail/A 26871-2026 tillsynsbegäran mail.docx", "A 26871-2026")</f>
        <v/>
      </c>
    </row>
    <row r="130" ht="15" customHeight="1">
      <c r="A130" t="inlineStr">
        <is>
          <t>A 39065-2026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46299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Vedskivlav</t>
        </is>
      </c>
      <c r="W130">
        <f>HYPERLINK("https://klasma.github.io/Logging_2180/artfynd/A 39065-2026 artfynd.xlsx", "A 39065-2026")</f>
        <v/>
      </c>
      <c r="X130">
        <f>HYPERLINK("https://klasma.github.io/Logging_2180/kartor/A 39065-2026 karta.png", "A 39065-2026")</f>
        <v/>
      </c>
      <c r="Y130">
        <f>HYPERLINK("https://klasma.github.io/Logging_2180/kartor_geotiff/A 39065-2026 georefererad karta.tif", "A 39065-2026")</f>
        <v/>
      </c>
      <c r="AA130">
        <f>HYPERLINK("https://klasma.github.io/Logging_2180/klagomål/A 39065-2026 FSC-klagomål.docx", "A 39065-2026")</f>
        <v/>
      </c>
      <c r="AB130">
        <f>HYPERLINK("https://klasma.github.io/Logging_2180/klagomålsmail/A 39065-2026 FSC-klagomål mail.docx", "A 39065-2026")</f>
        <v/>
      </c>
      <c r="AC130">
        <f>HYPERLINK("https://klasma.github.io/Logging_2180/tillsyn/A 39065-2026 tillsynsbegäran.docx", "A 39065-2026")</f>
        <v/>
      </c>
      <c r="AD130">
        <f>HYPERLINK("https://klasma.github.io/Logging_2180/tillsynsmail/A 39065-2026 tillsynsbegäran mail.docx", "A 39065-2026")</f>
        <v/>
      </c>
    </row>
    <row r="131" ht="15" customHeight="1">
      <c r="A131" t="inlineStr">
        <is>
          <t>A 39719-2026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46299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8.300000000000001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HYPERLINK("https://klasma.github.io/Logging_2180/artfynd/A 39719-2026 artfynd.xlsx", "A 39719-2026")</f>
        <v/>
      </c>
      <c r="X131">
        <f>HYPERLINK("https://klasma.github.io/Logging_2180/kartor/A 39719-2026 karta.png", "A 39719-2026")</f>
        <v/>
      </c>
      <c r="Y131">
        <f>HYPERLINK("https://klasma.github.io/Logging_2180/kartor_geotiff/A 39719-2026 georefererad karta.tif", "A 39719-2026")</f>
        <v/>
      </c>
      <c r="AA131">
        <f>HYPERLINK("https://klasma.github.io/Logging_2180/klagomål/A 39719-2026 FSC-klagomål.docx", "A 39719-2026")</f>
        <v/>
      </c>
      <c r="AB131">
        <f>HYPERLINK("https://klasma.github.io/Logging_2180/klagomålsmail/A 39719-2026 FSC-klagomål mail.docx", "A 39719-2026")</f>
        <v/>
      </c>
      <c r="AC131">
        <f>HYPERLINK("https://klasma.github.io/Logging_2180/tillsyn/A 39719-2026 tillsynsbegäran.docx", "A 39719-2026")</f>
        <v/>
      </c>
      <c r="AD131">
        <f>HYPERLINK("https://klasma.github.io/Logging_2180/tillsynsmail/A 39719-2026 tillsynsbegäran mail.docx", "A 39719-2026")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46299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39763-2026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46290</v>
      </c>
      <c r="E133" s="1" t="n">
        <v>46299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HYPERLINK("https://klasma.github.io/Logging_2180/artfynd/A 39763-2026 artfynd.xlsx", "A 39763-2026")</f>
        <v/>
      </c>
      <c r="X133">
        <f>HYPERLINK("https://klasma.github.io/Logging_2180/kartor/A 39763-2026 karta.png", "A 39763-2026")</f>
        <v/>
      </c>
      <c r="Y133">
        <f>HYPERLINK("https://klasma.github.io/Logging_2180/kartor_geotiff/A 39763-2026 georefererad karta.tif", "A 39763-2026")</f>
        <v/>
      </c>
      <c r="AA133">
        <f>HYPERLINK("https://klasma.github.io/Logging_2180/klagomål/A 39763-2026 FSC-klagomål.docx", "A 39763-2026")</f>
        <v/>
      </c>
      <c r="AB133">
        <f>HYPERLINK("https://klasma.github.io/Logging_2180/klagomålsmail/A 39763-2026 FSC-klagomål mail.docx", "A 39763-2026")</f>
        <v/>
      </c>
      <c r="AC133">
        <f>HYPERLINK("https://klasma.github.io/Logging_2180/tillsyn/A 39763-2026 tillsynsbegäran.docx", "A 39763-2026")</f>
        <v/>
      </c>
      <c r="AD133">
        <f>HYPERLINK("https://klasma.github.io/Logging_2180/tillsynsmail/A 39763-2026 tillsynsbegäran mail.docx", "A 39763-2026")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46299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40279-2026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46294</v>
      </c>
      <c r="E135" s="1" t="n">
        <v>46299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Myggblomster</t>
        </is>
      </c>
      <c r="W135">
        <f>HYPERLINK("https://klasma.github.io/Logging_2180/artfynd/A 40279-2026 artfynd.xlsx", "A 40279-2026")</f>
        <v/>
      </c>
      <c r="X135">
        <f>HYPERLINK("https://klasma.github.io/Logging_2180/kartor/A 40279-2026 karta.png", "A 40279-2026")</f>
        <v/>
      </c>
      <c r="Y135">
        <f>HYPERLINK("https://klasma.github.io/Logging_2180/kartor_geotiff/A 40279-2026 georefererad karta.tif", "A 40279-2026")</f>
        <v/>
      </c>
      <c r="AA135">
        <f>HYPERLINK("https://klasma.github.io/Logging_2180/klagomål/A 40279-2026 FSC-klagomål.docx", "A 40279-2026")</f>
        <v/>
      </c>
      <c r="AB135">
        <f>HYPERLINK("https://klasma.github.io/Logging_2180/klagomålsmail/A 40279-2026 FSC-klagomål mail.docx", "A 40279-2026")</f>
        <v/>
      </c>
      <c r="AC135">
        <f>HYPERLINK("https://klasma.github.io/Logging_2180/tillsyn/A 40279-2026 tillsynsbegäran.docx", "A 40279-2026")</f>
        <v/>
      </c>
      <c r="AD135">
        <f>HYPERLINK("https://klasma.github.io/Logging_2180/tillsynsmail/A 40279-2026 tillsynsbegäran mail.docx", "A 40279-2026")</f>
        <v/>
      </c>
    </row>
    <row r="136" ht="15" customHeight="1">
      <c r="A136" t="inlineStr">
        <is>
          <t>A 18216-2024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46299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Dofttaggsvamp</t>
        </is>
      </c>
      <c r="W136">
        <f>HYPERLINK("https://klasma.github.io/Logging_2180/artfynd/A 18216-2024 artfynd.xlsx", "A 18216-2024")</f>
        <v/>
      </c>
      <c r="X136">
        <f>HYPERLINK("https://klasma.github.io/Logging_2180/kartor/A 18216-2024 karta.png", "A 18216-2024")</f>
        <v/>
      </c>
      <c r="Y136">
        <f>HYPERLINK("https://klasma.github.io/Logging_2180/kartor_geotiff/A 18216-2024 georefererad karta.tif", "A 18216-2024")</f>
        <v/>
      </c>
      <c r="AA136">
        <f>HYPERLINK("https://klasma.github.io/Logging_2180/klagomål/A 18216-2024 FSC-klagomål.docx", "A 18216-2024")</f>
        <v/>
      </c>
      <c r="AB136">
        <f>HYPERLINK("https://klasma.github.io/Logging_2180/klagomålsmail/A 18216-2024 FSC-klagomål mail.docx", "A 18216-2024")</f>
        <v/>
      </c>
      <c r="AC136">
        <f>HYPERLINK("https://klasma.github.io/Logging_2180/tillsyn/A 18216-2024 tillsynsbegäran.docx", "A 18216-2024")</f>
        <v/>
      </c>
      <c r="AD136">
        <f>HYPERLINK("https://klasma.github.io/Logging_2180/tillsynsmail/A 18216-2024 tillsynsbegäran mail.docx", "A 18216-2024")</f>
        <v/>
      </c>
    </row>
    <row r="137" ht="15" customHeight="1">
      <c r="A137" t="inlineStr">
        <is>
          <t>A 33832-2026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46251</v>
      </c>
      <c r="E137" s="1" t="n">
        <v>46299</v>
      </c>
      <c r="F137" t="inlineStr">
        <is>
          <t>GÄVLEBORGS LÄN</t>
        </is>
      </c>
      <c r="G137" t="inlineStr">
        <is>
          <t>GÄVLE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HYPERLINK("https://klasma.github.io/Logging_2180/artfynd/A 33832-2026 artfynd.xlsx", "A 33832-2026")</f>
        <v/>
      </c>
      <c r="X137">
        <f>HYPERLINK("https://klasma.github.io/Logging_2180/kartor/A 33832-2026 karta.png", "A 33832-2026")</f>
        <v/>
      </c>
      <c r="Y137">
        <f>HYPERLINK("https://klasma.github.io/Logging_2180/kartor_geotiff/A 33832-2026 georefererad karta.tif", "A 33832-2026")</f>
        <v/>
      </c>
      <c r="AA137">
        <f>HYPERLINK("https://klasma.github.io/Logging_2180/klagomål/A 33832-2026 FSC-klagomål.docx", "A 33832-2026")</f>
        <v/>
      </c>
      <c r="AB137">
        <f>HYPERLINK("https://klasma.github.io/Logging_2180/klagomålsmail/A 33832-2026 FSC-klagomål mail.docx", "A 33832-2026")</f>
        <v/>
      </c>
      <c r="AC137">
        <f>HYPERLINK("https://klasma.github.io/Logging_2180/tillsyn/A 33832-2026 tillsynsbegäran.docx", "A 33832-2026")</f>
        <v/>
      </c>
      <c r="AD137">
        <f>HYPERLINK("https://klasma.github.io/Logging_2180/tillsynsmail/A 33832-2026 tillsynsbegäran mail.docx", "A 33832-2026")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46299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17251-2026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46299</v>
      </c>
      <c r="F139" t="inlineStr">
        <is>
          <t>GÄVLEBORGS LÄN</t>
        </is>
      </c>
      <c r="G139" t="inlineStr">
        <is>
          <t>GÄVLE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HYPERLINK("https://klasma.github.io/Logging_2180/artfynd/A 17251-2026 artfynd.xlsx", "A 17251-2026")</f>
        <v/>
      </c>
      <c r="X139">
        <f>HYPERLINK("https://klasma.github.io/Logging_2180/kartor/A 17251-2026 karta.png", "A 17251-2026")</f>
        <v/>
      </c>
      <c r="Y139">
        <f>HYPERLINK("https://klasma.github.io/Logging_2180/kartor_geotiff/A 17251-2026 georefererad karta.tif", "A 17251-2026")</f>
        <v/>
      </c>
      <c r="AA139">
        <f>HYPERLINK("https://klasma.github.io/Logging_2180/klagomål/A 17251-2026 FSC-klagomål.docx", "A 17251-2026")</f>
        <v/>
      </c>
      <c r="AB139">
        <f>HYPERLINK("https://klasma.github.io/Logging_2180/klagomålsmail/A 17251-2026 FSC-klagomål mail.docx", "A 17251-2026")</f>
        <v/>
      </c>
      <c r="AC139">
        <f>HYPERLINK("https://klasma.github.io/Logging_2180/tillsyn/A 17251-2026 tillsynsbegäran.docx", "A 17251-2026")</f>
        <v/>
      </c>
      <c r="AD139">
        <f>HYPERLINK("https://klasma.github.io/Logging_2180/tillsynsmail/A 17251-2026 tillsynsbegäran mail.docx", "A 17251-2026")</f>
        <v/>
      </c>
    </row>
    <row r="140" ht="15" customHeight="1">
      <c r="A140" t="inlineStr">
        <is>
          <t>A 37927-2022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46299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10</v>
      </c>
      <c r="U140" t="n">
        <v>10</v>
      </c>
      <c r="V140" s="2" t="inlineStr">
        <is>
          <t>Knärot</t>
        </is>
      </c>
      <c r="W140">
        <f>HYPERLINK("https://klasma.github.io/Logging_2180/artfynd/A 37927-2022 artfynd.xlsx", "A 37927-2022")</f>
        <v/>
      </c>
      <c r="X140">
        <f>HYPERLINK("https://klasma.github.io/Logging_2180/kartor/A 37927-2022 karta.png", "A 37927-2022")</f>
        <v/>
      </c>
      <c r="Y140">
        <f>HYPERLINK("https://klasma.github.io/Logging_2180/kartor_geotiff/A 37927-2022 georefererad karta.tif", "A 37927-2022")</f>
        <v/>
      </c>
      <c r="Z140">
        <f>HYPERLINK("https://klasma.github.io/Logging_2180/knärot/A 37927-2022 karta knärot.png", "A 37927-2022")</f>
        <v/>
      </c>
      <c r="AA140">
        <f>HYPERLINK("https://klasma.github.io/Logging_2180/klagomål/A 37927-2022 FSC-klagomål.docx", "A 37927-2022")</f>
        <v/>
      </c>
      <c r="AB140">
        <f>HYPERLINK("https://klasma.github.io/Logging_2180/klagomålsmail/A 37927-2022 FSC-klagomål mail.docx", "A 37927-2022")</f>
        <v/>
      </c>
      <c r="AC140">
        <f>HYPERLINK("https://klasma.github.io/Logging_2180/tillsyn/A 37927-2022 tillsynsbegäran.docx", "A 37927-2022")</f>
        <v/>
      </c>
      <c r="AD140">
        <f>HYPERLINK("https://klasma.github.io/Logging_2180/tillsynsmail/A 37927-2022 tillsynsbegäran mail.docx", "A 37927-2022")</f>
        <v/>
      </c>
    </row>
    <row r="141" ht="15" customHeight="1">
      <c r="A141" t="inlineStr">
        <is>
          <t>A 12083-2025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46299</v>
      </c>
      <c r="F141" t="inlineStr">
        <is>
          <t>GÄVLEBORGS LÄN</t>
        </is>
      </c>
      <c r="G141" t="inlineStr">
        <is>
          <t>GÄVLE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Grönsiska</t>
        </is>
      </c>
      <c r="W141">
        <f>HYPERLINK("https://klasma.github.io/Logging_2180/artfynd/A 12083-2025 artfynd.xlsx", "A 12083-2025")</f>
        <v/>
      </c>
      <c r="X141">
        <f>HYPERLINK("https://klasma.github.io/Logging_2180/kartor/A 12083-2025 karta.png", "A 12083-2025")</f>
        <v/>
      </c>
      <c r="Y141">
        <f>HYPERLINK("https://klasma.github.io/Logging_2180/kartor_geotiff/A 12083-2025 georefererad karta.tif", "A 12083-2025")</f>
        <v/>
      </c>
      <c r="AA141">
        <f>HYPERLINK("https://klasma.github.io/Logging_2180/klagomål/A 12083-2025 FSC-klagomål.docx", "A 12083-2025")</f>
        <v/>
      </c>
      <c r="AB141">
        <f>HYPERLINK("https://klasma.github.io/Logging_2180/klagomålsmail/A 12083-2025 FSC-klagomål mail.docx", "A 12083-2025")</f>
        <v/>
      </c>
      <c r="AC141">
        <f>HYPERLINK("https://klasma.github.io/Logging_2180/tillsyn/A 12083-2025 tillsynsbegäran.docx", "A 12083-2025")</f>
        <v/>
      </c>
      <c r="AD141">
        <f>HYPERLINK("https://klasma.github.io/Logging_2180/tillsynsmail/A 12083-2025 tillsynsbegäran mail.docx", "A 12083-2025")</f>
        <v/>
      </c>
    </row>
    <row r="142" ht="15" customHeight="1">
      <c r="A142" t="inlineStr">
        <is>
          <t>A 13227-2024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46299</v>
      </c>
      <c r="F142" t="inlineStr">
        <is>
          <t>GÄVLEBORGS LÄN</t>
        </is>
      </c>
      <c r="G142" t="inlineStr">
        <is>
          <t>GÄVLE</t>
        </is>
      </c>
      <c r="H142" t="inlineStr">
        <is>
          <t>Övriga statliga verk och myndigheter</t>
        </is>
      </c>
      <c r="I142" t="n">
        <v>5.9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Större vattensalamander</t>
        </is>
      </c>
      <c r="W142">
        <f>HYPERLINK("https://klasma.github.io/Logging_2180/artfynd/A 13227-2024 artfynd.xlsx", "A 13227-2024")</f>
        <v/>
      </c>
      <c r="X142">
        <f>HYPERLINK("https://klasma.github.io/Logging_2180/kartor/A 13227-2024 karta.png", "A 13227-2024")</f>
        <v/>
      </c>
      <c r="Y142">
        <f>HYPERLINK("https://klasma.github.io/Logging_2180/kartor_geotiff/A 13227-2024 georefererad karta.tif", "A 13227-2024")</f>
        <v/>
      </c>
      <c r="AA142">
        <f>HYPERLINK("https://klasma.github.io/Logging_2180/klagomål/A 13227-2024 FSC-klagomål.docx", "A 13227-2024")</f>
        <v/>
      </c>
      <c r="AB142">
        <f>HYPERLINK("https://klasma.github.io/Logging_2180/klagomålsmail/A 13227-2024 FSC-klagomål mail.docx", "A 13227-2024")</f>
        <v/>
      </c>
      <c r="AC142">
        <f>HYPERLINK("https://klasma.github.io/Logging_2180/tillsyn/A 13227-2024 tillsynsbegäran.docx", "A 13227-2024")</f>
        <v/>
      </c>
      <c r="AD142">
        <f>HYPERLINK("https://klasma.github.io/Logging_2180/tillsynsmail/A 13227-2024 tillsynsbegäran mail.docx", "A 13227-2024")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46299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46299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46299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46299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66494-2021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44519</v>
      </c>
      <c r="E147" s="1" t="n">
        <v>46299</v>
      </c>
      <c r="F147" t="inlineStr">
        <is>
          <t>GÄVLEBORGS LÄN</t>
        </is>
      </c>
      <c r="G147" t="inlineStr">
        <is>
          <t>GÄVLE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46299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46299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46299</v>
      </c>
      <c r="F150" t="inlineStr">
        <is>
          <t>GÄVLEBORGS LÄN</t>
        </is>
      </c>
      <c r="G150" t="inlineStr">
        <is>
          <t>GÄVLE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46299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46299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46299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46299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46299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46299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46299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46299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46299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46299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46299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46299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46299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46299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46299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46299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46299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46299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46299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46299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46299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46299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46299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46299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46299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46299</v>
      </c>
      <c r="F176" t="inlineStr">
        <is>
          <t>GÄVLEBORGS LÄN</t>
        </is>
      </c>
      <c r="G176" t="inlineStr">
        <is>
          <t>GÄVLE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46299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46299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46299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46299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46299</v>
      </c>
      <c r="F181" t="inlineStr">
        <is>
          <t>GÄVLEBORGS LÄN</t>
        </is>
      </c>
      <c r="G181" t="inlineStr">
        <is>
          <t>GÄVLE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46299</v>
      </c>
      <c r="F182" t="inlineStr">
        <is>
          <t>GÄVLEBORGS LÄN</t>
        </is>
      </c>
      <c r="G182" t="inlineStr">
        <is>
          <t>GÄVLE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46299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46299</v>
      </c>
      <c r="F184" t="inlineStr">
        <is>
          <t>GÄVLEBORGS LÄN</t>
        </is>
      </c>
      <c r="G184" t="inlineStr">
        <is>
          <t>GÄVLE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46299</v>
      </c>
      <c r="F185" t="inlineStr">
        <is>
          <t>GÄVLEBORGS LÄN</t>
        </is>
      </c>
      <c r="G185" t="inlineStr">
        <is>
          <t>GÄVLE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46299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46299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46299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46299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46299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46299</v>
      </c>
      <c r="F191" t="inlineStr">
        <is>
          <t>GÄVLEBORGS LÄN</t>
        </is>
      </c>
      <c r="G191" t="inlineStr">
        <is>
          <t>GÄVLE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46299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46299</v>
      </c>
      <c r="F193" t="inlineStr">
        <is>
          <t>GÄVLEBORGS LÄN</t>
        </is>
      </c>
      <c r="G193" t="inlineStr">
        <is>
          <t>GÄVLE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46299</v>
      </c>
      <c r="F194" t="inlineStr">
        <is>
          <t>GÄVLEBORGS LÄN</t>
        </is>
      </c>
      <c r="G194" t="inlineStr">
        <is>
          <t>GÄVLE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46299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46299</v>
      </c>
      <c r="F196" t="inlineStr">
        <is>
          <t>GÄVLEBORGS LÄN</t>
        </is>
      </c>
      <c r="G196" t="inlineStr">
        <is>
          <t>GÄVLE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46299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46299</v>
      </c>
      <c r="F198" t="inlineStr">
        <is>
          <t>GÄVLEBORGS LÄN</t>
        </is>
      </c>
      <c r="G198" t="inlineStr">
        <is>
          <t>GÄVLE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46299</v>
      </c>
      <c r="F199" t="inlineStr">
        <is>
          <t>GÄVLEBORGS LÄN</t>
        </is>
      </c>
      <c r="G199" t="inlineStr">
        <is>
          <t>GÄVLE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46299</v>
      </c>
      <c r="F200" t="inlineStr">
        <is>
          <t>GÄVLEBORGS LÄN</t>
        </is>
      </c>
      <c r="G200" t="inlineStr">
        <is>
          <t>GÄVLE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46299</v>
      </c>
      <c r="F201" t="inlineStr">
        <is>
          <t>GÄVLEBORGS LÄN</t>
        </is>
      </c>
      <c r="G201" t="inlineStr">
        <is>
          <t>GÄVLE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46299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46299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öst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46299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46299</v>
      </c>
      <c r="F205" t="inlineStr">
        <is>
          <t>GÄVLEBORGS LÄN</t>
        </is>
      </c>
      <c r="G205" t="inlineStr">
        <is>
          <t>GÄVLE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46299</v>
      </c>
      <c r="F206" t="inlineStr">
        <is>
          <t>GÄVLEBORGS LÄN</t>
        </is>
      </c>
      <c r="G206" t="inlineStr">
        <is>
          <t>GÄVLE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46299</v>
      </c>
      <c r="F207" t="inlineStr">
        <is>
          <t>GÄVLEBORGS LÄN</t>
        </is>
      </c>
      <c r="G207" t="inlineStr">
        <is>
          <t>GÄVLE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46299</v>
      </c>
      <c r="F208" t="inlineStr">
        <is>
          <t>GÄVLEBORGS LÄN</t>
        </is>
      </c>
      <c r="G208" t="inlineStr">
        <is>
          <t>GÄVLE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44840</v>
      </c>
      <c r="E209" s="1" t="n">
        <v>46299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46299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46299</v>
      </c>
      <c r="F211" t="inlineStr">
        <is>
          <t>GÄVLEBORGS LÄN</t>
        </is>
      </c>
      <c r="G211" t="inlineStr">
        <is>
          <t>GÄVLE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46299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46299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46299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44942</v>
      </c>
      <c r="E215" s="1" t="n">
        <v>46299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46299</v>
      </c>
      <c r="F216" t="inlineStr">
        <is>
          <t>GÄVLEBORGS LÄN</t>
        </is>
      </c>
      <c r="G216" t="inlineStr">
        <is>
          <t>GÄVLE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46299</v>
      </c>
      <c r="F217" t="inlineStr">
        <is>
          <t>GÄVLEBORGS LÄN</t>
        </is>
      </c>
      <c r="G217" t="inlineStr">
        <is>
          <t>GÄVLE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46299</v>
      </c>
      <c r="F218" t="inlineStr">
        <is>
          <t>GÄVLEBORGS LÄN</t>
        </is>
      </c>
      <c r="G218" t="inlineStr">
        <is>
          <t>GÄVLE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46299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19095-2022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44691</v>
      </c>
      <c r="E220" s="1" t="n">
        <v>46299</v>
      </c>
      <c r="F220" t="inlineStr">
        <is>
          <t>GÄVLEBORGS LÄN</t>
        </is>
      </c>
      <c r="G220" t="inlineStr">
        <is>
          <t>GÄVLE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46299</v>
      </c>
      <c r="F221" t="inlineStr">
        <is>
          <t>GÄVLEBORGS LÄN</t>
        </is>
      </c>
      <c r="G221" t="inlineStr">
        <is>
          <t>GÄVLE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46019</v>
      </c>
      <c r="E222" s="1" t="n">
        <v>46299</v>
      </c>
      <c r="F222" t="inlineStr">
        <is>
          <t>GÄVLEBORGS LÄN</t>
        </is>
      </c>
      <c r="G222" t="inlineStr">
        <is>
          <t>GÄVLE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46299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46299</v>
      </c>
      <c r="F224" t="inlineStr">
        <is>
          <t>GÄVLEBORGS LÄN</t>
        </is>
      </c>
      <c r="G224" t="inlineStr">
        <is>
          <t>GÄVLE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46299</v>
      </c>
      <c r="F225" t="inlineStr">
        <is>
          <t>GÄVLEBORGS LÄN</t>
        </is>
      </c>
      <c r="G225" t="inlineStr">
        <is>
          <t>GÄVLE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46019</v>
      </c>
      <c r="E226" s="1" t="n">
        <v>46299</v>
      </c>
      <c r="F226" t="inlineStr">
        <is>
          <t>GÄVLEBORGS LÄN</t>
        </is>
      </c>
      <c r="G226" t="inlineStr">
        <is>
          <t>GÄVLE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46299</v>
      </c>
      <c r="F227" t="inlineStr">
        <is>
          <t>GÄVLEBORGS LÄN</t>
        </is>
      </c>
      <c r="G227" t="inlineStr">
        <is>
          <t>GÄVLE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46299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46299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46299</v>
      </c>
      <c r="F230" t="inlineStr">
        <is>
          <t>GÄVLEBORGS LÄN</t>
        </is>
      </c>
      <c r="G230" t="inlineStr">
        <is>
          <t>GÄVLE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42692-2025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45908</v>
      </c>
      <c r="E231" s="1" t="n">
        <v>46299</v>
      </c>
      <c r="F231" t="inlineStr">
        <is>
          <t>GÄVLEBORGS LÄN</t>
        </is>
      </c>
      <c r="G231" t="inlineStr">
        <is>
          <t>GÄVLE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46299</v>
      </c>
      <c r="F232" t="inlineStr">
        <is>
          <t>GÄVLEBORGS LÄN</t>
        </is>
      </c>
      <c r="G232" t="inlineStr">
        <is>
          <t>GÄVLE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46299</v>
      </c>
      <c r="F233" t="inlineStr">
        <is>
          <t>GÄVLEBORGS LÄN</t>
        </is>
      </c>
      <c r="G233" t="inlineStr">
        <is>
          <t>GÄVLE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46022</v>
      </c>
      <c r="E234" s="1" t="n">
        <v>46299</v>
      </c>
      <c r="F234" t="inlineStr">
        <is>
          <t>GÄVLEBORGS LÄN</t>
        </is>
      </c>
      <c r="G234" t="inlineStr">
        <is>
          <t>GÄVLE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46299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40297-2025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45895</v>
      </c>
      <c r="E236" s="1" t="n">
        <v>46299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46299</v>
      </c>
      <c r="F237" t="inlineStr">
        <is>
          <t>GÄVLEBORGS LÄN</t>
        </is>
      </c>
      <c r="G237" t="inlineStr">
        <is>
          <t>GÄVLE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46299</v>
      </c>
      <c r="F238" t="inlineStr">
        <is>
          <t>GÄVLEBORGS LÄN</t>
        </is>
      </c>
      <c r="G238" t="inlineStr">
        <is>
          <t>GÄVLE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46299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46299</v>
      </c>
      <c r="F240" t="inlineStr">
        <is>
          <t>GÄVLEBORGS LÄN</t>
        </is>
      </c>
      <c r="G240" t="inlineStr">
        <is>
          <t>GÄVLE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46299</v>
      </c>
      <c r="F241" t="inlineStr">
        <is>
          <t>GÄVLEBORGS LÄN</t>
        </is>
      </c>
      <c r="G241" t="inlineStr">
        <is>
          <t>GÄVLE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46299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46299</v>
      </c>
      <c r="F243" t="inlineStr">
        <is>
          <t>GÄVLEBORGS LÄN</t>
        </is>
      </c>
      <c r="G243" t="inlineStr">
        <is>
          <t>GÄVLE</t>
        </is>
      </c>
      <c r="I243" t="n">
        <v>20.8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46299</v>
      </c>
      <c r="F244" t="inlineStr">
        <is>
          <t>GÄVLEBORGS LÄN</t>
        </is>
      </c>
      <c r="G244" t="inlineStr">
        <is>
          <t>GÄVLE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46299</v>
      </c>
      <c r="F245" t="inlineStr">
        <is>
          <t>GÄVLEBORGS LÄN</t>
        </is>
      </c>
      <c r="G245" t="inlineStr">
        <is>
          <t>GÄVLE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46299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46299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46299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46299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46299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44756</v>
      </c>
      <c r="E252" s="1" t="n">
        <v>46299</v>
      </c>
      <c r="F252" t="inlineStr">
        <is>
          <t>GÄVLEBORGS LÄN</t>
        </is>
      </c>
      <c r="G252" t="inlineStr">
        <is>
          <t>GÄVLE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44756</v>
      </c>
      <c r="E253" s="1" t="n">
        <v>46299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46299</v>
      </c>
      <c r="F254" t="inlineStr">
        <is>
          <t>GÄVLEBORGS LÄN</t>
        </is>
      </c>
      <c r="G254" t="inlineStr">
        <is>
          <t>GÄVLE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46299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46299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46299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46299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45485</v>
      </c>
      <c r="E259" s="1" t="n">
        <v>46299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46299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46299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45125</v>
      </c>
      <c r="E262" s="1" t="n">
        <v>46299</v>
      </c>
      <c r="F262" t="inlineStr">
        <is>
          <t>GÄVLEBORGS LÄN</t>
        </is>
      </c>
      <c r="G262" t="inlineStr">
        <is>
          <t>GÄVLE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46299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46299</v>
      </c>
      <c r="F264" t="inlineStr">
        <is>
          <t>GÄVLEBORGS LÄN</t>
        </is>
      </c>
      <c r="G264" t="inlineStr">
        <is>
          <t>GÄVLE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71249-2021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44539</v>
      </c>
      <c r="E265" s="1" t="n">
        <v>46299</v>
      </c>
      <c r="F265" t="inlineStr">
        <is>
          <t>GÄVLEBORGS LÄN</t>
        </is>
      </c>
      <c r="G265" t="inlineStr">
        <is>
          <t>GÄVLE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46299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46299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46299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46299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46299</v>
      </c>
      <c r="F270" t="inlineStr">
        <is>
          <t>GÄVLEBORGS LÄN</t>
        </is>
      </c>
      <c r="G270" t="inlineStr">
        <is>
          <t>GÄVLE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46299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46299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45797</v>
      </c>
      <c r="E273" s="1" t="n">
        <v>46299</v>
      </c>
      <c r="F273" t="inlineStr">
        <is>
          <t>GÄVLEBORGS LÄN</t>
        </is>
      </c>
      <c r="G273" t="inlineStr">
        <is>
          <t>GÄVLE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46299</v>
      </c>
      <c r="F274" t="inlineStr">
        <is>
          <t>GÄVLEBORGS LÄN</t>
        </is>
      </c>
      <c r="G274" t="inlineStr">
        <is>
          <t>GÄVLE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46299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46299</v>
      </c>
      <c r="F276" t="inlineStr">
        <is>
          <t>GÄVLEBORGS LÄN</t>
        </is>
      </c>
      <c r="G276" t="inlineStr">
        <is>
          <t>GÄVLE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46299</v>
      </c>
      <c r="F277" t="inlineStr">
        <is>
          <t>GÄVLEBORGS LÄN</t>
        </is>
      </c>
      <c r="G277" t="inlineStr">
        <is>
          <t>GÄVLE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46299</v>
      </c>
      <c r="F278" t="inlineStr">
        <is>
          <t>GÄVLEBORGS LÄN</t>
        </is>
      </c>
      <c r="G278" t="inlineStr">
        <is>
          <t>GÄVLE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46299</v>
      </c>
      <c r="F279" t="inlineStr">
        <is>
          <t>GÄVLEBORGS LÄN</t>
        </is>
      </c>
      <c r="G279" t="inlineStr">
        <is>
          <t>GÄVLE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45505</v>
      </c>
      <c r="E280" s="1" t="n">
        <v>46299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46299</v>
      </c>
      <c r="F281" t="inlineStr">
        <is>
          <t>GÄVLEBORGS LÄN</t>
        </is>
      </c>
      <c r="G281" t="inlineStr">
        <is>
          <t>GÄVLE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50871-2022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44867</v>
      </c>
      <c r="E282" s="1" t="n">
        <v>46299</v>
      </c>
      <c r="F282" t="inlineStr">
        <is>
          <t>GÄVLEBORGS LÄN</t>
        </is>
      </c>
      <c r="G282" t="inlineStr">
        <is>
          <t>GÄVLE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44693</v>
      </c>
      <c r="E283" s="1" t="n">
        <v>46299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46299</v>
      </c>
      <c r="F284" t="inlineStr">
        <is>
          <t>GÄVLEBORGS LÄN</t>
        </is>
      </c>
      <c r="G284" t="inlineStr">
        <is>
          <t>GÄVLE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26564-2022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44739</v>
      </c>
      <c r="E285" s="1" t="n">
        <v>46299</v>
      </c>
      <c r="F285" t="inlineStr">
        <is>
          <t>GÄVLEBORGS LÄN</t>
        </is>
      </c>
      <c r="G285" t="inlineStr">
        <is>
          <t>GÄVLE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46299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46299</v>
      </c>
      <c r="F287" t="inlineStr">
        <is>
          <t>GÄVLEBORGS LÄN</t>
        </is>
      </c>
      <c r="G287" t="inlineStr">
        <is>
          <t>GÄVLE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46052</v>
      </c>
      <c r="E288" s="1" t="n">
        <v>46299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46299</v>
      </c>
      <c r="F289" t="inlineStr">
        <is>
          <t>GÄVLEBORGS LÄN</t>
        </is>
      </c>
      <c r="G289" t="inlineStr">
        <is>
          <t>GÄVLE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46299</v>
      </c>
      <c r="F290" t="inlineStr">
        <is>
          <t>GÄVLEBORGS LÄN</t>
        </is>
      </c>
      <c r="G290" t="inlineStr">
        <is>
          <t>GÄVLE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46299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46299</v>
      </c>
      <c r="F292" t="inlineStr">
        <is>
          <t>GÄVLEBORGS LÄN</t>
        </is>
      </c>
      <c r="G292" t="inlineStr">
        <is>
          <t>GÄVLE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46299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46052</v>
      </c>
      <c r="E294" s="1" t="n">
        <v>46299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46299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46299</v>
      </c>
      <c r="F296" t="inlineStr">
        <is>
          <t>GÄVLEBORGS LÄN</t>
        </is>
      </c>
      <c r="G296" t="inlineStr">
        <is>
          <t>GÄVLE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46299</v>
      </c>
      <c r="F297" t="inlineStr">
        <is>
          <t>GÄVLEBORGS LÄN</t>
        </is>
      </c>
      <c r="G297" t="inlineStr">
        <is>
          <t>GÄVLE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46299</v>
      </c>
      <c r="F298" t="inlineStr">
        <is>
          <t>GÄVLEBORGS LÄN</t>
        </is>
      </c>
      <c r="G298" t="inlineStr">
        <is>
          <t>GÄVLE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46299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46299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45540</v>
      </c>
      <c r="E301" s="1" t="n">
        <v>46299</v>
      </c>
      <c r="F301" t="inlineStr">
        <is>
          <t>GÄVLEBORGS LÄN</t>
        </is>
      </c>
      <c r="G301" t="inlineStr">
        <is>
          <t>GÄVLE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46299</v>
      </c>
      <c r="F302" t="inlineStr">
        <is>
          <t>GÄVLEBORGS LÄN</t>
        </is>
      </c>
      <c r="G302" t="inlineStr">
        <is>
          <t>GÄVLE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46299</v>
      </c>
      <c r="F303" t="inlineStr">
        <is>
          <t>GÄVLEBORGS LÄN</t>
        </is>
      </c>
      <c r="G303" t="inlineStr">
        <is>
          <t>GÄVLE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44733</v>
      </c>
      <c r="E304" s="1" t="n">
        <v>46299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46299</v>
      </c>
      <c r="F305" t="inlineStr">
        <is>
          <t>GÄVLEBORGS LÄN</t>
        </is>
      </c>
      <c r="G305" t="inlineStr">
        <is>
          <t>GÄVLE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46790-2025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46299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46299</v>
      </c>
      <c r="F307" t="inlineStr">
        <is>
          <t>GÄVLEBORGS LÄN</t>
        </is>
      </c>
      <c r="G307" t="inlineStr">
        <is>
          <t>GÄVLE</t>
        </is>
      </c>
      <c r="H307" t="inlineStr">
        <is>
          <t>Övriga statliga verk och myndigheter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46299</v>
      </c>
      <c r="F308" t="inlineStr">
        <is>
          <t>GÄVLEBORGS LÄN</t>
        </is>
      </c>
      <c r="G308" t="inlineStr">
        <is>
          <t>GÄVLE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46299</v>
      </c>
      <c r="F309" t="inlineStr">
        <is>
          <t>GÄVLEBORGS LÄN</t>
        </is>
      </c>
      <c r="G309" t="inlineStr">
        <is>
          <t>GÄVLE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46299</v>
      </c>
      <c r="F310" t="inlineStr">
        <is>
          <t>GÄVLEBORGS LÄN</t>
        </is>
      </c>
      <c r="G310" t="inlineStr">
        <is>
          <t>GÄVLE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46299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46299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46299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46299</v>
      </c>
      <c r="F314" t="inlineStr">
        <is>
          <t>GÄVLEBORGS LÄN</t>
        </is>
      </c>
      <c r="G314" t="inlineStr">
        <is>
          <t>GÄVLE</t>
        </is>
      </c>
      <c r="H314" t="inlineStr">
        <is>
          <t>Kyrkan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46299</v>
      </c>
      <c r="F315" t="inlineStr">
        <is>
          <t>GÄVLEBORGS LÄN</t>
        </is>
      </c>
      <c r="G315" t="inlineStr">
        <is>
          <t>GÄVLE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46299</v>
      </c>
      <c r="F316" t="inlineStr">
        <is>
          <t>GÄVLEBORGS LÄN</t>
        </is>
      </c>
      <c r="G316" t="inlineStr">
        <is>
          <t>GÄVLE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46299</v>
      </c>
      <c r="F317" t="inlineStr">
        <is>
          <t>GÄVLEBORGS LÄN</t>
        </is>
      </c>
      <c r="G317" t="inlineStr">
        <is>
          <t>GÄVLE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46299</v>
      </c>
      <c r="F318" t="inlineStr">
        <is>
          <t>GÄVLEBORGS LÄN</t>
        </is>
      </c>
      <c r="G318" t="inlineStr">
        <is>
          <t>GÄVLE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44823</v>
      </c>
      <c r="E319" s="1" t="n">
        <v>46299</v>
      </c>
      <c r="F319" t="inlineStr">
        <is>
          <t>GÄVLEBORGS LÄN</t>
        </is>
      </c>
      <c r="G319" t="inlineStr">
        <is>
          <t>GÄVLE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46299</v>
      </c>
      <c r="F320" t="inlineStr">
        <is>
          <t>GÄVLEBORGS LÄN</t>
        </is>
      </c>
      <c r="G320" t="inlineStr">
        <is>
          <t>GÄVLE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46299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44988</v>
      </c>
      <c r="E322" s="1" t="n">
        <v>46299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46299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46299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46299</v>
      </c>
      <c r="F325" t="inlineStr">
        <is>
          <t>GÄVLEBORGS LÄN</t>
        </is>
      </c>
      <c r="G325" t="inlineStr">
        <is>
          <t>GÄVLE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46299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45932</v>
      </c>
      <c r="E327" s="1" t="n">
        <v>46299</v>
      </c>
      <c r="F327" t="inlineStr">
        <is>
          <t>GÄVLEBORGS LÄN</t>
        </is>
      </c>
      <c r="G327" t="inlineStr">
        <is>
          <t>GÄVLE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46299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46299</v>
      </c>
      <c r="F329" t="inlineStr">
        <is>
          <t>GÄVLEBORGS LÄN</t>
        </is>
      </c>
      <c r="G329" t="inlineStr">
        <is>
          <t>GÄVLE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46299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46299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46299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46299</v>
      </c>
      <c r="F333" t="inlineStr">
        <is>
          <t>GÄVLEBORGS LÄN</t>
        </is>
      </c>
      <c r="G333" t="inlineStr">
        <is>
          <t>GÄVLE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44589</v>
      </c>
      <c r="E334" s="1" t="n">
        <v>46299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46299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46299</v>
      </c>
      <c r="F336" t="inlineStr">
        <is>
          <t>GÄVLEBORGS LÄN</t>
        </is>
      </c>
      <c r="G336" t="inlineStr">
        <is>
          <t>GÄVLE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46299</v>
      </c>
      <c r="F337" t="inlineStr">
        <is>
          <t>GÄVLEBORGS LÄN</t>
        </is>
      </c>
      <c r="G337" t="inlineStr">
        <is>
          <t>GÄVLE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46299</v>
      </c>
      <c r="F338" t="inlineStr">
        <is>
          <t>GÄVLEBORGS LÄN</t>
        </is>
      </c>
      <c r="G338" t="inlineStr">
        <is>
          <t>GÄVLE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46299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46299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46299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46299</v>
      </c>
      <c r="F342" t="inlineStr">
        <is>
          <t>GÄVLEBORGS LÄN</t>
        </is>
      </c>
      <c r="G342" t="inlineStr">
        <is>
          <t>GÄVLE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46299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46299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46299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45530</v>
      </c>
      <c r="E346" s="1" t="n">
        <v>46299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46299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46299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46299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46299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46299</v>
      </c>
      <c r="F351" t="inlineStr">
        <is>
          <t>GÄVLEBORGS LÄN</t>
        </is>
      </c>
      <c r="G351" t="inlineStr">
        <is>
          <t>GÄVLE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46299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46299</v>
      </c>
      <c r="F353" t="inlineStr">
        <is>
          <t>GÄVLEBORGS LÄN</t>
        </is>
      </c>
      <c r="G353" t="inlineStr">
        <is>
          <t>GÄVLE</t>
        </is>
      </c>
      <c r="H353" t="inlineStr">
        <is>
          <t>Kommuner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46299</v>
      </c>
      <c r="F354" t="inlineStr">
        <is>
          <t>GÄVLEBORGS LÄN</t>
        </is>
      </c>
      <c r="G354" t="inlineStr">
        <is>
          <t>GÄVLE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46299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46299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46299</v>
      </c>
      <c r="F357" t="inlineStr">
        <is>
          <t>GÄVLEBORGS LÄN</t>
        </is>
      </c>
      <c r="G357" t="inlineStr">
        <is>
          <t>GÄVLE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46299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46299</v>
      </c>
      <c r="F359" t="inlineStr">
        <is>
          <t>GÄVLEBORGS LÄN</t>
        </is>
      </c>
      <c r="G359" t="inlineStr">
        <is>
          <t>GÄVLE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52970-2025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45957</v>
      </c>
      <c r="E360" s="1" t="n">
        <v>46299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46299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45813</v>
      </c>
      <c r="E362" s="1" t="n">
        <v>46299</v>
      </c>
      <c r="F362" t="inlineStr">
        <is>
          <t>GÄVLEBORGS LÄN</t>
        </is>
      </c>
      <c r="G362" t="inlineStr">
        <is>
          <t>GÄVLE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46299</v>
      </c>
      <c r="F363" t="inlineStr">
        <is>
          <t>GÄVLEBORGS LÄN</t>
        </is>
      </c>
      <c r="G363" t="inlineStr">
        <is>
          <t>GÄVLE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46299</v>
      </c>
      <c r="F364" t="inlineStr">
        <is>
          <t>GÄVLEBORGS LÄN</t>
        </is>
      </c>
      <c r="G364" t="inlineStr">
        <is>
          <t>GÄVLE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45034</v>
      </c>
      <c r="E365" s="1" t="n">
        <v>46299</v>
      </c>
      <c r="F365" t="inlineStr">
        <is>
          <t>GÄVLEBORGS LÄN</t>
        </is>
      </c>
      <c r="G365" t="inlineStr">
        <is>
          <t>GÄVLE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46299</v>
      </c>
      <c r="F366" t="inlineStr">
        <is>
          <t>GÄVLEBORGS LÄN</t>
        </is>
      </c>
      <c r="G366" t="inlineStr">
        <is>
          <t>GÄVLE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46092</v>
      </c>
      <c r="E367" s="1" t="n">
        <v>46299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46299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46299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46299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46299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46299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44951</v>
      </c>
      <c r="E373" s="1" t="n">
        <v>46299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46299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46299</v>
      </c>
      <c r="F375" t="inlineStr">
        <is>
          <t>GÄVLEBORGS LÄN</t>
        </is>
      </c>
      <c r="G375" t="inlineStr">
        <is>
          <t>GÄVLE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46299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45420</v>
      </c>
      <c r="E377" s="1" t="n">
        <v>46299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46299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46299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46299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46299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46299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46299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46299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46299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46299</v>
      </c>
      <c r="F387" t="inlineStr">
        <is>
          <t>GÄVLEBORGS LÄN</t>
        </is>
      </c>
      <c r="G387" t="inlineStr">
        <is>
          <t>GÄVLE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46299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46299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46299</v>
      </c>
      <c r="F390" t="inlineStr">
        <is>
          <t>GÄVLEBORGS LÄN</t>
        </is>
      </c>
      <c r="G390" t="inlineStr">
        <is>
          <t>GÄVLE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46299</v>
      </c>
      <c r="F391" t="inlineStr">
        <is>
          <t>GÄVLEBORGS LÄN</t>
        </is>
      </c>
      <c r="G391" t="inlineStr">
        <is>
          <t>GÄVLE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46095</v>
      </c>
      <c r="E392" s="1" t="n">
        <v>46299</v>
      </c>
      <c r="F392" t="inlineStr">
        <is>
          <t>GÄVLEBORGS LÄN</t>
        </is>
      </c>
      <c r="G392" t="inlineStr">
        <is>
          <t>GÄVLE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46299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46299</v>
      </c>
      <c r="F394" t="inlineStr">
        <is>
          <t>GÄVLEBORGS LÄN</t>
        </is>
      </c>
      <c r="G394" t="inlineStr">
        <is>
          <t>GÄVLE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46299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46299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46299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45973</v>
      </c>
      <c r="E398" s="1" t="n">
        <v>46299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46299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46299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10352-2025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45720</v>
      </c>
      <c r="E402" s="1" t="n">
        <v>46299</v>
      </c>
      <c r="F402" t="inlineStr">
        <is>
          <t>GÄVLEBORGS LÄN</t>
        </is>
      </c>
      <c r="G402" t="inlineStr">
        <is>
          <t>GÄVLE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46299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46299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46299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46299</v>
      </c>
      <c r="F406" t="inlineStr">
        <is>
          <t>GÄVLEBORGS LÄN</t>
        </is>
      </c>
      <c r="G406" t="inlineStr">
        <is>
          <t>GÄVLE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46299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44960</v>
      </c>
      <c r="E411" s="1" t="n">
        <v>46299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46299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46299</v>
      </c>
      <c r="F416" t="inlineStr">
        <is>
          <t>GÄVLEBORGS LÄN</t>
        </is>
      </c>
      <c r="G416" t="inlineStr">
        <is>
          <t>GÄVLE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46299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46299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45819</v>
      </c>
      <c r="E419" s="1" t="n">
        <v>46299</v>
      </c>
      <c r="F419" t="inlineStr">
        <is>
          <t>GÄVLEBORGS LÄN</t>
        </is>
      </c>
      <c r="G419" t="inlineStr">
        <is>
          <t>GÄVLE</t>
        </is>
      </c>
      <c r="I419" t="n">
        <v>13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46299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46299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46299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46299</v>
      </c>
      <c r="F423" t="inlineStr">
        <is>
          <t>GÄVLEBORGS LÄN</t>
        </is>
      </c>
      <c r="G423" t="inlineStr">
        <is>
          <t>GÄVLE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65879-2021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44517</v>
      </c>
      <c r="E424" s="1" t="n">
        <v>46299</v>
      </c>
      <c r="F424" t="inlineStr">
        <is>
          <t>GÄVLEBORGS LÄN</t>
        </is>
      </c>
      <c r="G424" t="inlineStr">
        <is>
          <t>GÄVLE</t>
        </is>
      </c>
      <c r="H424" t="inlineStr">
        <is>
          <t>Kyrkan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46299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70043-2021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44533</v>
      </c>
      <c r="E426" s="1" t="n">
        <v>46299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46299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46299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46299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45681</v>
      </c>
      <c r="E430" s="1" t="n">
        <v>46299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46299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46299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46299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46299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46299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46299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46299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46299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46299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46299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46299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46299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46299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45987</v>
      </c>
      <c r="E444" s="1" t="n">
        <v>46299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46299</v>
      </c>
      <c r="F445" t="inlineStr">
        <is>
          <t>GÄVLEBORGS LÄN</t>
        </is>
      </c>
      <c r="G445" t="inlineStr">
        <is>
          <t>GÄVLE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46299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46299</v>
      </c>
      <c r="F447" t="inlineStr">
        <is>
          <t>GÄVLEBORGS LÄN</t>
        </is>
      </c>
      <c r="G447" t="inlineStr">
        <is>
          <t>GÄVLE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46299</v>
      </c>
      <c r="F448" t="inlineStr">
        <is>
          <t>GÄVLEBORGS LÄN</t>
        </is>
      </c>
      <c r="G448" t="inlineStr">
        <is>
          <t>GÄVLE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46299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46299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46299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46299</v>
      </c>
      <c r="F452" t="inlineStr">
        <is>
          <t>GÄVLEBORGS LÄN</t>
        </is>
      </c>
      <c r="G452" t="inlineStr">
        <is>
          <t>GÄVLE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46299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46299</v>
      </c>
      <c r="F454" t="inlineStr">
        <is>
          <t>GÄVLEBORGS LÄN</t>
        </is>
      </c>
      <c r="G454" t="inlineStr">
        <is>
          <t>GÄVLE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46299</v>
      </c>
      <c r="F455" t="inlineStr">
        <is>
          <t>GÄVLEBORGS LÄN</t>
        </is>
      </c>
      <c r="G455" t="inlineStr">
        <is>
          <t>GÄVLE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46299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30202-2025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45827</v>
      </c>
      <c r="E457" s="1" t="n">
        <v>46299</v>
      </c>
      <c r="F457" t="inlineStr">
        <is>
          <t>GÄVLEBORGS LÄN</t>
        </is>
      </c>
      <c r="G457" t="inlineStr">
        <is>
          <t>GÄVLE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46299</v>
      </c>
      <c r="F458" t="inlineStr">
        <is>
          <t>GÄVLEBORGS LÄN</t>
        </is>
      </c>
      <c r="G458" t="inlineStr">
        <is>
          <t>GÄVLE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44684</v>
      </c>
      <c r="E459" s="1" t="n">
        <v>46299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46299</v>
      </c>
      <c r="F460" t="inlineStr">
        <is>
          <t>GÄVLEBORGS LÄN</t>
        </is>
      </c>
      <c r="G460" t="inlineStr">
        <is>
          <t>GÄVLE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46299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46299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46125</v>
      </c>
      <c r="E463" s="1" t="n">
        <v>46299</v>
      </c>
      <c r="F463" t="inlineStr">
        <is>
          <t>GÄVLEBORGS LÄN</t>
        </is>
      </c>
      <c r="G463" t="inlineStr">
        <is>
          <t>GÄVLE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14563-2025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45741</v>
      </c>
      <c r="E464" s="1" t="n">
        <v>46299</v>
      </c>
      <c r="F464" t="inlineStr">
        <is>
          <t>GÄVLEBORGS LÄN</t>
        </is>
      </c>
      <c r="G464" t="inlineStr">
        <is>
          <t>GÄVLE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46299</v>
      </c>
      <c r="F465" t="inlineStr">
        <is>
          <t>GÄVLEBORGS LÄN</t>
        </is>
      </c>
      <c r="G465" t="inlineStr">
        <is>
          <t>GÄVLE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46124</v>
      </c>
      <c r="E466" s="1" t="n">
        <v>46299</v>
      </c>
      <c r="F466" t="inlineStr">
        <is>
          <t>GÄVLEBORGS LÄN</t>
        </is>
      </c>
      <c r="G466" t="inlineStr">
        <is>
          <t>GÄVLE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46124</v>
      </c>
      <c r="E467" s="1" t="n">
        <v>46299</v>
      </c>
      <c r="F467" t="inlineStr">
        <is>
          <t>GÄVLEBORGS LÄN</t>
        </is>
      </c>
      <c r="G467" t="inlineStr">
        <is>
          <t>GÄVLE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45968</v>
      </c>
      <c r="E468" s="1" t="n">
        <v>46299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46124</v>
      </c>
      <c r="E469" s="1" t="n">
        <v>46299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46299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46299</v>
      </c>
      <c r="F471" t="inlineStr">
        <is>
          <t>GÄVLEBORGS LÄN</t>
        </is>
      </c>
      <c r="G471" t="inlineStr">
        <is>
          <t>GÄVLE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46299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45827</v>
      </c>
      <c r="E473" s="1" t="n">
        <v>46299</v>
      </c>
      <c r="F473" t="inlineStr">
        <is>
          <t>GÄVLEBORGS LÄN</t>
        </is>
      </c>
      <c r="G473" t="inlineStr">
        <is>
          <t>GÄVLE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45827</v>
      </c>
      <c r="E474" s="1" t="n">
        <v>46299</v>
      </c>
      <c r="F474" t="inlineStr">
        <is>
          <t>GÄVLEBORGS LÄN</t>
        </is>
      </c>
      <c r="G474" t="inlineStr">
        <is>
          <t>GÄVLE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46299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46299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46299</v>
      </c>
      <c r="F477" t="inlineStr">
        <is>
          <t>GÄVLEBORGS LÄN</t>
        </is>
      </c>
      <c r="G477" t="inlineStr">
        <is>
          <t>GÄVLE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46299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46299</v>
      </c>
      <c r="F479" t="inlineStr">
        <is>
          <t>GÄVLEBORGS LÄN</t>
        </is>
      </c>
      <c r="G479" t="inlineStr">
        <is>
          <t>GÄVLE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46299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46299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46299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46299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36.3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46299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46299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46299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46299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45113</v>
      </c>
      <c r="E488" s="1" t="n">
        <v>46299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46299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46299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46299</v>
      </c>
      <c r="F491" t="inlineStr">
        <is>
          <t>GÄVLEBORGS LÄN</t>
        </is>
      </c>
      <c r="G491" t="inlineStr">
        <is>
          <t>GÄVLE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45832</v>
      </c>
      <c r="E492" s="1" t="n">
        <v>46299</v>
      </c>
      <c r="F492" t="inlineStr">
        <is>
          <t>GÄVLEBORGS LÄN</t>
        </is>
      </c>
      <c r="G492" t="inlineStr">
        <is>
          <t>GÄVLE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44735</v>
      </c>
      <c r="E493" s="1" t="n">
        <v>46299</v>
      </c>
      <c r="F493" t="inlineStr">
        <is>
          <t>GÄVLEBORGS LÄN</t>
        </is>
      </c>
      <c r="G493" t="inlineStr">
        <is>
          <t>GÄVLE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46299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46299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45223</v>
      </c>
      <c r="E496" s="1" t="n">
        <v>46299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46090</v>
      </c>
      <c r="E497" s="1" t="n">
        <v>46299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46299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46299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46299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46299</v>
      </c>
      <c r="F501" t="inlineStr">
        <is>
          <t>GÄVLEBORGS LÄN</t>
        </is>
      </c>
      <c r="G501" t="inlineStr">
        <is>
          <t>GÄVLE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46299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46299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46299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44693</v>
      </c>
      <c r="E505" s="1" t="n">
        <v>46299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45401</v>
      </c>
      <c r="E506" s="1" t="n">
        <v>46299</v>
      </c>
      <c r="F506" t="inlineStr">
        <is>
          <t>GÄVLEBORGS LÄN</t>
        </is>
      </c>
      <c r="G506" t="inlineStr">
        <is>
          <t>GÄVLE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45834</v>
      </c>
      <c r="E507" s="1" t="n">
        <v>46299</v>
      </c>
      <c r="F507" t="inlineStr">
        <is>
          <t>GÄVLEBORGS LÄN</t>
        </is>
      </c>
      <c r="G507" t="inlineStr">
        <is>
          <t>GÄVLE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46299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45454</v>
      </c>
      <c r="E509" s="1" t="n">
        <v>46299</v>
      </c>
      <c r="F509" t="inlineStr">
        <is>
          <t>GÄVLEBORGS LÄN</t>
        </is>
      </c>
      <c r="G509" t="inlineStr">
        <is>
          <t>GÄVLE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46299</v>
      </c>
      <c r="F510" t="inlineStr">
        <is>
          <t>GÄVLEBORGS LÄN</t>
        </is>
      </c>
      <c r="G510" t="inlineStr">
        <is>
          <t>GÄVLE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45742</v>
      </c>
      <c r="E511" s="1" t="n">
        <v>46299</v>
      </c>
      <c r="F511" t="inlineStr">
        <is>
          <t>GÄVLEBORGS LÄN</t>
        </is>
      </c>
      <c r="G511" t="inlineStr">
        <is>
          <t>GÄVLE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46299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46299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46299</v>
      </c>
      <c r="F514" t="inlineStr">
        <is>
          <t>GÄVLEBORGS LÄN</t>
        </is>
      </c>
      <c r="G514" t="inlineStr">
        <is>
          <t>GÄVLE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46299</v>
      </c>
      <c r="F515" t="inlineStr">
        <is>
          <t>GÄVLEBORGS LÄN</t>
        </is>
      </c>
      <c r="G515" t="inlineStr">
        <is>
          <t>GÄVLE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44585</v>
      </c>
      <c r="E516" s="1" t="n">
        <v>46299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46299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45686</v>
      </c>
      <c r="E518" s="1" t="n">
        <v>46299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46299</v>
      </c>
      <c r="F519" t="inlineStr">
        <is>
          <t>GÄVLEBORGS LÄN</t>
        </is>
      </c>
      <c r="G519" t="inlineStr">
        <is>
          <t>GÄVLE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46299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44735</v>
      </c>
      <c r="E521" s="1" t="n">
        <v>46299</v>
      </c>
      <c r="F521" t="inlineStr">
        <is>
          <t>GÄVLEBORGS LÄN</t>
        </is>
      </c>
      <c r="G521" t="inlineStr">
        <is>
          <t>GÄVLE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44701</v>
      </c>
      <c r="E522" s="1" t="n">
        <v>46299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26.3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26094-2025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45805</v>
      </c>
      <c r="E523" s="1" t="n">
        <v>46299</v>
      </c>
      <c r="F523" t="inlineStr">
        <is>
          <t>GÄVLEBORGS LÄN</t>
        </is>
      </c>
      <c r="G523" t="inlineStr">
        <is>
          <t>GÄVLE</t>
        </is>
      </c>
      <c r="I523" t="n">
        <v>12.4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45511</v>
      </c>
      <c r="E524" s="1" t="n">
        <v>46299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46299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45630</v>
      </c>
      <c r="E526" s="1" t="n">
        <v>46299</v>
      </c>
      <c r="F526" t="inlineStr">
        <is>
          <t>GÄVLEBORGS LÄN</t>
        </is>
      </c>
      <c r="G526" t="inlineStr">
        <is>
          <t>GÄVLE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46299</v>
      </c>
      <c r="F527" t="inlineStr">
        <is>
          <t>GÄVLEBORGS LÄN</t>
        </is>
      </c>
      <c r="G527" t="inlineStr">
        <is>
          <t>GÄVLE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45862</v>
      </c>
      <c r="E528" s="1" t="n">
        <v>46299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46299</v>
      </c>
      <c r="F529" t="inlineStr">
        <is>
          <t>GÄVLEBORGS LÄN</t>
        </is>
      </c>
      <c r="G529" t="inlineStr">
        <is>
          <t>GÄVLE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46299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46299</v>
      </c>
      <c r="F531" t="inlineStr">
        <is>
          <t>GÄVLEBORGS LÄN</t>
        </is>
      </c>
      <c r="G531" t="inlineStr">
        <is>
          <t>GÄVLE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45845</v>
      </c>
      <c r="E532" s="1" t="n">
        <v>46299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42592-2025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46299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34725-2025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45848</v>
      </c>
      <c r="E534" s="1" t="n">
        <v>46299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46299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45848</v>
      </c>
      <c r="E536" s="1" t="n">
        <v>46299</v>
      </c>
      <c r="F536" t="inlineStr">
        <is>
          <t>GÄVLEBORGS LÄN</t>
        </is>
      </c>
      <c r="G536" t="inlineStr">
        <is>
          <t>GÄVLE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46077</v>
      </c>
      <c r="E537" s="1" t="n">
        <v>46299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46299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46299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37253-2024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45540</v>
      </c>
      <c r="E540" s="1" t="n">
        <v>46299</v>
      </c>
      <c r="F540" t="inlineStr">
        <is>
          <t>GÄVLEBORGS LÄN</t>
        </is>
      </c>
      <c r="G540" t="inlineStr">
        <is>
          <t>GÄVLE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44684</v>
      </c>
      <c r="E541" s="1" t="n">
        <v>46299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46299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19730-2022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44694</v>
      </c>
      <c r="E543" s="1" t="n">
        <v>46299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46299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46299</v>
      </c>
      <c r="F545" t="inlineStr">
        <is>
          <t>GÄVLEBORGS LÄN</t>
        </is>
      </c>
      <c r="G545" t="inlineStr">
        <is>
          <t>GÄVLE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45138</v>
      </c>
      <c r="E546" s="1" t="n">
        <v>46299</v>
      </c>
      <c r="F546" t="inlineStr">
        <is>
          <t>GÄVLEBORGS LÄN</t>
        </is>
      </c>
      <c r="G546" t="inlineStr">
        <is>
          <t>GÄVLE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46299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46299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45168</v>
      </c>
      <c r="E549" s="1" t="n">
        <v>46299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46299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44951</v>
      </c>
      <c r="E551" s="1" t="n">
        <v>46299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45854</v>
      </c>
      <c r="E552" s="1" t="n">
        <v>46299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46299</v>
      </c>
      <c r="F553" t="inlineStr">
        <is>
          <t>GÄVLEBORGS LÄN</t>
        </is>
      </c>
      <c r="G553" t="inlineStr">
        <is>
          <t>GÄVLE</t>
        </is>
      </c>
      <c r="I553" t="n">
        <v>12.7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44904</v>
      </c>
      <c r="E554" s="1" t="n">
        <v>46299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44962</v>
      </c>
      <c r="E555" s="1" t="n">
        <v>46299</v>
      </c>
      <c r="F555" t="inlineStr">
        <is>
          <t>GÄVLEBORGS LÄN</t>
        </is>
      </c>
      <c r="G555" t="inlineStr">
        <is>
          <t>GÄVLE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46299</v>
      </c>
      <c r="F556" t="inlineStr">
        <is>
          <t>GÄVLEBORGS LÄN</t>
        </is>
      </c>
      <c r="G556" t="inlineStr">
        <is>
          <t>GÄVLE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36512-2025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45869</v>
      </c>
      <c r="E557" s="1" t="n">
        <v>46299</v>
      </c>
      <c r="F557" t="inlineStr">
        <is>
          <t>GÄVLEBORGS LÄN</t>
        </is>
      </c>
      <c r="G557" t="inlineStr">
        <is>
          <t>GÄVLE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46299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45859</v>
      </c>
      <c r="E559" s="1" t="n">
        <v>46299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46299</v>
      </c>
      <c r="F560" t="inlineStr">
        <is>
          <t>GÄVLEBORGS LÄN</t>
        </is>
      </c>
      <c r="G560" t="inlineStr">
        <is>
          <t>GÄVLE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47108-2024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46299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46299</v>
      </c>
      <c r="F562" t="inlineStr">
        <is>
          <t>GÄVLEBORGS LÄN</t>
        </is>
      </c>
      <c r="G562" t="inlineStr">
        <is>
          <t>GÄVLE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47746-2023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45203</v>
      </c>
      <c r="E563" s="1" t="n">
        <v>46299</v>
      </c>
      <c r="F563" t="inlineStr">
        <is>
          <t>GÄVLEBORGS LÄN</t>
        </is>
      </c>
      <c r="G563" t="inlineStr">
        <is>
          <t>GÄVLE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46299</v>
      </c>
      <c r="F564" t="inlineStr">
        <is>
          <t>GÄVLEBORGS LÄN</t>
        </is>
      </c>
      <c r="G564" t="inlineStr">
        <is>
          <t>GÄVLE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45862</v>
      </c>
      <c r="E565" s="1" t="n">
        <v>46299</v>
      </c>
      <c r="F565" t="inlineStr">
        <is>
          <t>GÄVLEBORGS LÄN</t>
        </is>
      </c>
      <c r="G565" t="inlineStr">
        <is>
          <t>GÄVLE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46299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45526</v>
      </c>
      <c r="E567" s="1" t="n">
        <v>46299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46299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45862</v>
      </c>
      <c r="E569" s="1" t="n">
        <v>46299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45666</v>
      </c>
      <c r="E570" s="1" t="n">
        <v>46299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35919-2025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45862</v>
      </c>
      <c r="E571" s="1" t="n">
        <v>46299</v>
      </c>
      <c r="F571" t="inlineStr">
        <is>
          <t>GÄVLEBORGS LÄN</t>
        </is>
      </c>
      <c r="G571" t="inlineStr">
        <is>
          <t>GÄVLE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20689-2024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45436</v>
      </c>
      <c r="E572" s="1" t="n">
        <v>46299</v>
      </c>
      <c r="F572" t="inlineStr">
        <is>
          <t>GÄVLEBORGS LÄN</t>
        </is>
      </c>
      <c r="G572" t="inlineStr">
        <is>
          <t>GÄVLE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46299</v>
      </c>
      <c r="F573" t="inlineStr">
        <is>
          <t>GÄVLEBORGS LÄN</t>
        </is>
      </c>
      <c r="G573" t="inlineStr">
        <is>
          <t>GÄVLE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46299</v>
      </c>
      <c r="F574" t="inlineStr">
        <is>
          <t>GÄVLEBORGS LÄN</t>
        </is>
      </c>
      <c r="G574" t="inlineStr">
        <is>
          <t>GÄVLE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45866</v>
      </c>
      <c r="E575" s="1" t="n">
        <v>46299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45867</v>
      </c>
      <c r="E576" s="1" t="n">
        <v>46299</v>
      </c>
      <c r="F576" t="inlineStr">
        <is>
          <t>GÄVLEBORGS LÄN</t>
        </is>
      </c>
      <c r="G576" t="inlineStr">
        <is>
          <t>GÄVLE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32353-2023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46299</v>
      </c>
      <c r="F577" t="inlineStr">
        <is>
          <t>GÄVLEBORGS LÄN</t>
        </is>
      </c>
      <c r="G577" t="inlineStr">
        <is>
          <t>GÄVLE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46299</v>
      </c>
      <c r="F578" t="inlineStr">
        <is>
          <t>GÄVLEBORGS LÄN</t>
        </is>
      </c>
      <c r="G578" t="inlineStr">
        <is>
          <t>GÄVLE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46299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46299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16076-2026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46108</v>
      </c>
      <c r="E581" s="1" t="n">
        <v>46299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45869</v>
      </c>
      <c r="E582" s="1" t="n">
        <v>46299</v>
      </c>
      <c r="F582" t="inlineStr">
        <is>
          <t>GÄVLEBORGS LÄN</t>
        </is>
      </c>
      <c r="G582" t="inlineStr">
        <is>
          <t>GÄVLE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46299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45869</v>
      </c>
      <c r="E584" s="1" t="n">
        <v>46299</v>
      </c>
      <c r="F584" t="inlineStr">
        <is>
          <t>GÄVLEBORGS LÄN</t>
        </is>
      </c>
      <c r="G584" t="inlineStr">
        <is>
          <t>GÄVLE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46299</v>
      </c>
      <c r="F585" t="inlineStr">
        <is>
          <t>GÄVLEBORGS LÄN</t>
        </is>
      </c>
      <c r="G585" t="inlineStr">
        <is>
          <t>GÄVLE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46033</v>
      </c>
      <c r="E586" s="1" t="n">
        <v>46299</v>
      </c>
      <c r="F586" t="inlineStr">
        <is>
          <t>GÄVLEBORGS LÄN</t>
        </is>
      </c>
      <c r="G586" t="inlineStr">
        <is>
          <t>GÄVLE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20785-2026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46299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46299</v>
      </c>
      <c r="F588" t="inlineStr">
        <is>
          <t>GÄVLEBORGS LÄN</t>
        </is>
      </c>
      <c r="G588" t="inlineStr">
        <is>
          <t>GÄVLE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64868-2023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45282</v>
      </c>
      <c r="E589" s="1" t="n">
        <v>46299</v>
      </c>
      <c r="F589" t="inlineStr">
        <is>
          <t>GÄVLEBORGS LÄN</t>
        </is>
      </c>
      <c r="G589" t="inlineStr">
        <is>
          <t>GÄVLE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46299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46299</v>
      </c>
      <c r="F591" t="inlineStr">
        <is>
          <t>GÄVLEBORGS LÄN</t>
        </is>
      </c>
      <c r="G591" t="inlineStr">
        <is>
          <t>GÄVLE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46299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46299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45645</v>
      </c>
      <c r="E594" s="1" t="n">
        <v>46299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45422</v>
      </c>
      <c r="E595" s="1" t="n">
        <v>46299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46142</v>
      </c>
      <c r="E596" s="1" t="n">
        <v>46299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45873</v>
      </c>
      <c r="E597" s="1" t="n">
        <v>46299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46299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45162</v>
      </c>
      <c r="E599" s="1" t="n">
        <v>46299</v>
      </c>
      <c r="F599" t="inlineStr">
        <is>
          <t>GÄVLEBORGS LÄN</t>
        </is>
      </c>
      <c r="G599" t="inlineStr">
        <is>
          <t>GÄVLE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46299</v>
      </c>
      <c r="F600" t="inlineStr">
        <is>
          <t>GÄVLEBORGS LÄN</t>
        </is>
      </c>
      <c r="G600" t="inlineStr">
        <is>
          <t>GÄVLE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45058</v>
      </c>
      <c r="E601" s="1" t="n">
        <v>46299</v>
      </c>
      <c r="F601" t="inlineStr">
        <is>
          <t>GÄVLEBORGS LÄN</t>
        </is>
      </c>
      <c r="G601" t="inlineStr">
        <is>
          <t>GÄVLE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46299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44586</v>
      </c>
      <c r="E603" s="1" t="n">
        <v>46299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46299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46101</v>
      </c>
      <c r="E605" s="1" t="n">
        <v>46299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46299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45658</v>
      </c>
      <c r="E607" s="1" t="n">
        <v>46299</v>
      </c>
      <c r="F607" t="inlineStr">
        <is>
          <t>GÄVLEBORGS LÄN</t>
        </is>
      </c>
      <c r="G607" t="inlineStr">
        <is>
          <t>GÄVLE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66351-2021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44518</v>
      </c>
      <c r="E608" s="1" t="n">
        <v>46299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46299</v>
      </c>
      <c r="F609" t="inlineStr">
        <is>
          <t>GÄVLEBORGS LÄN</t>
        </is>
      </c>
      <c r="G609" t="inlineStr">
        <is>
          <t>GÄVLE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46299</v>
      </c>
      <c r="F610" t="inlineStr">
        <is>
          <t>GÄVLEBORGS LÄN</t>
        </is>
      </c>
      <c r="G610" t="inlineStr">
        <is>
          <t>GÄVLE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46299</v>
      </c>
      <c r="F611" t="inlineStr">
        <is>
          <t>GÄVLEBORGS LÄN</t>
        </is>
      </c>
      <c r="G611" t="inlineStr">
        <is>
          <t>GÄVLE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38673-2024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46299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46299</v>
      </c>
      <c r="F613" t="inlineStr">
        <is>
          <t>GÄVLEBORGS LÄN</t>
        </is>
      </c>
      <c r="G613" t="inlineStr">
        <is>
          <t>GÄVLE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46299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46299</v>
      </c>
      <c r="F615" t="inlineStr">
        <is>
          <t>GÄVLEBORGS LÄN</t>
        </is>
      </c>
      <c r="G615" t="inlineStr">
        <is>
          <t>GÄVLE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46299</v>
      </c>
      <c r="F616" t="inlineStr">
        <is>
          <t>GÄVLEBORGS LÄN</t>
        </is>
      </c>
      <c r="G616" t="inlineStr">
        <is>
          <t>GÄVLE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46299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46299</v>
      </c>
      <c r="F618" t="inlineStr">
        <is>
          <t>GÄVLEBORGS LÄN</t>
        </is>
      </c>
      <c r="G618" t="inlineStr">
        <is>
          <t>GÄVLE</t>
        </is>
      </c>
      <c r="H618" t="inlineStr">
        <is>
          <t>Kyrkan</t>
        </is>
      </c>
      <c r="I618" t="n">
        <v>10.1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44911</v>
      </c>
      <c r="E619" s="1" t="n">
        <v>46299</v>
      </c>
      <c r="F619" t="inlineStr">
        <is>
          <t>GÄVLEBORGS LÄN</t>
        </is>
      </c>
      <c r="G619" t="inlineStr">
        <is>
          <t>GÄVLE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50314-2024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45600</v>
      </c>
      <c r="E620" s="1" t="n">
        <v>46299</v>
      </c>
      <c r="F620" t="inlineStr">
        <is>
          <t>GÄVLEBORGS LÄN</t>
        </is>
      </c>
      <c r="G620" t="inlineStr">
        <is>
          <t>GÄVLE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61786-2024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45649</v>
      </c>
      <c r="E621" s="1" t="n">
        <v>46299</v>
      </c>
      <c r="F621" t="inlineStr">
        <is>
          <t>GÄVLEBORGS LÄN</t>
        </is>
      </c>
      <c r="G621" t="inlineStr">
        <is>
          <t>GÄVLE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46299</v>
      </c>
      <c r="F622" t="inlineStr">
        <is>
          <t>GÄVLEBORGS LÄN</t>
        </is>
      </c>
      <c r="G622" t="inlineStr">
        <is>
          <t>GÄVLE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46299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46299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46299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46299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45320</v>
      </c>
      <c r="E627" s="1" t="n">
        <v>46299</v>
      </c>
      <c r="F627" t="inlineStr">
        <is>
          <t>GÄVLEBORGS LÄN</t>
        </is>
      </c>
      <c r="G627" t="inlineStr">
        <is>
          <t>GÄVLE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46299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45312</v>
      </c>
      <c r="E629" s="1" t="n">
        <v>46299</v>
      </c>
      <c r="F629" t="inlineStr">
        <is>
          <t>GÄVLEBORGS LÄN</t>
        </is>
      </c>
      <c r="G629" t="inlineStr">
        <is>
          <t>GÄVLE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46299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15167-2026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46299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46299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46299</v>
      </c>
      <c r="F633" t="inlineStr">
        <is>
          <t>GÄVLEBORGS LÄN</t>
        </is>
      </c>
      <c r="G633" t="inlineStr">
        <is>
          <t>GÄVLE</t>
        </is>
      </c>
      <c r="H633" t="inlineStr">
        <is>
          <t>Kyrkan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23591-2026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46163</v>
      </c>
      <c r="E634" s="1" t="n">
        <v>46299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32255-2023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45120</v>
      </c>
      <c r="E635" s="1" t="n">
        <v>46299</v>
      </c>
      <c r="F635" t="inlineStr">
        <is>
          <t>GÄVLEBORGS LÄN</t>
        </is>
      </c>
      <c r="G635" t="inlineStr">
        <is>
          <t>GÄVLE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23956-2026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46167</v>
      </c>
      <c r="E636" s="1" t="n">
        <v>46299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44800-2024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46299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45312</v>
      </c>
      <c r="E638" s="1" t="n">
        <v>46299</v>
      </c>
      <c r="F638" t="inlineStr">
        <is>
          <t>GÄVLEBORGS LÄN</t>
        </is>
      </c>
      <c r="G638" t="inlineStr">
        <is>
          <t>GÄVLE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46299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46299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46299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59817-2023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46299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46299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46299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38240-2024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45545</v>
      </c>
      <c r="E645" s="1" t="n">
        <v>46299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46299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46299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46299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46299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46299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46299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46299</v>
      </c>
      <c r="F652" t="inlineStr">
        <is>
          <t>GÄVLEBORGS LÄN</t>
        </is>
      </c>
      <c r="G652" t="inlineStr">
        <is>
          <t>GÄVLE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42876-2023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45182</v>
      </c>
      <c r="E653" s="1" t="n">
        <v>46299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46173</v>
      </c>
      <c r="E654" s="1" t="n">
        <v>46299</v>
      </c>
      <c r="F654" t="inlineStr">
        <is>
          <t>GÄVLEBORGS LÄN</t>
        </is>
      </c>
      <c r="G654" t="inlineStr">
        <is>
          <t>GÄVLE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45757</v>
      </c>
      <c r="E655" s="1" t="n">
        <v>46299</v>
      </c>
      <c r="F655" t="inlineStr">
        <is>
          <t>GÄVLEBORGS LÄN</t>
        </is>
      </c>
      <c r="G655" t="inlineStr">
        <is>
          <t>GÄVLE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45740</v>
      </c>
      <c r="E656" s="1" t="n">
        <v>46299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46299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46299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37146-2024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45539</v>
      </c>
      <c r="E659" s="1" t="n">
        <v>46299</v>
      </c>
      <c r="F659" t="inlineStr">
        <is>
          <t>GÄVLEBORGS LÄN</t>
        </is>
      </c>
      <c r="G659" t="inlineStr">
        <is>
          <t>GÄVLE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45660</v>
      </c>
      <c r="E660" s="1" t="n">
        <v>46299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45884</v>
      </c>
      <c r="E661" s="1" t="n">
        <v>46299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25367-2026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46299</v>
      </c>
      <c r="F662" t="inlineStr">
        <is>
          <t>GÄVLEBORGS LÄN</t>
        </is>
      </c>
      <c r="G662" t="inlineStr">
        <is>
          <t>GÄVLE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46299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46299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46299</v>
      </c>
      <c r="F666" t="inlineStr">
        <is>
          <t>GÄVLEBORGS LÄN</t>
        </is>
      </c>
      <c r="G666" t="inlineStr">
        <is>
          <t>GÄVLE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46299</v>
      </c>
      <c r="F667" t="inlineStr">
        <is>
          <t>GÄVLEBORGS LÄN</t>
        </is>
      </c>
      <c r="G667" t="inlineStr">
        <is>
          <t>GÄVLE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25623-2026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46177</v>
      </c>
      <c r="E668" s="1" t="n">
        <v>46299</v>
      </c>
      <c r="F668" t="inlineStr">
        <is>
          <t>GÄVLEBORGS LÄN</t>
        </is>
      </c>
      <c r="G668" t="inlineStr">
        <is>
          <t>GÄVLE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46299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46299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46299</v>
      </c>
      <c r="F671" t="inlineStr">
        <is>
          <t>GÄVLEBORGS LÄN</t>
        </is>
      </c>
      <c r="G671" t="inlineStr">
        <is>
          <t>GÄVLE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46299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61501-2024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46299</v>
      </c>
      <c r="F673" t="inlineStr">
        <is>
          <t>GÄVLEBORGS LÄN</t>
        </is>
      </c>
      <c r="G673" t="inlineStr">
        <is>
          <t>GÄVLE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47458-2022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46299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46299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46299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46299</v>
      </c>
      <c r="F677" t="inlineStr">
        <is>
          <t>GÄVLEBORGS LÄN</t>
        </is>
      </c>
      <c r="G677" t="inlineStr">
        <is>
          <t>GÄVLE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46299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46299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46299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46299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46299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46299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46299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46299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46299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46299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46299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44938-2022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46299</v>
      </c>
      <c r="F691" t="inlineStr">
        <is>
          <t>GÄVLEBORGS LÄN</t>
        </is>
      </c>
      <c r="G691" t="inlineStr">
        <is>
          <t>GÄVLE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46188</v>
      </c>
      <c r="E692" s="1" t="n">
        <v>46299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46299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46299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27055-2026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46299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46299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46299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46299</v>
      </c>
      <c r="F701" t="inlineStr">
        <is>
          <t>GÄVLEBORGS LÄN</t>
        </is>
      </c>
      <c r="G701" t="inlineStr">
        <is>
          <t>GÄVLE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46299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50582-2023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45217</v>
      </c>
      <c r="E703" s="1" t="n">
        <v>46299</v>
      </c>
      <c r="F703" t="inlineStr">
        <is>
          <t>GÄVLEBORGS LÄN</t>
        </is>
      </c>
      <c r="G703" t="inlineStr">
        <is>
          <t>GÄVLE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46299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46299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46299</v>
      </c>
      <c r="F707" t="inlineStr">
        <is>
          <t>GÄVLEBORGS LÄN</t>
        </is>
      </c>
      <c r="G707" t="inlineStr">
        <is>
          <t>GÄVLE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46299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53082-2022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46299</v>
      </c>
      <c r="F709" t="inlineStr">
        <is>
          <t>GÄVLEBORGS LÄN</t>
        </is>
      </c>
      <c r="G709" t="inlineStr">
        <is>
          <t>GÄVLE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46299</v>
      </c>
      <c r="F710" t="inlineStr">
        <is>
          <t>GÄVLEBORGS LÄN</t>
        </is>
      </c>
      <c r="G710" t="inlineStr">
        <is>
          <t>GÄVLE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72734-2021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44546</v>
      </c>
      <c r="E711" s="1" t="n">
        <v>46299</v>
      </c>
      <c r="F711" t="inlineStr">
        <is>
          <t>GÄVLEBORGS LÄN</t>
        </is>
      </c>
      <c r="G711" t="inlineStr">
        <is>
          <t>GÄVLE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22968-2026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46299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29494-2026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46299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46299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52.7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46299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46299</v>
      </c>
      <c r="F716" t="inlineStr">
        <is>
          <t>GÄVLEBORGS LÄN</t>
        </is>
      </c>
      <c r="G716" t="inlineStr">
        <is>
          <t>GÄVLE</t>
        </is>
      </c>
      <c r="H716" t="inlineStr">
        <is>
          <t>BillerudKorsnäs AB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46299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46299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46299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46299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58445-2021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46299</v>
      </c>
      <c r="F722" t="inlineStr">
        <is>
          <t>GÄVLEBORGS LÄN</t>
        </is>
      </c>
      <c r="G722" t="inlineStr">
        <is>
          <t>GÄVLE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46299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66493-2021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44519</v>
      </c>
      <c r="E724" s="1" t="n">
        <v>46299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46299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45090</v>
      </c>
      <c r="E726" s="1" t="n">
        <v>46299</v>
      </c>
      <c r="F726" t="inlineStr">
        <is>
          <t>GÄVLEBORGS LÄN</t>
        </is>
      </c>
      <c r="G726" t="inlineStr">
        <is>
          <t>GÄVLE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46299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44936</v>
      </c>
      <c r="E728" s="1" t="n">
        <v>46299</v>
      </c>
      <c r="F728" t="inlineStr">
        <is>
          <t>GÄVLEBORGS LÄN</t>
        </is>
      </c>
      <c r="G728" t="inlineStr">
        <is>
          <t>GÄVLE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46299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51758-2025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45950</v>
      </c>
      <c r="E730" s="1" t="n">
        <v>46299</v>
      </c>
      <c r="F730" t="inlineStr">
        <is>
          <t>GÄVLEBORGS LÄN</t>
        </is>
      </c>
      <c r="G730" t="inlineStr">
        <is>
          <t>GÄVLE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46299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46299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46207</v>
      </c>
      <c r="E733" s="1" t="n">
        <v>46299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51071-2023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45218</v>
      </c>
      <c r="E734" s="1" t="n">
        <v>46299</v>
      </c>
      <c r="F734" t="inlineStr">
        <is>
          <t>GÄVLEBORGS LÄN</t>
        </is>
      </c>
      <c r="G734" t="inlineStr">
        <is>
          <t>GÄVLE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46299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17113-2024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45412</v>
      </c>
      <c r="E736" s="1" t="n">
        <v>46299</v>
      </c>
      <c r="F736" t="inlineStr">
        <is>
          <t>GÄVLEBORGS LÄN</t>
        </is>
      </c>
      <c r="G736" t="inlineStr">
        <is>
          <t>GÄVLE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49401-2024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45595</v>
      </c>
      <c r="E737" s="1" t="n">
        <v>46299</v>
      </c>
      <c r="F737" t="inlineStr">
        <is>
          <t>GÄVLEBORGS LÄN</t>
        </is>
      </c>
      <c r="G737" t="inlineStr">
        <is>
          <t>GÄVLE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46210</v>
      </c>
      <c r="E738" s="1" t="n">
        <v>46299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46210</v>
      </c>
      <c r="E739" s="1" t="n">
        <v>46299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64871-2023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45282</v>
      </c>
      <c r="E740" s="1" t="n">
        <v>46299</v>
      </c>
      <c r="F740" t="inlineStr">
        <is>
          <t>GÄVLEBORGS LÄN</t>
        </is>
      </c>
      <c r="G740" t="inlineStr">
        <is>
          <t>GÄVLE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64875-2023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45282</v>
      </c>
      <c r="E741" s="1" t="n">
        <v>46299</v>
      </c>
      <c r="F741" t="inlineStr">
        <is>
          <t>GÄVLEBORGS LÄN</t>
        </is>
      </c>
      <c r="G741" t="inlineStr">
        <is>
          <t>GÄVLE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64878-2023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46299</v>
      </c>
      <c r="F742" t="inlineStr">
        <is>
          <t>GÄVLEBORGS LÄN</t>
        </is>
      </c>
      <c r="G742" t="inlineStr">
        <is>
          <t>GÄVLE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46299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46258</v>
      </c>
      <c r="E744" s="1" t="n">
        <v>46299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46217</v>
      </c>
      <c r="E745" s="1" t="n">
        <v>46299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46299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36638-2022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44804</v>
      </c>
      <c r="E747" s="1" t="n">
        <v>46299</v>
      </c>
      <c r="F747" t="inlineStr">
        <is>
          <t>GÄVLEBORGS LÄN</t>
        </is>
      </c>
      <c r="G747" t="inlineStr">
        <is>
          <t>GÄVLE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44845</v>
      </c>
      <c r="E748" s="1" t="n">
        <v>46299</v>
      </c>
      <c r="F748" t="inlineStr">
        <is>
          <t>GÄVLEBORGS LÄN</t>
        </is>
      </c>
      <c r="G748" t="inlineStr">
        <is>
          <t>GÄVLE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34686-2026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46258</v>
      </c>
      <c r="E749" s="1" t="n">
        <v>46299</v>
      </c>
      <c r="F749" t="inlineStr">
        <is>
          <t>GÄVLEBORGS LÄN</t>
        </is>
      </c>
      <c r="G749" t="inlineStr">
        <is>
          <t>GÄVLE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30969-2026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46213</v>
      </c>
      <c r="E750" s="1" t="n">
        <v>46299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46299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46217</v>
      </c>
      <c r="E752" s="1" t="n">
        <v>46299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46299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45644</v>
      </c>
      <c r="E754" s="1" t="n">
        <v>46299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46299</v>
      </c>
      <c r="F755" t="inlineStr">
        <is>
          <t>GÄVLEBORGS LÄN</t>
        </is>
      </c>
      <c r="G755" t="inlineStr">
        <is>
          <t>GÄVLE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60801-2024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45644</v>
      </c>
      <c r="E756" s="1" t="n">
        <v>46299</v>
      </c>
      <c r="F756" t="inlineStr">
        <is>
          <t>GÄVLEBORGS LÄN</t>
        </is>
      </c>
      <c r="G756" t="inlineStr">
        <is>
          <t>GÄVLE</t>
        </is>
      </c>
      <c r="H756" t="inlineStr">
        <is>
          <t>Kyrkan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46299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46299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46299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22577-2022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44713</v>
      </c>
      <c r="E760" s="1" t="n">
        <v>46299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46299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46299</v>
      </c>
      <c r="F762" t="inlineStr">
        <is>
          <t>GÄVLEBORGS LÄN</t>
        </is>
      </c>
      <c r="G762" t="inlineStr">
        <is>
          <t>GÄVLE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45400</v>
      </c>
      <c r="E763" s="1" t="n">
        <v>46299</v>
      </c>
      <c r="F763" t="inlineStr">
        <is>
          <t>GÄVLEBORGS LÄN</t>
        </is>
      </c>
      <c r="G763" t="inlineStr">
        <is>
          <t>GÄVLE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35541-2026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46299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46299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46299</v>
      </c>
      <c r="F766" t="inlineStr">
        <is>
          <t>GÄVLEBORGS LÄN</t>
        </is>
      </c>
      <c r="G766" t="inlineStr">
        <is>
          <t>GÄVLE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35818-2026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46299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46223</v>
      </c>
      <c r="E768" s="1" t="n">
        <v>46299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35577-2026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46299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46299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29016-2023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45104</v>
      </c>
      <c r="E771" s="1" t="n">
        <v>46299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46299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46299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46299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60396-2022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44910</v>
      </c>
      <c r="E775" s="1" t="n">
        <v>46299</v>
      </c>
      <c r="F775" t="inlineStr">
        <is>
          <t>GÄVLEBORGS LÄN</t>
        </is>
      </c>
      <c r="G775" t="inlineStr">
        <is>
          <t>GÄVLE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25276-2024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46299</v>
      </c>
      <c r="F776" t="inlineStr">
        <is>
          <t>GÄVLEBORGS LÄN</t>
        </is>
      </c>
      <c r="G776" t="inlineStr">
        <is>
          <t>GÄVLE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46299</v>
      </c>
      <c r="F777" t="inlineStr">
        <is>
          <t>GÄVLEBORGS LÄN</t>
        </is>
      </c>
      <c r="G777" t="inlineStr">
        <is>
          <t>GÄVLE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45660</v>
      </c>
      <c r="E778" s="1" t="n">
        <v>46299</v>
      </c>
      <c r="F778" t="inlineStr">
        <is>
          <t>GÄVLEBORGS LÄN</t>
        </is>
      </c>
      <c r="G778" t="inlineStr">
        <is>
          <t>GÄVLE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27182-2022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44741</v>
      </c>
      <c r="E779" s="1" t="n">
        <v>46299</v>
      </c>
      <c r="F779" t="inlineStr">
        <is>
          <t>GÄVLEBORGS LÄN</t>
        </is>
      </c>
      <c r="G779" t="inlineStr">
        <is>
          <t>GÄVLE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36093-2026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46299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46299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46299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36522-2026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46299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46299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46299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8031-2024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45350</v>
      </c>
      <c r="E786" s="1" t="n">
        <v>46299</v>
      </c>
      <c r="F786" t="inlineStr">
        <is>
          <t>GÄVLEBORGS LÄN</t>
        </is>
      </c>
      <c r="G786" t="inlineStr">
        <is>
          <t>GÄVLE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61351-2021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44498</v>
      </c>
      <c r="E787" s="1" t="n">
        <v>46299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46299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36945-2026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46299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36957-2026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46273</v>
      </c>
      <c r="E790" s="1" t="n">
        <v>46299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36962-2026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46299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36920-2026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46273</v>
      </c>
      <c r="E792" s="1" t="n">
        <v>46299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53281-2024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45614</v>
      </c>
      <c r="E793" s="1" t="n">
        <v>46299</v>
      </c>
      <c r="F793" t="inlineStr">
        <is>
          <t>GÄVLEBORGS LÄN</t>
        </is>
      </c>
      <c r="G793" t="inlineStr">
        <is>
          <t>GÄVLE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46299</v>
      </c>
      <c r="F794" t="inlineStr">
        <is>
          <t>GÄVLEBORGS LÄN</t>
        </is>
      </c>
      <c r="G794" t="inlineStr">
        <is>
          <t>GÄVLE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46299</v>
      </c>
      <c r="F795" t="inlineStr">
        <is>
          <t>GÄVLEBORGS LÄN</t>
        </is>
      </c>
      <c r="G795" t="inlineStr">
        <is>
          <t>GÄVLE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60879-2023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45261</v>
      </c>
      <c r="E796" s="1" t="n">
        <v>46299</v>
      </c>
      <c r="F796" t="inlineStr">
        <is>
          <t>GÄVLEBORGS LÄN</t>
        </is>
      </c>
      <c r="G796" t="inlineStr">
        <is>
          <t>GÄVLE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46273</v>
      </c>
      <c r="E797" s="1" t="n">
        <v>46299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46272</v>
      </c>
      <c r="E798" s="1" t="n">
        <v>46299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37223-2026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46299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15312-2023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45019</v>
      </c>
      <c r="E800" s="1" t="n">
        <v>46299</v>
      </c>
      <c r="F800" t="inlineStr">
        <is>
          <t>GÄVLEBORGS LÄN</t>
        </is>
      </c>
      <c r="G800" t="inlineStr">
        <is>
          <t>GÄVLE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46299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46275</v>
      </c>
      <c r="E802" s="1" t="n">
        <v>46299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37134-2026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46274</v>
      </c>
      <c r="E803" s="1" t="n">
        <v>46299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46274</v>
      </c>
      <c r="E804" s="1" t="n">
        <v>46299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46276</v>
      </c>
      <c r="E805" s="1" t="n">
        <v>46299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46276</v>
      </c>
      <c r="E806" s="1" t="n">
        <v>46299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37573-2026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46276</v>
      </c>
      <c r="E807" s="1" t="n">
        <v>46299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46279</v>
      </c>
      <c r="E808" s="1" t="n">
        <v>46299</v>
      </c>
      <c r="F808" t="inlineStr">
        <is>
          <t>GÄVLEBORGS LÄN</t>
        </is>
      </c>
      <c r="G808" t="inlineStr">
        <is>
          <t>GÄVLE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46299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37765-2026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46279</v>
      </c>
      <c r="E810" s="1" t="n">
        <v>46299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46299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38045-2026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46280</v>
      </c>
      <c r="E812" s="1" t="n">
        <v>46299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52387-2022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44874</v>
      </c>
      <c r="E813" s="1" t="n">
        <v>46299</v>
      </c>
      <c r="F813" t="inlineStr">
        <is>
          <t>GÄVLEBORGS LÄN</t>
        </is>
      </c>
      <c r="G813" t="inlineStr">
        <is>
          <t>GÄVLE</t>
        </is>
      </c>
      <c r="H813" t="inlineStr">
        <is>
          <t>Kommuner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31011-2023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46299</v>
      </c>
      <c r="F814" t="inlineStr">
        <is>
          <t>GÄVLEBORGS LÄN</t>
        </is>
      </c>
      <c r="G814" t="inlineStr">
        <is>
          <t>GÄVLE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46299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37935-2026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46280</v>
      </c>
      <c r="E816" s="1" t="n">
        <v>46299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46280</v>
      </c>
      <c r="E817" s="1" t="n">
        <v>46299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38195-2026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46281</v>
      </c>
      <c r="E818" s="1" t="n">
        <v>46299</v>
      </c>
      <c r="F818" t="inlineStr">
        <is>
          <t>GÄVLEBORGS LÄN</t>
        </is>
      </c>
      <c r="G818" t="inlineStr">
        <is>
          <t>GÄVLE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38130-2026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46281</v>
      </c>
      <c r="E819" s="1" t="n">
        <v>46299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5.8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38049-2026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46299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22466-2023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45070</v>
      </c>
      <c r="E821" s="1" t="n">
        <v>46299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37934-2026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46280</v>
      </c>
      <c r="E822" s="1" t="n">
        <v>46299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46299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16023-2023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45026</v>
      </c>
      <c r="E824" s="1" t="n">
        <v>46299</v>
      </c>
      <c r="F824" t="inlineStr">
        <is>
          <t>GÄVLEBORGS LÄN</t>
        </is>
      </c>
      <c r="G824" t="inlineStr">
        <is>
          <t>GÄVLE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46280</v>
      </c>
      <c r="E825" s="1" t="n">
        <v>46299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25829-2024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45467</v>
      </c>
      <c r="E826" s="1" t="n">
        <v>46299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46282</v>
      </c>
      <c r="E827" s="1" t="n">
        <v>46299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7235-2025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46299</v>
      </c>
      <c r="F828" t="inlineStr">
        <is>
          <t>GÄVLEBORGS LÄN</t>
        </is>
      </c>
      <c r="G828" t="inlineStr">
        <is>
          <t>GÄVLE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46299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71215-2021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44539</v>
      </c>
      <c r="E830" s="1" t="n">
        <v>46299</v>
      </c>
      <c r="F830" t="inlineStr">
        <is>
          <t>GÄVLEBORGS LÄN</t>
        </is>
      </c>
      <c r="G830" t="inlineStr">
        <is>
          <t>GÄVLE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61879-2024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45652</v>
      </c>
      <c r="E831" s="1" t="n">
        <v>46299</v>
      </c>
      <c r="F831" t="inlineStr">
        <is>
          <t>GÄVLEBORGS LÄN</t>
        </is>
      </c>
      <c r="G831" t="inlineStr">
        <is>
          <t>GÄVLE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38524-2026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46283</v>
      </c>
      <c r="E832" s="1" t="n">
        <v>46299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38336-2026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46282</v>
      </c>
      <c r="E833" s="1" t="n">
        <v>46299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46239</v>
      </c>
      <c r="E834" s="1" t="n">
        <v>46299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19712-2022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44694</v>
      </c>
      <c r="E835" s="1" t="n">
        <v>46299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46283</v>
      </c>
      <c r="E836" s="1" t="n">
        <v>46299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39509-2022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44818</v>
      </c>
      <c r="E837" s="1" t="n">
        <v>46299</v>
      </c>
      <c r="F837" t="inlineStr">
        <is>
          <t>GÄVLEBORGS LÄN</t>
        </is>
      </c>
      <c r="G837" t="inlineStr">
        <is>
          <t>GÄVLE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38612-2026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46283</v>
      </c>
      <c r="E838" s="1" t="n">
        <v>46299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46283</v>
      </c>
      <c r="E839" s="1" t="n">
        <v>46299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38562-2026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46283</v>
      </c>
      <c r="E840" s="1" t="n">
        <v>46299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38582-2026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46283</v>
      </c>
      <c r="E841" s="1" t="n">
        <v>46299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30662-2022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44763</v>
      </c>
      <c r="E842" s="1" t="n">
        <v>46299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38551-2026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46283</v>
      </c>
      <c r="E843" s="1" t="n">
        <v>46299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38334-2026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46282</v>
      </c>
      <c r="E844" s="1" t="n">
        <v>46299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38386-2026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46282</v>
      </c>
      <c r="E845" s="1" t="n">
        <v>46299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46282</v>
      </c>
      <c r="E846" s="1" t="n">
        <v>46299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38335-2026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46282</v>
      </c>
      <c r="E847" s="1" t="n">
        <v>46299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38609-2026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46283</v>
      </c>
      <c r="E848" s="1" t="n">
        <v>46299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38393-2026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46282</v>
      </c>
      <c r="E849" s="1" t="n">
        <v>46299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19.8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38586-2026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46283</v>
      </c>
      <c r="E850" s="1" t="n">
        <v>46299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46283</v>
      </c>
      <c r="E851" s="1" t="n">
        <v>46299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38623-2026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46283</v>
      </c>
      <c r="E852" s="1" t="n">
        <v>46299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8.5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38624-2026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46283</v>
      </c>
      <c r="E853" s="1" t="n">
        <v>46299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38653-2026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46283</v>
      </c>
      <c r="E854" s="1" t="n">
        <v>46299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38588-2026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46283</v>
      </c>
      <c r="E855" s="1" t="n">
        <v>46299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5.7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46299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37352-2024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45540</v>
      </c>
      <c r="E857" s="1" t="n">
        <v>46299</v>
      </c>
      <c r="F857" t="inlineStr">
        <is>
          <t>GÄVLEBORGS LÄN</t>
        </is>
      </c>
      <c r="G857" t="inlineStr">
        <is>
          <t>GÄVLE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17605-2025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45757</v>
      </c>
      <c r="E858" s="1" t="n">
        <v>46299</v>
      </c>
      <c r="F858" t="inlineStr">
        <is>
          <t>GÄVLEBORGS LÄN</t>
        </is>
      </c>
      <c r="G858" t="inlineStr">
        <is>
          <t>GÄVLE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17607-2025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45757</v>
      </c>
      <c r="E859" s="1" t="n">
        <v>46299</v>
      </c>
      <c r="F859" t="inlineStr">
        <is>
          <t>GÄVLEBORGS LÄN</t>
        </is>
      </c>
      <c r="G859" t="inlineStr">
        <is>
          <t>GÄVLE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38979-2026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46286</v>
      </c>
      <c r="E860" s="1" t="n">
        <v>46299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46299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46287</v>
      </c>
      <c r="E862" s="1" t="n">
        <v>46299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39227-2026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46287</v>
      </c>
      <c r="E863" s="1" t="n">
        <v>46299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39120-2026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46287</v>
      </c>
      <c r="E864" s="1" t="n">
        <v>46299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46287</v>
      </c>
      <c r="E865" s="1" t="n">
        <v>46299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38952-2026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46286</v>
      </c>
      <c r="E866" s="1" t="n">
        <v>46299</v>
      </c>
      <c r="F866" t="inlineStr">
        <is>
          <t>GÄVLEBORGS LÄN</t>
        </is>
      </c>
      <c r="G866" t="inlineStr">
        <is>
          <t>GÄVLE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39083-2026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46287</v>
      </c>
      <c r="E867" s="1" t="n">
        <v>46299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46299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56487-2023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45243</v>
      </c>
      <c r="E869" s="1" t="n">
        <v>46299</v>
      </c>
      <c r="F869" t="inlineStr">
        <is>
          <t>GÄVLEBORGS LÄN</t>
        </is>
      </c>
      <c r="G869" t="inlineStr">
        <is>
          <t>GÄVLE</t>
        </is>
      </c>
      <c r="I869" t="n">
        <v>8.699999999999999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9307-2022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44616</v>
      </c>
      <c r="E870" s="1" t="n">
        <v>46299</v>
      </c>
      <c r="F870" t="inlineStr">
        <is>
          <t>GÄVLEBORGS LÄN</t>
        </is>
      </c>
      <c r="G870" t="inlineStr">
        <is>
          <t>GÄVLE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32887-2026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46299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39021-2026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46287</v>
      </c>
      <c r="E872" s="1" t="n">
        <v>46299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13193-2025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45735</v>
      </c>
      <c r="E873" s="1" t="n">
        <v>46299</v>
      </c>
      <c r="F873" t="inlineStr">
        <is>
          <t>GÄVLEBORGS LÄN</t>
        </is>
      </c>
      <c r="G873" t="inlineStr">
        <is>
          <t>GÄVLE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31866-2023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45106</v>
      </c>
      <c r="E874" s="1" t="n">
        <v>46299</v>
      </c>
      <c r="F874" t="inlineStr">
        <is>
          <t>GÄVLEBORGS LÄN</t>
        </is>
      </c>
      <c r="G874" t="inlineStr">
        <is>
          <t>GÄVLE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14807-2023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45014</v>
      </c>
      <c r="E875" s="1" t="n">
        <v>46299</v>
      </c>
      <c r="F875" t="inlineStr">
        <is>
          <t>GÄVLEBORGS LÄN</t>
        </is>
      </c>
      <c r="G875" t="inlineStr">
        <is>
          <t>GÄVLE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33231-2026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46246</v>
      </c>
      <c r="E876" s="1" t="n">
        <v>46299</v>
      </c>
      <c r="F876" t="inlineStr">
        <is>
          <t>GÄVLEBORGS LÄN</t>
        </is>
      </c>
      <c r="G876" t="inlineStr">
        <is>
          <t>GÄVLE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33346-2026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46246</v>
      </c>
      <c r="E877" s="1" t="n">
        <v>46299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46299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39684-2026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46289</v>
      </c>
      <c r="E879" s="1" t="n">
        <v>46299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33880-2022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44790</v>
      </c>
      <c r="E880" s="1" t="n">
        <v>46299</v>
      </c>
      <c r="F880" t="inlineStr">
        <is>
          <t>GÄVLEBORGS LÄN</t>
        </is>
      </c>
      <c r="G880" t="inlineStr">
        <is>
          <t>GÄVLE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46246</v>
      </c>
      <c r="E881" s="1" t="n">
        <v>46299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33350-2026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46299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45699</v>
      </c>
      <c r="E883" s="1" t="n">
        <v>46299</v>
      </c>
      <c r="F883" t="inlineStr">
        <is>
          <t>GÄVLEBORGS LÄN</t>
        </is>
      </c>
      <c r="G883" t="inlineStr">
        <is>
          <t>GÄVLE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39685-2026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46289</v>
      </c>
      <c r="E884" s="1" t="n">
        <v>46299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39534-2026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46289</v>
      </c>
      <c r="E885" s="1" t="n">
        <v>46299</v>
      </c>
      <c r="F885" t="inlineStr">
        <is>
          <t>GÄVLEBORGS LÄN</t>
        </is>
      </c>
      <c r="G885" t="inlineStr">
        <is>
          <t>GÄVLE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33265-2026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46246</v>
      </c>
      <c r="E886" s="1" t="n">
        <v>46299</v>
      </c>
      <c r="F886" t="inlineStr">
        <is>
          <t>GÄVLEBORGS LÄN</t>
        </is>
      </c>
      <c r="G886" t="inlineStr">
        <is>
          <t>GÄVLE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45373</v>
      </c>
      <c r="E887" s="1" t="n">
        <v>46299</v>
      </c>
      <c r="F887" t="inlineStr">
        <is>
          <t>GÄVLEBORGS LÄN</t>
        </is>
      </c>
      <c r="G887" t="inlineStr">
        <is>
          <t>GÄVLE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44885</v>
      </c>
      <c r="E888" s="1" t="n">
        <v>46299</v>
      </c>
      <c r="F888" t="inlineStr">
        <is>
          <t>GÄVLEBORGS LÄN</t>
        </is>
      </c>
      <c r="G888" t="inlineStr">
        <is>
          <t>GÄVLE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33347-2026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46246</v>
      </c>
      <c r="E889" s="1" t="n">
        <v>46299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64873-2023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45282</v>
      </c>
      <c r="E890" s="1" t="n">
        <v>46299</v>
      </c>
      <c r="F890" t="inlineStr">
        <is>
          <t>GÄVLEBORGS LÄN</t>
        </is>
      </c>
      <c r="G890" t="inlineStr">
        <is>
          <t>GÄVLE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39437-2026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46288</v>
      </c>
      <c r="E891" s="1" t="n">
        <v>46299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33662-2026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46248</v>
      </c>
      <c r="E892" s="1" t="n">
        <v>46299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33664-2026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46248</v>
      </c>
      <c r="E893" s="1" t="n">
        <v>46299</v>
      </c>
      <c r="F893" t="inlineStr">
        <is>
          <t>GÄVLEBORGS LÄN</t>
        </is>
      </c>
      <c r="G893" t="inlineStr">
        <is>
          <t>GÄVLE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28624-2025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45819</v>
      </c>
      <c r="E894" s="1" t="n">
        <v>46299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46299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29862-2023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45107</v>
      </c>
      <c r="E896" s="1" t="n">
        <v>46299</v>
      </c>
      <c r="F896" t="inlineStr">
        <is>
          <t>GÄVLEBORGS LÄN</t>
        </is>
      </c>
      <c r="G896" t="inlineStr">
        <is>
          <t>GÄVLE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46293</v>
      </c>
      <c r="E897" s="1" t="n">
        <v>46299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46299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40180-2026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46293</v>
      </c>
      <c r="E899" s="1" t="n">
        <v>46299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46299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9.5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24478-2023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45082</v>
      </c>
      <c r="E901" s="1" t="n">
        <v>46299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46299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39766-2026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46290</v>
      </c>
      <c r="E903" s="1" t="n">
        <v>46299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39805-2026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46290</v>
      </c>
      <c r="E904" s="1" t="n">
        <v>46299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17088-2023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45034</v>
      </c>
      <c r="E905" s="1" t="n">
        <v>46299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39891-2026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46290</v>
      </c>
      <c r="E906" s="1" t="n">
        <v>46299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7792-2023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44973</v>
      </c>
      <c r="E907" s="1" t="n">
        <v>46299</v>
      </c>
      <c r="F907" t="inlineStr">
        <is>
          <t>GÄVLEBORGS LÄN</t>
        </is>
      </c>
      <c r="G907" t="inlineStr">
        <is>
          <t>GÄVLE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40118-2026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46293</v>
      </c>
      <c r="E908" s="1" t="n">
        <v>46299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39702-2026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46290</v>
      </c>
      <c r="E909" s="1" t="n">
        <v>46299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14735-2024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45397</v>
      </c>
      <c r="E910" s="1" t="n">
        <v>46299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46293</v>
      </c>
      <c r="E911" s="1" t="n">
        <v>46299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35761-2022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44800</v>
      </c>
      <c r="E912" s="1" t="n">
        <v>46299</v>
      </c>
      <c r="F912" t="inlineStr">
        <is>
          <t>GÄVLEBORGS LÄN</t>
        </is>
      </c>
      <c r="G912" t="inlineStr">
        <is>
          <t>GÄVLE</t>
        </is>
      </c>
      <c r="I912" t="n">
        <v>8.199999999999999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24367-2026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46169</v>
      </c>
      <c r="E913" s="1" t="n">
        <v>46299</v>
      </c>
      <c r="F913" t="inlineStr">
        <is>
          <t>GÄVLEBORGS LÄN</t>
        </is>
      </c>
      <c r="G913" t="inlineStr">
        <is>
          <t>GÄVLE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34733-2026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46258</v>
      </c>
      <c r="E914" s="1" t="n">
        <v>46299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46295</v>
      </c>
      <c r="E915" s="1" t="n">
        <v>46299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40507-2026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46295</v>
      </c>
      <c r="E916" s="1" t="n">
        <v>46299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33719-2026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46251</v>
      </c>
      <c r="E917" s="1" t="n">
        <v>46299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40504-2026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46295</v>
      </c>
      <c r="E918" s="1" t="n">
        <v>46299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5.2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34033-2026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46252</v>
      </c>
      <c r="E919" s="1" t="n">
        <v>46299</v>
      </c>
      <c r="F919" t="inlineStr">
        <is>
          <t>GÄVLEBORGS LÄN</t>
        </is>
      </c>
      <c r="G919" t="inlineStr">
        <is>
          <t>GÄVLE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46280</v>
      </c>
      <c r="E920" s="1" t="n">
        <v>46299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61918-2023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45266</v>
      </c>
      <c r="E921" s="1" t="n">
        <v>46299</v>
      </c>
      <c r="F921" t="inlineStr">
        <is>
          <t>GÄVLEBORGS LÄN</t>
        </is>
      </c>
      <c r="G921" t="inlineStr">
        <is>
          <t>GÄVLE</t>
        </is>
      </c>
      <c r="I921" t="n">
        <v>5.3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14974-2026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46104</v>
      </c>
      <c r="E922" s="1" t="n">
        <v>46299</v>
      </c>
      <c r="F922" t="inlineStr">
        <is>
          <t>GÄVLEBORGS LÄN</t>
        </is>
      </c>
      <c r="G922" t="inlineStr">
        <is>
          <t>GÄVLE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23117-2026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46161</v>
      </c>
      <c r="E923" s="1" t="n">
        <v>46299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17245-2024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45414</v>
      </c>
      <c r="E924" s="1" t="n">
        <v>46299</v>
      </c>
      <c r="F924" t="inlineStr">
        <is>
          <t>GÄVLEBORGS LÄN</t>
        </is>
      </c>
      <c r="G924" t="inlineStr">
        <is>
          <t>GÄVLE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40375-2026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46294</v>
      </c>
      <c r="E925" s="1" t="n">
        <v>46299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40943-2026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46297</v>
      </c>
      <c r="E926" s="1" t="n">
        <v>46299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40947-2026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46297</v>
      </c>
      <c r="E927" s="1" t="n">
        <v>46299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40896-2026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46297</v>
      </c>
      <c r="E928" s="1" t="n">
        <v>46299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34415-2026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46254</v>
      </c>
      <c r="E929" s="1" t="n">
        <v>46299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27051-2026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46185</v>
      </c>
      <c r="E930" s="1" t="n">
        <v>46299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62255-2022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44922</v>
      </c>
      <c r="E931" s="1" t="n">
        <v>46299</v>
      </c>
      <c r="F931" t="inlineStr">
        <is>
          <t>GÄVLEBORGS LÄN</t>
        </is>
      </c>
      <c r="G931" t="inlineStr">
        <is>
          <t>GÄVLE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57928-2024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45631</v>
      </c>
      <c r="E932" s="1" t="n">
        <v>46299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46299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34593-2026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46299</v>
      </c>
      <c r="F934" t="inlineStr">
        <is>
          <t>GÄVLEBORGS LÄN</t>
        </is>
      </c>
      <c r="G934" t="inlineStr">
        <is>
          <t>GÄVLE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9422-2025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45715</v>
      </c>
      <c r="E935" s="1" t="n">
        <v>46299</v>
      </c>
      <c r="F935" t="inlineStr">
        <is>
          <t>GÄVLEBORGS LÄN</t>
        </is>
      </c>
      <c r="G935" t="inlineStr">
        <is>
          <t>GÄVLE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46296</v>
      </c>
      <c r="E936" s="1" t="n">
        <v>46299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61843-2023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46299</v>
      </c>
      <c r="F937" t="inlineStr">
        <is>
          <t>GÄVLEBORGS LÄN</t>
        </is>
      </c>
      <c r="G937" t="inlineStr">
        <is>
          <t>GÄVLE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45660</v>
      </c>
      <c r="E938" s="1" t="n">
        <v>46299</v>
      </c>
      <c r="F938" t="inlineStr">
        <is>
          <t>GÄVLEBORGS LÄN</t>
        </is>
      </c>
      <c r="G938" t="inlineStr">
        <is>
          <t>GÄVLE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47143-2024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45586</v>
      </c>
      <c r="E939" s="1" t="n">
        <v>46299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33449-2024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45519</v>
      </c>
      <c r="E940" s="1" t="n">
        <v>46299</v>
      </c>
      <c r="F940" t="inlineStr">
        <is>
          <t>GÄVLEBORGS LÄN</t>
        </is>
      </c>
      <c r="G940" t="inlineStr">
        <is>
          <t>GÄVLE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35440-2023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45146</v>
      </c>
      <c r="E941" s="1" t="n">
        <v>46299</v>
      </c>
      <c r="F941" t="inlineStr">
        <is>
          <t>GÄVLEBORGS LÄN</t>
        </is>
      </c>
      <c r="G941" t="inlineStr">
        <is>
          <t>GÄVLE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46299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3662-2022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44586</v>
      </c>
      <c r="E943" s="1" t="n">
        <v>46299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7410-2025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45705</v>
      </c>
      <c r="E944" s="1" t="n">
        <v>46299</v>
      </c>
      <c r="F944" t="inlineStr">
        <is>
          <t>GÄVLEBORGS LÄN</t>
        </is>
      </c>
      <c r="G944" t="inlineStr">
        <is>
          <t>GÄVLE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54959-2025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45967</v>
      </c>
      <c r="E945" s="1" t="n">
        <v>46299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35331-2024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45530</v>
      </c>
      <c r="E946" s="1" t="n">
        <v>46299</v>
      </c>
      <c r="F946" t="inlineStr">
        <is>
          <t>GÄVLEBORGS LÄN</t>
        </is>
      </c>
      <c r="G946" t="inlineStr">
        <is>
          <t>GÄVLE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44927</v>
      </c>
      <c r="E947" s="1" t="n">
        <v>46299</v>
      </c>
      <c r="F947" t="inlineStr">
        <is>
          <t>GÄVLEBORGS LÄN</t>
        </is>
      </c>
      <c r="G947" t="inlineStr">
        <is>
          <t>GÄVLE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34591-2026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46255</v>
      </c>
      <c r="E948" s="1" t="n">
        <v>46299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46296</v>
      </c>
      <c r="E949" s="1" t="n">
        <v>46299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46254</v>
      </c>
      <c r="E950" s="1" t="n">
        <v>46299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44806-2024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45574</v>
      </c>
      <c r="E951" s="1" t="n">
        <v>46299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46299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40941-2026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46297</v>
      </c>
      <c r="E953" s="1" t="n">
        <v>46299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46299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46299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50345-2025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45944</v>
      </c>
      <c r="E956" s="1" t="n">
        <v>46299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54960-2025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45967</v>
      </c>
      <c r="E957" s="1" t="n">
        <v>46299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52250-2024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45608</v>
      </c>
      <c r="E958" s="1" t="n">
        <v>46299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30875-2022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44767</v>
      </c>
      <c r="E959" s="1" t="n">
        <v>46299</v>
      </c>
      <c r="F959" t="inlineStr">
        <is>
          <t>GÄVLEBORGS LÄN</t>
        </is>
      </c>
      <c r="G959" t="inlineStr">
        <is>
          <t>GÄVLE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60349-2022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44910</v>
      </c>
      <c r="E960" s="1" t="n">
        <v>46299</v>
      </c>
      <c r="F960" t="inlineStr">
        <is>
          <t>GÄVLEBORGS LÄN</t>
        </is>
      </c>
      <c r="G960" t="inlineStr">
        <is>
          <t>GÄVLE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41100-2024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45559</v>
      </c>
      <c r="E961" s="1" t="n">
        <v>46299</v>
      </c>
      <c r="F961" t="inlineStr">
        <is>
          <t>GÄVLEBORGS LÄN</t>
        </is>
      </c>
      <c r="G961" t="inlineStr">
        <is>
          <t>GÄVLE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35205-2024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45530</v>
      </c>
      <c r="E962" s="1" t="n">
        <v>46299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16401-2025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45751</v>
      </c>
      <c r="E963" s="1" t="n">
        <v>46299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5633-2024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45334</v>
      </c>
      <c r="E964" s="1" t="n">
        <v>46299</v>
      </c>
      <c r="F964" t="inlineStr">
        <is>
          <t>GÄVLEBORGS LÄN</t>
        </is>
      </c>
      <c r="G964" t="inlineStr">
        <is>
          <t>GÄVLE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13961-2024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45392</v>
      </c>
      <c r="E965" s="1" t="n">
        <v>46299</v>
      </c>
      <c r="F965" t="inlineStr">
        <is>
          <t>GÄVLEBORGS LÄN</t>
        </is>
      </c>
      <c r="G965" t="inlineStr">
        <is>
          <t>GÄVLE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25466-2023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45089</v>
      </c>
      <c r="E966" s="1" t="n">
        <v>46299</v>
      </c>
      <c r="F966" t="inlineStr">
        <is>
          <t>GÄVLEBORGS LÄN</t>
        </is>
      </c>
      <c r="G966" t="inlineStr">
        <is>
          <t>GÄVLE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7060-2022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44603</v>
      </c>
      <c r="E967" s="1" t="n">
        <v>46299</v>
      </c>
      <c r="F967" t="inlineStr">
        <is>
          <t>GÄVLEBORGS LÄN</t>
        </is>
      </c>
      <c r="G967" t="inlineStr">
        <is>
          <t>GÄVLE</t>
        </is>
      </c>
      <c r="I967" t="n">
        <v>10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41708-2023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46299</v>
      </c>
      <c r="F968" t="inlineStr">
        <is>
          <t>GÄVLEBORGS LÄN</t>
        </is>
      </c>
      <c r="G968" t="inlineStr">
        <is>
          <t>GÄVLE</t>
        </is>
      </c>
      <c r="I968" t="n">
        <v>6.5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41712-2023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46299</v>
      </c>
      <c r="F969" t="inlineStr">
        <is>
          <t>GÄVLEBORGS LÄN</t>
        </is>
      </c>
      <c r="G969" t="inlineStr">
        <is>
          <t>GÄVLE</t>
        </is>
      </c>
      <c r="I969" t="n">
        <v>7.8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44959</v>
      </c>
      <c r="E970" s="1" t="n">
        <v>46299</v>
      </c>
      <c r="F970" t="inlineStr">
        <is>
          <t>GÄVLEBORGS LÄN</t>
        </is>
      </c>
      <c r="G970" t="inlineStr">
        <is>
          <t>GÄVLE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45685</v>
      </c>
      <c r="E971" s="1" t="n">
        <v>46299</v>
      </c>
      <c r="F971" t="inlineStr">
        <is>
          <t>GÄVLEBORGS LÄN</t>
        </is>
      </c>
      <c r="G971" t="inlineStr">
        <is>
          <t>GÄVLE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45660</v>
      </c>
      <c r="E972" s="1" t="n">
        <v>46299</v>
      </c>
      <c r="F972" t="inlineStr">
        <is>
          <t>GÄVLEBORGS LÄN</t>
        </is>
      </c>
      <c r="G972" t="inlineStr">
        <is>
          <t>GÄVLE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56138-2023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45240</v>
      </c>
      <c r="E973" s="1" t="n">
        <v>46299</v>
      </c>
      <c r="F973" t="inlineStr">
        <is>
          <t>GÄVLEBORGS LÄN</t>
        </is>
      </c>
      <c r="G973" t="inlineStr">
        <is>
          <t>GÄVLE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33635-2024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46299</v>
      </c>
      <c r="F974" t="inlineStr">
        <is>
          <t>GÄVLEBORGS LÄN</t>
        </is>
      </c>
      <c r="G974" t="inlineStr">
        <is>
          <t>GÄVLE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33637-2024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46299</v>
      </c>
      <c r="F975" t="inlineStr">
        <is>
          <t>GÄVLEBORGS LÄN</t>
        </is>
      </c>
      <c r="G975" t="inlineStr">
        <is>
          <t>GÄVLE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25645-2023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46299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7998-2023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44973</v>
      </c>
      <c r="E977" s="1" t="n">
        <v>46299</v>
      </c>
      <c r="F977" t="inlineStr">
        <is>
          <t>GÄVLEBORGS LÄN</t>
        </is>
      </c>
      <c r="G977" t="inlineStr">
        <is>
          <t>GÄVLE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54207-2023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45232</v>
      </c>
      <c r="E978" s="1" t="n">
        <v>46299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15935-2025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45749</v>
      </c>
      <c r="E979" s="1" t="n">
        <v>46299</v>
      </c>
      <c r="F979" t="inlineStr">
        <is>
          <t>GÄVLEBORGS LÄN</t>
        </is>
      </c>
      <c r="G979" t="inlineStr">
        <is>
          <t>GÄVLE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25814-2023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45090</v>
      </c>
      <c r="E980" s="1" t="n">
        <v>46299</v>
      </c>
      <c r="F980" t="inlineStr">
        <is>
          <t>GÄVLEBORGS LÄN</t>
        </is>
      </c>
      <c r="G980" t="inlineStr">
        <is>
          <t>GÄVLE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46299</v>
      </c>
      <c r="F981" t="inlineStr">
        <is>
          <t>GÄVLEBORGS LÄN</t>
        </is>
      </c>
      <c r="G981" t="inlineStr">
        <is>
          <t>GÄVLE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12079-2025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45728</v>
      </c>
      <c r="E982" s="1" t="n">
        <v>46299</v>
      </c>
      <c r="F982" t="inlineStr">
        <is>
          <t>GÄVLEBORGS LÄN</t>
        </is>
      </c>
      <c r="G982" t="inlineStr">
        <is>
          <t>GÄVLE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45306</v>
      </c>
      <c r="E983" s="1" t="n">
        <v>46299</v>
      </c>
      <c r="F983" t="inlineStr">
        <is>
          <t>GÄVLEBORGS LÄN</t>
        </is>
      </c>
      <c r="G983" t="inlineStr">
        <is>
          <t>GÄVLE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62983-2023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45272</v>
      </c>
      <c r="E984" s="1" t="n">
        <v>46299</v>
      </c>
      <c r="F984" t="inlineStr">
        <is>
          <t>GÄVLEBORGS LÄN</t>
        </is>
      </c>
      <c r="G984" t="inlineStr">
        <is>
          <t>GÄVLE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33901-2024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45523</v>
      </c>
      <c r="E985" s="1" t="n">
        <v>46299</v>
      </c>
      <c r="F985" t="inlineStr">
        <is>
          <t>GÄVLEBORGS LÄN</t>
        </is>
      </c>
      <c r="G985" t="inlineStr">
        <is>
          <t>GÄVLE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45776</v>
      </c>
      <c r="E986" s="1" t="n">
        <v>46299</v>
      </c>
      <c r="F986" t="inlineStr">
        <is>
          <t>GÄVLEBORGS LÄN</t>
        </is>
      </c>
      <c r="G986" t="inlineStr">
        <is>
          <t>GÄVLE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45938-2024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45580</v>
      </c>
      <c r="E987" s="1" t="n">
        <v>46299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21431-2025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45782</v>
      </c>
      <c r="E988" s="1" t="n">
        <v>46299</v>
      </c>
      <c r="F988" t="inlineStr">
        <is>
          <t>GÄVLEBORGS LÄN</t>
        </is>
      </c>
      <c r="G988" t="inlineStr">
        <is>
          <t>GÄVLE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7202-2025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45702</v>
      </c>
      <c r="E989" s="1" t="n">
        <v>46299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59044-2023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45252</v>
      </c>
      <c r="E990" s="1" t="n">
        <v>46299</v>
      </c>
      <c r="F990" t="inlineStr">
        <is>
          <t>GÄVLEBORGS LÄN</t>
        </is>
      </c>
      <c r="G990" t="inlineStr">
        <is>
          <t>GÄVLE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46299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46299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46299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46299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46299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2026-10-04T01:54:50Z</dcterms:created>
  <dcterms:modified xmlns:dcterms="http://purl.org/dc/terms/" xmlns:xsi="http://www.w3.org/2001/XMLSchema-instance" xsi:type="dcterms:W3CDTF">2026-10-04T01:54:51Z</dcterms:modified>
</cp:coreProperties>
</file>