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45665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45665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45665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45665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45665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45665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45665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45665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45665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45665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45665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45665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45665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45665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45665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45665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45665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45665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45665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45665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45665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56993-2024</t>
        </is>
      </c>
      <c r="B34" s="1" t="n">
        <v>45628</v>
      </c>
      <c r="C34" s="1" t="n">
        <v>45665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4.9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Vårärt</t>
        </is>
      </c>
      <c r="S34">
        <f>HYPERLINK("https://klasma.github.io/Logging_2180/artfynd/A 56993-2024 artfynd.xlsx", "A 56993-2024")</f>
        <v/>
      </c>
      <c r="T34">
        <f>HYPERLINK("https://klasma.github.io/Logging_2180/kartor/A 56993-2024 karta.png", "A 56993-2024")</f>
        <v/>
      </c>
      <c r="V34">
        <f>HYPERLINK("https://klasma.github.io/Logging_2180/klagomål/A 56993-2024 FSC-klagomål.docx", "A 56993-2024")</f>
        <v/>
      </c>
      <c r="W34">
        <f>HYPERLINK("https://klasma.github.io/Logging_2180/klagomålsmail/A 56993-2024 FSC-klagomål mail.docx", "A 56993-2024")</f>
        <v/>
      </c>
      <c r="X34">
        <f>HYPERLINK("https://klasma.github.io/Logging_2180/tillsyn/A 56993-2024 tillsynsbegäran.docx", "A 56993-2024")</f>
        <v/>
      </c>
      <c r="Y34">
        <f>HYPERLINK("https://klasma.github.io/Logging_2180/tillsynsmail/A 56993-2024 tillsynsbegäran mail.docx", "A 56993-2024")</f>
        <v/>
      </c>
    </row>
    <row r="35" ht="15" customHeight="1">
      <c r="A35" t="inlineStr">
        <is>
          <t>A 22616-2019</t>
        </is>
      </c>
      <c r="B35" s="1" t="n">
        <v>43588</v>
      </c>
      <c r="C35" s="1" t="n">
        <v>45665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Sotnätfjäril</t>
        </is>
      </c>
      <c r="S35">
        <f>HYPERLINK("https://klasma.github.io/Logging_2180/artfynd/A 22616-2019 artfynd.xlsx", "A 22616-2019")</f>
        <v/>
      </c>
      <c r="T35">
        <f>HYPERLINK("https://klasma.github.io/Logging_2180/kartor/A 22616-2019 karta.png", "A 22616-2019")</f>
        <v/>
      </c>
      <c r="V35">
        <f>HYPERLINK("https://klasma.github.io/Logging_2180/klagomål/A 22616-2019 FSC-klagomål.docx", "A 22616-2019")</f>
        <v/>
      </c>
      <c r="W35">
        <f>HYPERLINK("https://klasma.github.io/Logging_2180/klagomålsmail/A 22616-2019 FSC-klagomål mail.docx", "A 22616-2019")</f>
        <v/>
      </c>
      <c r="X35">
        <f>HYPERLINK("https://klasma.github.io/Logging_2180/tillsyn/A 22616-2019 tillsynsbegäran.docx", "A 22616-2019")</f>
        <v/>
      </c>
      <c r="Y35">
        <f>HYPERLINK("https://klasma.github.io/Logging_2180/tillsynsmail/A 22616-2019 tillsynsbegäran mail.docx", "A 22616-2019")</f>
        <v/>
      </c>
    </row>
    <row r="36" ht="15" customHeight="1">
      <c r="A36" t="inlineStr">
        <is>
          <t>A 58168-2020</t>
        </is>
      </c>
      <c r="B36" s="1" t="n">
        <v>44144</v>
      </c>
      <c r="C36" s="1" t="n">
        <v>45665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3.7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58168-2020 artfynd.xlsx", "A 58168-2020")</f>
        <v/>
      </c>
      <c r="T36">
        <f>HYPERLINK("https://klasma.github.io/Logging_2180/kartor/A 58168-2020 karta.png", "A 58168-2020")</f>
        <v/>
      </c>
      <c r="U36">
        <f>HYPERLINK("https://klasma.github.io/Logging_2180/knärot/A 58168-2020 karta knärot.png", "A 58168-2020")</f>
        <v/>
      </c>
      <c r="V36">
        <f>HYPERLINK("https://klasma.github.io/Logging_2180/klagomål/A 58168-2020 FSC-klagomål.docx", "A 58168-2020")</f>
        <v/>
      </c>
      <c r="W36">
        <f>HYPERLINK("https://klasma.github.io/Logging_2180/klagomålsmail/A 58168-2020 FSC-klagomål mail.docx", "A 58168-2020")</f>
        <v/>
      </c>
      <c r="X36">
        <f>HYPERLINK("https://klasma.github.io/Logging_2180/tillsyn/A 58168-2020 tillsynsbegäran.docx", "A 58168-2020")</f>
        <v/>
      </c>
      <c r="Y36">
        <f>HYPERLINK("https://klasma.github.io/Logging_2180/tillsynsmail/A 58168-2020 tillsynsbegäran mail.docx", "A 58168-2020")</f>
        <v/>
      </c>
    </row>
    <row r="37" ht="15" customHeight="1">
      <c r="A37" t="inlineStr">
        <is>
          <t>A 62316-2020</t>
        </is>
      </c>
      <c r="B37" s="1" t="n">
        <v>44160</v>
      </c>
      <c r="C37" s="1" t="n">
        <v>45665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62316-2020 artfynd.xlsx", "A 62316-2020")</f>
        <v/>
      </c>
      <c r="T37">
        <f>HYPERLINK("https://klasma.github.io/Logging_2180/kartor/A 62316-2020 karta.png", "A 62316-2020")</f>
        <v/>
      </c>
      <c r="V37">
        <f>HYPERLINK("https://klasma.github.io/Logging_2180/klagomål/A 62316-2020 FSC-klagomål.docx", "A 62316-2020")</f>
        <v/>
      </c>
      <c r="W37">
        <f>HYPERLINK("https://klasma.github.io/Logging_2180/klagomålsmail/A 62316-2020 FSC-klagomål mail.docx", "A 62316-2020")</f>
        <v/>
      </c>
      <c r="X37">
        <f>HYPERLINK("https://klasma.github.io/Logging_2180/tillsyn/A 62316-2020 tillsynsbegäran.docx", "A 62316-2020")</f>
        <v/>
      </c>
      <c r="Y37">
        <f>HYPERLINK("https://klasma.github.io/Logging_2180/tillsynsmail/A 62316-2020 tillsynsbegäran mail.docx", "A 62316-2020")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45665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45665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45665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45665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45665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45665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45665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45665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45665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45665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45665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45665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45665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45665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45665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45665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45665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45665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45665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45665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45665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45665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45665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45665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45665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45665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45665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45665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45665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45665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45665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45665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45665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45665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45665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45665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45665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45665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45665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45665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45665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45665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45665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45665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45665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45665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45665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45665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45665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45665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45665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45665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45665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45665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45665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45665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45665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45665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45665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45665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45665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45665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45665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45665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45665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45665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45665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45665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45665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45665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45665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45665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45665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45665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45665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45665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45665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45665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45665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45665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45665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45665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45665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45665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45665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45665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45665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45665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45665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45665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45665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45665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45665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45665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45665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45665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45665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45665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45665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45665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45665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45665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45665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45665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45665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45665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45665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45665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45665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45665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45665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45665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45665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45665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45665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45665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45665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45665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45665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45665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45665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45665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45665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45665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45665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45665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45665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45665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45665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45665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45665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45665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45665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45665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45665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45665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45665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45665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45665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45665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45665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45665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45665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45665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45665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45665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45665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45665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45665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45665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45665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45665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45665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45665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45665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45665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45665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45665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45665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45665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45665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45665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45665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45665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45665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45665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45665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45665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45665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45665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45665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45665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45665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45665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45665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45665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45665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45665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45665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45665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45665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45665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45665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45665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45665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45665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45665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45665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45665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45665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45665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45665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45665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45665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45665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45665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45665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45665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45665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45665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45665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45665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45665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45665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45665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45665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45665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45665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45665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45665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45665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45665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45665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45665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45665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45665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45665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45665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45665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45665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45665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45665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45665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45665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45665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45665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45665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45665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45665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45665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45665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45665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45665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45665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45665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45665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45665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45665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45665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45665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45665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45665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45665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45665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45665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45665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45665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45665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45665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45665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45665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45665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45665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45665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45665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45665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45665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45665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45665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45665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45665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45665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45665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45665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45665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45665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45665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45665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45665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45665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45665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45665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45665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45665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45665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45665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45665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45665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45665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45665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45665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45665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45665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45665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45665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45665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45665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45665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45665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45665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45665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45665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45665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45665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45665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45665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45665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45665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45665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45665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45665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45665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45665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45665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45665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45665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45665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45665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45665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45665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45665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45665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45665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45665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45665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45665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45665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45665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45665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45665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45665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45665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45665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45665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45665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45665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45665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45665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45665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45665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45665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45665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45665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45665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45665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45665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45665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45665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45665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45665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45665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45665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45665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45665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45665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45665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45665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45665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45665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45665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45665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45665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45665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45665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45665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45665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45665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45665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45665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45665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45665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45665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45665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45665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45665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45665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45665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45665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45665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45665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45665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45665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45665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45665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45665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45665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45665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45665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45665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45665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45665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45665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45665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45665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45665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45665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45665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45665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45665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45665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45665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45665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45665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45665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45665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45665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45665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45665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45665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45665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45665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45665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45665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45665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45665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45665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45665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45665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45665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45665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45665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45665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45665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45665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45665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45665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45665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45665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45665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45665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45665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45665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45665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45665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45665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45665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45665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45665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45665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45665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45665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45665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45665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45665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45665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45665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45665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45665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45665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45665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45665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45665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45665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45665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45665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45665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45665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45665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45665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45665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45665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45665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45665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45665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45665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45665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45665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45665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45665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45665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45665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45665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45665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45665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45665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45665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45665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45665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45665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45665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45665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45665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45665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45665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45665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45665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45665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45665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45665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45665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45665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45665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45665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45665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45665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45665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45665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45665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45665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45665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45665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45665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45665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45665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45665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45665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45665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45665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45665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45665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45665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45665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45665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45665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45665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45665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45665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45665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45665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45665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45665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45665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45665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45665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45665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45665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45665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45665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45665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45665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45665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45665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45665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45665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45665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45665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45665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45665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45665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45665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45665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45665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45665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45665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45665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45665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45665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45665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45665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45665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45665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45665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45665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45665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45665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45665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45665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45665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45665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45665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45665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45665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45665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45665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45665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45665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45665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45665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45665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45665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45665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45665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45665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45665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45665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45665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45665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45665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45665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45665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45665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45665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45665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45665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45665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45665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45665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45665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45665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45665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45665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45665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45665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45665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45665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45665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45665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45665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45665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45665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45665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45665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45665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45665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45665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45665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45665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45665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45665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45665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45665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45665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45665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45665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45665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45665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45665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45665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45665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45665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45665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45665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45665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45665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45665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45665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45665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45665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45665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45665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45665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45665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45665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45665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45665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45665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45665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45665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45665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45665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45665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45665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45665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45665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45665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45665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45665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45665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45665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45665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45665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45665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45665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45665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45665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45665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45665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45665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45665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45665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45665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45665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45665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45665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45665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45665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45665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45665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45665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45665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45665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45665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45665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45665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45665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45665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45665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45665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45665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45665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45665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45665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45665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45665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45665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45665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45665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45665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45665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45665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45665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45665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45665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45665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45665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45665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45665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45665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45665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45665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45665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45665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45665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45665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45665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45665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45665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45665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45665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45665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61130-2024</t>
        </is>
      </c>
      <c r="B1202" s="1" t="n">
        <v>45645</v>
      </c>
      <c r="C1202" s="1" t="n">
        <v>45665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45665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61131-2024</t>
        </is>
      </c>
      <c r="B1204" s="1" t="n">
        <v>45645</v>
      </c>
      <c r="C1204" s="1" t="n">
        <v>45665</v>
      </c>
      <c r="D1204" t="inlineStr">
        <is>
          <t>GÄVLEBORGS LÄN</t>
        </is>
      </c>
      <c r="E1204" t="inlineStr">
        <is>
          <t>GÄVLE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45665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45665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45665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45665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45665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45665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45665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45665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45665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214-2025</t>
        </is>
      </c>
      <c r="B1214" s="1" t="n">
        <v>45660</v>
      </c>
      <c r="C1214" s="1" t="n">
        <v>45665</v>
      </c>
      <c r="D1214" t="inlineStr">
        <is>
          <t>GÄVLEBORGS LÄN</t>
        </is>
      </c>
      <c r="E1214" t="inlineStr">
        <is>
          <t>GÄVLE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232-2025</t>
        </is>
      </c>
      <c r="B1215" s="1" t="n">
        <v>45660</v>
      </c>
      <c r="C1215" s="1" t="n">
        <v>45665</v>
      </c>
      <c r="D1215" t="inlineStr">
        <is>
          <t>GÄVLEBORGS LÄN</t>
        </is>
      </c>
      <c r="E1215" t="inlineStr">
        <is>
          <t>GÄVLE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250-2025</t>
        </is>
      </c>
      <c r="B1216" s="1" t="n">
        <v>45660</v>
      </c>
      <c r="C1216" s="1" t="n">
        <v>45665</v>
      </c>
      <c r="D1216" t="inlineStr">
        <is>
          <t>GÄVLEBORGS LÄN</t>
        </is>
      </c>
      <c r="E1216" t="inlineStr">
        <is>
          <t>GÄVLE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255-2025</t>
        </is>
      </c>
      <c r="B1217" s="1" t="n">
        <v>45660</v>
      </c>
      <c r="C1217" s="1" t="n">
        <v>45665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väst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247-2025</t>
        </is>
      </c>
      <c r="B1218" s="1" t="n">
        <v>45660</v>
      </c>
      <c r="C1218" s="1" t="n">
        <v>45665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225-2025</t>
        </is>
      </c>
      <c r="B1219" s="1" t="n">
        <v>45660</v>
      </c>
      <c r="C1219" s="1" t="n">
        <v>45665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212-2025</t>
        </is>
      </c>
      <c r="B1220" s="1" t="n">
        <v>45660</v>
      </c>
      <c r="C1220" s="1" t="n">
        <v>45665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230-2025</t>
        </is>
      </c>
      <c r="B1221" s="1" t="n">
        <v>45660</v>
      </c>
      <c r="C1221" s="1" t="n">
        <v>45665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257-2025</t>
        </is>
      </c>
      <c r="B1222" s="1" t="n">
        <v>45660</v>
      </c>
      <c r="C1222" s="1" t="n">
        <v>45665</v>
      </c>
      <c r="D1222" t="inlineStr">
        <is>
          <t>GÄVLEBORGS LÄN</t>
        </is>
      </c>
      <c r="E1222" t="inlineStr">
        <is>
          <t>GÄVLE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45665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45665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447-2025</t>
        </is>
      </c>
      <c r="B1225" s="1" t="n">
        <v>45664</v>
      </c>
      <c r="C1225" s="1" t="n">
        <v>45665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2025-01-08T15:20:37Z</dcterms:created>
  <dcterms:modified xmlns:dcterms="http://purl.org/dc/terms/" xmlns:xsi="http://www.w3.org/2001/XMLSchema-instance" xsi:type="dcterms:W3CDTF">2025-01-08T15:20:39Z</dcterms:modified>
</cp:coreProperties>
</file>