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46262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46262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46262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46262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46262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46262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46262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46262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46262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46262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46262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46262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46262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46262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46262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46262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46262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46262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46262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46262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46262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46262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46262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29626-2025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46262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22.2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Brunklöver
Höstlåsbräken
Mattlummer</t>
        </is>
      </c>
      <c r="W39">
        <f>HYPERLINK("https://klasma.github.io/Logging_2180/artfynd/A 29626-2025 artfynd.xlsx", "A 29626-2025")</f>
        <v/>
      </c>
      <c r="X39">
        <f>HYPERLINK("https://klasma.github.io/Logging_2180/kartor/A 29626-2025 karta.png", "A 29626-2025")</f>
        <v/>
      </c>
      <c r="Y39">
        <f>HYPERLINK("https://klasma.github.io/Logging_2180/kartor_geotiff/A 29626-2025 georefererad karta.tif", "A 29626-2025")</f>
        <v/>
      </c>
      <c r="AA39">
        <f>HYPERLINK("https://klasma.github.io/Logging_2180/klagomål/A 29626-2025 FSC-klagomål.docx", "A 29626-2025")</f>
        <v/>
      </c>
      <c r="AB39">
        <f>HYPERLINK("https://klasma.github.io/Logging_2180/klagomålsmail/A 29626-2025 FSC-klagomål mail.docx", "A 29626-2025")</f>
        <v/>
      </c>
      <c r="AC39">
        <f>HYPERLINK("https://klasma.github.io/Logging_2180/tillsyn/A 29626-2025 tillsynsbegäran.docx", "A 29626-2025")</f>
        <v/>
      </c>
      <c r="AD39">
        <f>HYPERLINK("https://klasma.github.io/Logging_2180/tillsynsmail/A 29626-2025 tillsynsbegäran mail.docx", "A 29626-2025")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46262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15093-2026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46105</v>
      </c>
      <c r="E41" s="1" t="n">
        <v>46262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0.8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Lunglav
Bårdlav</t>
        </is>
      </c>
      <c r="W41">
        <f>HYPERLINK("https://klasma.github.io/Logging_2180/artfynd/A 15093-2026 artfynd.xlsx", "A 15093-2026")</f>
        <v/>
      </c>
      <c r="X41">
        <f>HYPERLINK("https://klasma.github.io/Logging_2180/kartor/A 15093-2026 karta.png", "A 15093-2026")</f>
        <v/>
      </c>
      <c r="Y41">
        <f>HYPERLINK("https://klasma.github.io/Logging_2180/kartor_geotiff/A 15093-2026 georefererad karta.tif", "A 15093-2026")</f>
        <v/>
      </c>
      <c r="AA41">
        <f>HYPERLINK("https://klasma.github.io/Logging_2180/klagomål/A 15093-2026 FSC-klagomål.docx", "A 15093-2026")</f>
        <v/>
      </c>
      <c r="AB41">
        <f>HYPERLINK("https://klasma.github.io/Logging_2180/klagomålsmail/A 15093-2026 FSC-klagomål mail.docx", "A 15093-2026")</f>
        <v/>
      </c>
      <c r="AC41">
        <f>HYPERLINK("https://klasma.github.io/Logging_2180/tillsyn/A 15093-2026 tillsynsbegäran.docx", "A 15093-2026")</f>
        <v/>
      </c>
      <c r="AD41">
        <f>HYPERLINK("https://klasma.github.io/Logging_2180/tillsynsmail/A 15093-2026 tillsynsbegäran mail.docx", "A 15093-2026")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46262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46262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46262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25357-2026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46262</v>
      </c>
      <c r="F45" t="inlineStr">
        <is>
          <t>GÄVLEBORGS LÄN</t>
        </is>
      </c>
      <c r="G45" t="inlineStr">
        <is>
          <t>GÄVLE</t>
        </is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Pärluggla
Storspov
Sångsvan</t>
        </is>
      </c>
      <c r="W45">
        <f>HYPERLINK("https://klasma.github.io/Logging_2180/artfynd/A 25357-2026 artfynd.xlsx", "A 25357-2026")</f>
        <v/>
      </c>
      <c r="X45">
        <f>HYPERLINK("https://klasma.github.io/Logging_2180/kartor/A 25357-2026 karta.png", "A 25357-2026")</f>
        <v/>
      </c>
      <c r="Y45">
        <f>HYPERLINK("https://klasma.github.io/Logging_2180/kartor_geotiff/A 25357-2026 georefererad karta.tif", "A 25357-2026")</f>
        <v/>
      </c>
      <c r="AA45">
        <f>HYPERLINK("https://klasma.github.io/Logging_2180/klagomål/A 25357-2026 FSC-klagomål.docx", "A 25357-2026")</f>
        <v/>
      </c>
      <c r="AB45">
        <f>HYPERLINK("https://klasma.github.io/Logging_2180/klagomålsmail/A 25357-2026 FSC-klagomål mail.docx", "A 25357-2026")</f>
        <v/>
      </c>
      <c r="AC45">
        <f>HYPERLINK("https://klasma.github.io/Logging_2180/tillsyn/A 25357-2026 tillsynsbegäran.docx", "A 25357-2026")</f>
        <v/>
      </c>
      <c r="AD45">
        <f>HYPERLINK("https://klasma.github.io/Logging_2180/tillsynsmail/A 25357-2026 tillsynsbegäran mail.docx", "A 25357-2026")</f>
        <v/>
      </c>
      <c r="AE45">
        <f>HYPERLINK("https://klasma.github.io/Logging_2180/fåglar/A 25357-2026 prioriterade fågelarter.docx", "A 25357-2026")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46262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46262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46262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46262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23447-2025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46262</v>
      </c>
      <c r="F50" t="inlineStr">
        <is>
          <t>GÄVLEBORGS LÄN</t>
        </is>
      </c>
      <c r="G50" t="inlineStr">
        <is>
          <t>GÄVLE</t>
        </is>
      </c>
      <c r="I50" t="n">
        <v>1.1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Kopparödla
Fläcknycklar</t>
        </is>
      </c>
      <c r="W50">
        <f>HYPERLINK("https://klasma.github.io/Logging_2180/artfynd/A 23447-2025 artfynd.xlsx", "A 23447-2025")</f>
        <v/>
      </c>
      <c r="X50">
        <f>HYPERLINK("https://klasma.github.io/Logging_2180/kartor/A 23447-2025 karta.png", "A 23447-2025")</f>
        <v/>
      </c>
      <c r="Y50">
        <f>HYPERLINK("https://klasma.github.io/Logging_2180/kartor_geotiff/A 23447-2025 georefererad karta.tif", "A 23447-2025")</f>
        <v/>
      </c>
      <c r="AA50">
        <f>HYPERLINK("https://klasma.github.io/Logging_2180/klagomål/A 23447-2025 FSC-klagomål.docx", "A 23447-2025")</f>
        <v/>
      </c>
      <c r="AB50">
        <f>HYPERLINK("https://klasma.github.io/Logging_2180/klagomålsmail/A 23447-2025 FSC-klagomål mail.docx", "A 23447-2025")</f>
        <v/>
      </c>
      <c r="AC50">
        <f>HYPERLINK("https://klasma.github.io/Logging_2180/tillsyn/A 23447-2025 tillsynsbegäran.docx", "A 23447-2025")</f>
        <v/>
      </c>
      <c r="AD50">
        <f>HYPERLINK("https://klasma.github.io/Logging_2180/tillsynsmail/A 23447-2025 tillsynsbegäran mail.docx", "A 23447-2025")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46262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46262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46262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46262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60202-2025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45994</v>
      </c>
      <c r="E55" s="1" t="n">
        <v>46262</v>
      </c>
      <c r="F55" t="inlineStr">
        <is>
          <t>GÄVLEBORGS LÄN</t>
        </is>
      </c>
      <c r="G55" t="inlineStr">
        <is>
          <t>GÄVLE</t>
        </is>
      </c>
      <c r="I55" t="n">
        <v>4.3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Spillkråka</t>
        </is>
      </c>
      <c r="W55">
        <f>HYPERLINK("https://klasma.github.io/Logging_2180/artfynd/A 60202-2025 artfynd.xlsx", "A 60202-2025")</f>
        <v/>
      </c>
      <c r="X55">
        <f>HYPERLINK("https://klasma.github.io/Logging_2180/kartor/A 60202-2025 karta.png", "A 60202-2025")</f>
        <v/>
      </c>
      <c r="Y55">
        <f>HYPERLINK("https://klasma.github.io/Logging_2180/kartor_geotiff/A 60202-2025 georefererad karta.tif", "A 60202-2025")</f>
        <v/>
      </c>
      <c r="AA55">
        <f>HYPERLINK("https://klasma.github.io/Logging_2180/klagomål/A 60202-2025 FSC-klagomål.docx", "A 60202-2025")</f>
        <v/>
      </c>
      <c r="AB55">
        <f>HYPERLINK("https://klasma.github.io/Logging_2180/klagomålsmail/A 60202-2025 FSC-klagomål mail.docx", "A 60202-2025")</f>
        <v/>
      </c>
      <c r="AC55">
        <f>HYPERLINK("https://klasma.github.io/Logging_2180/tillsyn/A 60202-2025 tillsynsbegäran.docx", "A 60202-2025")</f>
        <v/>
      </c>
      <c r="AD55">
        <f>HYPERLINK("https://klasma.github.io/Logging_2180/tillsynsmail/A 60202-2025 tillsynsbegäran mail.docx", "A 60202-2025")</f>
        <v/>
      </c>
      <c r="AE55">
        <f>HYPERLINK("https://klasma.github.io/Logging_2180/fåglar/A 60202-2025 prioriterade fågelarter.docx", "A 60202-2025")</f>
        <v/>
      </c>
    </row>
    <row r="56" ht="15" customHeight="1">
      <c r="A56" t="inlineStr">
        <is>
          <t>A 32328-2024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46262</v>
      </c>
      <c r="F56" t="inlineStr">
        <is>
          <t>GÄVLEBORGS LÄN</t>
        </is>
      </c>
      <c r="G56" t="inlineStr">
        <is>
          <t>GÄVLE</t>
        </is>
      </c>
      <c r="I56" t="n">
        <v>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Spillkråka
Orre</t>
        </is>
      </c>
      <c r="W56">
        <f>HYPERLINK("https://klasma.github.io/Logging_2180/artfynd/A 32328-2024 artfynd.xlsx", "A 32328-2024")</f>
        <v/>
      </c>
      <c r="X56">
        <f>HYPERLINK("https://klasma.github.io/Logging_2180/kartor/A 32328-2024 karta.png", "A 32328-2024")</f>
        <v/>
      </c>
      <c r="Y56">
        <f>HYPERLINK("https://klasma.github.io/Logging_2180/kartor_geotiff/A 32328-2024 georefererad karta.tif", "A 32328-2024")</f>
        <v/>
      </c>
      <c r="AA56">
        <f>HYPERLINK("https://klasma.github.io/Logging_2180/klagomål/A 32328-2024 FSC-klagomål.docx", "A 32328-2024")</f>
        <v/>
      </c>
      <c r="AB56">
        <f>HYPERLINK("https://klasma.github.io/Logging_2180/klagomålsmail/A 32328-2024 FSC-klagomål mail.docx", "A 32328-2024")</f>
        <v/>
      </c>
      <c r="AC56">
        <f>HYPERLINK("https://klasma.github.io/Logging_2180/tillsyn/A 32328-2024 tillsynsbegäran.docx", "A 32328-2024")</f>
        <v/>
      </c>
      <c r="AD56">
        <f>HYPERLINK("https://klasma.github.io/Logging_2180/tillsynsmail/A 32328-2024 tillsynsbegäran mail.docx", "A 32328-2024")</f>
        <v/>
      </c>
      <c r="AE56">
        <f>HYPERLINK("https://klasma.github.io/Logging_2180/fåglar/A 32328-2024 prioriterade fågelarter.docx", "A 32328-2024")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46262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14554-2026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46262</v>
      </c>
      <c r="F58" t="inlineStr">
        <is>
          <t>GÄVLEBORGS LÄN</t>
        </is>
      </c>
      <c r="G58" t="inlineStr">
        <is>
          <t>GÄVLE</t>
        </is>
      </c>
      <c r="H58" t="inlineStr">
        <is>
          <t>Övriga statliga verk och myndigheter</t>
        </is>
      </c>
      <c r="I58" t="n">
        <v>6.6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121</v>
      </c>
      <c r="U58" t="n">
        <v>0</v>
      </c>
      <c r="V58" s="2" t="inlineStr">
        <is>
          <t>Väddnätfjäril
Sotnätfjäril</t>
        </is>
      </c>
      <c r="W58">
        <f>HYPERLINK("https://klasma.github.io/Logging_2180/artfynd/A 14554-2026 artfynd.xlsx", "A 14554-2026")</f>
        <v/>
      </c>
      <c r="X58">
        <f>HYPERLINK("https://klasma.github.io/Logging_2180/kartor/A 14554-2026 karta.png", "A 14554-2026")</f>
        <v/>
      </c>
      <c r="Y58">
        <f>HYPERLINK("https://klasma.github.io/Logging_2180/kartor_geotiff/A 14554-2026 georefererad karta.tif", "A 14554-2026")</f>
        <v/>
      </c>
      <c r="AA58">
        <f>HYPERLINK("https://klasma.github.io/Logging_2180/klagomål/A 14554-2026 FSC-klagomål.docx", "A 14554-2026")</f>
        <v/>
      </c>
      <c r="AB58">
        <f>HYPERLINK("https://klasma.github.io/Logging_2180/klagomålsmail/A 14554-2026 FSC-klagomål mail.docx", "A 14554-2026")</f>
        <v/>
      </c>
      <c r="AC58">
        <f>HYPERLINK("https://klasma.github.io/Logging_2180/tillsyn/A 14554-2026 tillsynsbegäran.docx", "A 14554-2026")</f>
        <v/>
      </c>
      <c r="AD58">
        <f>HYPERLINK("https://klasma.github.io/Logging_2180/tillsynsmail/A 14554-2026 tillsynsbegäran mail.docx", "A 14554-2026")</f>
        <v/>
      </c>
    </row>
    <row r="59" ht="15" customHeight="1">
      <c r="A59" t="inlineStr">
        <is>
          <t>A 18218-2024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45420</v>
      </c>
      <c r="E59" s="1" t="n">
        <v>46262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13.1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Blåsippa
Havsörn</t>
        </is>
      </c>
      <c r="W59">
        <f>HYPERLINK("https://klasma.github.io/Logging_2180/artfynd/A 18218-2024 artfynd.xlsx", "A 18218-2024")</f>
        <v/>
      </c>
      <c r="X59">
        <f>HYPERLINK("https://klasma.github.io/Logging_2180/kartor/A 18218-2024 karta.png", "A 18218-2024")</f>
        <v/>
      </c>
      <c r="Y59">
        <f>HYPERLINK("https://klasma.github.io/Logging_2180/kartor_geotiff/A 18218-2024 georefererad karta.tif", "A 18218-2024")</f>
        <v/>
      </c>
      <c r="AA59">
        <f>HYPERLINK("https://klasma.github.io/Logging_2180/klagomål/A 18218-2024 FSC-klagomål.docx", "A 18218-2024")</f>
        <v/>
      </c>
      <c r="AB59">
        <f>HYPERLINK("https://klasma.github.io/Logging_2180/klagomålsmail/A 18218-2024 FSC-klagomål mail.docx", "A 18218-2024")</f>
        <v/>
      </c>
      <c r="AC59">
        <f>HYPERLINK("https://klasma.github.io/Logging_2180/tillsyn/A 18218-2024 tillsynsbegäran.docx", "A 18218-2024")</f>
        <v/>
      </c>
      <c r="AD59">
        <f>HYPERLINK("https://klasma.github.io/Logging_2180/tillsynsmail/A 18218-2024 tillsynsbegäran mail.docx", "A 18218-2024")</f>
        <v/>
      </c>
      <c r="AE59">
        <f>HYPERLINK("https://klasma.github.io/Logging_2180/fåglar/A 18218-2024 prioriterade fågelarter.docx", "A 18218-2024")</f>
        <v/>
      </c>
    </row>
    <row r="60" ht="15" customHeight="1">
      <c r="A60" t="inlineStr">
        <is>
          <t>A 64533-2023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46262</v>
      </c>
      <c r="F60" t="inlineStr">
        <is>
          <t>GÄVLEBORGS LÄN</t>
        </is>
      </c>
      <c r="G60" t="inlineStr">
        <is>
          <t>GÄVLE</t>
        </is>
      </c>
      <c r="I60" t="n">
        <v>1.1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Aspvedgnagare
Jättesvampmal</t>
        </is>
      </c>
      <c r="W60">
        <f>HYPERLINK("https://klasma.github.io/Logging_2180/artfynd/A 64533-2023 artfynd.xlsx", "A 64533-2023")</f>
        <v/>
      </c>
      <c r="X60">
        <f>HYPERLINK("https://klasma.github.io/Logging_2180/kartor/A 64533-2023 karta.png", "A 64533-2023")</f>
        <v/>
      </c>
      <c r="Y60">
        <f>HYPERLINK("https://klasma.github.io/Logging_2180/kartor_geotiff/A 64533-2023 georefererad karta.tif", "A 64533-2023")</f>
        <v/>
      </c>
      <c r="AA60">
        <f>HYPERLINK("https://klasma.github.io/Logging_2180/klagomål/A 64533-2023 FSC-klagomål.docx", "A 64533-2023")</f>
        <v/>
      </c>
      <c r="AB60">
        <f>HYPERLINK("https://klasma.github.io/Logging_2180/klagomålsmail/A 64533-2023 FSC-klagomål mail.docx", "A 64533-2023")</f>
        <v/>
      </c>
      <c r="AC60">
        <f>HYPERLINK("https://klasma.github.io/Logging_2180/tillsyn/A 64533-2023 tillsynsbegäran.docx", "A 64533-2023")</f>
        <v/>
      </c>
      <c r="AD60">
        <f>HYPERLINK("https://klasma.github.io/Logging_2180/tillsynsmail/A 64533-2023 tillsynsbegäran mail.docx", "A 64533-2023")</f>
        <v/>
      </c>
    </row>
    <row r="61" ht="15" customHeight="1">
      <c r="A61" t="inlineStr">
        <is>
          <t>A 13487-2026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46262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0.6</v>
      </c>
      <c r="J61" t="n">
        <v>2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Pärluggla
Sparvuggla</t>
        </is>
      </c>
      <c r="W61">
        <f>HYPERLINK("https://klasma.github.io/Logging_2180/artfynd/A 13487-2026 artfynd.xlsx", "A 13487-2026")</f>
        <v/>
      </c>
      <c r="X61">
        <f>HYPERLINK("https://klasma.github.io/Logging_2180/kartor/A 13487-2026 karta.png", "A 13487-2026")</f>
        <v/>
      </c>
      <c r="Y61">
        <f>HYPERLINK("https://klasma.github.io/Logging_2180/kartor_geotiff/A 13487-2026 georefererad karta.tif", "A 13487-2026")</f>
        <v/>
      </c>
      <c r="AA61">
        <f>HYPERLINK("https://klasma.github.io/Logging_2180/klagomål/A 13487-2026 FSC-klagomål.docx", "A 13487-2026")</f>
        <v/>
      </c>
      <c r="AB61">
        <f>HYPERLINK("https://klasma.github.io/Logging_2180/klagomålsmail/A 13487-2026 FSC-klagomål mail.docx", "A 13487-2026")</f>
        <v/>
      </c>
      <c r="AC61">
        <f>HYPERLINK("https://klasma.github.io/Logging_2180/tillsyn/A 13487-2026 tillsynsbegäran.docx", "A 13487-2026")</f>
        <v/>
      </c>
      <c r="AD61">
        <f>HYPERLINK("https://klasma.github.io/Logging_2180/tillsynsmail/A 13487-2026 tillsynsbegäran mail.docx", "A 13487-2026")</f>
        <v/>
      </c>
      <c r="AE61">
        <f>HYPERLINK("https://klasma.github.io/Logging_2180/fåglar/A 13487-2026 prioriterade fågelarter.docx", "A 13487-2026")</f>
        <v/>
      </c>
    </row>
    <row r="62" ht="15" customHeight="1">
      <c r="A62" t="inlineStr">
        <is>
          <t>A 13248-2026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46262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Kattfotslav
Fläcknycklar</t>
        </is>
      </c>
      <c r="W62">
        <f>HYPERLINK("https://klasma.github.io/Logging_2180/artfynd/A 13248-2026 artfynd.xlsx", "A 13248-2026")</f>
        <v/>
      </c>
      <c r="X62">
        <f>HYPERLINK("https://klasma.github.io/Logging_2180/kartor/A 13248-2026 karta.png", "A 13248-2026")</f>
        <v/>
      </c>
      <c r="Y62">
        <f>HYPERLINK("https://klasma.github.io/Logging_2180/kartor_geotiff/A 13248-2026 georefererad karta.tif", "A 13248-2026")</f>
        <v/>
      </c>
      <c r="AA62">
        <f>HYPERLINK("https://klasma.github.io/Logging_2180/klagomål/A 13248-2026 FSC-klagomål.docx", "A 13248-2026")</f>
        <v/>
      </c>
      <c r="AB62">
        <f>HYPERLINK("https://klasma.github.io/Logging_2180/klagomålsmail/A 13248-2026 FSC-klagomål mail.docx", "A 13248-2026")</f>
        <v/>
      </c>
      <c r="AC62">
        <f>HYPERLINK("https://klasma.github.io/Logging_2180/tillsyn/A 13248-2026 tillsynsbegäran.docx", "A 13248-2026")</f>
        <v/>
      </c>
      <c r="AD62">
        <f>HYPERLINK("https://klasma.github.io/Logging_2180/tillsynsmail/A 13248-2026 tillsynsbegäran mail.docx", "A 13248-2026")</f>
        <v/>
      </c>
    </row>
    <row r="63" ht="15" customHeight="1">
      <c r="A63" t="inlineStr">
        <is>
          <t>A 19718-2026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46262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10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Rödvingetrast
Nattskärra</t>
        </is>
      </c>
      <c r="W63">
        <f>HYPERLINK("https://klasma.github.io/Logging_2180/artfynd/A 19718-2026 artfynd.xlsx", "A 19718-2026")</f>
        <v/>
      </c>
      <c r="X63">
        <f>HYPERLINK("https://klasma.github.io/Logging_2180/kartor/A 19718-2026 karta.png", "A 19718-2026")</f>
        <v/>
      </c>
      <c r="Y63">
        <f>HYPERLINK("https://klasma.github.io/Logging_2180/kartor_geotiff/A 19718-2026 georefererad karta.tif", "A 19718-2026")</f>
        <v/>
      </c>
      <c r="AA63">
        <f>HYPERLINK("https://klasma.github.io/Logging_2180/klagomål/A 19718-2026 FSC-klagomål.docx", "A 19718-2026")</f>
        <v/>
      </c>
      <c r="AB63">
        <f>HYPERLINK("https://klasma.github.io/Logging_2180/klagomålsmail/A 19718-2026 FSC-klagomål mail.docx", "A 19718-2026")</f>
        <v/>
      </c>
      <c r="AC63">
        <f>HYPERLINK("https://klasma.github.io/Logging_2180/tillsyn/A 19718-2026 tillsynsbegäran.docx", "A 19718-2026")</f>
        <v/>
      </c>
      <c r="AD63">
        <f>HYPERLINK("https://klasma.github.io/Logging_2180/tillsynsmail/A 19718-2026 tillsynsbegäran mail.docx", "A 19718-2026")</f>
        <v/>
      </c>
      <c r="AE63">
        <f>HYPERLINK("https://klasma.github.io/Logging_2180/fåglar/A 19718-2026 prioriterade fågelarter.docx", "A 19718-2026")</f>
        <v/>
      </c>
    </row>
    <row r="64" ht="15" customHeight="1">
      <c r="A64" t="inlineStr">
        <is>
          <t>A 6473-2024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46262</v>
      </c>
      <c r="F64" t="inlineStr">
        <is>
          <t>GÄVLEBORGS LÄN</t>
        </is>
      </c>
      <c r="G64" t="inlineStr">
        <is>
          <t>GÄVLE</t>
        </is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Tibast
Nattviol</t>
        </is>
      </c>
      <c r="W64">
        <f>HYPERLINK("https://klasma.github.io/Logging_2180/artfynd/A 6473-2024 artfynd.xlsx", "A 6473-2024")</f>
        <v/>
      </c>
      <c r="X64">
        <f>HYPERLINK("https://klasma.github.io/Logging_2180/kartor/A 6473-2024 karta.png", "A 6473-2024")</f>
        <v/>
      </c>
      <c r="Y64">
        <f>HYPERLINK("https://klasma.github.io/Logging_2180/kartor_geotiff/A 6473-2024 georefererad karta.tif", "A 6473-2024")</f>
        <v/>
      </c>
      <c r="AA64">
        <f>HYPERLINK("https://klasma.github.io/Logging_2180/klagomål/A 6473-2024 FSC-klagomål.docx", "A 6473-2024")</f>
        <v/>
      </c>
      <c r="AB64">
        <f>HYPERLINK("https://klasma.github.io/Logging_2180/klagomålsmail/A 6473-2024 FSC-klagomål mail.docx", "A 6473-2024")</f>
        <v/>
      </c>
      <c r="AC64">
        <f>HYPERLINK("https://klasma.github.io/Logging_2180/tillsyn/A 6473-2024 tillsynsbegäran.docx", "A 6473-2024")</f>
        <v/>
      </c>
      <c r="AD64">
        <f>HYPERLINK("https://klasma.github.io/Logging_2180/tillsynsmail/A 6473-2024 tillsynsbegäran mail.docx", "A 6473-2024")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46262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46262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46262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Blåsippa</t>
        </is>
      </c>
      <c r="W67">
        <f>HYPERLINK("https://klasma.github.io/Logging_2180/artfynd/A 17297-2026 artfynd.xlsx", "A 17297-2026")</f>
        <v/>
      </c>
      <c r="X67">
        <f>HYPERLINK("https://klasma.github.io/Logging_2180/kartor/A 17297-2026 karta.png", "A 17297-2026")</f>
        <v/>
      </c>
      <c r="Y67">
        <f>HYPERLINK("https://klasma.github.io/Logging_2180/kartor_geotiff/A 17297-2026 georefererad karta.tif", "A 17297-2026")</f>
        <v/>
      </c>
      <c r="AA67">
        <f>HYPERLINK("https://klasma.github.io/Logging_2180/klagomål/A 17297-2026 FSC-klagomål.docx", "A 17297-2026")</f>
        <v/>
      </c>
      <c r="AB67">
        <f>HYPERLINK("https://klasma.github.io/Logging_2180/klagomålsmail/A 17297-2026 FSC-klagomål mail.docx", "A 17297-2026")</f>
        <v/>
      </c>
      <c r="AC67">
        <f>HYPERLINK("https://klasma.github.io/Logging_2180/tillsyn/A 17297-2026 tillsynsbegäran.docx", "A 17297-2026")</f>
        <v/>
      </c>
      <c r="AD67">
        <f>HYPERLINK("https://klasma.github.io/Logging_2180/tillsynsmail/A 17297-2026 tillsynsbegäran mail.docx", "A 17297-2026")</f>
        <v/>
      </c>
    </row>
    <row r="68" ht="15" customHeight="1">
      <c r="A68" t="inlineStr">
        <is>
          <t>A 22149-2026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46262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Vedtrappmossa
Rödgul trumpetsvamp</t>
        </is>
      </c>
      <c r="W68">
        <f>HYPERLINK("https://klasma.github.io/Logging_2180/artfynd/A 22149-2026 artfynd.xlsx", "A 22149-2026")</f>
        <v/>
      </c>
      <c r="X68">
        <f>HYPERLINK("https://klasma.github.io/Logging_2180/kartor/A 22149-2026 karta.png", "A 22149-2026")</f>
        <v/>
      </c>
      <c r="Y68">
        <f>HYPERLINK("https://klasma.github.io/Logging_2180/kartor_geotiff/A 22149-2026 georefererad karta.tif", "A 22149-2026")</f>
        <v/>
      </c>
      <c r="AA68">
        <f>HYPERLINK("https://klasma.github.io/Logging_2180/klagomål/A 22149-2026 FSC-klagomål.docx", "A 22149-2026")</f>
        <v/>
      </c>
      <c r="AB68">
        <f>HYPERLINK("https://klasma.github.io/Logging_2180/klagomålsmail/A 22149-2026 FSC-klagomål mail.docx", "A 22149-2026")</f>
        <v/>
      </c>
      <c r="AC68">
        <f>HYPERLINK("https://klasma.github.io/Logging_2180/tillsyn/A 22149-2026 tillsynsbegäran.docx", "A 22149-2026")</f>
        <v/>
      </c>
      <c r="AD68">
        <f>HYPERLINK("https://klasma.github.io/Logging_2180/tillsynsmail/A 22149-2026 tillsynsbegäran mail.docx", "A 22149-2026")</f>
        <v/>
      </c>
    </row>
    <row r="69" ht="15" customHeight="1">
      <c r="A69" t="inlineStr">
        <is>
          <t>A 23257-2026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46262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42.1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Havsörn</t>
        </is>
      </c>
      <c r="W69">
        <f>HYPERLINK("https://klasma.github.io/Logging_2180/artfynd/A 23257-2026 artfynd.xlsx", "A 23257-2026")</f>
        <v/>
      </c>
      <c r="X69">
        <f>HYPERLINK("https://klasma.github.io/Logging_2180/kartor/A 23257-2026 karta.png", "A 23257-2026")</f>
        <v/>
      </c>
      <c r="Y69">
        <f>HYPERLINK("https://klasma.github.io/Logging_2180/kartor_geotiff/A 23257-2026 georefererad karta.tif", "A 23257-2026")</f>
        <v/>
      </c>
      <c r="AA69">
        <f>HYPERLINK("https://klasma.github.io/Logging_2180/klagomål/A 23257-2026 FSC-klagomål.docx", "A 23257-2026")</f>
        <v/>
      </c>
      <c r="AB69">
        <f>HYPERLINK("https://klasma.github.io/Logging_2180/klagomålsmail/A 23257-2026 FSC-klagomål mail.docx", "A 23257-2026")</f>
        <v/>
      </c>
      <c r="AC69">
        <f>HYPERLINK("https://klasma.github.io/Logging_2180/tillsyn/A 23257-2026 tillsynsbegäran.docx", "A 23257-2026")</f>
        <v/>
      </c>
      <c r="AD69">
        <f>HYPERLINK("https://klasma.github.io/Logging_2180/tillsynsmail/A 23257-2026 tillsynsbegäran mail.docx", "A 23257-2026")</f>
        <v/>
      </c>
      <c r="AE69">
        <f>HYPERLINK("https://klasma.github.io/Logging_2180/fåglar/A 23257-2026 prioriterade fågelarter.docx", "A 23257-2026")</f>
        <v/>
      </c>
    </row>
    <row r="70" ht="15" customHeight="1">
      <c r="A70" t="inlineStr">
        <is>
          <t>A 24310-2026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46262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24310-2026 artfynd.xlsx", "A 24310-2026")</f>
        <v/>
      </c>
      <c r="X70">
        <f>HYPERLINK("https://klasma.github.io/Logging_2180/kartor/A 24310-2026 karta.png", "A 24310-2026")</f>
        <v/>
      </c>
      <c r="Y70">
        <f>HYPERLINK("https://klasma.github.io/Logging_2180/kartor_geotiff/A 24310-2026 georefererad karta.tif", "A 24310-2026")</f>
        <v/>
      </c>
      <c r="AA70">
        <f>HYPERLINK("https://klasma.github.io/Logging_2180/klagomål/A 24310-2026 FSC-klagomål.docx", "A 24310-2026")</f>
        <v/>
      </c>
      <c r="AB70">
        <f>HYPERLINK("https://klasma.github.io/Logging_2180/klagomålsmail/A 24310-2026 FSC-klagomål mail.docx", "A 24310-2026")</f>
        <v/>
      </c>
      <c r="AC70">
        <f>HYPERLINK("https://klasma.github.io/Logging_2180/tillsyn/A 24310-2026 tillsynsbegäran.docx", "A 24310-2026")</f>
        <v/>
      </c>
      <c r="AD70">
        <f>HYPERLINK("https://klasma.github.io/Logging_2180/tillsynsmail/A 24310-2026 tillsynsbegäran mail.docx", "A 24310-2026")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46262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24915-2026 artfynd.xlsx", "A 24915-2026")</f>
        <v/>
      </c>
      <c r="X71">
        <f>HYPERLINK("https://klasma.github.io/Logging_2180/kartor/A 24915-2026 karta.png", "A 24915-2026")</f>
        <v/>
      </c>
      <c r="Y71">
        <f>HYPERLINK("https://klasma.github.io/Logging_2180/kartor_geotiff/A 24915-2026 georefererad karta.tif", "A 24915-2026")</f>
        <v/>
      </c>
      <c r="AA71">
        <f>HYPERLINK("https://klasma.github.io/Logging_2180/klagomål/A 24915-2026 FSC-klagomål.docx", "A 24915-2026")</f>
        <v/>
      </c>
      <c r="AB71">
        <f>HYPERLINK("https://klasma.github.io/Logging_2180/klagomålsmail/A 24915-2026 FSC-klagomål mail.docx", "A 24915-2026")</f>
        <v/>
      </c>
      <c r="AC71">
        <f>HYPERLINK("https://klasma.github.io/Logging_2180/tillsyn/A 24915-2026 tillsynsbegäran.docx", "A 24915-2026")</f>
        <v/>
      </c>
      <c r="AD71">
        <f>HYPERLINK("https://klasma.github.io/Logging_2180/tillsynsmail/A 24915-2026 tillsynsbegäran mail.docx", "A 24915-2026")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46262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46262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29634-2026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46262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6.3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Brunag
Strandlummer</t>
        </is>
      </c>
      <c r="W74">
        <f>HYPERLINK("https://klasma.github.io/Logging_2180/artfynd/A 29634-2026 artfynd.xlsx", "A 29634-2026")</f>
        <v/>
      </c>
      <c r="X74">
        <f>HYPERLINK("https://klasma.github.io/Logging_2180/kartor/A 29634-2026 karta.png", "A 29634-2026")</f>
        <v/>
      </c>
      <c r="Y74">
        <f>HYPERLINK("https://klasma.github.io/Logging_2180/kartor_geotiff/A 29634-2026 georefererad karta.tif", "A 29634-2026")</f>
        <v/>
      </c>
      <c r="AA74">
        <f>HYPERLINK("https://klasma.github.io/Logging_2180/klagomål/A 29634-2026 FSC-klagomål.docx", "A 29634-2026")</f>
        <v/>
      </c>
      <c r="AB74">
        <f>HYPERLINK("https://klasma.github.io/Logging_2180/klagomålsmail/A 29634-2026 FSC-klagomål mail.docx", "A 29634-2026")</f>
        <v/>
      </c>
      <c r="AC74">
        <f>HYPERLINK("https://klasma.github.io/Logging_2180/tillsyn/A 29634-2026 tillsynsbegäran.docx", "A 29634-2026")</f>
        <v/>
      </c>
      <c r="AD74">
        <f>HYPERLINK("https://klasma.github.io/Logging_2180/tillsynsmail/A 29634-2026 tillsynsbegäran mail.docx", "A 29634-2026")</f>
        <v/>
      </c>
    </row>
    <row r="75" ht="15" customHeight="1">
      <c r="A75" t="inlineStr">
        <is>
          <t>A 35989-2024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46262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3.1</v>
      </c>
      <c r="J75" t="n">
        <v>1</v>
      </c>
      <c r="K75" t="n">
        <v>1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Jättesvampmal</t>
        </is>
      </c>
      <c r="W75">
        <f>HYPERLINK("https://klasma.github.io/Logging_2180/artfynd/A 35989-2024 artfynd.xlsx", "A 35989-2024")</f>
        <v/>
      </c>
      <c r="X75">
        <f>HYPERLINK("https://klasma.github.io/Logging_2180/kartor/A 35989-2024 karta.png", "A 35989-2024")</f>
        <v/>
      </c>
      <c r="Y75">
        <f>HYPERLINK("https://klasma.github.io/Logging_2180/kartor_geotiff/A 35989-2024 georefererad karta.tif", "A 35989-2024")</f>
        <v/>
      </c>
      <c r="Z75">
        <f>HYPERLINK("https://klasma.github.io/Logging_2180/knärot/A 35989-2024 karta knärot.png", "A 35989-2024")</f>
        <v/>
      </c>
      <c r="AA75">
        <f>HYPERLINK("https://klasma.github.io/Logging_2180/klagomål/A 35989-2024 FSC-klagomål.docx", "A 35989-2024")</f>
        <v/>
      </c>
      <c r="AB75">
        <f>HYPERLINK("https://klasma.github.io/Logging_2180/klagomålsmail/A 35989-2024 FSC-klagomål mail.docx", "A 35989-2024")</f>
        <v/>
      </c>
      <c r="AC75">
        <f>HYPERLINK("https://klasma.github.io/Logging_2180/tillsyn/A 35989-2024 tillsynsbegäran.docx", "A 35989-2024")</f>
        <v/>
      </c>
      <c r="AD75">
        <f>HYPERLINK("https://klasma.github.io/Logging_2180/tillsynsmail/A 35989-2024 tillsynsbegäran mail.docx", "A 35989-2024")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46262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46262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46262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46262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46262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46262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46262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33812-2022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46262</v>
      </c>
      <c r="F83" t="inlineStr">
        <is>
          <t>GÄVLEBORGS LÄN</t>
        </is>
      </c>
      <c r="G83" t="inlineStr">
        <is>
          <t>GÄVLE</t>
        </is>
      </c>
      <c r="I83" t="n">
        <v>2.1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Myskmadra</t>
        </is>
      </c>
      <c r="W83">
        <f>HYPERLINK("https://klasma.github.io/Logging_2180/artfynd/A 33812-2022 artfynd.xlsx", "A 33812-2022")</f>
        <v/>
      </c>
      <c r="X83">
        <f>HYPERLINK("https://klasma.github.io/Logging_2180/kartor/A 33812-2022 karta.png", "A 33812-2022")</f>
        <v/>
      </c>
      <c r="Y83">
        <f>HYPERLINK("https://klasma.github.io/Logging_2180/kartor_geotiff/A 33812-2022 georefererad karta.tif", "A 33812-2022")</f>
        <v/>
      </c>
      <c r="AA83">
        <f>HYPERLINK("https://klasma.github.io/Logging_2180/klagomål/A 33812-2022 FSC-klagomål.docx", "A 33812-2022")</f>
        <v/>
      </c>
      <c r="AB83">
        <f>HYPERLINK("https://klasma.github.io/Logging_2180/klagomålsmail/A 33812-2022 FSC-klagomål mail.docx", "A 33812-2022")</f>
        <v/>
      </c>
      <c r="AC83">
        <f>HYPERLINK("https://klasma.github.io/Logging_2180/tillsyn/A 33812-2022 tillsynsbegäran.docx", "A 33812-2022")</f>
        <v/>
      </c>
      <c r="AD83">
        <f>HYPERLINK("https://klasma.github.io/Logging_2180/tillsynsmail/A 33812-2022 tillsynsbegäran mail.docx", "A 33812-2022")</f>
        <v/>
      </c>
    </row>
    <row r="84" ht="15" customHeight="1">
      <c r="A84" t="inlineStr">
        <is>
          <t>A 32254-2023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45120</v>
      </c>
      <c r="E84" s="1" t="n">
        <v>46262</v>
      </c>
      <c r="F84" t="inlineStr">
        <is>
          <t>GÄVLEBORGS LÄN</t>
        </is>
      </c>
      <c r="G84" t="inlineStr">
        <is>
          <t>GÄVLE</t>
        </is>
      </c>
      <c r="I84" t="n">
        <v>2.5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Slåtterfibbla</t>
        </is>
      </c>
      <c r="W84">
        <f>HYPERLINK("https://klasma.github.io/Logging_2180/artfynd/A 32254-2023 artfynd.xlsx", "A 32254-2023")</f>
        <v/>
      </c>
      <c r="X84">
        <f>HYPERLINK("https://klasma.github.io/Logging_2180/kartor/A 32254-2023 karta.png", "A 32254-2023")</f>
        <v/>
      </c>
      <c r="Y84">
        <f>HYPERLINK("https://klasma.github.io/Logging_2180/kartor_geotiff/A 32254-2023 georefererad karta.tif", "A 32254-2023")</f>
        <v/>
      </c>
      <c r="AA84">
        <f>HYPERLINK("https://klasma.github.io/Logging_2180/klagomål/A 32254-2023 FSC-klagomål.docx", "A 32254-2023")</f>
        <v/>
      </c>
      <c r="AB84">
        <f>HYPERLINK("https://klasma.github.io/Logging_2180/klagomålsmail/A 32254-2023 FSC-klagomål mail.docx", "A 32254-2023")</f>
        <v/>
      </c>
      <c r="AC84">
        <f>HYPERLINK("https://klasma.github.io/Logging_2180/tillsyn/A 32254-2023 tillsynsbegäran.docx", "A 32254-2023")</f>
        <v/>
      </c>
      <c r="AD84">
        <f>HYPERLINK("https://klasma.github.io/Logging_2180/tillsynsmail/A 32254-2023 tillsynsbegäran mail.docx", "A 32254-2023")</f>
        <v/>
      </c>
    </row>
    <row r="85" ht="15" customHeight="1">
      <c r="A85" t="inlineStr">
        <is>
          <t>A 61056-2024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46262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5.3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Myggblomster</t>
        </is>
      </c>
      <c r="W85">
        <f>HYPERLINK("https://klasma.github.io/Logging_2180/artfynd/A 61056-2024 artfynd.xlsx", "A 61056-2024")</f>
        <v/>
      </c>
      <c r="X85">
        <f>HYPERLINK("https://klasma.github.io/Logging_2180/kartor/A 61056-2024 karta.png", "A 61056-2024")</f>
        <v/>
      </c>
      <c r="Y85">
        <f>HYPERLINK("https://klasma.github.io/Logging_2180/kartor_geotiff/A 61056-2024 georefererad karta.tif", "A 61056-2024")</f>
        <v/>
      </c>
      <c r="AA85">
        <f>HYPERLINK("https://klasma.github.io/Logging_2180/klagomål/A 61056-2024 FSC-klagomål.docx", "A 61056-2024")</f>
        <v/>
      </c>
      <c r="AB85">
        <f>HYPERLINK("https://klasma.github.io/Logging_2180/klagomålsmail/A 61056-2024 FSC-klagomål mail.docx", "A 61056-2024")</f>
        <v/>
      </c>
      <c r="AC85">
        <f>HYPERLINK("https://klasma.github.io/Logging_2180/tillsyn/A 61056-2024 tillsynsbegäran.docx", "A 61056-2024")</f>
        <v/>
      </c>
      <c r="AD85">
        <f>HYPERLINK("https://klasma.github.io/Logging_2180/tillsynsmail/A 61056-2024 tillsynsbegäran mail.docx", "A 61056-2024")</f>
        <v/>
      </c>
    </row>
    <row r="86" ht="15" customHeight="1">
      <c r="A86" t="inlineStr">
        <is>
          <t>A 38550-2025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46262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0.5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HYPERLINK("https://klasma.github.io/Logging_2180/artfynd/A 38550-2025 artfynd.xlsx", "A 38550-2025")</f>
        <v/>
      </c>
      <c r="X86">
        <f>HYPERLINK("https://klasma.github.io/Logging_2180/kartor/A 38550-2025 karta.png", "A 38550-2025")</f>
        <v/>
      </c>
      <c r="Y86">
        <f>HYPERLINK("https://klasma.github.io/Logging_2180/kartor_geotiff/A 38550-2025 georefererad karta.tif", "A 38550-2025")</f>
        <v/>
      </c>
      <c r="AA86">
        <f>HYPERLINK("https://klasma.github.io/Logging_2180/klagomål/A 38550-2025 FSC-klagomål.docx", "A 38550-2025")</f>
        <v/>
      </c>
      <c r="AB86">
        <f>HYPERLINK("https://klasma.github.io/Logging_2180/klagomålsmail/A 38550-2025 FSC-klagomål mail.docx", "A 38550-2025")</f>
        <v/>
      </c>
      <c r="AC86">
        <f>HYPERLINK("https://klasma.github.io/Logging_2180/tillsyn/A 38550-2025 tillsynsbegäran.docx", "A 38550-2025")</f>
        <v/>
      </c>
      <c r="AD86">
        <f>HYPERLINK("https://klasma.github.io/Logging_2180/tillsynsmail/A 38550-2025 tillsynsbegäran mail.docx", "A 38550-2025")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46262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47642-2024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46262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8.199999999999999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Orre</t>
        </is>
      </c>
      <c r="W88">
        <f>HYPERLINK("https://klasma.github.io/Logging_2180/artfynd/A 47642-2024 artfynd.xlsx", "A 47642-2024")</f>
        <v/>
      </c>
      <c r="X88">
        <f>HYPERLINK("https://klasma.github.io/Logging_2180/kartor/A 47642-2024 karta.png", "A 47642-2024")</f>
        <v/>
      </c>
      <c r="Y88">
        <f>HYPERLINK("https://klasma.github.io/Logging_2180/kartor_geotiff/A 47642-2024 georefererad karta.tif", "A 47642-2024")</f>
        <v/>
      </c>
      <c r="AA88">
        <f>HYPERLINK("https://klasma.github.io/Logging_2180/klagomål/A 47642-2024 FSC-klagomål.docx", "A 47642-2024")</f>
        <v/>
      </c>
      <c r="AB88">
        <f>HYPERLINK("https://klasma.github.io/Logging_2180/klagomålsmail/A 47642-2024 FSC-klagomål mail.docx", "A 47642-2024")</f>
        <v/>
      </c>
      <c r="AC88">
        <f>HYPERLINK("https://klasma.github.io/Logging_2180/tillsyn/A 47642-2024 tillsynsbegäran.docx", "A 47642-2024")</f>
        <v/>
      </c>
      <c r="AD88">
        <f>HYPERLINK("https://klasma.github.io/Logging_2180/tillsynsmail/A 47642-2024 tillsynsbegäran mail.docx", "A 47642-2024")</f>
        <v/>
      </c>
      <c r="AE88">
        <f>HYPERLINK("https://klasma.github.io/Logging_2180/fåglar/A 47642-2024 prioriterade fågelarter.docx", "A 47642-2024")</f>
        <v/>
      </c>
    </row>
    <row r="89" ht="15" customHeight="1">
      <c r="A89" t="inlineStr">
        <is>
          <t>A 12338-2025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46262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6.8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1</v>
      </c>
      <c r="V89" s="2" t="inlineStr">
        <is>
          <t>Skogsklocka</t>
        </is>
      </c>
      <c r="W89">
        <f>HYPERLINK("https://klasma.github.io/Logging_2180/artfynd/A 12338-2025 artfynd.xlsx", "A 12338-2025")</f>
        <v/>
      </c>
      <c r="X89">
        <f>HYPERLINK("https://klasma.github.io/Logging_2180/kartor/A 12338-2025 karta.png", "A 12338-2025")</f>
        <v/>
      </c>
      <c r="Y89">
        <f>HYPERLINK("https://klasma.github.io/Logging_2180/kartor_geotiff/A 12338-2025 georefererad karta.tif", "A 12338-2025")</f>
        <v/>
      </c>
      <c r="AA89">
        <f>HYPERLINK("https://klasma.github.io/Logging_2180/klagomål/A 12338-2025 FSC-klagomål.docx", "A 12338-2025")</f>
        <v/>
      </c>
      <c r="AB89">
        <f>HYPERLINK("https://klasma.github.io/Logging_2180/klagomålsmail/A 12338-2025 FSC-klagomål mail.docx", "A 12338-2025")</f>
        <v/>
      </c>
      <c r="AC89">
        <f>HYPERLINK("https://klasma.github.io/Logging_2180/tillsyn/A 12338-2025 tillsynsbegäran.docx", "A 12338-2025")</f>
        <v/>
      </c>
      <c r="AD89">
        <f>HYPERLINK("https://klasma.github.io/Logging_2180/tillsynsmail/A 12338-2025 tillsynsbegäran mail.docx", "A 12338-2025")</f>
        <v/>
      </c>
    </row>
    <row r="90" ht="15" customHeight="1">
      <c r="A90" t="inlineStr">
        <is>
          <t>A 54252-2025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46262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Ask</t>
        </is>
      </c>
      <c r="W90">
        <f>HYPERLINK("https://klasma.github.io/Logging_2180/artfynd/A 54252-2025 artfynd.xlsx", "A 54252-2025")</f>
        <v/>
      </c>
      <c r="X90">
        <f>HYPERLINK("https://klasma.github.io/Logging_2180/kartor/A 54252-2025 karta.png", "A 54252-2025")</f>
        <v/>
      </c>
      <c r="Y90">
        <f>HYPERLINK("https://klasma.github.io/Logging_2180/kartor_geotiff/A 54252-2025 georefererad karta.tif", "A 54252-2025")</f>
        <v/>
      </c>
      <c r="AA90">
        <f>HYPERLINK("https://klasma.github.io/Logging_2180/klagomål/A 54252-2025 FSC-klagomål.docx", "A 54252-2025")</f>
        <v/>
      </c>
      <c r="AB90">
        <f>HYPERLINK("https://klasma.github.io/Logging_2180/klagomålsmail/A 54252-2025 FSC-klagomål mail.docx", "A 54252-2025")</f>
        <v/>
      </c>
      <c r="AC90">
        <f>HYPERLINK("https://klasma.github.io/Logging_2180/tillsyn/A 54252-2025 tillsynsbegäran.docx", "A 54252-2025")</f>
        <v/>
      </c>
      <c r="AD90">
        <f>HYPERLINK("https://klasma.github.io/Logging_2180/tillsynsmail/A 54252-2025 tillsynsbegäran mail.docx", "A 54252-2025")</f>
        <v/>
      </c>
    </row>
    <row r="91" ht="15" customHeight="1">
      <c r="A91" t="inlineStr">
        <is>
          <t>A 54963-2025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45967</v>
      </c>
      <c r="E91" s="1" t="n">
        <v>46262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7.9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54963-2025 artfynd.xlsx", "A 54963-2025")</f>
        <v/>
      </c>
      <c r="X91">
        <f>HYPERLINK("https://klasma.github.io/Logging_2180/kartor/A 54963-2025 karta.png", "A 54963-2025")</f>
        <v/>
      </c>
      <c r="Y91">
        <f>HYPERLINK("https://klasma.github.io/Logging_2180/kartor_geotiff/A 54963-2025 georefererad karta.tif", "A 54963-2025")</f>
        <v/>
      </c>
      <c r="AA91">
        <f>HYPERLINK("https://klasma.github.io/Logging_2180/klagomål/A 54963-2025 FSC-klagomål.docx", "A 54963-2025")</f>
        <v/>
      </c>
      <c r="AB91">
        <f>HYPERLINK("https://klasma.github.io/Logging_2180/klagomålsmail/A 54963-2025 FSC-klagomål mail.docx", "A 54963-2025")</f>
        <v/>
      </c>
      <c r="AC91">
        <f>HYPERLINK("https://klasma.github.io/Logging_2180/tillsyn/A 54963-2025 tillsynsbegäran.docx", "A 54963-2025")</f>
        <v/>
      </c>
      <c r="AD91">
        <f>HYPERLINK("https://klasma.github.io/Logging_2180/tillsynsmail/A 54963-2025 tillsynsbegäran mail.docx", "A 54963-2025")</f>
        <v/>
      </c>
    </row>
    <row r="92" ht="15" customHeight="1">
      <c r="A92" t="inlineStr">
        <is>
          <t>A 58204-2025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45984</v>
      </c>
      <c r="E92" s="1" t="n">
        <v>46262</v>
      </c>
      <c r="F92" t="inlineStr">
        <is>
          <t>GÄVLEBORGS LÄN</t>
        </is>
      </c>
      <c r="G92" t="inlineStr">
        <is>
          <t>GÄVLE</t>
        </is>
      </c>
      <c r="I92" t="n">
        <v>4.4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HYPERLINK("https://klasma.github.io/Logging_2180/artfynd/A 58204-2025 artfynd.xlsx", "A 58204-2025")</f>
        <v/>
      </c>
      <c r="X92">
        <f>HYPERLINK("https://klasma.github.io/Logging_2180/kartor/A 58204-2025 karta.png", "A 58204-2025")</f>
        <v/>
      </c>
      <c r="Y92">
        <f>HYPERLINK("https://klasma.github.io/Logging_2180/kartor_geotiff/A 58204-2025 georefererad karta.tif", "A 58204-2025")</f>
        <v/>
      </c>
      <c r="AA92">
        <f>HYPERLINK("https://klasma.github.io/Logging_2180/klagomål/A 58204-2025 FSC-klagomål.docx", "A 58204-2025")</f>
        <v/>
      </c>
      <c r="AB92">
        <f>HYPERLINK("https://klasma.github.io/Logging_2180/klagomålsmail/A 58204-2025 FSC-klagomål mail.docx", "A 58204-2025")</f>
        <v/>
      </c>
      <c r="AC92">
        <f>HYPERLINK("https://klasma.github.io/Logging_2180/tillsyn/A 58204-2025 tillsynsbegäran.docx", "A 58204-2025")</f>
        <v/>
      </c>
      <c r="AD92">
        <f>HYPERLINK("https://klasma.github.io/Logging_2180/tillsynsmail/A 58204-2025 tillsynsbegäran mail.docx", "A 58204-2025")</f>
        <v/>
      </c>
      <c r="AE92">
        <f>HYPERLINK("https://klasma.github.io/Logging_2180/fåglar/A 58204-2025 prioriterade fågelarter.docx", "A 58204-2025")</f>
        <v/>
      </c>
    </row>
    <row r="93" ht="15" customHeight="1">
      <c r="A93" t="inlineStr">
        <is>
          <t>A 30302-2025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45827</v>
      </c>
      <c r="E93" s="1" t="n">
        <v>46262</v>
      </c>
      <c r="F93" t="inlineStr">
        <is>
          <t>GÄVLEBORGS LÄN</t>
        </is>
      </c>
      <c r="G93" t="inlineStr">
        <is>
          <t>GÄVLE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Fläcknycklar</t>
        </is>
      </c>
      <c r="W93">
        <f>HYPERLINK("https://klasma.github.io/Logging_2180/artfynd/A 30302-2025 artfynd.xlsx", "A 30302-2025")</f>
        <v/>
      </c>
      <c r="X93">
        <f>HYPERLINK("https://klasma.github.io/Logging_2180/kartor/A 30302-2025 karta.png", "A 30302-2025")</f>
        <v/>
      </c>
      <c r="Y93">
        <f>HYPERLINK("https://klasma.github.io/Logging_2180/kartor_geotiff/A 30302-2025 georefererad karta.tif", "A 30302-2025")</f>
        <v/>
      </c>
      <c r="AA93">
        <f>HYPERLINK("https://klasma.github.io/Logging_2180/klagomål/A 30302-2025 FSC-klagomål.docx", "A 30302-2025")</f>
        <v/>
      </c>
      <c r="AB93">
        <f>HYPERLINK("https://klasma.github.io/Logging_2180/klagomålsmail/A 30302-2025 FSC-klagomål mail.docx", "A 30302-2025")</f>
        <v/>
      </c>
      <c r="AC93">
        <f>HYPERLINK("https://klasma.github.io/Logging_2180/tillsyn/A 30302-2025 tillsynsbegäran.docx", "A 30302-2025")</f>
        <v/>
      </c>
      <c r="AD93">
        <f>HYPERLINK("https://klasma.github.io/Logging_2180/tillsynsmail/A 30302-2025 tillsynsbegäran mail.docx", "A 30302-2025")</f>
        <v/>
      </c>
    </row>
    <row r="94" ht="15" customHeight="1">
      <c r="A94" t="inlineStr">
        <is>
          <t>A 28875-2025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46262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43.3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Revlummer</t>
        </is>
      </c>
      <c r="W94">
        <f>HYPERLINK("https://klasma.github.io/Logging_2180/artfynd/A 28875-2025 artfynd.xlsx", "A 28875-2025")</f>
        <v/>
      </c>
      <c r="X94">
        <f>HYPERLINK("https://klasma.github.io/Logging_2180/kartor/A 28875-2025 karta.png", "A 28875-2025")</f>
        <v/>
      </c>
      <c r="Y94">
        <f>HYPERLINK("https://klasma.github.io/Logging_2180/kartor_geotiff/A 28875-2025 georefererad karta.tif", "A 28875-2025")</f>
        <v/>
      </c>
      <c r="AA94">
        <f>HYPERLINK("https://klasma.github.io/Logging_2180/klagomål/A 28875-2025 FSC-klagomål.docx", "A 28875-2025")</f>
        <v/>
      </c>
      <c r="AB94">
        <f>HYPERLINK("https://klasma.github.io/Logging_2180/klagomålsmail/A 28875-2025 FSC-klagomål mail.docx", "A 28875-2025")</f>
        <v/>
      </c>
      <c r="AC94">
        <f>HYPERLINK("https://klasma.github.io/Logging_2180/tillsyn/A 28875-2025 tillsynsbegäran.docx", "A 28875-2025")</f>
        <v/>
      </c>
      <c r="AD94">
        <f>HYPERLINK("https://klasma.github.io/Logging_2180/tillsynsmail/A 28875-2025 tillsynsbegäran mail.docx", "A 28875-2025")</f>
        <v/>
      </c>
    </row>
    <row r="95" ht="15" customHeight="1">
      <c r="A95" t="inlineStr">
        <is>
          <t>A 49393-2025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46262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49393-2025 artfynd.xlsx", "A 49393-2025")</f>
        <v/>
      </c>
      <c r="X95">
        <f>HYPERLINK("https://klasma.github.io/Logging_2180/kartor/A 49393-2025 karta.png", "A 49393-2025")</f>
        <v/>
      </c>
      <c r="Y95">
        <f>HYPERLINK("https://klasma.github.io/Logging_2180/kartor_geotiff/A 49393-2025 georefererad karta.tif", "A 49393-2025")</f>
        <v/>
      </c>
      <c r="AA95">
        <f>HYPERLINK("https://klasma.github.io/Logging_2180/klagomål/A 49393-2025 FSC-klagomål.docx", "A 49393-2025")</f>
        <v/>
      </c>
      <c r="AB95">
        <f>HYPERLINK("https://klasma.github.io/Logging_2180/klagomålsmail/A 49393-2025 FSC-klagomål mail.docx", "A 49393-2025")</f>
        <v/>
      </c>
      <c r="AC95">
        <f>HYPERLINK("https://klasma.github.io/Logging_2180/tillsyn/A 49393-2025 tillsynsbegäran.docx", "A 49393-2025")</f>
        <v/>
      </c>
      <c r="AD95">
        <f>HYPERLINK("https://klasma.github.io/Logging_2180/tillsynsmail/A 49393-2025 tillsynsbegäran mail.docx", "A 49393-2025")</f>
        <v/>
      </c>
    </row>
    <row r="96" ht="15" customHeight="1">
      <c r="A96" t="inlineStr">
        <is>
          <t>A 11411-2025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46262</v>
      </c>
      <c r="F96" t="inlineStr">
        <is>
          <t>GÄVLEBORGS LÄN</t>
        </is>
      </c>
      <c r="G96" t="inlineStr">
        <is>
          <t>GÄVLE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11411-2025 artfynd.xlsx", "A 11411-2025")</f>
        <v/>
      </c>
      <c r="X96">
        <f>HYPERLINK("https://klasma.github.io/Logging_2180/kartor/A 11411-2025 karta.png", "A 11411-2025")</f>
        <v/>
      </c>
      <c r="Y96">
        <f>HYPERLINK("https://klasma.github.io/Logging_2180/kartor_geotiff/A 11411-2025 georefererad karta.tif", "A 11411-2025")</f>
        <v/>
      </c>
      <c r="AA96">
        <f>HYPERLINK("https://klasma.github.io/Logging_2180/klagomål/A 11411-2025 FSC-klagomål.docx", "A 11411-2025")</f>
        <v/>
      </c>
      <c r="AB96">
        <f>HYPERLINK("https://klasma.github.io/Logging_2180/klagomålsmail/A 11411-2025 FSC-klagomål mail.docx", "A 11411-2025")</f>
        <v/>
      </c>
      <c r="AC96">
        <f>HYPERLINK("https://klasma.github.io/Logging_2180/tillsyn/A 11411-2025 tillsynsbegäran.docx", "A 11411-2025")</f>
        <v/>
      </c>
      <c r="AD96">
        <f>HYPERLINK("https://klasma.github.io/Logging_2180/tillsynsmail/A 11411-2025 tillsynsbegäran mail.docx", "A 11411-2025")</f>
        <v/>
      </c>
    </row>
    <row r="97" ht="15" customHeight="1">
      <c r="A97" t="inlineStr">
        <is>
          <t>A 63036-2023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46262</v>
      </c>
      <c r="F97" t="inlineStr">
        <is>
          <t>GÄVLEBORGS LÄN</t>
        </is>
      </c>
      <c r="G97" t="inlineStr">
        <is>
          <t>GÄVLE</t>
        </is>
      </c>
      <c r="I97" t="n">
        <v>12.7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Kattfotslav</t>
        </is>
      </c>
      <c r="W97">
        <f>HYPERLINK("https://klasma.github.io/Logging_2180/artfynd/A 63036-2023 artfynd.xlsx", "A 63036-2023")</f>
        <v/>
      </c>
      <c r="X97">
        <f>HYPERLINK("https://klasma.github.io/Logging_2180/kartor/A 63036-2023 karta.png", "A 63036-2023")</f>
        <v/>
      </c>
      <c r="Y97">
        <f>HYPERLINK("https://klasma.github.io/Logging_2180/kartor_geotiff/A 63036-2023 georefererad karta.tif", "A 63036-2023")</f>
        <v/>
      </c>
      <c r="AA97">
        <f>HYPERLINK("https://klasma.github.io/Logging_2180/klagomål/A 63036-2023 FSC-klagomål.docx", "A 63036-2023")</f>
        <v/>
      </c>
      <c r="AB97">
        <f>HYPERLINK("https://klasma.github.io/Logging_2180/klagomålsmail/A 63036-2023 FSC-klagomål mail.docx", "A 63036-2023")</f>
        <v/>
      </c>
      <c r="AC97">
        <f>HYPERLINK("https://klasma.github.io/Logging_2180/tillsyn/A 63036-2023 tillsynsbegäran.docx", "A 63036-2023")</f>
        <v/>
      </c>
      <c r="AD97">
        <f>HYPERLINK("https://klasma.github.io/Logging_2180/tillsynsmail/A 63036-2023 tillsynsbegäran mail.docx", "A 63036-2023")</f>
        <v/>
      </c>
    </row>
    <row r="98" ht="15" customHeight="1">
      <c r="A98" t="inlineStr">
        <is>
          <t>A 45241-2022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46262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22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HYPERLINK("https://klasma.github.io/Logging_2180/artfynd/A 45241-2022 artfynd.xlsx", "A 45241-2022")</f>
        <v/>
      </c>
      <c r="X98">
        <f>HYPERLINK("https://klasma.github.io/Logging_2180/kartor/A 45241-2022 karta.png", "A 45241-2022")</f>
        <v/>
      </c>
      <c r="Y98">
        <f>HYPERLINK("https://klasma.github.io/Logging_2180/kartor_geotiff/A 45241-2022 georefererad karta.tif", "A 45241-2022")</f>
        <v/>
      </c>
      <c r="AA98">
        <f>HYPERLINK("https://klasma.github.io/Logging_2180/klagomål/A 45241-2022 FSC-klagomål.docx", "A 45241-2022")</f>
        <v/>
      </c>
      <c r="AB98">
        <f>HYPERLINK("https://klasma.github.io/Logging_2180/klagomålsmail/A 45241-2022 FSC-klagomål mail.docx", "A 45241-2022")</f>
        <v/>
      </c>
      <c r="AC98">
        <f>HYPERLINK("https://klasma.github.io/Logging_2180/tillsyn/A 45241-2022 tillsynsbegäran.docx", "A 45241-2022")</f>
        <v/>
      </c>
      <c r="AD98">
        <f>HYPERLINK("https://klasma.github.io/Logging_2180/tillsynsmail/A 45241-2022 tillsynsbegäran mail.docx", "A 45241-2022")</f>
        <v/>
      </c>
    </row>
    <row r="99" ht="15" customHeight="1">
      <c r="A99" t="inlineStr">
        <is>
          <t>A 63288-2025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46262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5.3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Scharlakansskål</t>
        </is>
      </c>
      <c r="W99">
        <f>HYPERLINK("https://klasma.github.io/Logging_2180/artfynd/A 63288-2025 artfynd.xlsx", "A 63288-2025")</f>
        <v/>
      </c>
      <c r="X99">
        <f>HYPERLINK("https://klasma.github.io/Logging_2180/kartor/A 63288-2025 karta.png", "A 63288-2025")</f>
        <v/>
      </c>
      <c r="Y99">
        <f>HYPERLINK("https://klasma.github.io/Logging_2180/kartor_geotiff/A 63288-2025 georefererad karta.tif", "A 63288-2025")</f>
        <v/>
      </c>
      <c r="AA99">
        <f>HYPERLINK("https://klasma.github.io/Logging_2180/klagomål/A 63288-2025 FSC-klagomål.docx", "A 63288-2025")</f>
        <v/>
      </c>
      <c r="AB99">
        <f>HYPERLINK("https://klasma.github.io/Logging_2180/klagomålsmail/A 63288-2025 FSC-klagomål mail.docx", "A 63288-2025")</f>
        <v/>
      </c>
      <c r="AC99">
        <f>HYPERLINK("https://klasma.github.io/Logging_2180/tillsyn/A 63288-2025 tillsynsbegäran.docx", "A 63288-2025")</f>
        <v/>
      </c>
      <c r="AD99">
        <f>HYPERLINK("https://klasma.github.io/Logging_2180/tillsynsmail/A 63288-2025 tillsynsbegäran mail.docx", "A 63288-2025")</f>
        <v/>
      </c>
    </row>
    <row r="100" ht="15" customHeight="1">
      <c r="A100" t="inlineStr">
        <is>
          <t>A 50052-2025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45943</v>
      </c>
      <c r="E100" s="1" t="n">
        <v>46262</v>
      </c>
      <c r="F100" t="inlineStr">
        <is>
          <t>GÄVLEBORGS LÄN</t>
        </is>
      </c>
      <c r="G100" t="inlineStr">
        <is>
          <t>GÄVLE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3</v>
      </c>
      <c r="U100" t="n">
        <v>0</v>
      </c>
      <c r="V100" s="2" t="inlineStr">
        <is>
          <t>Mosippa</t>
        </is>
      </c>
      <c r="W100">
        <f>HYPERLINK("https://klasma.github.io/Logging_2180/artfynd/A 50052-2025 artfynd.xlsx", "A 50052-2025")</f>
        <v/>
      </c>
      <c r="X100">
        <f>HYPERLINK("https://klasma.github.io/Logging_2180/kartor/A 50052-2025 karta.png", "A 50052-2025")</f>
        <v/>
      </c>
      <c r="Y100">
        <f>HYPERLINK("https://klasma.github.io/Logging_2180/kartor_geotiff/A 50052-2025 georefererad karta.tif", "A 50052-2025")</f>
        <v/>
      </c>
      <c r="AA100">
        <f>HYPERLINK("https://klasma.github.io/Logging_2180/klagomål/A 50052-2025 FSC-klagomål.docx", "A 50052-2025")</f>
        <v/>
      </c>
      <c r="AB100">
        <f>HYPERLINK("https://klasma.github.io/Logging_2180/klagomålsmail/A 50052-2025 FSC-klagomål mail.docx", "A 50052-2025")</f>
        <v/>
      </c>
      <c r="AC100">
        <f>HYPERLINK("https://klasma.github.io/Logging_2180/tillsyn/A 50052-2025 tillsynsbegäran.docx", "A 50052-2025")</f>
        <v/>
      </c>
      <c r="AD100">
        <f>HYPERLINK("https://klasma.github.io/Logging_2180/tillsynsmail/A 50052-2025 tillsynsbegäran mail.docx", "A 50052-2025")</f>
        <v/>
      </c>
    </row>
    <row r="101" ht="15" customHeight="1">
      <c r="A101" t="inlineStr">
        <is>
          <t>A 13684-2026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46262</v>
      </c>
      <c r="F101" t="inlineStr">
        <is>
          <t>GÄVLEBORGS LÄN</t>
        </is>
      </c>
      <c r="G101" t="inlineStr">
        <is>
          <t>GÄVLE</t>
        </is>
      </c>
      <c r="I101" t="n">
        <v>21.3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HYPERLINK("https://klasma.github.io/Logging_2180/artfynd/A 13684-2026 artfynd.xlsx", "A 13684-2026")</f>
        <v/>
      </c>
      <c r="X101">
        <f>HYPERLINK("https://klasma.github.io/Logging_2180/kartor/A 13684-2026 karta.png", "A 13684-2026")</f>
        <v/>
      </c>
      <c r="Y101">
        <f>HYPERLINK("https://klasma.github.io/Logging_2180/kartor_geotiff/A 13684-2026 georefererad karta.tif", "A 13684-2026")</f>
        <v/>
      </c>
      <c r="AA101">
        <f>HYPERLINK("https://klasma.github.io/Logging_2180/klagomål/A 13684-2026 FSC-klagomål.docx", "A 13684-2026")</f>
        <v/>
      </c>
      <c r="AB101">
        <f>HYPERLINK("https://klasma.github.io/Logging_2180/klagomålsmail/A 13684-2026 FSC-klagomål mail.docx", "A 13684-2026")</f>
        <v/>
      </c>
      <c r="AC101">
        <f>HYPERLINK("https://klasma.github.io/Logging_2180/tillsyn/A 13684-2026 tillsynsbegäran.docx", "A 13684-2026")</f>
        <v/>
      </c>
      <c r="AD101">
        <f>HYPERLINK("https://klasma.github.io/Logging_2180/tillsynsmail/A 13684-2026 tillsynsbegäran mail.docx", "A 13684-2026")</f>
        <v/>
      </c>
    </row>
    <row r="102" ht="15" customHeight="1">
      <c r="A102" t="inlineStr">
        <is>
          <t>A 51508-2024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45604</v>
      </c>
      <c r="E102" s="1" t="n">
        <v>46262</v>
      </c>
      <c r="F102" t="inlineStr">
        <is>
          <t>GÄVLEBORGS LÄN</t>
        </is>
      </c>
      <c r="G102" t="inlineStr">
        <is>
          <t>GÄVLE</t>
        </is>
      </c>
      <c r="I102" t="n">
        <v>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Tibast</t>
        </is>
      </c>
      <c r="W102">
        <f>HYPERLINK("https://klasma.github.io/Logging_2180/artfynd/A 51508-2024 artfynd.xlsx", "A 51508-2024")</f>
        <v/>
      </c>
      <c r="X102">
        <f>HYPERLINK("https://klasma.github.io/Logging_2180/kartor/A 51508-2024 karta.png", "A 51508-2024")</f>
        <v/>
      </c>
      <c r="Y102">
        <f>HYPERLINK("https://klasma.github.io/Logging_2180/kartor_geotiff/A 51508-2024 georefererad karta.tif", "A 51508-2024")</f>
        <v/>
      </c>
      <c r="AA102">
        <f>HYPERLINK("https://klasma.github.io/Logging_2180/klagomål/A 51508-2024 FSC-klagomål.docx", "A 51508-2024")</f>
        <v/>
      </c>
      <c r="AB102">
        <f>HYPERLINK("https://klasma.github.io/Logging_2180/klagomålsmail/A 51508-2024 FSC-klagomål mail.docx", "A 51508-2024")</f>
        <v/>
      </c>
      <c r="AC102">
        <f>HYPERLINK("https://klasma.github.io/Logging_2180/tillsyn/A 51508-2024 tillsynsbegäran.docx", "A 51508-2024")</f>
        <v/>
      </c>
      <c r="AD102">
        <f>HYPERLINK("https://klasma.github.io/Logging_2180/tillsynsmail/A 51508-2024 tillsynsbegäran mail.docx", "A 51508-2024")</f>
        <v/>
      </c>
    </row>
    <row r="103" ht="15" customHeight="1">
      <c r="A103" t="inlineStr">
        <is>
          <t>A 17251-2026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46262</v>
      </c>
      <c r="F103" t="inlineStr">
        <is>
          <t>GÄVLEBORGS LÄN</t>
        </is>
      </c>
      <c r="G103" t="inlineStr">
        <is>
          <t>GÄVLE</t>
        </is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17251-2026 artfynd.xlsx", "A 17251-2026")</f>
        <v/>
      </c>
      <c r="X103">
        <f>HYPERLINK("https://klasma.github.io/Logging_2180/kartor/A 17251-2026 karta.png", "A 17251-2026")</f>
        <v/>
      </c>
      <c r="Y103">
        <f>HYPERLINK("https://klasma.github.io/Logging_2180/kartor_geotiff/A 17251-2026 georefererad karta.tif", "A 17251-2026")</f>
        <v/>
      </c>
      <c r="AA103">
        <f>HYPERLINK("https://klasma.github.io/Logging_2180/klagomål/A 17251-2026 FSC-klagomål.docx", "A 17251-2026")</f>
        <v/>
      </c>
      <c r="AB103">
        <f>HYPERLINK("https://klasma.github.io/Logging_2180/klagomålsmail/A 17251-2026 FSC-klagomål mail.docx", "A 17251-2026")</f>
        <v/>
      </c>
      <c r="AC103">
        <f>HYPERLINK("https://klasma.github.io/Logging_2180/tillsyn/A 17251-2026 tillsynsbegäran.docx", "A 17251-2026")</f>
        <v/>
      </c>
      <c r="AD103">
        <f>HYPERLINK("https://klasma.github.io/Logging_2180/tillsynsmail/A 17251-2026 tillsynsbegäran mail.docx", "A 17251-2026")</f>
        <v/>
      </c>
    </row>
    <row r="104" ht="15" customHeight="1">
      <c r="A104" t="inlineStr">
        <is>
          <t>A 12437-2024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45379</v>
      </c>
      <c r="E104" s="1" t="n">
        <v>46262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HYPERLINK("https://klasma.github.io/Logging_2180/artfynd/A 12437-2024 artfynd.xlsx", "A 12437-2024")</f>
        <v/>
      </c>
      <c r="X104">
        <f>HYPERLINK("https://klasma.github.io/Logging_2180/kartor/A 12437-2024 karta.png", "A 12437-2024")</f>
        <v/>
      </c>
      <c r="Y104">
        <f>HYPERLINK("https://klasma.github.io/Logging_2180/kartor_geotiff/A 12437-2024 georefererad karta.tif", "A 12437-2024")</f>
        <v/>
      </c>
      <c r="AA104">
        <f>HYPERLINK("https://klasma.github.io/Logging_2180/klagomål/A 12437-2024 FSC-klagomål.docx", "A 12437-2024")</f>
        <v/>
      </c>
      <c r="AB104">
        <f>HYPERLINK("https://klasma.github.io/Logging_2180/klagomålsmail/A 12437-2024 FSC-klagomål mail.docx", "A 12437-2024")</f>
        <v/>
      </c>
      <c r="AC104">
        <f>HYPERLINK("https://klasma.github.io/Logging_2180/tillsyn/A 12437-2024 tillsynsbegäran.docx", "A 12437-2024")</f>
        <v/>
      </c>
      <c r="AD104">
        <f>HYPERLINK("https://klasma.github.io/Logging_2180/tillsynsmail/A 12437-2024 tillsynsbegäran mail.docx", "A 12437-2024")</f>
        <v/>
      </c>
    </row>
    <row r="105" ht="15" customHeight="1">
      <c r="A105" t="inlineStr">
        <is>
          <t>A 19635-2026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46262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1.6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Skinnlav</t>
        </is>
      </c>
      <c r="W105">
        <f>HYPERLINK("https://klasma.github.io/Logging_2180/artfynd/A 19635-2026 artfynd.xlsx", "A 19635-2026")</f>
        <v/>
      </c>
      <c r="X105">
        <f>HYPERLINK("https://klasma.github.io/Logging_2180/kartor/A 19635-2026 karta.png", "A 19635-2026")</f>
        <v/>
      </c>
      <c r="Y105">
        <f>HYPERLINK("https://klasma.github.io/Logging_2180/kartor_geotiff/A 19635-2026 georefererad karta.tif", "A 19635-2026")</f>
        <v/>
      </c>
      <c r="AA105">
        <f>HYPERLINK("https://klasma.github.io/Logging_2180/klagomål/A 19635-2026 FSC-klagomål.docx", "A 19635-2026")</f>
        <v/>
      </c>
      <c r="AB105">
        <f>HYPERLINK("https://klasma.github.io/Logging_2180/klagomålsmail/A 19635-2026 FSC-klagomål mail.docx", "A 19635-2026")</f>
        <v/>
      </c>
      <c r="AC105">
        <f>HYPERLINK("https://klasma.github.io/Logging_2180/tillsyn/A 19635-2026 tillsynsbegäran.docx", "A 19635-2026")</f>
        <v/>
      </c>
      <c r="AD105">
        <f>HYPERLINK("https://klasma.github.io/Logging_2180/tillsynsmail/A 19635-2026 tillsynsbegäran mail.docx", "A 19635-2026")</f>
        <v/>
      </c>
    </row>
    <row r="106" ht="15" customHeight="1">
      <c r="A106" t="inlineStr">
        <is>
          <t>A 10333-2025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46262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Tjäder</t>
        </is>
      </c>
      <c r="W106">
        <f>HYPERLINK("https://klasma.github.io/Logging_2180/artfynd/A 10333-2025 artfynd.xlsx", "A 10333-2025")</f>
        <v/>
      </c>
      <c r="X106">
        <f>HYPERLINK("https://klasma.github.io/Logging_2180/kartor/A 10333-2025 karta.png", "A 10333-2025")</f>
        <v/>
      </c>
      <c r="Y106">
        <f>HYPERLINK("https://klasma.github.io/Logging_2180/kartor_geotiff/A 10333-2025 georefererad karta.tif", "A 10333-2025")</f>
        <v/>
      </c>
      <c r="AA106">
        <f>HYPERLINK("https://klasma.github.io/Logging_2180/klagomål/A 10333-2025 FSC-klagomål.docx", "A 10333-2025")</f>
        <v/>
      </c>
      <c r="AB106">
        <f>HYPERLINK("https://klasma.github.io/Logging_2180/klagomålsmail/A 10333-2025 FSC-klagomål mail.docx", "A 10333-2025")</f>
        <v/>
      </c>
      <c r="AC106">
        <f>HYPERLINK("https://klasma.github.io/Logging_2180/tillsyn/A 10333-2025 tillsynsbegäran.docx", "A 10333-2025")</f>
        <v/>
      </c>
      <c r="AD106">
        <f>HYPERLINK("https://klasma.github.io/Logging_2180/tillsynsmail/A 10333-2025 tillsynsbegäran mail.docx", "A 10333-2025")</f>
        <v/>
      </c>
      <c r="AE106">
        <f>HYPERLINK("https://klasma.github.io/Logging_2180/fåglar/A 10333-2025 prioriterade fågelarter.docx", "A 10333-2025")</f>
        <v/>
      </c>
    </row>
    <row r="107" ht="15" customHeight="1">
      <c r="A107" t="inlineStr">
        <is>
          <t>A 13396-2026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46262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HYPERLINK("https://klasma.github.io/Logging_2180/artfynd/A 13396-2026 artfynd.xlsx", "A 13396-2026")</f>
        <v/>
      </c>
      <c r="X107">
        <f>HYPERLINK("https://klasma.github.io/Logging_2180/kartor/A 13396-2026 karta.png", "A 13396-2026")</f>
        <v/>
      </c>
      <c r="Y107">
        <f>HYPERLINK("https://klasma.github.io/Logging_2180/kartor_geotiff/A 13396-2026 georefererad karta.tif", "A 13396-2026")</f>
        <v/>
      </c>
      <c r="AA107">
        <f>HYPERLINK("https://klasma.github.io/Logging_2180/klagomål/A 13396-2026 FSC-klagomål.docx", "A 13396-2026")</f>
        <v/>
      </c>
      <c r="AB107">
        <f>HYPERLINK("https://klasma.github.io/Logging_2180/klagomålsmail/A 13396-2026 FSC-klagomål mail.docx", "A 13396-2026")</f>
        <v/>
      </c>
      <c r="AC107">
        <f>HYPERLINK("https://klasma.github.io/Logging_2180/tillsyn/A 13396-2026 tillsynsbegäran.docx", "A 13396-2026")</f>
        <v/>
      </c>
      <c r="AD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46262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14730-2026 artfynd.xlsx", "A 14730-2026")</f>
        <v/>
      </c>
      <c r="X108">
        <f>HYPERLINK("https://klasma.github.io/Logging_2180/kartor/A 14730-2026 karta.png", "A 14730-2026")</f>
        <v/>
      </c>
      <c r="Y108">
        <f>HYPERLINK("https://klasma.github.io/Logging_2180/kartor_geotiff/A 14730-2026 georefererad karta.tif", "A 14730-2026")</f>
        <v/>
      </c>
      <c r="AA108">
        <f>HYPERLINK("https://klasma.github.io/Logging_2180/klagomål/A 14730-2026 FSC-klagomål.docx", "A 14730-2026")</f>
        <v/>
      </c>
      <c r="AB108">
        <f>HYPERLINK("https://klasma.github.io/Logging_2180/klagomålsmail/A 14730-2026 FSC-klagomål mail.docx", "A 14730-2026")</f>
        <v/>
      </c>
      <c r="AC108">
        <f>HYPERLINK("https://klasma.github.io/Logging_2180/tillsyn/A 14730-2026 tillsynsbegäran.docx", "A 14730-2026")</f>
        <v/>
      </c>
      <c r="AD108">
        <f>HYPERLINK("https://klasma.github.io/Logging_2180/tillsynsmail/A 14730-2026 tillsynsbegäran mail.docx", "A 14730-2026")</f>
        <v/>
      </c>
      <c r="AE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46262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Tjäder</t>
        </is>
      </c>
      <c r="W109">
        <f>HYPERLINK("https://klasma.github.io/Logging_2180/artfynd/A 14714-2026 artfynd.xlsx", "A 14714-2026")</f>
        <v/>
      </c>
      <c r="X109">
        <f>HYPERLINK("https://klasma.github.io/Logging_2180/kartor/A 14714-2026 karta.png", "A 14714-2026")</f>
        <v/>
      </c>
      <c r="Y109">
        <f>HYPERLINK("https://klasma.github.io/Logging_2180/kartor_geotiff/A 14714-2026 georefererad karta.tif", "A 14714-2026")</f>
        <v/>
      </c>
      <c r="AA109">
        <f>HYPERLINK("https://klasma.github.io/Logging_2180/klagomål/A 14714-2026 FSC-klagomål.docx", "A 14714-2026")</f>
        <v/>
      </c>
      <c r="AB109">
        <f>HYPERLINK("https://klasma.github.io/Logging_2180/klagomålsmail/A 14714-2026 FSC-klagomål mail.docx", "A 14714-2026")</f>
        <v/>
      </c>
      <c r="AC109">
        <f>HYPERLINK("https://klasma.github.io/Logging_2180/tillsyn/A 14714-2026 tillsynsbegäran.docx", "A 14714-2026")</f>
        <v/>
      </c>
      <c r="AD109">
        <f>HYPERLINK("https://klasma.github.io/Logging_2180/tillsynsmail/A 14714-2026 tillsynsbegäran mail.docx", "A 14714-2026")</f>
        <v/>
      </c>
      <c r="AE109">
        <f>HYPERLINK("https://klasma.github.io/Logging_2180/fåglar/A 14714-2026 prioriterade fågelarter.docx", "A 14714-2026")</f>
        <v/>
      </c>
    </row>
    <row r="110" ht="15" customHeight="1">
      <c r="A110" t="inlineStr">
        <is>
          <t>A 14711-2026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46262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Blanksvart spiklav</t>
        </is>
      </c>
      <c r="W110">
        <f>HYPERLINK("https://klasma.github.io/Logging_2180/artfynd/A 14711-2026 artfynd.xlsx", "A 14711-2026")</f>
        <v/>
      </c>
      <c r="X110">
        <f>HYPERLINK("https://klasma.github.io/Logging_2180/kartor/A 14711-2026 karta.png", "A 14711-2026")</f>
        <v/>
      </c>
      <c r="Y110">
        <f>HYPERLINK("https://klasma.github.io/Logging_2180/kartor_geotiff/A 14711-2026 georefererad karta.tif", "A 14711-2026")</f>
        <v/>
      </c>
      <c r="AA110">
        <f>HYPERLINK("https://klasma.github.io/Logging_2180/klagomål/A 14711-2026 FSC-klagomål.docx", "A 14711-2026")</f>
        <v/>
      </c>
      <c r="AB110">
        <f>HYPERLINK("https://klasma.github.io/Logging_2180/klagomålsmail/A 14711-2026 FSC-klagomål mail.docx", "A 14711-2026")</f>
        <v/>
      </c>
      <c r="AC110">
        <f>HYPERLINK("https://klasma.github.io/Logging_2180/tillsyn/A 14711-2026 tillsynsbegäran.docx", "A 14711-2026")</f>
        <v/>
      </c>
      <c r="AD110">
        <f>HYPERLINK("https://klasma.github.io/Logging_2180/tillsynsmail/A 14711-2026 tillsynsbegäran mail.docx", "A 14711-2026")</f>
        <v/>
      </c>
    </row>
    <row r="111" ht="15" customHeight="1">
      <c r="A111" t="inlineStr">
        <is>
          <t>A 12381-2023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44999</v>
      </c>
      <c r="E111" s="1" t="n">
        <v>46262</v>
      </c>
      <c r="F111" t="inlineStr">
        <is>
          <t>GÄVLEBORGS LÄN</t>
        </is>
      </c>
      <c r="G111" t="inlineStr">
        <is>
          <t>GÄVLE</t>
        </is>
      </c>
      <c r="I111" t="n">
        <v>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Brunlångöra</t>
        </is>
      </c>
      <c r="W111">
        <f>HYPERLINK("https://klasma.github.io/Logging_2180/artfynd/A 12381-2023 artfynd.xlsx", "A 12381-2023")</f>
        <v/>
      </c>
      <c r="X111">
        <f>HYPERLINK("https://klasma.github.io/Logging_2180/kartor/A 12381-2023 karta.png", "A 12381-2023")</f>
        <v/>
      </c>
      <c r="Y111">
        <f>HYPERLINK("https://klasma.github.io/Logging_2180/kartor_geotiff/A 12381-2023 georefererad karta.tif", "A 12381-2023")</f>
        <v/>
      </c>
      <c r="AA111">
        <f>HYPERLINK("https://klasma.github.io/Logging_2180/klagomål/A 12381-2023 FSC-klagomål.docx", "A 12381-2023")</f>
        <v/>
      </c>
      <c r="AB111">
        <f>HYPERLINK("https://klasma.github.io/Logging_2180/klagomålsmail/A 12381-2023 FSC-klagomål mail.docx", "A 12381-2023")</f>
        <v/>
      </c>
      <c r="AC111">
        <f>HYPERLINK("https://klasma.github.io/Logging_2180/tillsyn/A 12381-2023 tillsynsbegäran.docx", "A 12381-2023")</f>
        <v/>
      </c>
      <c r="AD111">
        <f>HYPERLINK("https://klasma.github.io/Logging_2180/tillsynsmail/A 12381-2023 tillsynsbegäran mail.docx", "A 12381-2023")</f>
        <v/>
      </c>
    </row>
    <row r="112" ht="15" customHeight="1">
      <c r="A112" t="inlineStr">
        <is>
          <t>A 10064-2025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46262</v>
      </c>
      <c r="F112" t="inlineStr">
        <is>
          <t>GÄVLEBORGS LÄN</t>
        </is>
      </c>
      <c r="G112" t="inlineStr">
        <is>
          <t>GÄVLE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HYPERLINK("https://klasma.github.io/Logging_2180/artfynd/A 10064-2025 artfynd.xlsx", "A 10064-2025")</f>
        <v/>
      </c>
      <c r="X112">
        <f>HYPERLINK("https://klasma.github.io/Logging_2180/kartor/A 10064-2025 karta.png", "A 10064-2025")</f>
        <v/>
      </c>
      <c r="Y112">
        <f>HYPERLINK("https://klasma.github.io/Logging_2180/kartor_geotiff/A 10064-2025 georefererad karta.tif", "A 10064-2025")</f>
        <v/>
      </c>
      <c r="AA112">
        <f>HYPERLINK("https://klasma.github.io/Logging_2180/klagomål/A 10064-2025 FSC-klagomål.docx", "A 10064-2025")</f>
        <v/>
      </c>
      <c r="AB112">
        <f>HYPERLINK("https://klasma.github.io/Logging_2180/klagomålsmail/A 10064-2025 FSC-klagomål mail.docx", "A 10064-2025")</f>
        <v/>
      </c>
      <c r="AC112">
        <f>HYPERLINK("https://klasma.github.io/Logging_2180/tillsyn/A 10064-2025 tillsynsbegäran.docx", "A 10064-2025")</f>
        <v/>
      </c>
      <c r="AD112">
        <f>HYPERLINK("https://klasma.github.io/Logging_2180/tillsynsmail/A 10064-2025 tillsynsbegäran mail.docx", "A 10064-2025")</f>
        <v/>
      </c>
    </row>
    <row r="113" ht="15" customHeight="1">
      <c r="A113" t="inlineStr">
        <is>
          <t>A 21282-2024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46262</v>
      </c>
      <c r="F113" t="inlineStr">
        <is>
          <t>GÄVLEBORGS LÄN</t>
        </is>
      </c>
      <c r="G113" t="inlineStr">
        <is>
          <t>GÄVLE</t>
        </is>
      </c>
      <c r="I113" t="n">
        <v>7.4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1</v>
      </c>
      <c r="V113" s="2" t="inlineStr">
        <is>
          <t>Skogsklocka</t>
        </is>
      </c>
      <c r="W113">
        <f>HYPERLINK("https://klasma.github.io/Logging_2180/artfynd/A 21282-2024 artfynd.xlsx", "A 21282-2024")</f>
        <v/>
      </c>
      <c r="X113">
        <f>HYPERLINK("https://klasma.github.io/Logging_2180/kartor/A 21282-2024 karta.png", "A 21282-2024")</f>
        <v/>
      </c>
      <c r="Y113">
        <f>HYPERLINK("https://klasma.github.io/Logging_2180/kartor_geotiff/A 21282-2024 georefererad karta.tif", "A 21282-2024")</f>
        <v/>
      </c>
      <c r="AA113">
        <f>HYPERLINK("https://klasma.github.io/Logging_2180/klagomål/A 21282-2024 FSC-klagomål.docx", "A 21282-2024")</f>
        <v/>
      </c>
      <c r="AB113">
        <f>HYPERLINK("https://klasma.github.io/Logging_2180/klagomålsmail/A 21282-2024 FSC-klagomål mail.docx", "A 21282-2024")</f>
        <v/>
      </c>
      <c r="AC113">
        <f>HYPERLINK("https://klasma.github.io/Logging_2180/tillsyn/A 21282-2024 tillsynsbegäran.docx", "A 21282-2024")</f>
        <v/>
      </c>
      <c r="AD113">
        <f>HYPERLINK("https://klasma.github.io/Logging_2180/tillsynsmail/A 21282-2024 tillsynsbegäran mail.docx", "A 21282-2024")</f>
        <v/>
      </c>
    </row>
    <row r="114" ht="15" customHeight="1">
      <c r="A114" t="inlineStr">
        <is>
          <t>A 57932-2024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45631</v>
      </c>
      <c r="E114" s="1" t="n">
        <v>46262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48.7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HYPERLINK("https://klasma.github.io/Logging_2180/artfynd/A 57932-2024 artfynd.xlsx", "A 57932-2024")</f>
        <v/>
      </c>
      <c r="X114">
        <f>HYPERLINK("https://klasma.github.io/Logging_2180/kartor/A 57932-2024 karta.png", "A 57932-2024")</f>
        <v/>
      </c>
      <c r="Y114">
        <f>HYPERLINK("https://klasma.github.io/Logging_2180/kartor_geotiff/A 57932-2024 georefererad karta.tif", "A 57932-2024")</f>
        <v/>
      </c>
      <c r="AA114">
        <f>HYPERLINK("https://klasma.github.io/Logging_2180/klagomål/A 57932-2024 FSC-klagomål.docx", "A 57932-2024")</f>
        <v/>
      </c>
      <c r="AB114">
        <f>HYPERLINK("https://klasma.github.io/Logging_2180/klagomålsmail/A 57932-2024 FSC-klagomål mail.docx", "A 57932-2024")</f>
        <v/>
      </c>
      <c r="AC114">
        <f>HYPERLINK("https://klasma.github.io/Logging_2180/tillsyn/A 57932-2024 tillsynsbegäran.docx", "A 57932-2024")</f>
        <v/>
      </c>
      <c r="AD114">
        <f>HYPERLINK("https://klasma.github.io/Logging_2180/tillsynsmail/A 57932-2024 tillsynsbegäran mail.docx", "A 57932-2024")</f>
        <v/>
      </c>
      <c r="AE114">
        <f>HYPERLINK("https://klasma.github.io/Logging_2180/fåglar/A 57932-2024 prioriterade fågelarter.docx", "A 57932-2024")</f>
        <v/>
      </c>
    </row>
    <row r="115" ht="15" customHeight="1">
      <c r="A115" t="inlineStr">
        <is>
          <t>A 20734-2026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46262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20734-2026 artfynd.xlsx", "A 20734-2026")</f>
        <v/>
      </c>
      <c r="X115">
        <f>HYPERLINK("https://klasma.github.io/Logging_2180/kartor/A 20734-2026 karta.png", "A 20734-2026")</f>
        <v/>
      </c>
      <c r="Y115">
        <f>HYPERLINK("https://klasma.github.io/Logging_2180/kartor_geotiff/A 20734-2026 georefererad karta.tif", "A 20734-2026")</f>
        <v/>
      </c>
      <c r="AA115">
        <f>HYPERLINK("https://klasma.github.io/Logging_2180/klagomål/A 20734-2026 FSC-klagomål.docx", "A 20734-2026")</f>
        <v/>
      </c>
      <c r="AB115">
        <f>HYPERLINK("https://klasma.github.io/Logging_2180/klagomålsmail/A 20734-2026 FSC-klagomål mail.docx", "A 20734-2026")</f>
        <v/>
      </c>
      <c r="AC115">
        <f>HYPERLINK("https://klasma.github.io/Logging_2180/tillsyn/A 20734-2026 tillsynsbegäran.docx", "A 20734-2026")</f>
        <v/>
      </c>
      <c r="AD115">
        <f>HYPERLINK("https://klasma.github.io/Logging_2180/tillsynsmail/A 20734-2026 tillsynsbegäran mail.docx", "A 20734-2026")</f>
        <v/>
      </c>
    </row>
    <row r="116" ht="15" customHeight="1">
      <c r="A116" t="inlineStr">
        <is>
          <t>A 14703-2026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46262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14703-2026 artfynd.xlsx", "A 14703-2026")</f>
        <v/>
      </c>
      <c r="X116">
        <f>HYPERLINK("https://klasma.github.io/Logging_2180/kartor/A 14703-2026 karta.png", "A 14703-2026")</f>
        <v/>
      </c>
      <c r="Y116">
        <f>HYPERLINK("https://klasma.github.io/Logging_2180/kartor_geotiff/A 14703-2026 georefererad karta.tif", "A 14703-2026")</f>
        <v/>
      </c>
      <c r="AA116">
        <f>HYPERLINK("https://klasma.github.io/Logging_2180/klagomål/A 14703-2026 FSC-klagomål.docx", "A 14703-2026")</f>
        <v/>
      </c>
      <c r="AB116">
        <f>HYPERLINK("https://klasma.github.io/Logging_2180/klagomålsmail/A 14703-2026 FSC-klagomål mail.docx", "A 14703-2026")</f>
        <v/>
      </c>
      <c r="AC116">
        <f>HYPERLINK("https://klasma.github.io/Logging_2180/tillsyn/A 14703-2026 tillsynsbegäran.docx", "A 14703-2026")</f>
        <v/>
      </c>
      <c r="AD116">
        <f>HYPERLINK("https://klasma.github.io/Logging_2180/tillsynsmail/A 14703-2026 tillsynsbegäran mail.docx", "A 14703-2026")</f>
        <v/>
      </c>
      <c r="AE116">
        <f>HYPERLINK("https://klasma.github.io/Logging_2180/fåglar/A 14703-2026 prioriterade fågelarter.docx", "A 14703-2026")</f>
        <v/>
      </c>
    </row>
    <row r="117" ht="15" customHeight="1">
      <c r="A117" t="inlineStr">
        <is>
          <t>A 13269-2026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46262</v>
      </c>
      <c r="F117" t="inlineStr">
        <is>
          <t>GÄVLEBORGS LÄN</t>
        </is>
      </c>
      <c r="G117" t="inlineStr">
        <is>
          <t>GÄVLE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Havsörn</t>
        </is>
      </c>
      <c r="W117">
        <f>HYPERLINK("https://klasma.github.io/Logging_2180/artfynd/A 13269-2026 artfynd.xlsx", "A 13269-2026")</f>
        <v/>
      </c>
      <c r="X117">
        <f>HYPERLINK("https://klasma.github.io/Logging_2180/kartor/A 13269-2026 karta.png", "A 13269-2026")</f>
        <v/>
      </c>
      <c r="Y117">
        <f>HYPERLINK("https://klasma.github.io/Logging_2180/kartor_geotiff/A 13269-2026 georefererad karta.tif", "A 13269-2026")</f>
        <v/>
      </c>
      <c r="AA117">
        <f>HYPERLINK("https://klasma.github.io/Logging_2180/klagomål/A 13269-2026 FSC-klagomål.docx", "A 13269-2026")</f>
        <v/>
      </c>
      <c r="AB117">
        <f>HYPERLINK("https://klasma.github.io/Logging_2180/klagomålsmail/A 13269-2026 FSC-klagomål mail.docx", "A 13269-2026")</f>
        <v/>
      </c>
      <c r="AC117">
        <f>HYPERLINK("https://klasma.github.io/Logging_2180/tillsyn/A 13269-2026 tillsynsbegäran.docx", "A 13269-2026")</f>
        <v/>
      </c>
      <c r="AD117">
        <f>HYPERLINK("https://klasma.github.io/Logging_2180/tillsynsmail/A 13269-2026 tillsynsbegäran mail.docx", "A 13269-2026")</f>
        <v/>
      </c>
      <c r="AE117">
        <f>HYPERLINK("https://klasma.github.io/Logging_2180/fåglar/A 13269-2026 prioriterade fågelarter.docx", "A 13269-2026")</f>
        <v/>
      </c>
    </row>
    <row r="118" ht="15" customHeight="1">
      <c r="A118" t="inlineStr">
        <is>
          <t>A 22052-2026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46262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22052-2026 artfynd.xlsx", "A 22052-2026")</f>
        <v/>
      </c>
      <c r="X118">
        <f>HYPERLINK("https://klasma.github.io/Logging_2180/kartor/A 22052-2026 karta.png", "A 22052-2026")</f>
        <v/>
      </c>
      <c r="Y118">
        <f>HYPERLINK("https://klasma.github.io/Logging_2180/kartor_geotiff/A 22052-2026 georefererad karta.tif", "A 22052-2026")</f>
        <v/>
      </c>
      <c r="AA118">
        <f>HYPERLINK("https://klasma.github.io/Logging_2180/klagomål/A 22052-2026 FSC-klagomål.docx", "A 22052-2026")</f>
        <v/>
      </c>
      <c r="AB118">
        <f>HYPERLINK("https://klasma.github.io/Logging_2180/klagomålsmail/A 22052-2026 FSC-klagomål mail.docx", "A 22052-2026")</f>
        <v/>
      </c>
      <c r="AC118">
        <f>HYPERLINK("https://klasma.github.io/Logging_2180/tillsyn/A 22052-2026 tillsynsbegäran.docx", "A 22052-2026")</f>
        <v/>
      </c>
      <c r="AD118">
        <f>HYPERLINK("https://klasma.github.io/Logging_2180/tillsynsmail/A 22052-2026 tillsynsbegäran mail.docx", "A 22052-2026")</f>
        <v/>
      </c>
    </row>
    <row r="119" ht="15" customHeight="1">
      <c r="A119" t="inlineStr">
        <is>
          <t>A 22892-2026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46262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1.6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22892-2026 artfynd.xlsx", "A 22892-2026")</f>
        <v/>
      </c>
      <c r="X119">
        <f>HYPERLINK("https://klasma.github.io/Logging_2180/kartor/A 22892-2026 karta.png", "A 22892-2026")</f>
        <v/>
      </c>
      <c r="Y119">
        <f>HYPERLINK("https://klasma.github.io/Logging_2180/kartor_geotiff/A 22892-2026 georefererad karta.tif", "A 22892-2026")</f>
        <v/>
      </c>
      <c r="AA119">
        <f>HYPERLINK("https://klasma.github.io/Logging_2180/klagomål/A 22892-2026 FSC-klagomål.docx", "A 22892-2026")</f>
        <v/>
      </c>
      <c r="AB119">
        <f>HYPERLINK("https://klasma.github.io/Logging_2180/klagomålsmail/A 22892-2026 FSC-klagomål mail.docx", "A 22892-2026")</f>
        <v/>
      </c>
      <c r="AC119">
        <f>HYPERLINK("https://klasma.github.io/Logging_2180/tillsyn/A 22892-2026 tillsynsbegäran.docx", "A 22892-2026")</f>
        <v/>
      </c>
      <c r="AD119">
        <f>HYPERLINK("https://klasma.github.io/Logging_2180/tillsynsmail/A 22892-2026 tillsynsbegäran mail.docx", "A 22892-2026")</f>
        <v/>
      </c>
      <c r="AE119">
        <f>HYPERLINK("https://klasma.github.io/Logging_2180/fåglar/A 22892-2026 prioriterade fågelarter.docx", "A 22892-2026")</f>
        <v/>
      </c>
    </row>
    <row r="120" ht="15" customHeight="1">
      <c r="A120" t="inlineStr">
        <is>
          <t>A 23003-2026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46160</v>
      </c>
      <c r="E120" s="1" t="n">
        <v>46262</v>
      </c>
      <c r="F120" t="inlineStr">
        <is>
          <t>GÄVLEBORGS LÄN</t>
        </is>
      </c>
      <c r="G120" t="inlineStr">
        <is>
          <t>GÄVLE</t>
        </is>
      </c>
      <c r="I120" t="n">
        <v>12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Tjäder</t>
        </is>
      </c>
      <c r="W120">
        <f>HYPERLINK("https://klasma.github.io/Logging_2180/artfynd/A 23003-2026 artfynd.xlsx", "A 23003-2026")</f>
        <v/>
      </c>
      <c r="X120">
        <f>HYPERLINK("https://klasma.github.io/Logging_2180/kartor/A 23003-2026 karta.png", "A 23003-2026")</f>
        <v/>
      </c>
      <c r="Y120">
        <f>HYPERLINK("https://klasma.github.io/Logging_2180/kartor_geotiff/A 23003-2026 georefererad karta.tif", "A 23003-2026")</f>
        <v/>
      </c>
      <c r="AA120">
        <f>HYPERLINK("https://klasma.github.io/Logging_2180/klagomål/A 23003-2026 FSC-klagomål.docx", "A 23003-2026")</f>
        <v/>
      </c>
      <c r="AB120">
        <f>HYPERLINK("https://klasma.github.io/Logging_2180/klagomålsmail/A 23003-2026 FSC-klagomål mail.docx", "A 23003-2026")</f>
        <v/>
      </c>
      <c r="AC120">
        <f>HYPERLINK("https://klasma.github.io/Logging_2180/tillsyn/A 23003-2026 tillsynsbegäran.docx", "A 23003-2026")</f>
        <v/>
      </c>
      <c r="AD120">
        <f>HYPERLINK("https://klasma.github.io/Logging_2180/tillsynsmail/A 23003-2026 tillsynsbegäran mail.docx", "A 23003-2026")</f>
        <v/>
      </c>
      <c r="AE120">
        <f>HYPERLINK("https://klasma.github.io/Logging_2180/fåglar/A 23003-2026 prioriterade fågelarter.docx", "A 23003-2026")</f>
        <v/>
      </c>
    </row>
    <row r="121" ht="15" customHeight="1">
      <c r="A121" t="inlineStr">
        <is>
          <t>A 11407-2025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46262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1.5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Myskmadra</t>
        </is>
      </c>
      <c r="W121">
        <f>HYPERLINK("https://klasma.github.io/Logging_2180/artfynd/A 11407-2025 artfynd.xlsx", "A 11407-2025")</f>
        <v/>
      </c>
      <c r="X121">
        <f>HYPERLINK("https://klasma.github.io/Logging_2180/kartor/A 11407-2025 karta.png", "A 11407-2025")</f>
        <v/>
      </c>
      <c r="Y121">
        <f>HYPERLINK("https://klasma.github.io/Logging_2180/kartor_geotiff/A 11407-2025 georefererad karta.tif", "A 11407-2025")</f>
        <v/>
      </c>
      <c r="AA121">
        <f>HYPERLINK("https://klasma.github.io/Logging_2180/klagomål/A 11407-2025 FSC-klagomål.docx", "A 11407-2025")</f>
        <v/>
      </c>
      <c r="AB121">
        <f>HYPERLINK("https://klasma.github.io/Logging_2180/klagomålsmail/A 11407-2025 FSC-klagomål mail.docx", "A 11407-2025")</f>
        <v/>
      </c>
      <c r="AC121">
        <f>HYPERLINK("https://klasma.github.io/Logging_2180/tillsyn/A 11407-2025 tillsynsbegäran.docx", "A 11407-2025")</f>
        <v/>
      </c>
      <c r="AD121">
        <f>HYPERLINK("https://klasma.github.io/Logging_2180/tillsynsmail/A 11407-2025 tillsynsbegäran mail.docx", "A 11407-2025")</f>
        <v/>
      </c>
    </row>
    <row r="122" ht="15" customHeight="1">
      <c r="A122" t="inlineStr">
        <is>
          <t>A 27063-2026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46262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27063-2026 artfynd.xlsx", "A 27063-2026")</f>
        <v/>
      </c>
      <c r="X122">
        <f>HYPERLINK("https://klasma.github.io/Logging_2180/kartor/A 27063-2026 karta.png", "A 27063-2026")</f>
        <v/>
      </c>
      <c r="Y122">
        <f>HYPERLINK("https://klasma.github.io/Logging_2180/kartor_geotiff/A 27063-2026 georefererad karta.tif", "A 27063-2026")</f>
        <v/>
      </c>
      <c r="AA122">
        <f>HYPERLINK("https://klasma.github.io/Logging_2180/klagomål/A 27063-2026 FSC-klagomål.docx", "A 27063-2026")</f>
        <v/>
      </c>
      <c r="AB122">
        <f>HYPERLINK("https://klasma.github.io/Logging_2180/klagomålsmail/A 27063-2026 FSC-klagomål mail.docx", "A 27063-2026")</f>
        <v/>
      </c>
      <c r="AC122">
        <f>HYPERLINK("https://klasma.github.io/Logging_2180/tillsyn/A 27063-2026 tillsynsbegäran.docx", "A 27063-2026")</f>
        <v/>
      </c>
      <c r="AD122">
        <f>HYPERLINK("https://klasma.github.io/Logging_2180/tillsynsmail/A 27063-2026 tillsynsbegäran mail.docx", "A 27063-2026")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46262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27058-2026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46262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Gullpudra</t>
        </is>
      </c>
      <c r="W124">
        <f>HYPERLINK("https://klasma.github.io/Logging_2180/artfynd/A 27058-2026 artfynd.xlsx", "A 27058-2026")</f>
        <v/>
      </c>
      <c r="X124">
        <f>HYPERLINK("https://klasma.github.io/Logging_2180/kartor/A 27058-2026 karta.png", "A 27058-2026")</f>
        <v/>
      </c>
      <c r="Y124">
        <f>HYPERLINK("https://klasma.github.io/Logging_2180/kartor_geotiff/A 27058-2026 georefererad karta.tif", "A 27058-2026")</f>
        <v/>
      </c>
      <c r="AA124">
        <f>HYPERLINK("https://klasma.github.io/Logging_2180/klagomål/A 27058-2026 FSC-klagomål.docx", "A 27058-2026")</f>
        <v/>
      </c>
      <c r="AB124">
        <f>HYPERLINK("https://klasma.github.io/Logging_2180/klagomålsmail/A 27058-2026 FSC-klagomål mail.docx", "A 27058-2026")</f>
        <v/>
      </c>
      <c r="AC124">
        <f>HYPERLINK("https://klasma.github.io/Logging_2180/tillsyn/A 27058-2026 tillsynsbegäran.docx", "A 27058-2026")</f>
        <v/>
      </c>
      <c r="AD124">
        <f>HYPERLINK("https://klasma.github.io/Logging_2180/tillsynsmail/A 27058-2026 tillsynsbegäran mail.docx", "A 27058-2026")</f>
        <v/>
      </c>
    </row>
    <row r="125" ht="15" customHeight="1">
      <c r="A125" t="inlineStr">
        <is>
          <t>A 27043-2026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46262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27043-2026 artfynd.xlsx", "A 27043-2026")</f>
        <v/>
      </c>
      <c r="X125">
        <f>HYPERLINK("https://klasma.github.io/Logging_2180/kartor/A 27043-2026 karta.png", "A 27043-2026")</f>
        <v/>
      </c>
      <c r="Y125">
        <f>HYPERLINK("https://klasma.github.io/Logging_2180/kartor_geotiff/A 27043-2026 georefererad karta.tif", "A 27043-2026")</f>
        <v/>
      </c>
      <c r="AA125">
        <f>HYPERLINK("https://klasma.github.io/Logging_2180/klagomål/A 27043-2026 FSC-klagomål.docx", "A 27043-2026")</f>
        <v/>
      </c>
      <c r="AB125">
        <f>HYPERLINK("https://klasma.github.io/Logging_2180/klagomålsmail/A 27043-2026 FSC-klagomål mail.docx", "A 27043-2026")</f>
        <v/>
      </c>
      <c r="AC125">
        <f>HYPERLINK("https://klasma.github.io/Logging_2180/tillsyn/A 27043-2026 tillsynsbegäran.docx", "A 27043-2026")</f>
        <v/>
      </c>
      <c r="AD125">
        <f>HYPERLINK("https://klasma.github.io/Logging_2180/tillsynsmail/A 27043-2026 tillsynsbegäran mail.docx", "A 27043-2026")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46262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Dofttaggsvamp</t>
        </is>
      </c>
      <c r="W126">
        <f>HYPERLINK("https://klasma.github.io/Logging_2180/artfynd/A 18216-2024 artfynd.xlsx", "A 18216-2024")</f>
        <v/>
      </c>
      <c r="X126">
        <f>HYPERLINK("https://klasma.github.io/Logging_2180/kartor/A 18216-2024 karta.png", "A 18216-2024")</f>
        <v/>
      </c>
      <c r="Y126">
        <f>HYPERLINK("https://klasma.github.io/Logging_2180/kartor_geotiff/A 18216-2024 georefererad karta.tif", "A 18216-2024")</f>
        <v/>
      </c>
      <c r="AA126">
        <f>HYPERLINK("https://klasma.github.io/Logging_2180/klagomål/A 18216-2024 FSC-klagomål.docx", "A 18216-2024")</f>
        <v/>
      </c>
      <c r="AB126">
        <f>HYPERLINK("https://klasma.github.io/Logging_2180/klagomålsmail/A 18216-2024 FSC-klagomål mail.docx", "A 18216-2024")</f>
        <v/>
      </c>
      <c r="AC126">
        <f>HYPERLINK("https://klasma.github.io/Logging_2180/tillsyn/A 18216-2024 tillsynsbegäran.docx", "A 18216-2024")</f>
        <v/>
      </c>
      <c r="AD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28546-2026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46262</v>
      </c>
      <c r="F127" t="inlineStr">
        <is>
          <t>GÄVLEBORGS LÄN</t>
        </is>
      </c>
      <c r="G127" t="inlineStr">
        <is>
          <t>GÄVLE</t>
        </is>
      </c>
      <c r="H127" t="inlineStr">
        <is>
          <t>BillerudKorsnäs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Fiskgjuse</t>
        </is>
      </c>
      <c r="W127">
        <f>HYPERLINK("https://klasma.github.io/Logging_2180/artfynd/A 28546-2026 artfynd.xlsx", "A 28546-2026")</f>
        <v/>
      </c>
      <c r="X127">
        <f>HYPERLINK("https://klasma.github.io/Logging_2180/kartor/A 28546-2026 karta.png", "A 28546-2026")</f>
        <v/>
      </c>
      <c r="Y127">
        <f>HYPERLINK("https://klasma.github.io/Logging_2180/kartor_geotiff/A 28546-2026 georefererad karta.tif", "A 28546-2026")</f>
        <v/>
      </c>
      <c r="AA127">
        <f>HYPERLINK("https://klasma.github.io/Logging_2180/klagomål/A 28546-2026 FSC-klagomål.docx", "A 28546-2026")</f>
        <v/>
      </c>
      <c r="AB127">
        <f>HYPERLINK("https://klasma.github.io/Logging_2180/klagomålsmail/A 28546-2026 FSC-klagomål mail.docx", "A 28546-2026")</f>
        <v/>
      </c>
      <c r="AC127">
        <f>HYPERLINK("https://klasma.github.io/Logging_2180/tillsyn/A 28546-2026 tillsynsbegäran.docx", "A 28546-2026")</f>
        <v/>
      </c>
      <c r="AD127">
        <f>HYPERLINK("https://klasma.github.io/Logging_2180/tillsynsmail/A 28546-2026 tillsynsbegäran mail.docx", "A 28546-2026")</f>
        <v/>
      </c>
      <c r="AE127">
        <f>HYPERLINK("https://klasma.github.io/Logging_2180/fåglar/A 28546-2026 prioriterade fågelarter.docx", "A 28546-2026")</f>
        <v/>
      </c>
    </row>
    <row r="128" ht="15" customHeight="1">
      <c r="A128" t="inlineStr">
        <is>
          <t>A 37927-2022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44811</v>
      </c>
      <c r="E128" s="1" t="n">
        <v>46262</v>
      </c>
      <c r="F128" t="inlineStr">
        <is>
          <t>GÄVLEBORGS LÄN</t>
        </is>
      </c>
      <c r="G128" t="inlineStr">
        <is>
          <t>GÄVLE</t>
        </is>
      </c>
      <c r="I128" t="n">
        <v>1.6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10</v>
      </c>
      <c r="U128" t="n">
        <v>10</v>
      </c>
      <c r="V128" s="2" t="inlineStr">
        <is>
          <t>Knärot</t>
        </is>
      </c>
      <c r="W128">
        <f>HYPERLINK("https://klasma.github.io/Logging_2180/artfynd/A 37927-2022 artfynd.xlsx", "A 37927-2022")</f>
        <v/>
      </c>
      <c r="X128">
        <f>HYPERLINK("https://klasma.github.io/Logging_2180/kartor/A 37927-2022 karta.png", "A 37927-2022")</f>
        <v/>
      </c>
      <c r="Y128">
        <f>HYPERLINK("https://klasma.github.io/Logging_2180/kartor_geotiff/A 37927-2022 georefererad karta.tif", "A 37927-2022")</f>
        <v/>
      </c>
      <c r="Z128">
        <f>HYPERLINK("https://klasma.github.io/Logging_2180/knärot/A 37927-2022 karta knärot.png", "A 37927-2022")</f>
        <v/>
      </c>
      <c r="AA128">
        <f>HYPERLINK("https://klasma.github.io/Logging_2180/klagomål/A 37927-2022 FSC-klagomål.docx", "A 37927-2022")</f>
        <v/>
      </c>
      <c r="AB128">
        <f>HYPERLINK("https://klasma.github.io/Logging_2180/klagomålsmail/A 37927-2022 FSC-klagomål mail.docx", "A 37927-2022")</f>
        <v/>
      </c>
      <c r="AC128">
        <f>HYPERLINK("https://klasma.github.io/Logging_2180/tillsyn/A 37927-2022 tillsynsbegäran.docx", "A 37927-2022")</f>
        <v/>
      </c>
      <c r="AD128">
        <f>HYPERLINK("https://klasma.github.io/Logging_2180/tillsynsmail/A 37927-2022 tillsynsbegäran mail.docx", "A 37927-2022")</f>
        <v/>
      </c>
    </row>
    <row r="129" ht="15" customHeight="1">
      <c r="A129" t="inlineStr">
        <is>
          <t>A 33832-2026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46262</v>
      </c>
      <c r="F129" t="inlineStr">
        <is>
          <t>GÄVLEBORGS LÄN</t>
        </is>
      </c>
      <c r="G129" t="inlineStr">
        <is>
          <t>GÄVLE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HYPERLINK("https://klasma.github.io/Logging_2180/artfynd/A 33832-2026 artfynd.xlsx", "A 33832-2026")</f>
        <v/>
      </c>
      <c r="X129">
        <f>HYPERLINK("https://klasma.github.io/Logging_2180/kartor/A 33832-2026 karta.png", "A 33832-2026")</f>
        <v/>
      </c>
      <c r="Y129">
        <f>HYPERLINK("https://klasma.github.io/Logging_2180/kartor_geotiff/A 33832-2026 georefererad karta.tif", "A 33832-2026")</f>
        <v/>
      </c>
      <c r="AA129">
        <f>HYPERLINK("https://klasma.github.io/Logging_2180/klagomål/A 33832-2026 FSC-klagomål.docx", "A 33832-2026")</f>
        <v/>
      </c>
      <c r="AB129">
        <f>HYPERLINK("https://klasma.github.io/Logging_2180/klagomålsmail/A 33832-2026 FSC-klagomål mail.docx", "A 33832-2026")</f>
        <v/>
      </c>
      <c r="AC129">
        <f>HYPERLINK("https://klasma.github.io/Logging_2180/tillsyn/A 33832-2026 tillsynsbegäran.docx", "A 33832-2026")</f>
        <v/>
      </c>
      <c r="AD129">
        <f>HYPERLINK("https://klasma.github.io/Logging_2180/tillsynsmail/A 33832-2026 tillsynsbegäran mail.docx", "A 33832-2026")</f>
        <v/>
      </c>
    </row>
    <row r="130" ht="15" customHeight="1">
      <c r="A130" t="inlineStr">
        <is>
          <t>A 12083-2025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46262</v>
      </c>
      <c r="F130" t="inlineStr">
        <is>
          <t>GÄVLEBORGS LÄN</t>
        </is>
      </c>
      <c r="G130" t="inlineStr">
        <is>
          <t>GÄVLE</t>
        </is>
      </c>
      <c r="I130" t="n">
        <v>6.3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Grönsiska</t>
        </is>
      </c>
      <c r="W130">
        <f>HYPERLINK("https://klasma.github.io/Logging_2180/artfynd/A 12083-2025 artfynd.xlsx", "A 12083-2025")</f>
        <v/>
      </c>
      <c r="X130">
        <f>HYPERLINK("https://klasma.github.io/Logging_2180/kartor/A 12083-2025 karta.png", "A 12083-2025")</f>
        <v/>
      </c>
      <c r="Y130">
        <f>HYPERLINK("https://klasma.github.io/Logging_2180/kartor_geotiff/A 12083-2025 georefererad karta.tif", "A 12083-2025")</f>
        <v/>
      </c>
      <c r="AA130">
        <f>HYPERLINK("https://klasma.github.io/Logging_2180/klagomål/A 12083-2025 FSC-klagomål.docx", "A 12083-2025")</f>
        <v/>
      </c>
      <c r="AB130">
        <f>HYPERLINK("https://klasma.github.io/Logging_2180/klagomålsmail/A 12083-2025 FSC-klagomål mail.docx", "A 12083-2025")</f>
        <v/>
      </c>
      <c r="AC130">
        <f>HYPERLINK("https://klasma.github.io/Logging_2180/tillsyn/A 12083-2025 tillsynsbegäran.docx", "A 12083-2025")</f>
        <v/>
      </c>
      <c r="AD130">
        <f>HYPERLINK("https://klasma.github.io/Logging_2180/tillsynsmail/A 12083-2025 tillsynsbegäran mail.docx", "A 12083-2025")</f>
        <v/>
      </c>
    </row>
    <row r="131" ht="15" customHeight="1">
      <c r="A131" t="inlineStr">
        <is>
          <t>A 34086-2026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46252</v>
      </c>
      <c r="E131" s="1" t="n">
        <v>46262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6.1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Gullgröppa</t>
        </is>
      </c>
      <c r="W131">
        <f>HYPERLINK("https://klasma.github.io/Logging_2180/artfynd/A 34086-2026 artfynd.xlsx", "A 34086-2026")</f>
        <v/>
      </c>
      <c r="X131">
        <f>HYPERLINK("https://klasma.github.io/Logging_2180/kartor/A 34086-2026 karta.png", "A 34086-2026")</f>
        <v/>
      </c>
      <c r="Y131">
        <f>HYPERLINK("https://klasma.github.io/Logging_2180/kartor_geotiff/A 34086-2026 georefererad karta.tif", "A 34086-2026")</f>
        <v/>
      </c>
      <c r="AA131">
        <f>HYPERLINK("https://klasma.github.io/Logging_2180/klagomål/A 34086-2026 FSC-klagomål.docx", "A 34086-2026")</f>
        <v/>
      </c>
      <c r="AB131">
        <f>HYPERLINK("https://klasma.github.io/Logging_2180/klagomålsmail/A 34086-2026 FSC-klagomål mail.docx", "A 34086-2026")</f>
        <v/>
      </c>
      <c r="AC131">
        <f>HYPERLINK("https://klasma.github.io/Logging_2180/tillsyn/A 34086-2026 tillsynsbegäran.docx", "A 34086-2026")</f>
        <v/>
      </c>
      <c r="AD131">
        <f>HYPERLINK("https://klasma.github.io/Logging_2180/tillsynsmail/A 34086-2026 tillsynsbegäran mail.docx", "A 34086-2026")</f>
        <v/>
      </c>
    </row>
    <row r="132" ht="15" customHeight="1">
      <c r="A132" t="inlineStr">
        <is>
          <t>A 13227-2024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46262</v>
      </c>
      <c r="F132" t="inlineStr">
        <is>
          <t>GÄVLEBORGS LÄN</t>
        </is>
      </c>
      <c r="G132" t="inlineStr">
        <is>
          <t>GÄVLE</t>
        </is>
      </c>
      <c r="H132" t="inlineStr">
        <is>
          <t>Övriga statliga verk och myndigheter</t>
        </is>
      </c>
      <c r="I132" t="n">
        <v>5.9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Större vattensalamander</t>
        </is>
      </c>
      <c r="W132">
        <f>HYPERLINK("https://klasma.github.io/Logging_2180/artfynd/A 13227-2024 artfynd.xlsx", "A 13227-2024")</f>
        <v/>
      </c>
      <c r="X132">
        <f>HYPERLINK("https://klasma.github.io/Logging_2180/kartor/A 13227-2024 karta.png", "A 13227-2024")</f>
        <v/>
      </c>
      <c r="Y132">
        <f>HYPERLINK("https://klasma.github.io/Logging_2180/kartor_geotiff/A 13227-2024 georefererad karta.tif", "A 13227-2024")</f>
        <v/>
      </c>
      <c r="AA132">
        <f>HYPERLINK("https://klasma.github.io/Logging_2180/klagomål/A 13227-2024 FSC-klagomål.docx", "A 13227-2024")</f>
        <v/>
      </c>
      <c r="AB132">
        <f>HYPERLINK("https://klasma.github.io/Logging_2180/klagomålsmail/A 13227-2024 FSC-klagomål mail.docx", "A 13227-2024")</f>
        <v/>
      </c>
      <c r="AC132">
        <f>HYPERLINK("https://klasma.github.io/Logging_2180/tillsyn/A 13227-2024 tillsynsbegäran.docx", "A 13227-2024")</f>
        <v/>
      </c>
      <c r="AD132">
        <f>HYPERLINK("https://klasma.github.io/Logging_2180/tillsynsmail/A 13227-2024 tillsynsbegäran mail.docx", "A 13227-2024")</f>
        <v/>
      </c>
    </row>
    <row r="133" ht="15" customHeight="1">
      <c r="A133" t="inlineStr">
        <is>
          <t>A 34589-2026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46255</v>
      </c>
      <c r="E133" s="1" t="n">
        <v>46262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15.3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Tibast</t>
        </is>
      </c>
      <c r="W133">
        <f>HYPERLINK("https://klasma.github.io/Logging_2180/artfynd/A 34589-2026 artfynd.xlsx", "A 34589-2026")</f>
        <v/>
      </c>
      <c r="X133">
        <f>HYPERLINK("https://klasma.github.io/Logging_2180/kartor/A 34589-2026 karta.png", "A 34589-2026")</f>
        <v/>
      </c>
      <c r="Y133">
        <f>HYPERLINK("https://klasma.github.io/Logging_2180/kartor_geotiff/A 34589-2026 georefererad karta.tif", "A 34589-2026")</f>
        <v/>
      </c>
      <c r="AA133">
        <f>HYPERLINK("https://klasma.github.io/Logging_2180/klagomål/A 34589-2026 FSC-klagomål.docx", "A 34589-2026")</f>
        <v/>
      </c>
      <c r="AB133">
        <f>HYPERLINK("https://klasma.github.io/Logging_2180/klagomålsmail/A 34589-2026 FSC-klagomål mail.docx", "A 34589-2026")</f>
        <v/>
      </c>
      <c r="AC133">
        <f>HYPERLINK("https://klasma.github.io/Logging_2180/tillsyn/A 34589-2026 tillsynsbegäran.docx", "A 34589-2026")</f>
        <v/>
      </c>
      <c r="AD133">
        <f>HYPERLINK("https://klasma.github.io/Logging_2180/tillsynsmail/A 34589-2026 tillsynsbegäran mail.docx", "A 34589-2026")</f>
        <v/>
      </c>
    </row>
    <row r="134" ht="15" customHeight="1">
      <c r="A134" t="inlineStr">
        <is>
          <t>A 31448-2026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46217</v>
      </c>
      <c r="E134" s="1" t="n">
        <v>46262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6.8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Mindre tåtelsmygare</t>
        </is>
      </c>
      <c r="W134">
        <f>HYPERLINK("https://klasma.github.io/Logging_2180/artfynd/A 31448-2026 artfynd.xlsx", "A 31448-2026")</f>
        <v/>
      </c>
      <c r="X134">
        <f>HYPERLINK("https://klasma.github.io/Logging_2180/kartor/A 31448-2026 karta.png", "A 31448-2026")</f>
        <v/>
      </c>
      <c r="Y134">
        <f>HYPERLINK("https://klasma.github.io/Logging_2180/kartor_geotiff/A 31448-2026 georefererad karta.tif", "A 31448-2026")</f>
        <v/>
      </c>
      <c r="AA134">
        <f>HYPERLINK("https://klasma.github.io/Logging_2180/klagomål/A 31448-2026 FSC-klagomål.docx", "A 31448-2026")</f>
        <v/>
      </c>
      <c r="AB134">
        <f>HYPERLINK("https://klasma.github.io/Logging_2180/klagomålsmail/A 31448-2026 FSC-klagomål mail.docx", "A 31448-2026")</f>
        <v/>
      </c>
      <c r="AC134">
        <f>HYPERLINK("https://klasma.github.io/Logging_2180/tillsyn/A 31448-2026 tillsynsbegäran.docx", "A 31448-2026")</f>
        <v/>
      </c>
      <c r="AD134">
        <f>HYPERLINK("https://klasma.github.io/Logging_2180/tillsynsmail/A 31448-2026 tillsynsbegäran mail.docx", "A 31448-2026")</f>
        <v/>
      </c>
    </row>
    <row r="135" ht="15" customHeight="1">
      <c r="A135" t="inlineStr">
        <is>
          <t>A 34890-2026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46259</v>
      </c>
      <c r="E135" s="1" t="n">
        <v>46262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18.3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4</v>
      </c>
      <c r="U135" t="n">
        <v>0</v>
      </c>
      <c r="V135" s="2" t="inlineStr">
        <is>
          <t>Spillkråka</t>
        </is>
      </c>
      <c r="W135">
        <f>HYPERLINK("https://klasma.github.io/Logging_2180/artfynd/A 34890-2026 artfynd.xlsx", "A 34890-2026")</f>
        <v/>
      </c>
      <c r="X135">
        <f>HYPERLINK("https://klasma.github.io/Logging_2180/kartor/A 34890-2026 karta.png", "A 34890-2026")</f>
        <v/>
      </c>
      <c r="Y135">
        <f>HYPERLINK("https://klasma.github.io/Logging_2180/kartor_geotiff/A 34890-2026 georefererad karta.tif", "A 34890-2026")</f>
        <v/>
      </c>
      <c r="AA135">
        <f>HYPERLINK("https://klasma.github.io/Logging_2180/klagomål/A 34890-2026 FSC-klagomål.docx", "A 34890-2026")</f>
        <v/>
      </c>
      <c r="AB135">
        <f>HYPERLINK("https://klasma.github.io/Logging_2180/klagomålsmail/A 34890-2026 FSC-klagomål mail.docx", "A 34890-2026")</f>
        <v/>
      </c>
      <c r="AC135">
        <f>HYPERLINK("https://klasma.github.io/Logging_2180/tillsyn/A 34890-2026 tillsynsbegäran.docx", "A 34890-2026")</f>
        <v/>
      </c>
      <c r="AD135">
        <f>HYPERLINK("https://klasma.github.io/Logging_2180/tillsynsmail/A 34890-2026 tillsynsbegäran mail.docx", "A 34890-2026")</f>
        <v/>
      </c>
      <c r="AE135">
        <f>HYPERLINK("https://klasma.github.io/Logging_2180/fåglar/A 34890-2026 prioriterade fågelarter.docx", "A 34890-2026")</f>
        <v/>
      </c>
    </row>
    <row r="136" ht="15" customHeight="1">
      <c r="A136" t="inlineStr">
        <is>
          <t>S 399-2022</t>
        </is>
      </c>
      <c r="B136" t="inlineStr">
        <is>
          <t>samrådsanmälan</t>
        </is>
      </c>
      <c r="C136" t="inlineStr">
        <is>
          <t>Skogsgödsling</t>
        </is>
      </c>
      <c r="D136" s="1" t="n">
        <v>44585</v>
      </c>
      <c r="E136" s="1" t="n">
        <v>46262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44.4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HYPERLINK("https://klasma.github.io/Logging_2180/artfynd/S 399-2022 artfynd.xlsx", "S 399-2022")</f>
        <v/>
      </c>
      <c r="X136">
        <f>HYPERLINK("https://klasma.github.io/Logging_2180/kartor/S 399-2022 karta.png", "S 399-2022")</f>
        <v/>
      </c>
      <c r="Y136">
        <f>HYPERLINK("https://klasma.github.io/Logging_2180/kartor_geotiff/S 399-2022 georefererad karta.tif", "S 399-2022")</f>
        <v/>
      </c>
      <c r="AA136">
        <f>HYPERLINK("https://klasma.github.io/Logging_2180/klagomål/S 399-2022 FSC-klagomål.docx", "S 399-2022")</f>
        <v/>
      </c>
      <c r="AB136">
        <f>HYPERLINK("https://klasma.github.io/Logging_2180/klagomålsmail/S 399-2022 FSC-klagomål mail.docx", "S 399-2022")</f>
        <v/>
      </c>
      <c r="AC136">
        <f>HYPERLINK("https://klasma.github.io/Logging_2180/tillsyn/S 399-2022 tillsynsbegäran.docx", "S 399-2022")</f>
        <v/>
      </c>
      <c r="AD136">
        <f>HYPERLINK("https://klasma.github.io/Logging_2180/tillsynsmail/S 399-2022 tillsynsbegäran mail.docx", "S 399-2022")</f>
        <v/>
      </c>
    </row>
    <row r="137" ht="15" customHeight="1">
      <c r="A137" t="inlineStr">
        <is>
          <t>S 235-2025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45680</v>
      </c>
      <c r="E137" s="1" t="n">
        <v>46262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HYPERLINK("https://klasma.github.io/Logging_2180/artfynd/S 235-2025 artfynd.xlsx", "S 235-2025")</f>
        <v/>
      </c>
      <c r="X137">
        <f>HYPERLINK("https://klasma.github.io/Logging_2180/kartor/S 235-2025 karta.png", "S 235-2025")</f>
        <v/>
      </c>
      <c r="Y137">
        <f>HYPERLINK("https://klasma.github.io/Logging_2180/kartor_geotiff/S 235-2025 georefererad karta.tif", "S 235-2025")</f>
        <v/>
      </c>
      <c r="AA137">
        <f>HYPERLINK("https://klasma.github.io/Logging_2180/klagomål/S 235-2025 FSC-klagomål.docx", "S 235-2025")</f>
        <v/>
      </c>
      <c r="AB137">
        <f>HYPERLINK("https://klasma.github.io/Logging_2180/klagomålsmail/S 235-2025 FSC-klagomål mail.docx", "S 235-2025")</f>
        <v/>
      </c>
      <c r="AC137">
        <f>HYPERLINK("https://klasma.github.io/Logging_2180/tillsyn/S 235-2025 tillsynsbegäran.docx", "S 235-2025")</f>
        <v/>
      </c>
      <c r="AD137">
        <f>HYPERLINK("https://klasma.github.io/Logging_2180/tillsynsmail/S 235-2025 tillsynsbegäran mail.docx", "S 235-2025")</f>
        <v/>
      </c>
    </row>
    <row r="138" ht="15" customHeight="1">
      <c r="A138" t="inlineStr">
        <is>
          <t>S 3895-2024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45562</v>
      </c>
      <c r="E138" s="1" t="n">
        <v>46262</v>
      </c>
      <c r="F138" t="inlineStr">
        <is>
          <t>GÄVLEBORGS LÄN</t>
        </is>
      </c>
      <c r="G138" t="inlineStr">
        <is>
          <t>GÄVLE</t>
        </is>
      </c>
      <c r="I138" t="n">
        <v>14.3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16</v>
      </c>
      <c r="U138" t="n">
        <v>3</v>
      </c>
      <c r="V138" s="2" t="inlineStr">
        <is>
          <t>Väddnätfjäril</t>
        </is>
      </c>
      <c r="W138">
        <f>HYPERLINK("https://klasma.github.io/Logging_2180/artfynd/S 3895-2024 artfynd.xlsx", "S 3895-2024")</f>
        <v/>
      </c>
      <c r="X138">
        <f>HYPERLINK("https://klasma.github.io/Logging_2180/kartor/S 3895-2024 karta.png", "S 3895-2024")</f>
        <v/>
      </c>
      <c r="Y138">
        <f>HYPERLINK("https://klasma.github.io/Logging_2180/kartor_geotiff/S 3895-2024 georefererad karta.tif", "S 3895-2024")</f>
        <v/>
      </c>
      <c r="AA138">
        <f>HYPERLINK("https://klasma.github.io/Logging_2180/klagomål/S 3895-2024 FSC-klagomål.docx", "S 3895-2024")</f>
        <v/>
      </c>
      <c r="AB138">
        <f>HYPERLINK("https://klasma.github.io/Logging_2180/klagomålsmail/S 3895-2024 FSC-klagomål mail.docx", "S 3895-2024")</f>
        <v/>
      </c>
      <c r="AC138">
        <f>HYPERLINK("https://klasma.github.io/Logging_2180/tillsyn/S 3895-2024 tillsynsbegäran.docx", "S 3895-2024")</f>
        <v/>
      </c>
      <c r="AD138">
        <f>HYPERLINK("https://klasma.github.io/Logging_2180/tillsynsmail/S 3895-2024 tillsynsbegäran mail.docx", "S 3895-2024")</f>
        <v/>
      </c>
    </row>
    <row r="139" ht="15" customHeight="1">
      <c r="A139" t="inlineStr">
        <is>
          <t>S 952-2026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46113</v>
      </c>
      <c r="E139" s="1" t="n">
        <v>46262</v>
      </c>
      <c r="F139" t="inlineStr">
        <is>
          <t>GÄVLEBORGS LÄN</t>
        </is>
      </c>
      <c r="G139" t="inlineStr">
        <is>
          <t>GÄVLE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Mosippa</t>
        </is>
      </c>
      <c r="W139">
        <f>HYPERLINK("https://klasma.github.io/Logging_2180/artfynd/S 952-2026 artfynd.xlsx", "S 952-2026")</f>
        <v/>
      </c>
      <c r="X139">
        <f>HYPERLINK("https://klasma.github.io/Logging_2180/kartor/S 952-2026 karta.png", "S 952-2026")</f>
        <v/>
      </c>
      <c r="Y139">
        <f>HYPERLINK("https://klasma.github.io/Logging_2180/kartor_geotiff/S 952-2026 georefererad karta.tif", "S 952-2026")</f>
        <v/>
      </c>
      <c r="AA139">
        <f>HYPERLINK("https://klasma.github.io/Logging_2180/klagomål/S 952-2026 FSC-klagomål.docx", "S 952-2026")</f>
        <v/>
      </c>
      <c r="AB139">
        <f>HYPERLINK("https://klasma.github.io/Logging_2180/klagomålsmail/S 952-2026 FSC-klagomål mail.docx", "S 952-2026")</f>
        <v/>
      </c>
      <c r="AC139">
        <f>HYPERLINK("https://klasma.github.io/Logging_2180/tillsyn/S 952-2026 tillsynsbegäran.docx", "S 952-2026")</f>
        <v/>
      </c>
      <c r="AD139">
        <f>HYPERLINK("https://klasma.github.io/Logging_2180/tillsynsmail/S 952-2026 tillsynsbegäran mail.docx", "S 952-2026")</f>
        <v/>
      </c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46262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44519</v>
      </c>
      <c r="E141" s="1" t="n">
        <v>46262</v>
      </c>
      <c r="F141" t="inlineStr">
        <is>
          <t>GÄVLEBORGS LÄN</t>
        </is>
      </c>
      <c r="G141" t="inlineStr">
        <is>
          <t>GÄVLE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46262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46262</v>
      </c>
      <c r="F143" t="inlineStr">
        <is>
          <t>GÄVLEBORGS LÄN</t>
        </is>
      </c>
      <c r="G143" t="inlineStr">
        <is>
          <t>GÄVLE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46262</v>
      </c>
      <c r="F144" t="inlineStr">
        <is>
          <t>GÄVLEBORGS LÄN</t>
        </is>
      </c>
      <c r="G144" t="inlineStr">
        <is>
          <t>GÄVLE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44805</v>
      </c>
      <c r="E145" s="1" t="n">
        <v>46262</v>
      </c>
      <c r="F145" t="inlineStr">
        <is>
          <t>GÄVLEBORGS LÄN</t>
        </is>
      </c>
      <c r="G145" t="inlineStr">
        <is>
          <t>GÄVLE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46262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26349-2022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46262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46262</v>
      </c>
      <c r="F148" t="inlineStr">
        <is>
          <t>GÄVLEBORGS LÄN</t>
        </is>
      </c>
      <c r="G148" t="inlineStr">
        <is>
          <t>GÄVLE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44462</v>
      </c>
      <c r="E149" s="1" t="n">
        <v>46262</v>
      </c>
      <c r="F149" t="inlineStr">
        <is>
          <t>GÄVLEBORGS LÄN</t>
        </is>
      </c>
      <c r="G149" t="inlineStr">
        <is>
          <t>GÄVLE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46262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46262</v>
      </c>
      <c r="F151" t="inlineStr">
        <is>
          <t>GÄVLEBORGS LÄN</t>
        </is>
      </c>
      <c r="G151" t="inlineStr">
        <is>
          <t>GÄVLE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46262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44756</v>
      </c>
      <c r="E153" s="1" t="n">
        <v>46262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44813</v>
      </c>
      <c r="E154" s="1" t="n">
        <v>46262</v>
      </c>
      <c r="F154" t="inlineStr">
        <is>
          <t>GÄVLEBORGS LÄN</t>
        </is>
      </c>
      <c r="G154" t="inlineStr">
        <is>
          <t>GÄVLE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46262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46262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44459</v>
      </c>
      <c r="E157" s="1" t="n">
        <v>46262</v>
      </c>
      <c r="F157" t="inlineStr">
        <is>
          <t>GÄVLEBORGS LÄN</t>
        </is>
      </c>
      <c r="G157" t="inlineStr">
        <is>
          <t>GÄVLE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44654-2021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44437</v>
      </c>
      <c r="E158" s="1" t="n">
        <v>46262</v>
      </c>
      <c r="F158" t="inlineStr">
        <is>
          <t>GÄVLEBORGS LÄN</t>
        </is>
      </c>
      <c r="G158" t="inlineStr">
        <is>
          <t>GÄVLE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46262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44735</v>
      </c>
      <c r="E160" s="1" t="n">
        <v>46262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46262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46262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46262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46262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46262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46262</v>
      </c>
      <c r="F166" t="inlineStr">
        <is>
          <t>GÄVLEBORGS LÄN</t>
        </is>
      </c>
      <c r="G166" t="inlineStr">
        <is>
          <t>GÄVLE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46262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46262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46262</v>
      </c>
      <c r="F169" t="inlineStr">
        <is>
          <t>GÄVLEBORGS LÄN</t>
        </is>
      </c>
      <c r="G169" t="inlineStr">
        <is>
          <t>GÄVLE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46262</v>
      </c>
      <c r="F170" t="inlineStr">
        <is>
          <t>GÄVLEBORGS LÄN</t>
        </is>
      </c>
      <c r="G170" t="inlineStr">
        <is>
          <t>GÄVLE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45134-2021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46262</v>
      </c>
      <c r="F171" t="inlineStr">
        <is>
          <t>GÄVLEBORGS LÄN</t>
        </is>
      </c>
      <c r="G171" t="inlineStr">
        <is>
          <t>GÄVLE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44448</v>
      </c>
      <c r="E172" s="1" t="n">
        <v>46262</v>
      </c>
      <c r="F172" t="inlineStr">
        <is>
          <t>GÄVLEBORGS LÄN</t>
        </is>
      </c>
      <c r="G172" t="inlineStr">
        <is>
          <t>GÄVLE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46262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46262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öst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46262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46262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46262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46262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46262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46262</v>
      </c>
      <c r="F180" t="inlineStr">
        <is>
          <t>GÄVLEBORGS LÄN</t>
        </is>
      </c>
      <c r="G180" t="inlineStr">
        <is>
          <t>GÄVLE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44889</v>
      </c>
      <c r="E181" s="1" t="n">
        <v>46262</v>
      </c>
      <c r="F181" t="inlineStr">
        <is>
          <t>GÄVLEBORGS LÄN</t>
        </is>
      </c>
      <c r="G181" t="inlineStr">
        <is>
          <t>GÄVLE</t>
        </is>
      </c>
      <c r="H181" t="inlineStr">
        <is>
          <t>Kyrkan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46262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45454</v>
      </c>
      <c r="E183" s="1" t="n">
        <v>46262</v>
      </c>
      <c r="F183" t="inlineStr">
        <is>
          <t>GÄVLEBORGS LÄN</t>
        </is>
      </c>
      <c r="G183" t="inlineStr">
        <is>
          <t>GÄVLE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46262</v>
      </c>
      <c r="F184" t="inlineStr">
        <is>
          <t>GÄVLEBORGS LÄN</t>
        </is>
      </c>
      <c r="G184" t="inlineStr">
        <is>
          <t>GÄVLE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45014</v>
      </c>
      <c r="E185" s="1" t="n">
        <v>46262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46262</v>
      </c>
      <c r="F186" t="inlineStr">
        <is>
          <t>GÄVLEBORGS LÄN</t>
        </is>
      </c>
      <c r="G186" t="inlineStr">
        <is>
          <t>GÄVLE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46262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44637</v>
      </c>
      <c r="E188" s="1" t="n">
        <v>46262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44656</v>
      </c>
      <c r="E189" s="1" t="n">
        <v>46262</v>
      </c>
      <c r="F189" t="inlineStr">
        <is>
          <t>GÄVLEBORGS LÄN</t>
        </is>
      </c>
      <c r="G189" t="inlineStr">
        <is>
          <t>GÄVLE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46262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46262</v>
      </c>
      <c r="F191" t="inlineStr">
        <is>
          <t>GÄVLEBORGS LÄN</t>
        </is>
      </c>
      <c r="G191" t="inlineStr">
        <is>
          <t>GÄVLE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45666</v>
      </c>
      <c r="E192" s="1" t="n">
        <v>46262</v>
      </c>
      <c r="F192" t="inlineStr">
        <is>
          <t>GÄVLEBORGS LÄN</t>
        </is>
      </c>
      <c r="G192" t="inlineStr">
        <is>
          <t>GÄVLE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46262</v>
      </c>
      <c r="F193" t="inlineStr">
        <is>
          <t>GÄVLEBORGS LÄN</t>
        </is>
      </c>
      <c r="G193" t="inlineStr">
        <is>
          <t>GÄVLE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45702</v>
      </c>
      <c r="E194" s="1" t="n">
        <v>46262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46262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46262</v>
      </c>
      <c r="F196" t="inlineStr">
        <is>
          <t>GÄVLEBORGS LÄN</t>
        </is>
      </c>
      <c r="G196" t="inlineStr">
        <is>
          <t>GÄVLE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46262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46262</v>
      </c>
      <c r="F198" t="inlineStr">
        <is>
          <t>GÄVLEBORGS LÄN</t>
        </is>
      </c>
      <c r="G198" t="inlineStr">
        <is>
          <t>GÄVLE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46262</v>
      </c>
      <c r="F199" t="inlineStr">
        <is>
          <t>GÄVLEBORGS LÄN</t>
        </is>
      </c>
      <c r="G199" t="inlineStr">
        <is>
          <t>GÄVLE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46262</v>
      </c>
      <c r="F200" t="inlineStr">
        <is>
          <t>GÄVLEBORGS LÄN</t>
        </is>
      </c>
      <c r="G200" t="inlineStr">
        <is>
          <t>GÄVLE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45158</v>
      </c>
      <c r="E201" s="1" t="n">
        <v>46262</v>
      </c>
      <c r="F201" t="inlineStr">
        <is>
          <t>GÄVLEBORGS LÄN</t>
        </is>
      </c>
      <c r="G201" t="inlineStr">
        <is>
          <t>GÄVLE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37538-2023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45158</v>
      </c>
      <c r="E202" s="1" t="n">
        <v>46262</v>
      </c>
      <c r="F202" t="inlineStr">
        <is>
          <t>GÄVLEBORGS LÄN</t>
        </is>
      </c>
      <c r="G202" t="inlineStr">
        <is>
          <t>GÄVLE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46262</v>
      </c>
      <c r="F203" t="inlineStr">
        <is>
          <t>GÄVLEBORGS LÄN</t>
        </is>
      </c>
      <c r="G203" t="inlineStr">
        <is>
          <t>GÄVLE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46262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46262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46262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46262</v>
      </c>
      <c r="F207" t="inlineStr">
        <is>
          <t>GÄVLEBORGS LÄN</t>
        </is>
      </c>
      <c r="G207" t="inlineStr">
        <is>
          <t>GÄVLE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45790</v>
      </c>
      <c r="E208" s="1" t="n">
        <v>46262</v>
      </c>
      <c r="F208" t="inlineStr">
        <is>
          <t>GÄVLEBORGS LÄN</t>
        </is>
      </c>
      <c r="G208" t="inlineStr">
        <is>
          <t>GÄVLE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23324-2025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46262</v>
      </c>
      <c r="F209" t="inlineStr">
        <is>
          <t>GÄVLEBORGS LÄN</t>
        </is>
      </c>
      <c r="G209" t="inlineStr">
        <is>
          <t>GÄVLE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46262</v>
      </c>
      <c r="F210" t="inlineStr">
        <is>
          <t>GÄVLEBORGS LÄN</t>
        </is>
      </c>
      <c r="G210" t="inlineStr">
        <is>
          <t>GÄVLE</t>
        </is>
      </c>
      <c r="I210" t="n">
        <v>20.8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45660</v>
      </c>
      <c r="E211" s="1" t="n">
        <v>46262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48247-2025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46262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öst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51893-2025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45952</v>
      </c>
      <c r="E213" s="1" t="n">
        <v>46262</v>
      </c>
      <c r="F213" t="inlineStr">
        <is>
          <t>GÄVLEBORGS LÄN</t>
        </is>
      </c>
      <c r="G213" t="inlineStr">
        <is>
          <t>GÄVLE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46262</v>
      </c>
      <c r="F214" t="inlineStr">
        <is>
          <t>GÄVLEBORGS LÄN</t>
        </is>
      </c>
      <c r="G214" t="inlineStr">
        <is>
          <t>GÄVLE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44840</v>
      </c>
      <c r="E215" s="1" t="n">
        <v>46262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46262</v>
      </c>
      <c r="F216" t="inlineStr">
        <is>
          <t>GÄVLEBORGS LÄN</t>
        </is>
      </c>
      <c r="G216" t="inlineStr">
        <is>
          <t>GÄVLE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46262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49771-2022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44862</v>
      </c>
      <c r="E218" s="1" t="n">
        <v>46262</v>
      </c>
      <c r="F218" t="inlineStr">
        <is>
          <t>GÄVLEBORGS LÄN</t>
        </is>
      </c>
      <c r="G218" t="inlineStr">
        <is>
          <t>GÄVLE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46262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öst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45797</v>
      </c>
      <c r="E220" s="1" t="n">
        <v>46262</v>
      </c>
      <c r="F220" t="inlineStr">
        <is>
          <t>GÄVLEBORGS LÄN</t>
        </is>
      </c>
      <c r="G220" t="inlineStr">
        <is>
          <t>GÄVLE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46262</v>
      </c>
      <c r="F221" t="inlineStr">
        <is>
          <t>GÄVLEBORGS LÄN</t>
        </is>
      </c>
      <c r="G221" t="inlineStr">
        <is>
          <t>GÄVLE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46262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46262</v>
      </c>
      <c r="F223" t="inlineStr">
        <is>
          <t>GÄVLEBORGS LÄN</t>
        </is>
      </c>
      <c r="G223" t="inlineStr">
        <is>
          <t>GÄVLE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46262</v>
      </c>
      <c r="F224" t="inlineStr">
        <is>
          <t>GÄVLEBORGS LÄN</t>
        </is>
      </c>
      <c r="G224" t="inlineStr">
        <is>
          <t>GÄVLE</t>
        </is>
      </c>
      <c r="I224" t="n">
        <v>13.1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2400-2023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44942</v>
      </c>
      <c r="E225" s="1" t="n">
        <v>46262</v>
      </c>
      <c r="F225" t="inlineStr">
        <is>
          <t>GÄVLEBORGS LÄN</t>
        </is>
      </c>
      <c r="G225" t="inlineStr">
        <is>
          <t>GÄVLE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45505</v>
      </c>
      <c r="E226" s="1" t="n">
        <v>46262</v>
      </c>
      <c r="F226" t="inlineStr">
        <is>
          <t>GÄVLEBORGS LÄN</t>
        </is>
      </c>
      <c r="G226" t="inlineStr">
        <is>
          <t>GÄVLE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45891</v>
      </c>
      <c r="E227" s="1" t="n">
        <v>46262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46262</v>
      </c>
      <c r="F228" t="inlineStr">
        <is>
          <t>GÄVLEBORGS LÄN</t>
        </is>
      </c>
      <c r="G228" t="inlineStr">
        <is>
          <t>GÄVLE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52970-2025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45957</v>
      </c>
      <c r="E229" s="1" t="n">
        <v>46262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46262</v>
      </c>
      <c r="F230" t="inlineStr">
        <is>
          <t>GÄVLEBORGS LÄN</t>
        </is>
      </c>
      <c r="G230" t="inlineStr">
        <is>
          <t>GÄVLE</t>
        </is>
      </c>
      <c r="H230" t="inlineStr">
        <is>
          <t>Kyrkan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40297-2025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45895</v>
      </c>
      <c r="E231" s="1" t="n">
        <v>46262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19095-2022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44691</v>
      </c>
      <c r="E232" s="1" t="n">
        <v>46262</v>
      </c>
      <c r="F232" t="inlineStr">
        <is>
          <t>GÄVLEBORGS LÄN</t>
        </is>
      </c>
      <c r="G232" t="inlineStr">
        <is>
          <t>GÄVLE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46262</v>
      </c>
      <c r="F233" t="inlineStr">
        <is>
          <t>GÄVLEBORGS LÄN</t>
        </is>
      </c>
      <c r="G233" t="inlineStr">
        <is>
          <t>GÄVLE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46262</v>
      </c>
      <c r="F234" t="inlineStr">
        <is>
          <t>GÄVLEBORGS LÄN</t>
        </is>
      </c>
      <c r="G234" t="inlineStr">
        <is>
          <t>GÄVLE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45882</v>
      </c>
      <c r="E235" s="1" t="n">
        <v>46262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44739</v>
      </c>
      <c r="E236" s="1" t="n">
        <v>46262</v>
      </c>
      <c r="F236" t="inlineStr">
        <is>
          <t>GÄVLEBORGS LÄN</t>
        </is>
      </c>
      <c r="G236" t="inlineStr">
        <is>
          <t>GÄVLE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40882-2025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46262</v>
      </c>
      <c r="F237" t="inlineStr">
        <is>
          <t>GÄVLEBORGS LÄN</t>
        </is>
      </c>
      <c r="G237" t="inlineStr">
        <is>
          <t>GÄVLE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45804</v>
      </c>
      <c r="E238" s="1" t="n">
        <v>46262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öst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46262</v>
      </c>
      <c r="F239" t="inlineStr">
        <is>
          <t>GÄVLEBORGS LÄN</t>
        </is>
      </c>
      <c r="G239" t="inlineStr">
        <is>
          <t>GÄVLE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46262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46262</v>
      </c>
      <c r="F241" t="inlineStr">
        <is>
          <t>GÄVLEBORGS LÄN</t>
        </is>
      </c>
      <c r="G241" t="inlineStr">
        <is>
          <t>GÄVLE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46262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46262</v>
      </c>
      <c r="F243" t="inlineStr">
        <is>
          <t>GÄVLEBORGS LÄN</t>
        </is>
      </c>
      <c r="G243" t="inlineStr">
        <is>
          <t>GÄVLE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45117</v>
      </c>
      <c r="E244" s="1" t="n">
        <v>46262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46262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44756</v>
      </c>
      <c r="E246" s="1" t="n">
        <v>46262</v>
      </c>
      <c r="F246" t="inlineStr">
        <is>
          <t>GÄVLEBORGS LÄN</t>
        </is>
      </c>
      <c r="G246" t="inlineStr">
        <is>
          <t>GÄVLE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44756</v>
      </c>
      <c r="E247" s="1" t="n">
        <v>46262</v>
      </c>
      <c r="F247" t="inlineStr">
        <is>
          <t>GÄVLEBORGS LÄN</t>
        </is>
      </c>
      <c r="G247" t="inlineStr">
        <is>
          <t>GÄVLE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46262</v>
      </c>
      <c r="F248" t="inlineStr">
        <is>
          <t>GÄVLEBORGS LÄN</t>
        </is>
      </c>
      <c r="G248" t="inlineStr">
        <is>
          <t>GÄVLE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46262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46262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46262</v>
      </c>
      <c r="F251" t="inlineStr">
        <is>
          <t>GÄVLEBORGS LÄN</t>
        </is>
      </c>
      <c r="G251" t="inlineStr">
        <is>
          <t>GÄVLE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46262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40993-2025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46262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46262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46262</v>
      </c>
      <c r="F255" t="inlineStr">
        <is>
          <t>GÄVLEBORGS LÄN</t>
        </is>
      </c>
      <c r="G255" t="inlineStr">
        <is>
          <t>GÄVLE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46262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53541-2025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46262</v>
      </c>
      <c r="F257" t="inlineStr">
        <is>
          <t>GÄVLEBORGS LÄN</t>
        </is>
      </c>
      <c r="G257" t="inlineStr">
        <is>
          <t>GÄVLE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54135-2025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46262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46262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46262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27611-2025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45813</v>
      </c>
      <c r="E261" s="1" t="n">
        <v>46262</v>
      </c>
      <c r="F261" t="inlineStr">
        <is>
          <t>GÄVLEBORGS LÄN</t>
        </is>
      </c>
      <c r="G261" t="inlineStr">
        <is>
          <t>GÄVLE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46262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46262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46262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46262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54768-2025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46262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54959-2025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46262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46262</v>
      </c>
      <c r="F268" t="inlineStr">
        <is>
          <t>GÄVLEBORGS LÄN</t>
        </is>
      </c>
      <c r="G268" t="inlineStr">
        <is>
          <t>GÄVLE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46262</v>
      </c>
      <c r="F269" t="inlineStr">
        <is>
          <t>GÄVLEBORGS LÄN</t>
        </is>
      </c>
      <c r="G269" t="inlineStr">
        <is>
          <t>GÄVLE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46262</v>
      </c>
      <c r="F270" t="inlineStr">
        <is>
          <t>GÄVLEBORGS LÄN</t>
        </is>
      </c>
      <c r="G270" t="inlineStr">
        <is>
          <t>GÄVLE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56121-2025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45973</v>
      </c>
      <c r="E271" s="1" t="n">
        <v>46262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45902</v>
      </c>
      <c r="E272" s="1" t="n">
        <v>46262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45125</v>
      </c>
      <c r="E273" s="1" t="n">
        <v>46262</v>
      </c>
      <c r="F273" t="inlineStr">
        <is>
          <t>GÄVLEBORGS LÄN</t>
        </is>
      </c>
      <c r="G273" t="inlineStr">
        <is>
          <t>GÄVLE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56120-2025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46262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56122-2025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46262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56123-2025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45973</v>
      </c>
      <c r="E276" s="1" t="n">
        <v>46262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46262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45974</v>
      </c>
      <c r="E278" s="1" t="n">
        <v>46262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46262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46262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46262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46262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46262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46262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45974</v>
      </c>
      <c r="E285" s="1" t="n">
        <v>46262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46262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46262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46262</v>
      </c>
      <c r="F288" t="inlineStr">
        <is>
          <t>GÄVLEBORGS LÄN</t>
        </is>
      </c>
      <c r="G288" t="inlineStr">
        <is>
          <t>GÄVLE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46262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43771-2025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45912</v>
      </c>
      <c r="E290" s="1" t="n">
        <v>46262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43780-2025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45912</v>
      </c>
      <c r="E291" s="1" t="n">
        <v>46262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46262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46262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46262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45548-2025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46262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45922</v>
      </c>
      <c r="E296" s="1" t="n">
        <v>46262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45922</v>
      </c>
      <c r="E297" s="1" t="n">
        <v>46262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43742-2025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45912</v>
      </c>
      <c r="E298" s="1" t="n">
        <v>46262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46262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43774-2025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45912</v>
      </c>
      <c r="E300" s="1" t="n">
        <v>46262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45922</v>
      </c>
      <c r="E301" s="1" t="n">
        <v>46262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45922</v>
      </c>
      <c r="E302" s="1" t="n">
        <v>46262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45922</v>
      </c>
      <c r="E303" s="1" t="n">
        <v>46262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45922</v>
      </c>
      <c r="E304" s="1" t="n">
        <v>46262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46262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46262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43764-2025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45912</v>
      </c>
      <c r="E307" s="1" t="n">
        <v>46262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71249-2021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46262</v>
      </c>
      <c r="F308" t="inlineStr">
        <is>
          <t>GÄVLEBORGS LÄN</t>
        </is>
      </c>
      <c r="G308" t="inlineStr">
        <is>
          <t>GÄVLE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46262</v>
      </c>
      <c r="F309" t="inlineStr">
        <is>
          <t>GÄVLEBORGS LÄN</t>
        </is>
      </c>
      <c r="G309" t="inlineStr">
        <is>
          <t>GÄVLE</t>
        </is>
      </c>
      <c r="I309" t="n">
        <v>13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46262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45909</v>
      </c>
      <c r="E311" s="1" t="n">
        <v>46262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46262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43087-2025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46262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45819</v>
      </c>
      <c r="E314" s="1" t="n">
        <v>46262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46262</v>
      </c>
      <c r="F315" t="inlineStr">
        <is>
          <t>GÄVLEBORGS LÄN</t>
        </is>
      </c>
      <c r="G315" t="inlineStr">
        <is>
          <t>GÄVLE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46262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45827</v>
      </c>
      <c r="E317" s="1" t="n">
        <v>46262</v>
      </c>
      <c r="F317" t="inlineStr">
        <is>
          <t>GÄVLEBORGS LÄN</t>
        </is>
      </c>
      <c r="G317" t="inlineStr">
        <is>
          <t>GÄVLE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30202-2025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45827</v>
      </c>
      <c r="E318" s="1" t="n">
        <v>46262</v>
      </c>
      <c r="F318" t="inlineStr">
        <is>
          <t>GÄVLEBORGS LÄN</t>
        </is>
      </c>
      <c r="G318" t="inlineStr">
        <is>
          <t>GÄVLE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46262</v>
      </c>
      <c r="F319" t="inlineStr">
        <is>
          <t>GÄVLEBORGS LÄN</t>
        </is>
      </c>
      <c r="G319" t="inlineStr">
        <is>
          <t>GÄVLE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46262</v>
      </c>
      <c r="F320" t="inlineStr">
        <is>
          <t>GÄVLEBORGS LÄN</t>
        </is>
      </c>
      <c r="G320" t="inlineStr">
        <is>
          <t>GÄVLE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46262</v>
      </c>
      <c r="F321" t="inlineStr">
        <is>
          <t>GÄVLEBORGS LÄN</t>
        </is>
      </c>
      <c r="G321" t="inlineStr">
        <is>
          <t>GÄVLE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46262</v>
      </c>
      <c r="F322" t="inlineStr">
        <is>
          <t>GÄVLEBORGS LÄN</t>
        </is>
      </c>
      <c r="G322" t="inlineStr">
        <is>
          <t>GÄVLE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46262</v>
      </c>
      <c r="F323" t="inlineStr">
        <is>
          <t>GÄVLEBORGS LÄN</t>
        </is>
      </c>
      <c r="G323" t="inlineStr">
        <is>
          <t>GÄVLE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50871-2022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44867</v>
      </c>
      <c r="E324" s="1" t="n">
        <v>46262</v>
      </c>
      <c r="F324" t="inlineStr">
        <is>
          <t>GÄVLEBORGS LÄN</t>
        </is>
      </c>
      <c r="G324" t="inlineStr">
        <is>
          <t>GÄVLE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19424-2022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44693</v>
      </c>
      <c r="E325" s="1" t="n">
        <v>46262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46262</v>
      </c>
      <c r="F326" t="inlineStr">
        <is>
          <t>GÄVLEBORGS LÄN</t>
        </is>
      </c>
      <c r="G326" t="inlineStr">
        <is>
          <t>GÄVLE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45834</v>
      </c>
      <c r="E327" s="1" t="n">
        <v>46262</v>
      </c>
      <c r="F327" t="inlineStr">
        <is>
          <t>GÄVLEBORGS LÄN</t>
        </is>
      </c>
      <c r="G327" t="inlineStr">
        <is>
          <t>GÄVLE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45850-2025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45923</v>
      </c>
      <c r="E328" s="1" t="n">
        <v>46262</v>
      </c>
      <c r="F328" t="inlineStr">
        <is>
          <t>GÄVLEBORGS LÄN</t>
        </is>
      </c>
      <c r="G328" t="inlineStr">
        <is>
          <t>GÄVLE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46262</v>
      </c>
      <c r="F329" t="inlineStr">
        <is>
          <t>GÄVLEBORGS LÄN</t>
        </is>
      </c>
      <c r="G329" t="inlineStr">
        <is>
          <t>GÄVLE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46262</v>
      </c>
      <c r="F330" t="inlineStr">
        <is>
          <t>GÄVLEBORGS LÄN</t>
        </is>
      </c>
      <c r="G330" t="inlineStr">
        <is>
          <t>GÄVLE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45632</v>
      </c>
      <c r="E331" s="1" t="n">
        <v>46262</v>
      </c>
      <c r="F331" t="inlineStr">
        <is>
          <t>GÄVLEBORGS LÄN</t>
        </is>
      </c>
      <c r="G331" t="inlineStr">
        <is>
          <t>GÄVLE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45162</v>
      </c>
      <c r="E332" s="1" t="n">
        <v>46262</v>
      </c>
      <c r="F332" t="inlineStr">
        <is>
          <t>GÄVLEBORGS LÄN</t>
        </is>
      </c>
      <c r="G332" t="inlineStr">
        <is>
          <t>GÄVLE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45719</v>
      </c>
      <c r="E333" s="1" t="n">
        <v>46262</v>
      </c>
      <c r="F333" t="inlineStr">
        <is>
          <t>GÄVLEBORGS LÄN</t>
        </is>
      </c>
      <c r="G333" t="inlineStr">
        <is>
          <t>GÄVLE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46262</v>
      </c>
      <c r="F334" t="inlineStr">
        <is>
          <t>GÄVLEBORGS LÄN</t>
        </is>
      </c>
      <c r="G334" t="inlineStr">
        <is>
          <t>GÄVLE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45924</v>
      </c>
      <c r="E335" s="1" t="n">
        <v>46262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46011-2025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45924</v>
      </c>
      <c r="E336" s="1" t="n">
        <v>46262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46262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45784</v>
      </c>
      <c r="E338" s="1" t="n">
        <v>46262</v>
      </c>
      <c r="F338" t="inlineStr">
        <is>
          <t>GÄVLEBORGS LÄN</t>
        </is>
      </c>
      <c r="G338" t="inlineStr">
        <is>
          <t>GÄVLE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46262</v>
      </c>
      <c r="F339" t="inlineStr">
        <is>
          <t>GÄVLEBORGS LÄN</t>
        </is>
      </c>
      <c r="G339" t="inlineStr">
        <is>
          <t>GÄVLE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45993</v>
      </c>
      <c r="E340" s="1" t="n">
        <v>46262</v>
      </c>
      <c r="F340" t="inlineStr">
        <is>
          <t>GÄVLEBORGS LÄN</t>
        </is>
      </c>
      <c r="G340" t="inlineStr">
        <is>
          <t>GÄVLE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25768-2022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44733</v>
      </c>
      <c r="E341" s="1" t="n">
        <v>46262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45845</v>
      </c>
      <c r="E342" s="1" t="n">
        <v>46262</v>
      </c>
      <c r="F342" t="inlineStr">
        <is>
          <t>GÄVLEBORGS LÄN</t>
        </is>
      </c>
      <c r="G342" t="inlineStr">
        <is>
          <t>GÄVLE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46262</v>
      </c>
      <c r="F343" t="inlineStr">
        <is>
          <t>GÄVLEBORGS LÄN</t>
        </is>
      </c>
      <c r="G343" t="inlineStr">
        <is>
          <t>GÄVLE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46262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46262</v>
      </c>
      <c r="F345" t="inlineStr">
        <is>
          <t>GÄVLEBORGS LÄN</t>
        </is>
      </c>
      <c r="G345" t="inlineStr">
        <is>
          <t>GÄVLE</t>
        </is>
      </c>
      <c r="H345" t="inlineStr">
        <is>
          <t>Kyrkan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46262</v>
      </c>
      <c r="F346" t="inlineStr">
        <is>
          <t>GÄVLEBORGS LÄN</t>
        </is>
      </c>
      <c r="G346" t="inlineStr">
        <is>
          <t>GÄVLE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46262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61880-2024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45652</v>
      </c>
      <c r="E348" s="1" t="n">
        <v>46262</v>
      </c>
      <c r="F348" t="inlineStr">
        <is>
          <t>GÄVLEBORGS LÄN</t>
        </is>
      </c>
      <c r="G348" t="inlineStr">
        <is>
          <t>GÄVLE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45848</v>
      </c>
      <c r="E349" s="1" t="n">
        <v>46262</v>
      </c>
      <c r="F349" t="inlineStr">
        <is>
          <t>GÄVLEBORGS LÄN</t>
        </is>
      </c>
      <c r="G349" t="inlineStr">
        <is>
          <t>GÄVLE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45475</v>
      </c>
      <c r="E350" s="1" t="n">
        <v>46262</v>
      </c>
      <c r="F350" t="inlineStr">
        <is>
          <t>GÄVLEBORGS LÄN</t>
        </is>
      </c>
      <c r="G350" t="inlineStr">
        <is>
          <t>GÄVLE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45931</v>
      </c>
      <c r="E351" s="1" t="n">
        <v>46262</v>
      </c>
      <c r="F351" t="inlineStr">
        <is>
          <t>GÄVLEBORGS LÄN</t>
        </is>
      </c>
      <c r="G351" t="inlineStr">
        <is>
          <t>GÄVLE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46262</v>
      </c>
      <c r="F352" t="inlineStr">
        <is>
          <t>GÄVLEBORGS LÄN</t>
        </is>
      </c>
      <c r="G352" t="inlineStr">
        <is>
          <t>GÄVLE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45848</v>
      </c>
      <c r="E353" s="1" t="n">
        <v>46262</v>
      </c>
      <c r="F353" t="inlineStr">
        <is>
          <t>GÄVLEBORGS LÄN</t>
        </is>
      </c>
      <c r="G353" t="inlineStr">
        <is>
          <t>GÄVLE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40498-2022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44823</v>
      </c>
      <c r="E354" s="1" t="n">
        <v>46262</v>
      </c>
      <c r="F354" t="inlineStr">
        <is>
          <t>GÄVLEBORGS LÄN</t>
        </is>
      </c>
      <c r="G354" t="inlineStr">
        <is>
          <t>GÄVLE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45540</v>
      </c>
      <c r="E355" s="1" t="n">
        <v>46262</v>
      </c>
      <c r="F355" t="inlineStr">
        <is>
          <t>GÄVLEBORGS LÄN</t>
        </is>
      </c>
      <c r="G355" t="inlineStr">
        <is>
          <t>GÄVLE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44988</v>
      </c>
      <c r="E356" s="1" t="n">
        <v>46262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47171-2025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46262</v>
      </c>
      <c r="F357" t="inlineStr">
        <is>
          <t>GÄVLEBORGS LÄN</t>
        </is>
      </c>
      <c r="G357" t="inlineStr">
        <is>
          <t>GÄVLE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46262</v>
      </c>
      <c r="F358" t="inlineStr">
        <is>
          <t>GÄVLEBORGS LÄN</t>
        </is>
      </c>
      <c r="G358" t="inlineStr">
        <is>
          <t>GÄVLE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45030</v>
      </c>
      <c r="E359" s="1" t="n">
        <v>46262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45932</v>
      </c>
      <c r="E360" s="1" t="n">
        <v>46262</v>
      </c>
      <c r="F360" t="inlineStr">
        <is>
          <t>GÄVLEBORGS LÄN</t>
        </is>
      </c>
      <c r="G360" t="inlineStr">
        <is>
          <t>GÄVLE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45854</v>
      </c>
      <c r="E361" s="1" t="n">
        <v>46262</v>
      </c>
      <c r="F361" t="inlineStr">
        <is>
          <t>GÄVLEBORGS LÄN</t>
        </is>
      </c>
      <c r="G361" t="inlineStr">
        <is>
          <t>GÄVLE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46262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35650-2025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45859</v>
      </c>
      <c r="E363" s="1" t="n">
        <v>46262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46262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48251-2025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46262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46262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48002-2025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45932</v>
      </c>
      <c r="E367" s="1" t="n">
        <v>46262</v>
      </c>
      <c r="F367" t="inlineStr">
        <is>
          <t>GÄVLEBORGS LÄN</t>
        </is>
      </c>
      <c r="G367" t="inlineStr">
        <is>
          <t>GÄVLE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47994-2025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45932</v>
      </c>
      <c r="E368" s="1" t="n">
        <v>46262</v>
      </c>
      <c r="F368" t="inlineStr">
        <is>
          <t>GÄVLEBORGS LÄN</t>
        </is>
      </c>
      <c r="G368" t="inlineStr">
        <is>
          <t>GÄVLE</t>
        </is>
      </c>
      <c r="I368" t="n">
        <v>10.1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46262</v>
      </c>
      <c r="F369" t="inlineStr">
        <is>
          <t>GÄVLEBORGS LÄN</t>
        </is>
      </c>
      <c r="G369" t="inlineStr">
        <is>
          <t>GÄVLE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45862</v>
      </c>
      <c r="E370" s="1" t="n">
        <v>46262</v>
      </c>
      <c r="F370" t="inlineStr">
        <is>
          <t>GÄVLEBORGS LÄN</t>
        </is>
      </c>
      <c r="G370" t="inlineStr">
        <is>
          <t>GÄVLE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44589</v>
      </c>
      <c r="E371" s="1" t="n">
        <v>46262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35938-2025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45862</v>
      </c>
      <c r="E372" s="1" t="n">
        <v>46262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48249-2025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45933</v>
      </c>
      <c r="E373" s="1" t="n">
        <v>46262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35919-2025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45862</v>
      </c>
      <c r="E374" s="1" t="n">
        <v>46262</v>
      </c>
      <c r="F374" t="inlineStr">
        <is>
          <t>GÄVLEBORGS LÄN</t>
        </is>
      </c>
      <c r="G374" t="inlineStr">
        <is>
          <t>GÄVLE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46262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45866</v>
      </c>
      <c r="E376" s="1" t="n">
        <v>46262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36255-2025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45867</v>
      </c>
      <c r="E377" s="1" t="n">
        <v>46262</v>
      </c>
      <c r="F377" t="inlineStr">
        <is>
          <t>GÄVLEBORGS LÄN</t>
        </is>
      </c>
      <c r="G377" t="inlineStr">
        <is>
          <t>GÄVLE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45869</v>
      </c>
      <c r="E378" s="1" t="n">
        <v>46262</v>
      </c>
      <c r="F378" t="inlineStr">
        <is>
          <t>GÄVLEBORGS LÄN</t>
        </is>
      </c>
      <c r="G378" t="inlineStr">
        <is>
          <t>GÄVLE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45146</v>
      </c>
      <c r="E379" s="1" t="n">
        <v>46262</v>
      </c>
      <c r="F379" t="inlineStr">
        <is>
          <t>GÄVLEBORGS LÄN</t>
        </is>
      </c>
      <c r="G379" t="inlineStr">
        <is>
          <t>GÄVLE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45869</v>
      </c>
      <c r="E380" s="1" t="n">
        <v>46262</v>
      </c>
      <c r="F380" t="inlineStr">
        <is>
          <t>GÄVLEBORGS LÄN</t>
        </is>
      </c>
      <c r="G380" t="inlineStr">
        <is>
          <t>GÄVLE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45937</v>
      </c>
      <c r="E381" s="1" t="n">
        <v>46262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60532-2025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46262</v>
      </c>
      <c r="F382" t="inlineStr">
        <is>
          <t>GÄVLEBORGS LÄN</t>
        </is>
      </c>
      <c r="G382" t="inlineStr">
        <is>
          <t>GÄVLE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45468</v>
      </c>
      <c r="E383" s="1" t="n">
        <v>46262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9.9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35206-2024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45530</v>
      </c>
      <c r="E384" s="1" t="n">
        <v>46262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46262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46262</v>
      </c>
      <c r="F386" t="inlineStr">
        <is>
          <t>GÄVLEBORGS LÄN</t>
        </is>
      </c>
      <c r="G386" t="inlineStr">
        <is>
          <t>GÄVLE</t>
        </is>
      </c>
      <c r="H386" t="inlineStr">
        <is>
          <t>Kyrkan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46262</v>
      </c>
      <c r="F387" t="inlineStr">
        <is>
          <t>GÄVLEBORGS LÄN</t>
        </is>
      </c>
      <c r="G387" t="inlineStr">
        <is>
          <t>GÄVLE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45873</v>
      </c>
      <c r="E388" s="1" t="n">
        <v>46262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46262</v>
      </c>
      <c r="F389" t="inlineStr">
        <is>
          <t>GÄVLEBORGS LÄN</t>
        </is>
      </c>
      <c r="G389" t="inlineStr">
        <is>
          <t>GÄVLE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45940</v>
      </c>
      <c r="E390" s="1" t="n">
        <v>46262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45940</v>
      </c>
      <c r="E391" s="1" t="n">
        <v>46262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46262</v>
      </c>
      <c r="F392" t="inlineStr">
        <is>
          <t>GÄVLEBORGS LÄN</t>
        </is>
      </c>
      <c r="G392" t="inlineStr">
        <is>
          <t>GÄVLE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45943</v>
      </c>
      <c r="E393" s="1" t="n">
        <v>46262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46262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46262</v>
      </c>
      <c r="F395" t="inlineStr">
        <is>
          <t>GÄVLEBORGS LÄN</t>
        </is>
      </c>
      <c r="G395" t="inlineStr">
        <is>
          <t>GÄVLE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46262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45672</v>
      </c>
      <c r="E397" s="1" t="n">
        <v>46262</v>
      </c>
      <c r="F397" t="inlineStr">
        <is>
          <t>GÄVLEBORGS LÄN</t>
        </is>
      </c>
      <c r="G397" t="inlineStr">
        <is>
          <t>GÄVLE</t>
        </is>
      </c>
      <c r="H397" t="inlineStr">
        <is>
          <t>Kyrkan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45817</v>
      </c>
      <c r="E398" s="1" t="n">
        <v>46262</v>
      </c>
      <c r="F398" t="inlineStr">
        <is>
          <t>GÄVLEBORGS LÄN</t>
        </is>
      </c>
      <c r="G398" t="inlineStr">
        <is>
          <t>GÄVLE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60536-2025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46262</v>
      </c>
      <c r="F399" t="inlineStr">
        <is>
          <t>GÄVLEBORGS LÄN</t>
        </is>
      </c>
      <c r="G399" t="inlineStr">
        <is>
          <t>GÄVLE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60885-2023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46262</v>
      </c>
      <c r="F400" t="inlineStr">
        <is>
          <t>GÄVLEBORGS LÄN</t>
        </is>
      </c>
      <c r="G400" t="inlineStr">
        <is>
          <t>GÄVLE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38240-2024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45545</v>
      </c>
      <c r="E401" s="1" t="n">
        <v>46262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46262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46262</v>
      </c>
      <c r="F403" t="inlineStr">
        <is>
          <t>GÄVLEBORGS LÄN</t>
        </is>
      </c>
      <c r="G403" t="inlineStr">
        <is>
          <t>GÄVLE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61093-2025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46262</v>
      </c>
      <c r="F404" t="inlineStr">
        <is>
          <t>GÄVLEBORGS LÄN</t>
        </is>
      </c>
      <c r="G404" t="inlineStr">
        <is>
          <t>GÄVLE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38627-2025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45884</v>
      </c>
      <c r="E405" s="1" t="n">
        <v>46262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45034</v>
      </c>
      <c r="E406" s="1" t="n">
        <v>46262</v>
      </c>
      <c r="F406" t="inlineStr">
        <is>
          <t>GÄVLEBORGS LÄN</t>
        </is>
      </c>
      <c r="G406" t="inlineStr">
        <is>
          <t>GÄVLE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61449-2025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46001</v>
      </c>
      <c r="E407" s="1" t="n">
        <v>46262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9.300000000000001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46262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61650-2025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46002</v>
      </c>
      <c r="E409" s="1" t="n">
        <v>46262</v>
      </c>
      <c r="F409" t="inlineStr">
        <is>
          <t>GÄVLEBORGS LÄN</t>
        </is>
      </c>
      <c r="G409" t="inlineStr">
        <is>
          <t>GÄVLE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25593-2024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45463</v>
      </c>
      <c r="E410" s="1" t="n">
        <v>46262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61648-2025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46262</v>
      </c>
      <c r="F411" t="inlineStr">
        <is>
          <t>GÄVLEBORGS LÄN</t>
        </is>
      </c>
      <c r="G411" t="inlineStr">
        <is>
          <t>GÄVLE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46002</v>
      </c>
      <c r="E412" s="1" t="n">
        <v>46262</v>
      </c>
      <c r="F412" t="inlineStr">
        <is>
          <t>GÄVLEBORGS LÄN</t>
        </is>
      </c>
      <c r="G412" t="inlineStr">
        <is>
          <t>GÄVLE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46262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46262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18217-2024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45420</v>
      </c>
      <c r="E415" s="1" t="n">
        <v>46262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62226-2025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46262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44935</v>
      </c>
      <c r="E417" s="1" t="n">
        <v>46262</v>
      </c>
      <c r="F417" t="inlineStr">
        <is>
          <t>GÄVLEBORGS LÄN</t>
        </is>
      </c>
      <c r="G417" t="inlineStr">
        <is>
          <t>GÄVLE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46262</v>
      </c>
      <c r="F418" t="inlineStr">
        <is>
          <t>GÄVLEBORGS LÄN</t>
        </is>
      </c>
      <c r="G418" t="inlineStr">
        <is>
          <t>GÄVLE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10352-2025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45720</v>
      </c>
      <c r="E419" s="1" t="n">
        <v>46262</v>
      </c>
      <c r="F419" t="inlineStr">
        <is>
          <t>GÄVLEBORGS LÄN</t>
        </is>
      </c>
      <c r="G419" t="inlineStr">
        <is>
          <t>GÄVLE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44960</v>
      </c>
      <c r="E420" s="1" t="n">
        <v>46262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24720-2023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45084</v>
      </c>
      <c r="E421" s="1" t="n">
        <v>46262</v>
      </c>
      <c r="F421" t="inlineStr">
        <is>
          <t>GÄVLEBORGS LÄN</t>
        </is>
      </c>
      <c r="G421" t="inlineStr">
        <is>
          <t>GÄVLE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35450-2025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45855</v>
      </c>
      <c r="E422" s="1" t="n">
        <v>46262</v>
      </c>
      <c r="F422" t="inlineStr">
        <is>
          <t>GÄVLEBORGS LÄN</t>
        </is>
      </c>
      <c r="G422" t="inlineStr">
        <is>
          <t>GÄVLE</t>
        </is>
      </c>
      <c r="I422" t="n">
        <v>8.199999999999999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63801-2025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46019</v>
      </c>
      <c r="E423" s="1" t="n">
        <v>46262</v>
      </c>
      <c r="F423" t="inlineStr">
        <is>
          <t>GÄVLEBORGS LÄN</t>
        </is>
      </c>
      <c r="G423" t="inlineStr">
        <is>
          <t>GÄVLE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46262</v>
      </c>
      <c r="F424" t="inlineStr">
        <is>
          <t>GÄVLEBORGS LÄN</t>
        </is>
      </c>
      <c r="G424" t="inlineStr">
        <is>
          <t>GÄVLE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45932</v>
      </c>
      <c r="E425" s="1" t="n">
        <v>46262</v>
      </c>
      <c r="F425" t="inlineStr">
        <is>
          <t>GÄVLEBORGS LÄN</t>
        </is>
      </c>
      <c r="G425" t="inlineStr">
        <is>
          <t>GÄVLE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45932</v>
      </c>
      <c r="E426" s="1" t="n">
        <v>46262</v>
      </c>
      <c r="F426" t="inlineStr">
        <is>
          <t>GÄVLEBORGS LÄN</t>
        </is>
      </c>
      <c r="G426" t="inlineStr">
        <is>
          <t>GÄVLE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63800-2025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46019</v>
      </c>
      <c r="E427" s="1" t="n">
        <v>46262</v>
      </c>
      <c r="F427" t="inlineStr">
        <is>
          <t>GÄVLEBORGS LÄN</t>
        </is>
      </c>
      <c r="G427" t="inlineStr">
        <is>
          <t>GÄVLE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45908</v>
      </c>
      <c r="E428" s="1" t="n">
        <v>46262</v>
      </c>
      <c r="F428" t="inlineStr">
        <is>
          <t>GÄVLEBORGS LÄN</t>
        </is>
      </c>
      <c r="G428" t="inlineStr">
        <is>
          <t>GÄVLE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48928-2025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46262</v>
      </c>
      <c r="F429" t="inlineStr">
        <is>
          <t>GÄVLEBORGS LÄN</t>
        </is>
      </c>
      <c r="G429" t="inlineStr">
        <is>
          <t>GÄVLE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48864-2025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45937</v>
      </c>
      <c r="E430" s="1" t="n">
        <v>46262</v>
      </c>
      <c r="F430" t="inlineStr">
        <is>
          <t>GÄVLEBORGS LÄN</t>
        </is>
      </c>
      <c r="G430" t="inlineStr">
        <is>
          <t>GÄVLE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8693-2024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45356</v>
      </c>
      <c r="E431" s="1" t="n">
        <v>46262</v>
      </c>
      <c r="F431" t="inlineStr">
        <is>
          <t>GÄVLEBORGS LÄN</t>
        </is>
      </c>
      <c r="G431" t="inlineStr">
        <is>
          <t>GÄVLE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65879-2021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44517</v>
      </c>
      <c r="E432" s="1" t="n">
        <v>46262</v>
      </c>
      <c r="F432" t="inlineStr">
        <is>
          <t>GÄVLEBORGS LÄN</t>
        </is>
      </c>
      <c r="G432" t="inlineStr">
        <is>
          <t>GÄVLE</t>
        </is>
      </c>
      <c r="H432" t="inlineStr">
        <is>
          <t>Kyrkan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45908</v>
      </c>
      <c r="E433" s="1" t="n">
        <v>46262</v>
      </c>
      <c r="F433" t="inlineStr">
        <is>
          <t>GÄVLEBORGS LÄN</t>
        </is>
      </c>
      <c r="G433" t="inlineStr">
        <is>
          <t>GÄVLE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47694-2025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45931</v>
      </c>
      <c r="E434" s="1" t="n">
        <v>46262</v>
      </c>
      <c r="F434" t="inlineStr">
        <is>
          <t>GÄVLEBORGS LÄN</t>
        </is>
      </c>
      <c r="G434" t="inlineStr">
        <is>
          <t>GÄVLE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45932</v>
      </c>
      <c r="E435" s="1" t="n">
        <v>46262</v>
      </c>
      <c r="F435" t="inlineStr">
        <is>
          <t>GÄVLEBORGS LÄN</t>
        </is>
      </c>
      <c r="G435" t="inlineStr">
        <is>
          <t>GÄVLE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46022</v>
      </c>
      <c r="E436" s="1" t="n">
        <v>46262</v>
      </c>
      <c r="F436" t="inlineStr">
        <is>
          <t>GÄVLEBORGS LÄN</t>
        </is>
      </c>
      <c r="G436" t="inlineStr">
        <is>
          <t>GÄVLE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70043-2021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44533</v>
      </c>
      <c r="E437" s="1" t="n">
        <v>46262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45681</v>
      </c>
      <c r="E438" s="1" t="n">
        <v>46262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46030</v>
      </c>
      <c r="E439" s="1" t="n">
        <v>46262</v>
      </c>
      <c r="F439" t="inlineStr">
        <is>
          <t>GÄVLEBORGS LÄN</t>
        </is>
      </c>
      <c r="G439" t="inlineStr">
        <is>
          <t>GÄVLE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45526</v>
      </c>
      <c r="E440" s="1" t="n">
        <v>46262</v>
      </c>
      <c r="F440" t="inlineStr">
        <is>
          <t>GÄVLEBORGS LÄN</t>
        </is>
      </c>
      <c r="G440" t="inlineStr">
        <is>
          <t>GÄVLE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46003</v>
      </c>
      <c r="E441" s="1" t="n">
        <v>46262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46262</v>
      </c>
      <c r="F442" t="inlineStr">
        <is>
          <t>GÄVLEBORGS LÄN</t>
        </is>
      </c>
      <c r="G442" t="inlineStr">
        <is>
          <t>GÄVLE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48834-2024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45593</v>
      </c>
      <c r="E443" s="1" t="n">
        <v>46262</v>
      </c>
      <c r="F443" t="inlineStr">
        <is>
          <t>GÄVLEBORGS LÄN</t>
        </is>
      </c>
      <c r="G443" t="inlineStr">
        <is>
          <t>GÄVLE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45468</v>
      </c>
      <c r="E444" s="1" t="n">
        <v>46262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46262</v>
      </c>
      <c r="F445" t="inlineStr">
        <is>
          <t>GÄVLEBORGS LÄN</t>
        </is>
      </c>
      <c r="G445" t="inlineStr">
        <is>
          <t>GÄVLE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57341-2023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45245</v>
      </c>
      <c r="E446" s="1" t="n">
        <v>46262</v>
      </c>
      <c r="F446" t="inlineStr">
        <is>
          <t>GÄVLEBORGS LÄN</t>
        </is>
      </c>
      <c r="G446" t="inlineStr">
        <is>
          <t>GÄVLE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18162-2022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44684</v>
      </c>
      <c r="E447" s="1" t="n">
        <v>46262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46041</v>
      </c>
      <c r="E448" s="1" t="n">
        <v>46262</v>
      </c>
      <c r="F448" t="inlineStr">
        <is>
          <t>GÄVLEBORGS LÄN</t>
        </is>
      </c>
      <c r="G448" t="inlineStr">
        <is>
          <t>GÄVLE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46262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46262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31062-2023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45113</v>
      </c>
      <c r="E451" s="1" t="n">
        <v>46262</v>
      </c>
      <c r="F451" t="inlineStr">
        <is>
          <t>GÄVLEBORGS LÄN</t>
        </is>
      </c>
      <c r="G451" t="inlineStr">
        <is>
          <t>GÄVLE</t>
        </is>
      </c>
      <c r="H451" t="inlineStr">
        <is>
          <t>Kommuner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46262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26249-2022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44735</v>
      </c>
      <c r="E453" s="1" t="n">
        <v>46262</v>
      </c>
      <c r="F453" t="inlineStr">
        <is>
          <t>GÄVLEBORGS LÄN</t>
        </is>
      </c>
      <c r="G453" t="inlineStr">
        <is>
          <t>GÄVLE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51876-2023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45223</v>
      </c>
      <c r="E454" s="1" t="n">
        <v>46262</v>
      </c>
      <c r="F454" t="inlineStr">
        <is>
          <t>GÄVLEBORGS LÄN</t>
        </is>
      </c>
      <c r="G454" t="inlineStr">
        <is>
          <t>GÄVLE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46262</v>
      </c>
      <c r="F455" t="inlineStr">
        <is>
          <t>GÄVLEBORGS LÄN</t>
        </is>
      </c>
      <c r="G455" t="inlineStr">
        <is>
          <t>GÄVLE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45715</v>
      </c>
      <c r="E456" s="1" t="n">
        <v>46262</v>
      </c>
      <c r="F456" t="inlineStr">
        <is>
          <t>GÄVLEBORGS LÄN</t>
        </is>
      </c>
      <c r="G456" t="inlineStr">
        <is>
          <t>GÄVLE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19555-2022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44693</v>
      </c>
      <c r="E457" s="1" t="n">
        <v>46262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46262</v>
      </c>
      <c r="F458" t="inlineStr">
        <is>
          <t>GÄVLEBORGS LÄN</t>
        </is>
      </c>
      <c r="G458" t="inlineStr">
        <is>
          <t>GÄVLE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23638-2024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45454</v>
      </c>
      <c r="E459" s="1" t="n">
        <v>46262</v>
      </c>
      <c r="F459" t="inlineStr">
        <is>
          <t>GÄVLEBORGS LÄN</t>
        </is>
      </c>
      <c r="G459" t="inlineStr">
        <is>
          <t>GÄVLE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49380-2024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45595</v>
      </c>
      <c r="E460" s="1" t="n">
        <v>46262</v>
      </c>
      <c r="F460" t="inlineStr">
        <is>
          <t>GÄVLEBORGS LÄN</t>
        </is>
      </c>
      <c r="G460" t="inlineStr">
        <is>
          <t>GÄVLE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14606-2025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45742</v>
      </c>
      <c r="E461" s="1" t="n">
        <v>46262</v>
      </c>
      <c r="F461" t="inlineStr">
        <is>
          <t>GÄVLEBORGS LÄN</t>
        </is>
      </c>
      <c r="G461" t="inlineStr">
        <is>
          <t>GÄVLE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46262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46549-2021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44445</v>
      </c>
      <c r="E463" s="1" t="n">
        <v>46262</v>
      </c>
      <c r="F463" t="inlineStr">
        <is>
          <t>GÄVLEBORGS LÄN</t>
        </is>
      </c>
      <c r="G463" t="inlineStr">
        <is>
          <t>GÄVLE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44585</v>
      </c>
      <c r="E464" s="1" t="n">
        <v>46262</v>
      </c>
      <c r="F464" t="inlineStr">
        <is>
          <t>GÄVLEBORGS LÄN</t>
        </is>
      </c>
      <c r="G464" t="inlineStr">
        <is>
          <t>GÄVLE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46052</v>
      </c>
      <c r="E465" s="1" t="n">
        <v>46262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46052</v>
      </c>
      <c r="E466" s="1" t="n">
        <v>46262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46262</v>
      </c>
      <c r="F467" t="inlineStr">
        <is>
          <t>GÄVLEBORGS LÄN</t>
        </is>
      </c>
      <c r="G467" t="inlineStr">
        <is>
          <t>GÄVLE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46262</v>
      </c>
      <c r="F468" t="inlineStr">
        <is>
          <t>GÄVLEBORGS LÄN</t>
        </is>
      </c>
      <c r="G468" t="inlineStr">
        <is>
          <t>GÄVLE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46262</v>
      </c>
      <c r="F469" t="inlineStr">
        <is>
          <t>GÄVLEBORGS LÄN</t>
        </is>
      </c>
      <c r="G469" t="inlineStr">
        <is>
          <t>GÄVLE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44735</v>
      </c>
      <c r="E470" s="1" t="n">
        <v>46262</v>
      </c>
      <c r="F470" t="inlineStr">
        <is>
          <t>GÄVLEBORGS LÄN</t>
        </is>
      </c>
      <c r="G470" t="inlineStr">
        <is>
          <t>GÄVLE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20999-2022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44701</v>
      </c>
      <c r="E471" s="1" t="n">
        <v>46262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26.3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46262</v>
      </c>
      <c r="F472" t="inlineStr">
        <is>
          <t>GÄVLEBORGS LÄN</t>
        </is>
      </c>
      <c r="G472" t="inlineStr">
        <is>
          <t>GÄVLE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7252-2026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46262</v>
      </c>
      <c r="F473" t="inlineStr">
        <is>
          <t>GÄVLEBORGS LÄN</t>
        </is>
      </c>
      <c r="G473" t="inlineStr">
        <is>
          <t>GÄVLE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46100</v>
      </c>
      <c r="E474" s="1" t="n">
        <v>46262</v>
      </c>
      <c r="F474" t="inlineStr">
        <is>
          <t>GÄVLEBORGS LÄN</t>
        </is>
      </c>
      <c r="G474" t="inlineStr">
        <is>
          <t>GÄVLE</t>
        </is>
      </c>
      <c r="H474" t="inlineStr">
        <is>
          <t>Övriga statliga verk och myndigheter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32143-2024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45511</v>
      </c>
      <c r="E475" s="1" t="n">
        <v>46262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57570-2024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45630</v>
      </c>
      <c r="E476" s="1" t="n">
        <v>46262</v>
      </c>
      <c r="F476" t="inlineStr">
        <is>
          <t>GÄVLEBORGS LÄN</t>
        </is>
      </c>
      <c r="G476" t="inlineStr">
        <is>
          <t>GÄVLE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46262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11.6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46262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väst AB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46262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46262</v>
      </c>
      <c r="F480" t="inlineStr">
        <is>
          <t>GÄVLEBORGS LÄN</t>
        </is>
      </c>
      <c r="G480" t="inlineStr">
        <is>
          <t>GÄVLE</t>
        </is>
      </c>
      <c r="H480" t="inlineStr">
        <is>
          <t>Kyrkan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46262</v>
      </c>
      <c r="F481" t="inlineStr">
        <is>
          <t>GÄVLEBORGS LÄN</t>
        </is>
      </c>
      <c r="G481" t="inlineStr">
        <is>
          <t>GÄVLE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46063</v>
      </c>
      <c r="E482" s="1" t="n">
        <v>46262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8558-2026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46262</v>
      </c>
      <c r="F483" t="inlineStr">
        <is>
          <t>GÄVLEBORGS LÄN</t>
        </is>
      </c>
      <c r="G483" t="inlineStr">
        <is>
          <t>GÄVLE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9129-2026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46069</v>
      </c>
      <c r="E484" s="1" t="n">
        <v>46262</v>
      </c>
      <c r="F484" t="inlineStr">
        <is>
          <t>GÄVLEBORGS LÄN</t>
        </is>
      </c>
      <c r="G484" t="inlineStr">
        <is>
          <t>GÄVLE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18168-2022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44684</v>
      </c>
      <c r="E485" s="1" t="n">
        <v>46262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46262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47143-2024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45586</v>
      </c>
      <c r="E487" s="1" t="n">
        <v>46262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9534-2026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46262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46073</v>
      </c>
      <c r="E489" s="1" t="n">
        <v>46262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9779-2026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46072</v>
      </c>
      <c r="E490" s="1" t="n">
        <v>46262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19730-2022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44694</v>
      </c>
      <c r="E491" s="1" t="n">
        <v>46262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46262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45138</v>
      </c>
      <c r="E493" s="1" t="n">
        <v>46262</v>
      </c>
      <c r="F493" t="inlineStr">
        <is>
          <t>GÄVLEBORGS LÄN</t>
        </is>
      </c>
      <c r="G493" t="inlineStr">
        <is>
          <t>GÄVLE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40091-2023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46262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44951</v>
      </c>
      <c r="E495" s="1" t="n">
        <v>46262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väst AB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44951</v>
      </c>
      <c r="E496" s="1" t="n">
        <v>46262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väst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46262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46262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46077</v>
      </c>
      <c r="E499" s="1" t="n">
        <v>46262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46262</v>
      </c>
      <c r="F500" t="inlineStr">
        <is>
          <t>GÄVLEBORGS LÄN</t>
        </is>
      </c>
      <c r="G500" t="inlineStr">
        <is>
          <t>GÄVLE</t>
        </is>
      </c>
      <c r="H500" t="inlineStr">
        <is>
          <t>Kommuner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59322-2022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46262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44962</v>
      </c>
      <c r="E502" s="1" t="n">
        <v>46262</v>
      </c>
      <c r="F502" t="inlineStr">
        <is>
          <t>GÄVLEBORGS LÄN</t>
        </is>
      </c>
      <c r="G502" t="inlineStr">
        <is>
          <t>GÄVLE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45660</v>
      </c>
      <c r="E503" s="1" t="n">
        <v>46262</v>
      </c>
      <c r="F503" t="inlineStr">
        <is>
          <t>GÄVLEBORGS LÄN</t>
        </is>
      </c>
      <c r="G503" t="inlineStr">
        <is>
          <t>GÄVLE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11523-2026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46262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44942</v>
      </c>
      <c r="E505" s="1" t="n">
        <v>46262</v>
      </c>
      <c r="F505" t="inlineStr">
        <is>
          <t>GÄVLEBORGS LÄN</t>
        </is>
      </c>
      <c r="G505" t="inlineStr">
        <is>
          <t>GÄVLE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47108-2024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45586</v>
      </c>
      <c r="E506" s="1" t="n">
        <v>46262</v>
      </c>
      <c r="F506" t="inlineStr">
        <is>
          <t>GÄVLEBORGS LÄN</t>
        </is>
      </c>
      <c r="G506" t="inlineStr">
        <is>
          <t>GÄVLE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11926-2026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46262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21300-2024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45440</v>
      </c>
      <c r="E508" s="1" t="n">
        <v>46262</v>
      </c>
      <c r="F508" t="inlineStr">
        <is>
          <t>GÄVLEBORGS LÄN</t>
        </is>
      </c>
      <c r="G508" t="inlineStr">
        <is>
          <t>GÄVLE</t>
        </is>
      </c>
      <c r="I508" t="n">
        <v>8.6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46085</v>
      </c>
      <c r="E509" s="1" t="n">
        <v>46262</v>
      </c>
      <c r="F509" t="inlineStr">
        <is>
          <t>GÄVLEBORGS LÄN</t>
        </is>
      </c>
      <c r="G509" t="inlineStr">
        <is>
          <t>GÄVLE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47746-2023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45203</v>
      </c>
      <c r="E510" s="1" t="n">
        <v>46262</v>
      </c>
      <c r="F510" t="inlineStr">
        <is>
          <t>GÄVLEBORGS LÄN</t>
        </is>
      </c>
      <c r="G510" t="inlineStr">
        <is>
          <t>GÄVLE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58192-2024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46262</v>
      </c>
      <c r="F511" t="inlineStr">
        <is>
          <t>GÄVLEBORGS LÄN</t>
        </is>
      </c>
      <c r="G511" t="inlineStr">
        <is>
          <t>GÄVLE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52495-2021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44466</v>
      </c>
      <c r="E512" s="1" t="n">
        <v>46262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34668-2024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45526</v>
      </c>
      <c r="E513" s="1" t="n">
        <v>46262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45666</v>
      </c>
      <c r="E514" s="1" t="n">
        <v>46262</v>
      </c>
      <c r="F514" t="inlineStr">
        <is>
          <t>GÄVLEBORGS LÄN</t>
        </is>
      </c>
      <c r="G514" t="inlineStr">
        <is>
          <t>GÄVLE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20689-2024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45436</v>
      </c>
      <c r="E515" s="1" t="n">
        <v>46262</v>
      </c>
      <c r="F515" t="inlineStr">
        <is>
          <t>GÄVLEBORGS LÄN</t>
        </is>
      </c>
      <c r="G515" t="inlineStr">
        <is>
          <t>GÄVLE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46092</v>
      </c>
      <c r="E516" s="1" t="n">
        <v>46262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46092</v>
      </c>
      <c r="E517" s="1" t="n">
        <v>46262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46262</v>
      </c>
      <c r="F518" t="inlineStr">
        <is>
          <t>GÄVLEBORGS LÄN</t>
        </is>
      </c>
      <c r="G518" t="inlineStr">
        <is>
          <t>GÄVLE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46262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46262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46262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13317-2026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46094</v>
      </c>
      <c r="E522" s="1" t="n">
        <v>46262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13489-2026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46262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13500-2026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46262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46262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46262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13432-2026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46262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10.2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13389-2026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46262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13503-2026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46094</v>
      </c>
      <c r="E529" s="1" t="n">
        <v>46262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46262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46262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45645</v>
      </c>
      <c r="E532" s="1" t="n">
        <v>46262</v>
      </c>
      <c r="F532" t="inlineStr">
        <is>
          <t>GÄVLEBORGS LÄN</t>
        </is>
      </c>
      <c r="G532" t="inlineStr">
        <is>
          <t>GÄVLE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46095</v>
      </c>
      <c r="E533" s="1" t="n">
        <v>46262</v>
      </c>
      <c r="F533" t="inlineStr">
        <is>
          <t>GÄVLEBORGS LÄN</t>
        </is>
      </c>
      <c r="G533" t="inlineStr">
        <is>
          <t>GÄVLE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13893-2026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46098</v>
      </c>
      <c r="E534" s="1" t="n">
        <v>46262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64868-2023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45282</v>
      </c>
      <c r="E535" s="1" t="n">
        <v>46262</v>
      </c>
      <c r="F535" t="inlineStr">
        <is>
          <t>GÄVLEBORGS LÄN</t>
        </is>
      </c>
      <c r="G535" t="inlineStr">
        <is>
          <t>GÄVLE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14280-2026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46262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45672</v>
      </c>
      <c r="E537" s="1" t="n">
        <v>46262</v>
      </c>
      <c r="F537" t="inlineStr">
        <is>
          <t>GÄVLEBORGS LÄN</t>
        </is>
      </c>
      <c r="G537" t="inlineStr">
        <is>
          <t>GÄVLE</t>
        </is>
      </c>
      <c r="H537" t="inlineStr">
        <is>
          <t>Kyrkan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14401-2026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46262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46262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61016-2024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46262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18361-2024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45422</v>
      </c>
      <c r="E541" s="1" t="n">
        <v>46262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46262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46262</v>
      </c>
      <c r="F543" t="inlineStr">
        <is>
          <t>GÄVLEBORGS LÄN</t>
        </is>
      </c>
      <c r="G543" t="inlineStr">
        <is>
          <t>GÄVLE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14583-2026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46262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15046-2026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46104</v>
      </c>
      <c r="E545" s="1" t="n">
        <v>46262</v>
      </c>
      <c r="F545" t="inlineStr">
        <is>
          <t>GÄVLEBORGS LÄN</t>
        </is>
      </c>
      <c r="G545" t="inlineStr">
        <is>
          <t>GÄVLE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20682-2023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45058</v>
      </c>
      <c r="E546" s="1" t="n">
        <v>46262</v>
      </c>
      <c r="F546" t="inlineStr">
        <is>
          <t>GÄVLEBORGS LÄN</t>
        </is>
      </c>
      <c r="G546" t="inlineStr">
        <is>
          <t>GÄVLE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46262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46262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44586</v>
      </c>
      <c r="E549" s="1" t="n">
        <v>46262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46105</v>
      </c>
      <c r="E550" s="1" t="n">
        <v>46262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45658</v>
      </c>
      <c r="E551" s="1" t="n">
        <v>46262</v>
      </c>
      <c r="F551" t="inlineStr">
        <is>
          <t>GÄVLEBORGS LÄN</t>
        </is>
      </c>
      <c r="G551" t="inlineStr">
        <is>
          <t>GÄVLE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66351-2021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44518</v>
      </c>
      <c r="E552" s="1" t="n">
        <v>46262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45084</v>
      </c>
      <c r="E553" s="1" t="n">
        <v>46262</v>
      </c>
      <c r="F553" t="inlineStr">
        <is>
          <t>GÄVLEBORGS LÄN</t>
        </is>
      </c>
      <c r="G553" t="inlineStr">
        <is>
          <t>GÄVLE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15985-2026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46262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29929-2022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44756</v>
      </c>
      <c r="E555" s="1" t="n">
        <v>46262</v>
      </c>
      <c r="F555" t="inlineStr">
        <is>
          <t>GÄVLEBORGS LÄN</t>
        </is>
      </c>
      <c r="G555" t="inlineStr">
        <is>
          <t>GÄVLE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38673-2024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46262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46262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44936</v>
      </c>
      <c r="E558" s="1" t="n">
        <v>46262</v>
      </c>
      <c r="F558" t="inlineStr">
        <is>
          <t>GÄVLEBORGS LÄN</t>
        </is>
      </c>
      <c r="G558" t="inlineStr">
        <is>
          <t>GÄVLE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60442-2022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44911</v>
      </c>
      <c r="E559" s="1" t="n">
        <v>46262</v>
      </c>
      <c r="F559" t="inlineStr">
        <is>
          <t>GÄVLEBORGS LÄN</t>
        </is>
      </c>
      <c r="G559" t="inlineStr">
        <is>
          <t>GÄVLE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50314-2024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45600</v>
      </c>
      <c r="E560" s="1" t="n">
        <v>46262</v>
      </c>
      <c r="F560" t="inlineStr">
        <is>
          <t>GÄVLEBORGS LÄN</t>
        </is>
      </c>
      <c r="G560" t="inlineStr">
        <is>
          <t>GÄVLE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61786-2024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45649</v>
      </c>
      <c r="E561" s="1" t="n">
        <v>46262</v>
      </c>
      <c r="F561" t="inlineStr">
        <is>
          <t>GÄVLEBORGS LÄN</t>
        </is>
      </c>
      <c r="G561" t="inlineStr">
        <is>
          <t>GÄVLE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17471-2026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46120</v>
      </c>
      <c r="E562" s="1" t="n">
        <v>46262</v>
      </c>
      <c r="F562" t="inlineStr">
        <is>
          <t>GÄVLEBORGS LÄN</t>
        </is>
      </c>
      <c r="G562" t="inlineStr">
        <is>
          <t>GÄVLE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46262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46077</v>
      </c>
      <c r="E564" s="1" t="n">
        <v>46262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45320</v>
      </c>
      <c r="E565" s="1" t="n">
        <v>46262</v>
      </c>
      <c r="F565" t="inlineStr">
        <is>
          <t>GÄVLEBORGS LÄN</t>
        </is>
      </c>
      <c r="G565" t="inlineStr">
        <is>
          <t>GÄVLE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46262</v>
      </c>
      <c r="F566" t="inlineStr">
        <is>
          <t>GÄVLEBORGS LÄN</t>
        </is>
      </c>
      <c r="G566" t="inlineStr">
        <is>
          <t>GÄVLE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46262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18175-2026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46125</v>
      </c>
      <c r="E568" s="1" t="n">
        <v>46262</v>
      </c>
      <c r="F568" t="inlineStr">
        <is>
          <t>GÄVLEBORGS LÄN</t>
        </is>
      </c>
      <c r="G568" t="inlineStr">
        <is>
          <t>GÄVLE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17976-2026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46124</v>
      </c>
      <c r="E569" s="1" t="n">
        <v>46262</v>
      </c>
      <c r="F569" t="inlineStr">
        <is>
          <t>GÄVLEBORGS LÄN</t>
        </is>
      </c>
      <c r="G569" t="inlineStr">
        <is>
          <t>GÄVLE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46124</v>
      </c>
      <c r="E570" s="1" t="n">
        <v>46262</v>
      </c>
      <c r="F570" t="inlineStr">
        <is>
          <t>GÄVLEBORGS LÄN</t>
        </is>
      </c>
      <c r="G570" t="inlineStr">
        <is>
          <t>GÄVLE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17974-2026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46124</v>
      </c>
      <c r="E571" s="1" t="n">
        <v>46262</v>
      </c>
      <c r="F571" t="inlineStr">
        <is>
          <t>GÄVLEBORGS LÄN</t>
        </is>
      </c>
      <c r="G571" t="inlineStr">
        <is>
          <t>GÄVLE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13046-2026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46093</v>
      </c>
      <c r="E572" s="1" t="n">
        <v>46262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46128</v>
      </c>
      <c r="E573" s="1" t="n">
        <v>46262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15635-2026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46106</v>
      </c>
      <c r="E574" s="1" t="n">
        <v>46262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32255-2023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45120</v>
      </c>
      <c r="E575" s="1" t="n">
        <v>46262</v>
      </c>
      <c r="F575" t="inlineStr">
        <is>
          <t>GÄVLEBORGS LÄN</t>
        </is>
      </c>
      <c r="G575" t="inlineStr">
        <is>
          <t>GÄVLE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14966-2026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46104</v>
      </c>
      <c r="E576" s="1" t="n">
        <v>46262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18817-2026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46262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13492-2026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46094</v>
      </c>
      <c r="E578" s="1" t="n">
        <v>46262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46262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15568-2026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46262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46262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36.3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46262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19087-2026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46262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19088-2026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46262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45312</v>
      </c>
      <c r="E585" s="1" t="n">
        <v>46262</v>
      </c>
      <c r="F585" t="inlineStr">
        <is>
          <t>GÄVLEBORGS LÄN</t>
        </is>
      </c>
      <c r="G585" t="inlineStr">
        <is>
          <t>GÄVLE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46262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46133</v>
      </c>
      <c r="E587" s="1" t="n">
        <v>46262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46133</v>
      </c>
      <c r="E588" s="1" t="n">
        <v>46262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46262</v>
      </c>
      <c r="F589" t="inlineStr">
        <is>
          <t>GÄVLEBORGS LÄN</t>
        </is>
      </c>
      <c r="G589" t="inlineStr">
        <is>
          <t>GÄVLE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59817-2023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45257</v>
      </c>
      <c r="E590" s="1" t="n">
        <v>46262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väst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46262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19715-2026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46262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12386-2026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46090</v>
      </c>
      <c r="E593" s="1" t="n">
        <v>46262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46262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46134</v>
      </c>
      <c r="E595" s="1" t="n">
        <v>46262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46262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46262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46100</v>
      </c>
      <c r="E598" s="1" t="n">
        <v>46262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19372-2026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46133</v>
      </c>
      <c r="E599" s="1" t="n">
        <v>46262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14173-2022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44651</v>
      </c>
      <c r="E600" s="1" t="n">
        <v>46262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46262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42876-2023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45182</v>
      </c>
      <c r="E602" s="1" t="n">
        <v>46262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22.7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44000-2025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45915</v>
      </c>
      <c r="E603" s="1" t="n">
        <v>46262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15324-2026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46105</v>
      </c>
      <c r="E604" s="1" t="n">
        <v>46262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46029</v>
      </c>
      <c r="E605" s="1" t="n">
        <v>46262</v>
      </c>
      <c r="F605" t="inlineStr">
        <is>
          <t>GÄVLEBORGS LÄN</t>
        </is>
      </c>
      <c r="G605" t="inlineStr">
        <is>
          <t>GÄVLE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17404-2025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45757</v>
      </c>
      <c r="E606" s="1" t="n">
        <v>46262</v>
      </c>
      <c r="F606" t="inlineStr">
        <is>
          <t>GÄVLEBORGS LÄN</t>
        </is>
      </c>
      <c r="G606" t="inlineStr">
        <is>
          <t>GÄVLE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15835-2026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46262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45686</v>
      </c>
      <c r="E608" s="1" t="n">
        <v>46262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50537-2025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45945</v>
      </c>
      <c r="E609" s="1" t="n">
        <v>46262</v>
      </c>
      <c r="F609" t="inlineStr">
        <is>
          <t>GÄVLEBORGS LÄN</t>
        </is>
      </c>
      <c r="G609" t="inlineStr">
        <is>
          <t>GÄVLE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37146-2024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45539</v>
      </c>
      <c r="E610" s="1" t="n">
        <v>46262</v>
      </c>
      <c r="F610" t="inlineStr">
        <is>
          <t>GÄVLEBORGS LÄN</t>
        </is>
      </c>
      <c r="G610" t="inlineStr">
        <is>
          <t>GÄVLE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15801-2026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46262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45660</v>
      </c>
      <c r="E612" s="1" t="n">
        <v>46262</v>
      </c>
      <c r="F612" t="inlineStr">
        <is>
          <t>GÄVLEBORGS LÄN</t>
        </is>
      </c>
      <c r="G612" t="inlineStr">
        <is>
          <t>GÄVLE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26094-2025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45805</v>
      </c>
      <c r="E613" s="1" t="n">
        <v>46262</v>
      </c>
      <c r="F613" t="inlineStr">
        <is>
          <t>GÄVLEBORGS LÄN</t>
        </is>
      </c>
      <c r="G613" t="inlineStr">
        <is>
          <t>GÄVLE</t>
        </is>
      </c>
      <c r="I613" t="n">
        <v>12.4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46262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35916-2025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45862</v>
      </c>
      <c r="E615" s="1" t="n">
        <v>46262</v>
      </c>
      <c r="F615" t="inlineStr">
        <is>
          <t>GÄVLEBORGS LÄN</t>
        </is>
      </c>
      <c r="G615" t="inlineStr">
        <is>
          <t>GÄVLE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46031</v>
      </c>
      <c r="E616" s="1" t="n">
        <v>46262</v>
      </c>
      <c r="F616" t="inlineStr">
        <is>
          <t>GÄVLEBORGS LÄN</t>
        </is>
      </c>
      <c r="G616" t="inlineStr">
        <is>
          <t>GÄVLE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15101-2025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45744</v>
      </c>
      <c r="E617" s="1" t="n">
        <v>46262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42592-2025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45905</v>
      </c>
      <c r="E618" s="1" t="n">
        <v>46262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väst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2373-2025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45673</v>
      </c>
      <c r="E619" s="1" t="n">
        <v>46262</v>
      </c>
      <c r="F619" t="inlineStr">
        <is>
          <t>GÄVLEBORGS LÄN</t>
        </is>
      </c>
      <c r="G619" t="inlineStr">
        <is>
          <t>GÄVLE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45673</v>
      </c>
      <c r="E620" s="1" t="n">
        <v>46262</v>
      </c>
      <c r="F620" t="inlineStr">
        <is>
          <t>GÄVLEBORGS LÄN</t>
        </is>
      </c>
      <c r="G620" t="inlineStr">
        <is>
          <t>GÄVLE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9378-2025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45715</v>
      </c>
      <c r="E621" s="1" t="n">
        <v>46262</v>
      </c>
      <c r="F621" t="inlineStr">
        <is>
          <t>GÄVLEBORGS LÄN</t>
        </is>
      </c>
      <c r="G621" t="inlineStr">
        <is>
          <t>GÄVLE</t>
        </is>
      </c>
      <c r="H621" t="inlineStr">
        <is>
          <t>Kyrkan</t>
        </is>
      </c>
      <c r="I621" t="n">
        <v>8.1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15536-2026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46262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22.4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10521-2026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46077</v>
      </c>
      <c r="E623" s="1" t="n">
        <v>46262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15799-2026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46262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15092-2026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46105</v>
      </c>
      <c r="E625" s="1" t="n">
        <v>46262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61501-2024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45646</v>
      </c>
      <c r="E626" s="1" t="n">
        <v>46262</v>
      </c>
      <c r="F626" t="inlineStr">
        <is>
          <t>GÄVLEBORGS LÄN</t>
        </is>
      </c>
      <c r="G626" t="inlineStr">
        <is>
          <t>GÄVLE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45744</v>
      </c>
      <c r="E627" s="1" t="n">
        <v>46262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47458-2022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44853</v>
      </c>
      <c r="E628" s="1" t="n">
        <v>46262</v>
      </c>
      <c r="F628" t="inlineStr">
        <is>
          <t>GÄVLEBORGS LÄN</t>
        </is>
      </c>
      <c r="G628" t="inlineStr">
        <is>
          <t>GÄVLE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46262</v>
      </c>
      <c r="F629" t="inlineStr">
        <is>
          <t>GÄVLEBORGS LÄN</t>
        </is>
      </c>
      <c r="G629" t="inlineStr">
        <is>
          <t>GÄVLE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44938-2022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44841</v>
      </c>
      <c r="E630" s="1" t="n">
        <v>46262</v>
      </c>
      <c r="F630" t="inlineStr">
        <is>
          <t>GÄVLEBORGS LÄN</t>
        </is>
      </c>
      <c r="G630" t="inlineStr">
        <is>
          <t>GÄVLE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46262</v>
      </c>
      <c r="F631" t="inlineStr">
        <is>
          <t>GÄVLEBORGS LÄN</t>
        </is>
      </c>
      <c r="G631" t="inlineStr">
        <is>
          <t>GÄVLE</t>
        </is>
      </c>
      <c r="I631" t="n">
        <v>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15689-2026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46262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15275-2026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46105</v>
      </c>
      <c r="E633" s="1" t="n">
        <v>46262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45330</v>
      </c>
      <c r="E634" s="1" t="n">
        <v>46262</v>
      </c>
      <c r="F634" t="inlineStr">
        <is>
          <t>GÄVLEBORGS LÄN</t>
        </is>
      </c>
      <c r="G634" t="inlineStr">
        <is>
          <t>GÄVLE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9025-2026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46262</v>
      </c>
      <c r="F635" t="inlineStr">
        <is>
          <t>GÄVLEBORGS LÄN</t>
        </is>
      </c>
      <c r="G635" t="inlineStr">
        <is>
          <t>GÄVLE</t>
        </is>
      </c>
      <c r="I635" t="n">
        <v>12.7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45869</v>
      </c>
      <c r="E636" s="1" t="n">
        <v>46262</v>
      </c>
      <c r="F636" t="inlineStr">
        <is>
          <t>GÄVLEBORGS LÄN</t>
        </is>
      </c>
      <c r="G636" t="inlineStr">
        <is>
          <t>GÄVLE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50582-2023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45217</v>
      </c>
      <c r="E637" s="1" t="n">
        <v>46262</v>
      </c>
      <c r="F637" t="inlineStr">
        <is>
          <t>GÄVLEBORGS LÄN</t>
        </is>
      </c>
      <c r="G637" t="inlineStr">
        <is>
          <t>GÄVLE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14355-2026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46100</v>
      </c>
      <c r="E638" s="1" t="n">
        <v>46262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9235-2022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44616</v>
      </c>
      <c r="E639" s="1" t="n">
        <v>46262</v>
      </c>
      <c r="F639" t="inlineStr">
        <is>
          <t>GÄVLEBORGS LÄN</t>
        </is>
      </c>
      <c r="G639" t="inlineStr">
        <is>
          <t>GÄVLE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53082-2022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44876</v>
      </c>
      <c r="E640" s="1" t="n">
        <v>46262</v>
      </c>
      <c r="F640" t="inlineStr">
        <is>
          <t>GÄVLEBORGS LÄN</t>
        </is>
      </c>
      <c r="G640" t="inlineStr">
        <is>
          <t>GÄVLE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72734-2021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44546</v>
      </c>
      <c r="E641" s="1" t="n">
        <v>46262</v>
      </c>
      <c r="F641" t="inlineStr">
        <is>
          <t>GÄVLEBORGS LÄN</t>
        </is>
      </c>
      <c r="G641" t="inlineStr">
        <is>
          <t>GÄVLE</t>
        </is>
      </c>
      <c r="H641" t="inlineStr">
        <is>
          <t>Kommuner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53432-2021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44468</v>
      </c>
      <c r="E642" s="1" t="n">
        <v>46262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6331-2022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44600</v>
      </c>
      <c r="E643" s="1" t="n">
        <v>46262</v>
      </c>
      <c r="F643" t="inlineStr">
        <is>
          <t>GÄVLEBORGS LÄN</t>
        </is>
      </c>
      <c r="G643" t="inlineStr">
        <is>
          <t>GÄVLE</t>
        </is>
      </c>
      <c r="H643" t="inlineStr">
        <is>
          <t>Kyrkan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15647-2026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46262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58445-2021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44488</v>
      </c>
      <c r="E645" s="1" t="n">
        <v>46262</v>
      </c>
      <c r="F645" t="inlineStr">
        <is>
          <t>GÄVLEBORGS LÄN</t>
        </is>
      </c>
      <c r="G645" t="inlineStr">
        <is>
          <t>GÄVLE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20589-2026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46140</v>
      </c>
      <c r="E646" s="1" t="n">
        <v>46262</v>
      </c>
      <c r="F646" t="inlineStr">
        <is>
          <t>GÄVLEBORGS LÄN</t>
        </is>
      </c>
      <c r="G646" t="inlineStr">
        <is>
          <t>GÄVLE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46030</v>
      </c>
      <c r="E647" s="1" t="n">
        <v>46262</v>
      </c>
      <c r="F647" t="inlineStr">
        <is>
          <t>GÄVLEBORGS LÄN</t>
        </is>
      </c>
      <c r="G647" t="inlineStr">
        <is>
          <t>GÄVLE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10487-2026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46262</v>
      </c>
      <c r="F648" t="inlineStr">
        <is>
          <t>GÄVLEBORGS LÄN</t>
        </is>
      </c>
      <c r="G648" t="inlineStr">
        <is>
          <t>GÄVLE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16190-2026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46111</v>
      </c>
      <c r="E649" s="1" t="n">
        <v>46262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66493-2021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44519</v>
      </c>
      <c r="E650" s="1" t="n">
        <v>46262</v>
      </c>
      <c r="F650" t="inlineStr">
        <is>
          <t>GÄVLEBORGS LÄN</t>
        </is>
      </c>
      <c r="G650" t="inlineStr">
        <is>
          <t>GÄVLE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16263-2026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46111</v>
      </c>
      <c r="E651" s="1" t="n">
        <v>46262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16076-2026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46108</v>
      </c>
      <c r="E652" s="1" t="n">
        <v>46262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20736-2026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46141</v>
      </c>
      <c r="E653" s="1" t="n">
        <v>46262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25812-2023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46262</v>
      </c>
      <c r="F654" t="inlineStr">
        <is>
          <t>GÄVLEBORGS LÄN</t>
        </is>
      </c>
      <c r="G654" t="inlineStr">
        <is>
          <t>GÄVLE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46033</v>
      </c>
      <c r="E655" s="1" t="n">
        <v>46262</v>
      </c>
      <c r="F655" t="inlineStr">
        <is>
          <t>GÄVLEBORGS LÄN</t>
        </is>
      </c>
      <c r="G655" t="inlineStr">
        <is>
          <t>GÄVLE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20785-2026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46141</v>
      </c>
      <c r="E656" s="1" t="n">
        <v>46262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7441-2025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45705</v>
      </c>
      <c r="E657" s="1" t="n">
        <v>46262</v>
      </c>
      <c r="F657" t="inlineStr">
        <is>
          <t>GÄVLEBORGS LÄN</t>
        </is>
      </c>
      <c r="G657" t="inlineStr">
        <is>
          <t>GÄVLE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21966-2025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45784</v>
      </c>
      <c r="E658" s="1" t="n">
        <v>46262</v>
      </c>
      <c r="F658" t="inlineStr">
        <is>
          <t>GÄVLEBORGS LÄN</t>
        </is>
      </c>
      <c r="G658" t="inlineStr">
        <is>
          <t>GÄVLE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1238-2023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44936</v>
      </c>
      <c r="E659" s="1" t="n">
        <v>46262</v>
      </c>
      <c r="F659" t="inlineStr">
        <is>
          <t>GÄVLEBORGS LÄN</t>
        </is>
      </c>
      <c r="G659" t="inlineStr">
        <is>
          <t>GÄVLE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20685-2026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46141</v>
      </c>
      <c r="E660" s="1" t="n">
        <v>46262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20735-2026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46141</v>
      </c>
      <c r="E661" s="1" t="n">
        <v>46262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20906-2026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46142</v>
      </c>
      <c r="E662" s="1" t="n">
        <v>46262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45312</v>
      </c>
      <c r="E663" s="1" t="n">
        <v>46262</v>
      </c>
      <c r="F663" t="inlineStr">
        <is>
          <t>GÄVLEBORGS LÄN</t>
        </is>
      </c>
      <c r="G663" t="inlineStr">
        <is>
          <t>GÄVLE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20905-2026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46142</v>
      </c>
      <c r="E664" s="1" t="n">
        <v>46262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51071-2023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45218</v>
      </c>
      <c r="E665" s="1" t="n">
        <v>46262</v>
      </c>
      <c r="F665" t="inlineStr">
        <is>
          <t>GÄVLEBORGS LÄN</t>
        </is>
      </c>
      <c r="G665" t="inlineStr">
        <is>
          <t>GÄVLE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46262</v>
      </c>
      <c r="F666" t="inlineStr">
        <is>
          <t>GÄVLEBORGS LÄN</t>
        </is>
      </c>
      <c r="G666" t="inlineStr">
        <is>
          <t>GÄVLE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21364-2026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46147</v>
      </c>
      <c r="E667" s="1" t="n">
        <v>46262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17113-2024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45412</v>
      </c>
      <c r="E668" s="1" t="n">
        <v>46262</v>
      </c>
      <c r="F668" t="inlineStr">
        <is>
          <t>GÄVLEBORGS LÄN</t>
        </is>
      </c>
      <c r="G668" t="inlineStr">
        <is>
          <t>GÄVLE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21033-2026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46146</v>
      </c>
      <c r="E669" s="1" t="n">
        <v>46262</v>
      </c>
      <c r="F669" t="inlineStr">
        <is>
          <t>GÄVLEBORGS LÄN</t>
        </is>
      </c>
      <c r="G669" t="inlineStr">
        <is>
          <t>GÄVLE</t>
        </is>
      </c>
      <c r="H669" t="inlineStr">
        <is>
          <t>Kyrkan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14707-2026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46262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16144-2026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46108</v>
      </c>
      <c r="E671" s="1" t="n">
        <v>46262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49401-2024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45595</v>
      </c>
      <c r="E672" s="1" t="n">
        <v>46262</v>
      </c>
      <c r="F672" t="inlineStr">
        <is>
          <t>GÄVLEBORGS LÄN</t>
        </is>
      </c>
      <c r="G672" t="inlineStr">
        <is>
          <t>GÄVLE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46539-2021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44445</v>
      </c>
      <c r="E673" s="1" t="n">
        <v>46262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64871-2023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45282</v>
      </c>
      <c r="E674" s="1" t="n">
        <v>46262</v>
      </c>
      <c r="F674" t="inlineStr">
        <is>
          <t>GÄVLEBORGS LÄN</t>
        </is>
      </c>
      <c r="G674" t="inlineStr">
        <is>
          <t>GÄVLE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64875-2023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45282</v>
      </c>
      <c r="E675" s="1" t="n">
        <v>46262</v>
      </c>
      <c r="F675" t="inlineStr">
        <is>
          <t>GÄVLEBORGS LÄN</t>
        </is>
      </c>
      <c r="G675" t="inlineStr">
        <is>
          <t>GÄVLE</t>
        </is>
      </c>
      <c r="I675" t="n">
        <v>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64878-2023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45282</v>
      </c>
      <c r="E676" s="1" t="n">
        <v>46262</v>
      </c>
      <c r="F676" t="inlineStr">
        <is>
          <t>GÄVLEBORGS LÄN</t>
        </is>
      </c>
      <c r="G676" t="inlineStr">
        <is>
          <t>GÄVLE</t>
        </is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22111-2026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46153</v>
      </c>
      <c r="E677" s="1" t="n">
        <v>46262</v>
      </c>
      <c r="F677" t="inlineStr">
        <is>
          <t>GÄVLEBORGS LÄN</t>
        </is>
      </c>
      <c r="G677" t="inlineStr">
        <is>
          <t>GÄVLE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22054-2026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46153</v>
      </c>
      <c r="E678" s="1" t="n">
        <v>46262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22053-2026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46262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42934-2023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45182</v>
      </c>
      <c r="E680" s="1" t="n">
        <v>46262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36638-2022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44804</v>
      </c>
      <c r="E681" s="1" t="n">
        <v>46262</v>
      </c>
      <c r="F681" t="inlineStr">
        <is>
          <t>GÄVLEBORGS LÄN</t>
        </is>
      </c>
      <c r="G681" t="inlineStr">
        <is>
          <t>GÄVLE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45628-2022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44845</v>
      </c>
      <c r="E682" s="1" t="n">
        <v>46262</v>
      </c>
      <c r="F682" t="inlineStr">
        <is>
          <t>GÄVLEBORGS LÄN</t>
        </is>
      </c>
      <c r="G682" t="inlineStr">
        <is>
          <t>GÄVLE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46153</v>
      </c>
      <c r="E683" s="1" t="n">
        <v>46262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22584-2026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46262</v>
      </c>
      <c r="F684" t="inlineStr">
        <is>
          <t>GÄVLEBORGS LÄN</t>
        </is>
      </c>
      <c r="G684" t="inlineStr">
        <is>
          <t>GÄVLE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46262</v>
      </c>
      <c r="F685" t="inlineStr">
        <is>
          <t>GÄVLEBORGS LÄN</t>
        </is>
      </c>
      <c r="G685" t="inlineStr">
        <is>
          <t>GÄVLE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46262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22545-2026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46155</v>
      </c>
      <c r="E687" s="1" t="n">
        <v>46262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10.1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60792-2024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45644</v>
      </c>
      <c r="E688" s="1" t="n">
        <v>46262</v>
      </c>
      <c r="F688" t="inlineStr">
        <is>
          <t>GÄVLEBORGS LÄN</t>
        </is>
      </c>
      <c r="G688" t="inlineStr">
        <is>
          <t>GÄVLE</t>
        </is>
      </c>
      <c r="H688" t="inlineStr">
        <is>
          <t>Kyrkan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60801-2024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45644</v>
      </c>
      <c r="E689" s="1" t="n">
        <v>46262</v>
      </c>
      <c r="F689" t="inlineStr">
        <is>
          <t>GÄVLEBORGS LÄN</t>
        </is>
      </c>
      <c r="G689" t="inlineStr">
        <is>
          <t>GÄVLE</t>
        </is>
      </c>
      <c r="H689" t="inlineStr">
        <is>
          <t>Kyrkan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46155</v>
      </c>
      <c r="E690" s="1" t="n">
        <v>46262</v>
      </c>
      <c r="F690" t="inlineStr">
        <is>
          <t>GÄVLEBORGS LÄN</t>
        </is>
      </c>
      <c r="G690" t="inlineStr">
        <is>
          <t>GÄVLE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22577-2022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44713</v>
      </c>
      <c r="E691" s="1" t="n">
        <v>46262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10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57168-2023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45245</v>
      </c>
      <c r="E692" s="1" t="n">
        <v>46262</v>
      </c>
      <c r="F692" t="inlineStr">
        <is>
          <t>GÄVLEBORGS LÄN</t>
        </is>
      </c>
      <c r="G692" t="inlineStr">
        <is>
          <t>GÄVLE</t>
        </is>
      </c>
      <c r="H692" t="inlineStr">
        <is>
          <t>Kyrkan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15152-2026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46105</v>
      </c>
      <c r="E693" s="1" t="n">
        <v>46262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15207-2024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45400</v>
      </c>
      <c r="E694" s="1" t="n">
        <v>46262</v>
      </c>
      <c r="F694" t="inlineStr">
        <is>
          <t>GÄVLEBORGS LÄN</t>
        </is>
      </c>
      <c r="G694" t="inlineStr">
        <is>
          <t>GÄVLE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14666-2026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46101</v>
      </c>
      <c r="E695" s="1" t="n">
        <v>46262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22342-2026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46154</v>
      </c>
      <c r="E696" s="1" t="n">
        <v>46262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15790-2026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46107</v>
      </c>
      <c r="E697" s="1" t="n">
        <v>46262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46262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29016-2023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45104</v>
      </c>
      <c r="E699" s="1" t="n">
        <v>46262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6.8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2461-2024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45312</v>
      </c>
      <c r="E700" s="1" t="n">
        <v>46262</v>
      </c>
      <c r="F700" t="inlineStr">
        <is>
          <t>GÄVLEBORGS LÄN</t>
        </is>
      </c>
      <c r="G700" t="inlineStr">
        <is>
          <t>GÄVLE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60396-2022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44910</v>
      </c>
      <c r="E701" s="1" t="n">
        <v>46262</v>
      </c>
      <c r="F701" t="inlineStr">
        <is>
          <t>GÄVLEBORGS LÄN</t>
        </is>
      </c>
      <c r="G701" t="inlineStr">
        <is>
          <t>GÄVLE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25276-2024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45462</v>
      </c>
      <c r="E702" s="1" t="n">
        <v>46262</v>
      </c>
      <c r="F702" t="inlineStr">
        <is>
          <t>GÄVLEBORGS LÄN</t>
        </is>
      </c>
      <c r="G702" t="inlineStr">
        <is>
          <t>GÄVLE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15469-2026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46262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45660</v>
      </c>
      <c r="E704" s="1" t="n">
        <v>46262</v>
      </c>
      <c r="F704" t="inlineStr">
        <is>
          <t>GÄVLEBORGS LÄN</t>
        </is>
      </c>
      <c r="G704" t="inlineStr">
        <is>
          <t>GÄVLE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45660</v>
      </c>
      <c r="E705" s="1" t="n">
        <v>46262</v>
      </c>
      <c r="F705" t="inlineStr">
        <is>
          <t>GÄVLEBORGS LÄN</t>
        </is>
      </c>
      <c r="G705" t="inlineStr">
        <is>
          <t>GÄVLE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46262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46262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27182-2022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44741</v>
      </c>
      <c r="E708" s="1" t="n">
        <v>46262</v>
      </c>
      <c r="F708" t="inlineStr">
        <is>
          <t>GÄVLEBORGS LÄN</t>
        </is>
      </c>
      <c r="G708" t="inlineStr">
        <is>
          <t>GÄVLE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46262</v>
      </c>
      <c r="F709" t="inlineStr">
        <is>
          <t>GÄVLEBORGS LÄN</t>
        </is>
      </c>
      <c r="G709" t="inlineStr">
        <is>
          <t>GÄVLE</t>
        </is>
      </c>
      <c r="H709" t="inlineStr">
        <is>
          <t>Kyrkan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23117-2026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46161</v>
      </c>
      <c r="E710" s="1" t="n">
        <v>46262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23591-2026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46163</v>
      </c>
      <c r="E711" s="1" t="n">
        <v>46262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14974-2026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46104</v>
      </c>
      <c r="E712" s="1" t="n">
        <v>46262</v>
      </c>
      <c r="F712" t="inlineStr">
        <is>
          <t>GÄVLEBORGS LÄN</t>
        </is>
      </c>
      <c r="G712" t="inlineStr">
        <is>
          <t>GÄVLE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8031-2024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45350</v>
      </c>
      <c r="E713" s="1" t="n">
        <v>46262</v>
      </c>
      <c r="F713" t="inlineStr">
        <is>
          <t>GÄVLEBORGS LÄN</t>
        </is>
      </c>
      <c r="G713" t="inlineStr">
        <is>
          <t>GÄVLE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61351-2021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44498</v>
      </c>
      <c r="E714" s="1" t="n">
        <v>46262</v>
      </c>
      <c r="F714" t="inlineStr">
        <is>
          <t>GÄVLEBORGS LÄN</t>
        </is>
      </c>
      <c r="G714" t="inlineStr">
        <is>
          <t>GÄVLE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23956-2026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46167</v>
      </c>
      <c r="E715" s="1" t="n">
        <v>46262</v>
      </c>
      <c r="F715" t="inlineStr">
        <is>
          <t>GÄVLEBORGS LÄN</t>
        </is>
      </c>
      <c r="G715" t="inlineStr">
        <is>
          <t>GÄVLE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53281-2024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45614</v>
      </c>
      <c r="E716" s="1" t="n">
        <v>46262</v>
      </c>
      <c r="F716" t="inlineStr">
        <is>
          <t>GÄVLEBORGS LÄN</t>
        </is>
      </c>
      <c r="G716" t="inlineStr">
        <is>
          <t>GÄVLE</t>
        </is>
      </c>
      <c r="I716" t="n">
        <v>6.5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60879-2023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45261</v>
      </c>
      <c r="E717" s="1" t="n">
        <v>46262</v>
      </c>
      <c r="F717" t="inlineStr">
        <is>
          <t>GÄVLEBORGS LÄN</t>
        </is>
      </c>
      <c r="G717" t="inlineStr">
        <is>
          <t>GÄVLE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15312-2023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45019</v>
      </c>
      <c r="E718" s="1" t="n">
        <v>46262</v>
      </c>
      <c r="F718" t="inlineStr">
        <is>
          <t>GÄVLEBORGS LÄN</t>
        </is>
      </c>
      <c r="G718" t="inlineStr">
        <is>
          <t>GÄVLE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46262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24398-2026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46262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24400-2026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46262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46169</v>
      </c>
      <c r="E722" s="1" t="n">
        <v>46262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46169</v>
      </c>
      <c r="E723" s="1" t="n">
        <v>46262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24089-2026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46262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24294-2026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46169</v>
      </c>
      <c r="E725" s="1" t="n">
        <v>46262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52387-2022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44874</v>
      </c>
      <c r="E726" s="1" t="n">
        <v>46262</v>
      </c>
      <c r="F726" t="inlineStr">
        <is>
          <t>GÄVLEBORGS LÄN</t>
        </is>
      </c>
      <c r="G726" t="inlineStr">
        <is>
          <t>GÄVLE</t>
        </is>
      </c>
      <c r="H726" t="inlineStr">
        <is>
          <t>Kommuner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31011-2023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45113</v>
      </c>
      <c r="E727" s="1" t="n">
        <v>46262</v>
      </c>
      <c r="F727" t="inlineStr">
        <is>
          <t>GÄVLEBORGS LÄN</t>
        </is>
      </c>
      <c r="G727" t="inlineStr">
        <is>
          <t>GÄVLE</t>
        </is>
      </c>
      <c r="I727" t="n">
        <v>5.2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24090-2026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46262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24373-2026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46262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24099-2026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46168</v>
      </c>
      <c r="E730" s="1" t="n">
        <v>46262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22466-2023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45070</v>
      </c>
      <c r="E731" s="1" t="n">
        <v>46262</v>
      </c>
      <c r="F731" t="inlineStr">
        <is>
          <t>GÄVLEBORGS LÄN</t>
        </is>
      </c>
      <c r="G731" t="inlineStr">
        <is>
          <t>GÄVLE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16023-2023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45026</v>
      </c>
      <c r="E732" s="1" t="n">
        <v>46262</v>
      </c>
      <c r="F732" t="inlineStr">
        <is>
          <t>GÄVLEBORGS LÄN</t>
        </is>
      </c>
      <c r="G732" t="inlineStr">
        <is>
          <t>GÄVLE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24456-2026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46262</v>
      </c>
      <c r="F733" t="inlineStr">
        <is>
          <t>GÄVLEBORGS LÄN</t>
        </is>
      </c>
      <c r="G733" t="inlineStr">
        <is>
          <t>GÄVLE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25829-2024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45467</v>
      </c>
      <c r="E734" s="1" t="n">
        <v>46262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7235-2025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45702</v>
      </c>
      <c r="E735" s="1" t="n">
        <v>46262</v>
      </c>
      <c r="F735" t="inlineStr">
        <is>
          <t>GÄVLEBORGS LÄN</t>
        </is>
      </c>
      <c r="G735" t="inlineStr">
        <is>
          <t>GÄVLE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24810-2026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46173</v>
      </c>
      <c r="E736" s="1" t="n">
        <v>46262</v>
      </c>
      <c r="F736" t="inlineStr">
        <is>
          <t>GÄVLEBORGS LÄN</t>
        </is>
      </c>
      <c r="G736" t="inlineStr">
        <is>
          <t>GÄVLE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71215-2021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44539</v>
      </c>
      <c r="E737" s="1" t="n">
        <v>46262</v>
      </c>
      <c r="F737" t="inlineStr">
        <is>
          <t>GÄVLEBORGS LÄN</t>
        </is>
      </c>
      <c r="G737" t="inlineStr">
        <is>
          <t>GÄVLE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61879-2024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45652</v>
      </c>
      <c r="E738" s="1" t="n">
        <v>46262</v>
      </c>
      <c r="F738" t="inlineStr">
        <is>
          <t>GÄVLEBORGS LÄN</t>
        </is>
      </c>
      <c r="G738" t="inlineStr">
        <is>
          <t>GÄVLE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24669-2026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46171</v>
      </c>
      <c r="E739" s="1" t="n">
        <v>46262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21.4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21365-2026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46147</v>
      </c>
      <c r="E740" s="1" t="n">
        <v>46262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44694</v>
      </c>
      <c r="E741" s="1" t="n">
        <v>46262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39509-2022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44818</v>
      </c>
      <c r="E742" s="1" t="n">
        <v>46262</v>
      </c>
      <c r="F742" t="inlineStr">
        <is>
          <t>GÄVLEBORGS LÄN</t>
        </is>
      </c>
      <c r="G742" t="inlineStr">
        <is>
          <t>GÄVLE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30662-2022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44763</v>
      </c>
      <c r="E743" s="1" t="n">
        <v>46262</v>
      </c>
      <c r="F743" t="inlineStr">
        <is>
          <t>GÄVLEBORGS LÄN</t>
        </is>
      </c>
      <c r="G743" t="inlineStr">
        <is>
          <t>GÄVLE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25384-2026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46176</v>
      </c>
      <c r="E744" s="1" t="n">
        <v>46262</v>
      </c>
      <c r="F744" t="inlineStr">
        <is>
          <t>GÄVLEBORGS LÄN</t>
        </is>
      </c>
      <c r="G744" t="inlineStr">
        <is>
          <t>GÄVLE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61004-2024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45645</v>
      </c>
      <c r="E745" s="1" t="n">
        <v>46262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25367-2026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46176</v>
      </c>
      <c r="E746" s="1" t="n">
        <v>46262</v>
      </c>
      <c r="F746" t="inlineStr">
        <is>
          <t>GÄVLEBORGS LÄN</t>
        </is>
      </c>
      <c r="G746" t="inlineStr">
        <is>
          <t>GÄVLE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37352-2024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45540</v>
      </c>
      <c r="E747" s="1" t="n">
        <v>46262</v>
      </c>
      <c r="F747" t="inlineStr">
        <is>
          <t>GÄVLEBORGS LÄN</t>
        </is>
      </c>
      <c r="G747" t="inlineStr">
        <is>
          <t>GÄVLE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17605-2025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45757</v>
      </c>
      <c r="E748" s="1" t="n">
        <v>46262</v>
      </c>
      <c r="F748" t="inlineStr">
        <is>
          <t>GÄVLEBORGS LÄN</t>
        </is>
      </c>
      <c r="G748" t="inlineStr">
        <is>
          <t>GÄVLE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17607-2025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45757</v>
      </c>
      <c r="E749" s="1" t="n">
        <v>46262</v>
      </c>
      <c r="F749" t="inlineStr">
        <is>
          <t>GÄVLEBORGS LÄN</t>
        </is>
      </c>
      <c r="G749" t="inlineStr">
        <is>
          <t>GÄVLE</t>
        </is>
      </c>
      <c r="I749" t="n">
        <v>7.6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25808-2026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46262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väst AB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21367-2026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46147</v>
      </c>
      <c r="E751" s="1" t="n">
        <v>46262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46262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20676-2026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46141</v>
      </c>
      <c r="E753" s="1" t="n">
        <v>46262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31528-2026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46220</v>
      </c>
      <c r="E754" s="1" t="n">
        <v>46262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väst AB</t>
        </is>
      </c>
      <c r="I754" t="n">
        <v>11.4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56487-2023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45243</v>
      </c>
      <c r="E755" s="1" t="n">
        <v>46262</v>
      </c>
      <c r="F755" t="inlineStr">
        <is>
          <t>GÄVLEBORGS LÄN</t>
        </is>
      </c>
      <c r="G755" t="inlineStr">
        <is>
          <t>GÄVLE</t>
        </is>
      </c>
      <c r="I755" t="n">
        <v>8.699999999999999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9307-2022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44616</v>
      </c>
      <c r="E756" s="1" t="n">
        <v>46262</v>
      </c>
      <c r="F756" t="inlineStr">
        <is>
          <t>GÄVLEBORGS LÄN</t>
        </is>
      </c>
      <c r="G756" t="inlineStr">
        <is>
          <t>GÄVLE</t>
        </is>
      </c>
      <c r="I756" t="n">
        <v>4.8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25513-2026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46262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13193-2025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45735</v>
      </c>
      <c r="E758" s="1" t="n">
        <v>46262</v>
      </c>
      <c r="F758" t="inlineStr">
        <is>
          <t>GÄVLEBORGS LÄN</t>
        </is>
      </c>
      <c r="G758" t="inlineStr">
        <is>
          <t>GÄVLE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31866-2023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45106</v>
      </c>
      <c r="E759" s="1" t="n">
        <v>46262</v>
      </c>
      <c r="F759" t="inlineStr">
        <is>
          <t>GÄVLEBORGS LÄN</t>
        </is>
      </c>
      <c r="G759" t="inlineStr">
        <is>
          <t>GÄVLE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25582-2026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46177</v>
      </c>
      <c r="E760" s="1" t="n">
        <v>46262</v>
      </c>
      <c r="F760" t="inlineStr">
        <is>
          <t>GÄVLEBORGS LÄN</t>
        </is>
      </c>
      <c r="G760" t="inlineStr">
        <is>
          <t>GÄVLE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46262</v>
      </c>
      <c r="F761" t="inlineStr">
        <is>
          <t>GÄVLEBORGS LÄN</t>
        </is>
      </c>
      <c r="G761" t="inlineStr">
        <is>
          <t>GÄVLE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25623-2026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46177</v>
      </c>
      <c r="E762" s="1" t="n">
        <v>46262</v>
      </c>
      <c r="F762" t="inlineStr">
        <is>
          <t>GÄVLEBORGS LÄN</t>
        </is>
      </c>
      <c r="G762" t="inlineStr">
        <is>
          <t>GÄVLE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14807-2023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45014</v>
      </c>
      <c r="E763" s="1" t="n">
        <v>46262</v>
      </c>
      <c r="F763" t="inlineStr">
        <is>
          <t>GÄVLEBORGS LÄN</t>
        </is>
      </c>
      <c r="G763" t="inlineStr">
        <is>
          <t>GÄVLE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26281-2026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46262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33880-2022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44790</v>
      </c>
      <c r="E765" s="1" t="n">
        <v>46262</v>
      </c>
      <c r="F765" t="inlineStr">
        <is>
          <t>GÄVLEBORGS LÄN</t>
        </is>
      </c>
      <c r="G765" t="inlineStr">
        <is>
          <t>GÄVLE</t>
        </is>
      </c>
      <c r="I765" t="n">
        <v>9.4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26016-2026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46181</v>
      </c>
      <c r="E766" s="1" t="n">
        <v>46262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6370-2025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45699</v>
      </c>
      <c r="E767" s="1" t="n">
        <v>46262</v>
      </c>
      <c r="F767" t="inlineStr">
        <is>
          <t>GÄVLEBORGS LÄN</t>
        </is>
      </c>
      <c r="G767" t="inlineStr">
        <is>
          <t>GÄVLE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46800-2021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44446</v>
      </c>
      <c r="E768" s="1" t="n">
        <v>46262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31566-2026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46223</v>
      </c>
      <c r="E769" s="1" t="n">
        <v>46262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11691-2024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45373</v>
      </c>
      <c r="E770" s="1" t="n">
        <v>46262</v>
      </c>
      <c r="F770" t="inlineStr">
        <is>
          <t>GÄVLEBORGS LÄN</t>
        </is>
      </c>
      <c r="G770" t="inlineStr">
        <is>
          <t>GÄVLE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62766-2022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44885</v>
      </c>
      <c r="E771" s="1" t="n">
        <v>46262</v>
      </c>
      <c r="F771" t="inlineStr">
        <is>
          <t>GÄVLEBORGS LÄN</t>
        </is>
      </c>
      <c r="G771" t="inlineStr">
        <is>
          <t>GÄVLE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64873-2023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45282</v>
      </c>
      <c r="E772" s="1" t="n">
        <v>46262</v>
      </c>
      <c r="F772" t="inlineStr">
        <is>
          <t>GÄVLEBORGS LÄN</t>
        </is>
      </c>
      <c r="G772" t="inlineStr">
        <is>
          <t>GÄVLE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46183</v>
      </c>
      <c r="E773" s="1" t="n">
        <v>46262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26599-2026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46183</v>
      </c>
      <c r="E774" s="1" t="n">
        <v>46262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46262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29862-2023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45107</v>
      </c>
      <c r="E776" s="1" t="n">
        <v>46262</v>
      </c>
      <c r="F776" t="inlineStr">
        <is>
          <t>GÄVLEBORGS LÄN</t>
        </is>
      </c>
      <c r="G776" t="inlineStr">
        <is>
          <t>GÄVLE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26991-2026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46262</v>
      </c>
      <c r="F777" t="inlineStr">
        <is>
          <t>GÄVLEBORGS LÄN</t>
        </is>
      </c>
      <c r="G777" t="inlineStr">
        <is>
          <t>GÄVLE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27048-2026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46262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27052-2026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46262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27065-2026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46262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27067-2026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46262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27053-2026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46262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27060-2026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46262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27057-2026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46262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14.7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46262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27361-2026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46262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46262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27051-2026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46185</v>
      </c>
      <c r="E788" s="1" t="n">
        <v>46262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24478-2023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45082</v>
      </c>
      <c r="E789" s="1" t="n">
        <v>46262</v>
      </c>
      <c r="F789" t="inlineStr">
        <is>
          <t>GÄVLEBORGS LÄN</t>
        </is>
      </c>
      <c r="G789" t="inlineStr">
        <is>
          <t>GÄVLE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27042-2026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46262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27056-2026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46262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27066-2026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46185</v>
      </c>
      <c r="E792" s="1" t="n">
        <v>46262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27069-2026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46262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17088-2023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45034</v>
      </c>
      <c r="E794" s="1" t="n">
        <v>46262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7792-2023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44973</v>
      </c>
      <c r="E795" s="1" t="n">
        <v>46262</v>
      </c>
      <c r="F795" t="inlineStr">
        <is>
          <t>GÄVLEBORGS LÄN</t>
        </is>
      </c>
      <c r="G795" t="inlineStr">
        <is>
          <t>GÄVLE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14735-2024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45397</v>
      </c>
      <c r="E796" s="1" t="n">
        <v>46262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46262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27360-2026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46262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26885-2026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46262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26942-2026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46185</v>
      </c>
      <c r="E800" s="1" t="n">
        <v>46262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27046-2026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46262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35761-2022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44800</v>
      </c>
      <c r="E802" s="1" t="n">
        <v>46262</v>
      </c>
      <c r="F802" t="inlineStr">
        <is>
          <t>GÄVLEBORGS LÄN</t>
        </is>
      </c>
      <c r="G802" t="inlineStr">
        <is>
          <t>GÄVLE</t>
        </is>
      </c>
      <c r="I802" t="n">
        <v>8.199999999999999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27040-2026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46262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46185</v>
      </c>
      <c r="E804" s="1" t="n">
        <v>46262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27059-2026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46262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27061-2026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46262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19164-2026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46132</v>
      </c>
      <c r="E807" s="1" t="n">
        <v>46262</v>
      </c>
      <c r="F807" t="inlineStr">
        <is>
          <t>GÄVLEBORGS LÄN</t>
        </is>
      </c>
      <c r="G807" t="inlineStr">
        <is>
          <t>GÄVLE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61918-2023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45266</v>
      </c>
      <c r="E808" s="1" t="n">
        <v>46262</v>
      </c>
      <c r="F808" t="inlineStr">
        <is>
          <t>GÄVLEBORGS LÄN</t>
        </is>
      </c>
      <c r="G808" t="inlineStr">
        <is>
          <t>GÄVLE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17245-2024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45414</v>
      </c>
      <c r="E809" s="1" t="n">
        <v>46262</v>
      </c>
      <c r="F809" t="inlineStr">
        <is>
          <t>GÄVLEBORGS LÄN</t>
        </is>
      </c>
      <c r="G809" t="inlineStr">
        <is>
          <t>GÄVLE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46196</v>
      </c>
      <c r="E810" s="1" t="n">
        <v>46262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28334-2026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46196</v>
      </c>
      <c r="E811" s="1" t="n">
        <v>46262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62255-2022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44922</v>
      </c>
      <c r="E812" s="1" t="n">
        <v>46262</v>
      </c>
      <c r="F812" t="inlineStr">
        <is>
          <t>GÄVLEBORGS LÄN</t>
        </is>
      </c>
      <c r="G812" t="inlineStr">
        <is>
          <t>GÄVLE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28379-2026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46196</v>
      </c>
      <c r="E813" s="1" t="n">
        <v>46262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57928-2024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45631</v>
      </c>
      <c r="E814" s="1" t="n">
        <v>46262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9422-2025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45715</v>
      </c>
      <c r="E815" s="1" t="n">
        <v>46262</v>
      </c>
      <c r="F815" t="inlineStr">
        <is>
          <t>GÄVLEBORGS LÄN</t>
        </is>
      </c>
      <c r="G815" t="inlineStr">
        <is>
          <t>GÄVLE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28331-2026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46196</v>
      </c>
      <c r="E816" s="1" t="n">
        <v>46262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32437-2026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46239</v>
      </c>
      <c r="E817" s="1" t="n">
        <v>46262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61843-2023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45266</v>
      </c>
      <c r="E818" s="1" t="n">
        <v>46262</v>
      </c>
      <c r="F818" t="inlineStr">
        <is>
          <t>GÄVLEBORGS LÄN</t>
        </is>
      </c>
      <c r="G818" t="inlineStr">
        <is>
          <t>GÄVLE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45660</v>
      </c>
      <c r="E819" s="1" t="n">
        <v>46262</v>
      </c>
      <c r="F819" t="inlineStr">
        <is>
          <t>GÄVLEBORGS LÄN</t>
        </is>
      </c>
      <c r="G819" t="inlineStr">
        <is>
          <t>GÄVLE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28140-2026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46195</v>
      </c>
      <c r="E820" s="1" t="n">
        <v>46262</v>
      </c>
      <c r="F820" t="inlineStr">
        <is>
          <t>GÄVLEBORGS LÄN</t>
        </is>
      </c>
      <c r="G820" t="inlineStr">
        <is>
          <t>GÄVLE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33449-2024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45519</v>
      </c>
      <c r="E821" s="1" t="n">
        <v>46262</v>
      </c>
      <c r="F821" t="inlineStr">
        <is>
          <t>GÄVLEBORGS LÄN</t>
        </is>
      </c>
      <c r="G821" t="inlineStr">
        <is>
          <t>GÄVLE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35440-2023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45146</v>
      </c>
      <c r="E822" s="1" t="n">
        <v>46262</v>
      </c>
      <c r="F822" t="inlineStr">
        <is>
          <t>GÄVLEBORGS LÄN</t>
        </is>
      </c>
      <c r="G822" t="inlineStr">
        <is>
          <t>GÄVLE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32436-2026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46239</v>
      </c>
      <c r="E823" s="1" t="n">
        <v>46262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3662-2022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44586</v>
      </c>
      <c r="E824" s="1" t="n">
        <v>46262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7410-2025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45705</v>
      </c>
      <c r="E825" s="1" t="n">
        <v>46262</v>
      </c>
      <c r="F825" t="inlineStr">
        <is>
          <t>GÄVLEBORGS LÄN</t>
        </is>
      </c>
      <c r="G825" t="inlineStr">
        <is>
          <t>GÄVLE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35331-2024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45530</v>
      </c>
      <c r="E826" s="1" t="n">
        <v>46262</v>
      </c>
      <c r="F826" t="inlineStr">
        <is>
          <t>GÄVLEBORGS LÄN</t>
        </is>
      </c>
      <c r="G826" t="inlineStr">
        <is>
          <t>GÄVLE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22968-2026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46160</v>
      </c>
      <c r="E827" s="1" t="n">
        <v>46262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44927</v>
      </c>
      <c r="E828" s="1" t="n">
        <v>46262</v>
      </c>
      <c r="F828" t="inlineStr">
        <is>
          <t>GÄVLEBORGS LÄN</t>
        </is>
      </c>
      <c r="G828" t="inlineStr">
        <is>
          <t>GÄVLE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29494-2026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46262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29506-2026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46198</v>
      </c>
      <c r="E830" s="1" t="n">
        <v>46262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52.7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44806-2024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45574</v>
      </c>
      <c r="E831" s="1" t="n">
        <v>46262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28654-2026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46198</v>
      </c>
      <c r="E832" s="1" t="n">
        <v>46262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28485-2026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46197</v>
      </c>
      <c r="E833" s="1" t="n">
        <v>46262</v>
      </c>
      <c r="F833" t="inlineStr">
        <is>
          <t>GÄVLEBORGS LÄN</t>
        </is>
      </c>
      <c r="G833" t="inlineStr">
        <is>
          <t>GÄVLE</t>
        </is>
      </c>
      <c r="H833" t="inlineStr">
        <is>
          <t>BillerudKorsnäs AB</t>
        </is>
      </c>
      <c r="I833" t="n">
        <v>0.2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28656-2026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46198</v>
      </c>
      <c r="E834" s="1" t="n">
        <v>46262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28659-2026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46262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52250-2024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45608</v>
      </c>
      <c r="E836" s="1" t="n">
        <v>46262</v>
      </c>
      <c r="F836" t="inlineStr">
        <is>
          <t>GÄVLEBORGS LÄN</t>
        </is>
      </c>
      <c r="G836" t="inlineStr">
        <is>
          <t>GÄVLE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30875-2022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44767</v>
      </c>
      <c r="E837" s="1" t="n">
        <v>46262</v>
      </c>
      <c r="F837" t="inlineStr">
        <is>
          <t>GÄVLEBORGS LÄN</t>
        </is>
      </c>
      <c r="G837" t="inlineStr">
        <is>
          <t>GÄVLE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28655-2026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46198</v>
      </c>
      <c r="E838" s="1" t="n">
        <v>46262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28657-2026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46198</v>
      </c>
      <c r="E839" s="1" t="n">
        <v>46262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28658-2026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46262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60349-2022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44910</v>
      </c>
      <c r="E841" s="1" t="n">
        <v>46262</v>
      </c>
      <c r="F841" t="inlineStr">
        <is>
          <t>GÄVLEBORGS LÄN</t>
        </is>
      </c>
      <c r="G841" t="inlineStr">
        <is>
          <t>GÄVLE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41100-2024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45559</v>
      </c>
      <c r="E842" s="1" t="n">
        <v>46262</v>
      </c>
      <c r="F842" t="inlineStr">
        <is>
          <t>GÄVLEBORGS LÄN</t>
        </is>
      </c>
      <c r="G842" t="inlineStr">
        <is>
          <t>GÄVLE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46262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46202</v>
      </c>
      <c r="E844" s="1" t="n">
        <v>46262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29333-2026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46202</v>
      </c>
      <c r="E845" s="1" t="n">
        <v>46262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32887-2026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46262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35205-2024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45530</v>
      </c>
      <c r="E847" s="1" t="n">
        <v>46262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32888-2026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46262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16401-2025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45751</v>
      </c>
      <c r="E849" s="1" t="n">
        <v>46262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5633-2024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45334</v>
      </c>
      <c r="E850" s="1" t="n">
        <v>46262</v>
      </c>
      <c r="F850" t="inlineStr">
        <is>
          <t>GÄVLEBORGS LÄN</t>
        </is>
      </c>
      <c r="G850" t="inlineStr">
        <is>
          <t>GÄVLE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13961-2024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45392</v>
      </c>
      <c r="E851" s="1" t="n">
        <v>46262</v>
      </c>
      <c r="F851" t="inlineStr">
        <is>
          <t>GÄVLEBORGS LÄN</t>
        </is>
      </c>
      <c r="G851" t="inlineStr">
        <is>
          <t>GÄVLE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33265-2026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46246</v>
      </c>
      <c r="E852" s="1" t="n">
        <v>46262</v>
      </c>
      <c r="F852" t="inlineStr">
        <is>
          <t>GÄVLEBORGS LÄN</t>
        </is>
      </c>
      <c r="G852" t="inlineStr">
        <is>
          <t>GÄVLE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29364-2026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46203</v>
      </c>
      <c r="E853" s="1" t="n">
        <v>46262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33346-2026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46246</v>
      </c>
      <c r="E854" s="1" t="n">
        <v>46262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25466-2023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45089</v>
      </c>
      <c r="E855" s="1" t="n">
        <v>46262</v>
      </c>
      <c r="F855" t="inlineStr">
        <is>
          <t>GÄVLEBORGS LÄN</t>
        </is>
      </c>
      <c r="G855" t="inlineStr">
        <is>
          <t>GÄVLE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33350-2026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46246</v>
      </c>
      <c r="E856" s="1" t="n">
        <v>46262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7060-2022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44603</v>
      </c>
      <c r="E857" s="1" t="n">
        <v>46262</v>
      </c>
      <c r="F857" t="inlineStr">
        <is>
          <t>GÄVLEBORGS LÄN</t>
        </is>
      </c>
      <c r="G857" t="inlineStr">
        <is>
          <t>GÄVLE</t>
        </is>
      </c>
      <c r="I857" t="n">
        <v>10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41708-2023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45176</v>
      </c>
      <c r="E858" s="1" t="n">
        <v>46262</v>
      </c>
      <c r="F858" t="inlineStr">
        <is>
          <t>GÄVLEBORGS LÄN</t>
        </is>
      </c>
      <c r="G858" t="inlineStr">
        <is>
          <t>GÄVLE</t>
        </is>
      </c>
      <c r="I858" t="n">
        <v>6.5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41712-2023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45176</v>
      </c>
      <c r="E859" s="1" t="n">
        <v>46262</v>
      </c>
      <c r="F859" t="inlineStr">
        <is>
          <t>GÄVLEBORGS LÄN</t>
        </is>
      </c>
      <c r="G859" t="inlineStr">
        <is>
          <t>GÄVLE</t>
        </is>
      </c>
      <c r="I859" t="n">
        <v>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5413-2023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44959</v>
      </c>
      <c r="E860" s="1" t="n">
        <v>46262</v>
      </c>
      <c r="F860" t="inlineStr">
        <is>
          <t>GÄVLEBORGS LÄN</t>
        </is>
      </c>
      <c r="G860" t="inlineStr">
        <is>
          <t>GÄVLE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33349-2026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46246</v>
      </c>
      <c r="E861" s="1" t="n">
        <v>46262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33231-2026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46246</v>
      </c>
      <c r="E862" s="1" t="n">
        <v>46262</v>
      </c>
      <c r="F862" t="inlineStr">
        <is>
          <t>GÄVLEBORGS LÄN</t>
        </is>
      </c>
      <c r="G862" t="inlineStr">
        <is>
          <t>GÄVLE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33347-2026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46246</v>
      </c>
      <c r="E863" s="1" t="n">
        <v>46262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33348-2026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46246</v>
      </c>
      <c r="E864" s="1" t="n">
        <v>46262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33719-2026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46251</v>
      </c>
      <c r="E865" s="1" t="n">
        <v>46262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15456-2026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46106</v>
      </c>
      <c r="E866" s="1" t="n">
        <v>46262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4235-2025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45685</v>
      </c>
      <c r="E867" s="1" t="n">
        <v>46262</v>
      </c>
      <c r="F867" t="inlineStr">
        <is>
          <t>GÄVLEBORGS LÄN</t>
        </is>
      </c>
      <c r="G867" t="inlineStr">
        <is>
          <t>GÄVLE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51758-2025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45950</v>
      </c>
      <c r="E868" s="1" t="n">
        <v>46262</v>
      </c>
      <c r="F868" t="inlineStr">
        <is>
          <t>GÄVLEBORGS LÄN</t>
        </is>
      </c>
      <c r="G868" t="inlineStr">
        <is>
          <t>GÄVLE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33586-2026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46248</v>
      </c>
      <c r="E869" s="1" t="n">
        <v>46262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45660</v>
      </c>
      <c r="E870" s="1" t="n">
        <v>46262</v>
      </c>
      <c r="F870" t="inlineStr">
        <is>
          <t>GÄVLEBORGS LÄN</t>
        </is>
      </c>
      <c r="G870" t="inlineStr">
        <is>
          <t>GÄVLE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56138-2023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45240</v>
      </c>
      <c r="E871" s="1" t="n">
        <v>46262</v>
      </c>
      <c r="F871" t="inlineStr">
        <is>
          <t>GÄVLEBORGS LÄN</t>
        </is>
      </c>
      <c r="G871" t="inlineStr">
        <is>
          <t>GÄVLE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31019-2026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46206</v>
      </c>
      <c r="E872" s="1" t="n">
        <v>46262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30324-2026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46207</v>
      </c>
      <c r="E873" s="1" t="n">
        <v>46262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22363-2026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46154</v>
      </c>
      <c r="E874" s="1" t="n">
        <v>46262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33635-2024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45520</v>
      </c>
      <c r="E875" s="1" t="n">
        <v>46262</v>
      </c>
      <c r="F875" t="inlineStr">
        <is>
          <t>GÄVLEBORGS LÄN</t>
        </is>
      </c>
      <c r="G875" t="inlineStr">
        <is>
          <t>GÄVLE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33637-2024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45520</v>
      </c>
      <c r="E876" s="1" t="n">
        <v>46262</v>
      </c>
      <c r="F876" t="inlineStr">
        <is>
          <t>GÄVLEBORGS LÄN</t>
        </is>
      </c>
      <c r="G876" t="inlineStr">
        <is>
          <t>GÄVLE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25645-2023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45089</v>
      </c>
      <c r="E877" s="1" t="n">
        <v>46262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7998-2023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44973</v>
      </c>
      <c r="E878" s="1" t="n">
        <v>46262</v>
      </c>
      <c r="F878" t="inlineStr">
        <is>
          <t>GÄVLEBORGS LÄN</t>
        </is>
      </c>
      <c r="G878" t="inlineStr">
        <is>
          <t>GÄVLE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33664-2026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46248</v>
      </c>
      <c r="E879" s="1" t="n">
        <v>46262</v>
      </c>
      <c r="F879" t="inlineStr">
        <is>
          <t>GÄVLEBORGS LÄN</t>
        </is>
      </c>
      <c r="G879" t="inlineStr">
        <is>
          <t>GÄVLE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33662-2026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46248</v>
      </c>
      <c r="E880" s="1" t="n">
        <v>46262</v>
      </c>
      <c r="F880" t="inlineStr">
        <is>
          <t>GÄVLEBORGS LÄN</t>
        </is>
      </c>
      <c r="G880" t="inlineStr">
        <is>
          <t>GÄVLE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54207-2023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45232</v>
      </c>
      <c r="E881" s="1" t="n">
        <v>46262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15935-2025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45749</v>
      </c>
      <c r="E882" s="1" t="n">
        <v>46262</v>
      </c>
      <c r="F882" t="inlineStr">
        <is>
          <t>GÄVLEBORGS LÄN</t>
        </is>
      </c>
      <c r="G882" t="inlineStr">
        <is>
          <t>GÄVLE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33585-2026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46248</v>
      </c>
      <c r="E883" s="1" t="n">
        <v>46262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9.5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25814-2023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45090</v>
      </c>
      <c r="E884" s="1" t="n">
        <v>46262</v>
      </c>
      <c r="F884" t="inlineStr">
        <is>
          <t>GÄVLEBORGS LÄN</t>
        </is>
      </c>
      <c r="G884" t="inlineStr">
        <is>
          <t>GÄVLE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24367-2026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46169</v>
      </c>
      <c r="E885" s="1" t="n">
        <v>46262</v>
      </c>
      <c r="F885" t="inlineStr">
        <is>
          <t>GÄVLEBORGS LÄN</t>
        </is>
      </c>
      <c r="G885" t="inlineStr">
        <is>
          <t>GÄVLE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14792-2023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45014</v>
      </c>
      <c r="E886" s="1" t="n">
        <v>46262</v>
      </c>
      <c r="F886" t="inlineStr">
        <is>
          <t>GÄVLEBORGS LÄN</t>
        </is>
      </c>
      <c r="G886" t="inlineStr">
        <is>
          <t>GÄVLE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12079-2025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45728</v>
      </c>
      <c r="E887" s="1" t="n">
        <v>46262</v>
      </c>
      <c r="F887" t="inlineStr">
        <is>
          <t>GÄVLEBORGS LÄN</t>
        </is>
      </c>
      <c r="G887" t="inlineStr">
        <is>
          <t>GÄVLE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1594-2024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45306</v>
      </c>
      <c r="E888" s="1" t="n">
        <v>46262</v>
      </c>
      <c r="F888" t="inlineStr">
        <is>
          <t>GÄVLEBORGS LÄN</t>
        </is>
      </c>
      <c r="G888" t="inlineStr">
        <is>
          <t>GÄVLE</t>
        </is>
      </c>
      <c r="I888" t="n">
        <v>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34033-2026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46252</v>
      </c>
      <c r="E889" s="1" t="n">
        <v>46262</v>
      </c>
      <c r="F889" t="inlineStr">
        <is>
          <t>GÄVLEBORGS LÄN</t>
        </is>
      </c>
      <c r="G889" t="inlineStr">
        <is>
          <t>GÄVLE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30600-2026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46210</v>
      </c>
      <c r="E890" s="1" t="n">
        <v>46262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30601-2026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46210</v>
      </c>
      <c r="E891" s="1" t="n">
        <v>46262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62983-2023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45272</v>
      </c>
      <c r="E892" s="1" t="n">
        <v>46262</v>
      </c>
      <c r="F892" t="inlineStr">
        <is>
          <t>GÄVLEBORGS LÄN</t>
        </is>
      </c>
      <c r="G892" t="inlineStr">
        <is>
          <t>GÄVLE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33901-2024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45523</v>
      </c>
      <c r="E893" s="1" t="n">
        <v>46262</v>
      </c>
      <c r="F893" t="inlineStr">
        <is>
          <t>GÄVLEBORGS LÄN</t>
        </is>
      </c>
      <c r="G893" t="inlineStr">
        <is>
          <t>GÄVLE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34415-2026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46254</v>
      </c>
      <c r="E894" s="1" t="n">
        <v>46262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34590-2026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46255</v>
      </c>
      <c r="E895" s="1" t="n">
        <v>46262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34591-2026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46255</v>
      </c>
      <c r="E896" s="1" t="n">
        <v>46262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20621-2025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45776</v>
      </c>
      <c r="E897" s="1" t="n">
        <v>46262</v>
      </c>
      <c r="F897" t="inlineStr">
        <is>
          <t>GÄVLEBORGS LÄN</t>
        </is>
      </c>
      <c r="G897" t="inlineStr">
        <is>
          <t>GÄVLE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34593-2026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46255</v>
      </c>
      <c r="E898" s="1" t="n">
        <v>46262</v>
      </c>
      <c r="F898" t="inlineStr">
        <is>
          <t>GÄVLEBORGS LÄN</t>
        </is>
      </c>
      <c r="G898" t="inlineStr">
        <is>
          <t>GÄVLE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34432-2026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46254</v>
      </c>
      <c r="E899" s="1" t="n">
        <v>46262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45938-2024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45580</v>
      </c>
      <c r="E900" s="1" t="n">
        <v>46262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5.3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21431-2025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45782</v>
      </c>
      <c r="E901" s="1" t="n">
        <v>46262</v>
      </c>
      <c r="F901" t="inlineStr">
        <is>
          <t>GÄVLEBORGS LÄN</t>
        </is>
      </c>
      <c r="G901" t="inlineStr">
        <is>
          <t>GÄVLE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30967-2026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46213</v>
      </c>
      <c r="E902" s="1" t="n">
        <v>46262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34733-2026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46258</v>
      </c>
      <c r="E903" s="1" t="n">
        <v>46262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11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34822-2026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46262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31445-2026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46217</v>
      </c>
      <c r="E905" s="1" t="n">
        <v>46262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30948-2026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46262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34686-2026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46262</v>
      </c>
      <c r="F907" t="inlineStr">
        <is>
          <t>GÄVLEBORGS LÄN</t>
        </is>
      </c>
      <c r="G907" t="inlineStr">
        <is>
          <t>GÄVLE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30969-2026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46213</v>
      </c>
      <c r="E908" s="1" t="n">
        <v>46262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30951-2026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46213</v>
      </c>
      <c r="E909" s="1" t="n">
        <v>46262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31234-2026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46217</v>
      </c>
      <c r="E910" s="1" t="n">
        <v>46262</v>
      </c>
      <c r="F910" t="inlineStr">
        <is>
          <t>GÄVLEBORGS LÄN</t>
        </is>
      </c>
      <c r="G910" t="inlineStr">
        <is>
          <t>GÄVLE</t>
        </is>
      </c>
      <c r="I910" t="n">
        <v>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35388-2026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46261</v>
      </c>
      <c r="E911" s="1" t="n">
        <v>46262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35120-2026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46260</v>
      </c>
      <c r="E912" s="1" t="n">
        <v>46262</v>
      </c>
      <c r="F912" t="inlineStr">
        <is>
          <t>GÄVLEBORGS LÄN</t>
        </is>
      </c>
      <c r="G912" t="inlineStr">
        <is>
          <t>GÄVLE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35302-2026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46261</v>
      </c>
      <c r="E913" s="1" t="n">
        <v>46262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35326-2026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46261</v>
      </c>
      <c r="E914" s="1" t="n">
        <v>46262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5.2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35387-2026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46261</v>
      </c>
      <c r="E915" s="1" t="n">
        <v>46262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3425-2023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45205</v>
      </c>
      <c r="E916" s="1" t="n">
        <v>46262</v>
      </c>
      <c r="F916" t="inlineStr">
        <is>
          <t>GÄVLEBORGS LÄN</t>
        </is>
      </c>
      <c r="G916" t="inlineStr">
        <is>
          <t>GÄVLE</t>
        </is>
      </c>
      <c r="I916" t="n">
        <v>0.2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  <c r="Z916">
        <f>HYPERLINK("https://klasma.github.io/Logging_2180/knärot/S 3425-2023 karta knärot.png", "S 3425-2023")</f>
        <v/>
      </c>
      <c r="AA916">
        <f>HYPERLINK("https://klasma.github.io/Logging_2180/klagomål/S 3425-2023 FSC-klagomål.docx", "S 3425-2023")</f>
        <v/>
      </c>
      <c r="AB916">
        <f>HYPERLINK("https://klasma.github.io/Logging_2180/klagomålsmail/S 3425-2023 FSC-klagomål mail.docx", "S 3425-2023")</f>
        <v/>
      </c>
      <c r="AC916">
        <f>HYPERLINK("https://klasma.github.io/Logging_2180/tillsyn/S 3425-2023 tillsynsbegäran.docx", "S 3425-2023")</f>
        <v/>
      </c>
      <c r="AD916">
        <f>HYPERLINK("https://klasma.github.io/Logging_2180/tillsynsmail/S 3425-2023 tillsynsbegäran mail.docx", "S 3425-2023")</f>
        <v/>
      </c>
    </row>
    <row r="917" ht="15" customHeight="1">
      <c r="A917" t="inlineStr">
        <is>
          <t>S 889-2023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44995</v>
      </c>
      <c r="E917" s="1" t="n">
        <v>46262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väst AB</t>
        </is>
      </c>
      <c r="I917" t="n">
        <v>13.3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886-2024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45376</v>
      </c>
      <c r="E918" s="1" t="n">
        <v>46262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2464-2024</t>
        </is>
      </c>
      <c r="B919" t="inlineStr">
        <is>
          <t>samrådsanmälan</t>
        </is>
      </c>
      <c r="C919" t="inlineStr">
        <is>
          <t>Skogsbilväg</t>
        </is>
      </c>
      <c r="D919" s="1" t="n">
        <v>45470</v>
      </c>
      <c r="E919" s="1" t="n">
        <v>46262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>
      <c r="A920" t="inlineStr">
        <is>
          <t>S 644-2026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46089</v>
      </c>
      <c r="E920" s="1" t="n">
        <v>46262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29.2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2026-08-28T01:52:08Z</dcterms:created>
  <dcterms:modified xmlns:dcterms="http://purl.org/dc/terms/" xmlns:xsi="http://www.w3.org/2001/XMLSchema-instance" xsi:type="dcterms:W3CDTF">2026-08-28T01:52:09Z</dcterms:modified>
</cp:coreProperties>
</file>