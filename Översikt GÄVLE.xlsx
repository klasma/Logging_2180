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45828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45828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45828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45828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45828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45828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45828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45828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45828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45828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45828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45828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45828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45828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45828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45828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45828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45828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45828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45828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45828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45828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45828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HYPERLINK("https://klasma.github.io/Logging_212180/artfynd/A 29626-2025 artfynd.xlsx", "A 29626-2025")</f>
        <v/>
      </c>
      <c r="T25">
        <f>HYPERLINK("https://klasma.github.io/Logging_212180/kartor/A 29626-2025 karta.png", "A 29626-2025")</f>
        <v/>
      </c>
      <c r="V25">
        <f>HYPERLINK("https://klasma.github.io/Logging_212180/klagomål/A 29626-2025 FSC-klagomål.docx", "A 29626-2025")</f>
        <v/>
      </c>
      <c r="W25">
        <f>HYPERLINK("https://klasma.github.io/Logging_212180/klagomålsmail/A 29626-2025 FSC-klagomål mail.docx", "A 29626-2025")</f>
        <v/>
      </c>
      <c r="X25">
        <f>HYPERLINK("https://klasma.github.io/Logging_212180/tillsyn/A 29626-2025 tillsynsbegäran.docx", "A 29626-2025")</f>
        <v/>
      </c>
      <c r="Y25">
        <f>HYPERLINK("https://klasma.github.io/Logging_212180/tillsynsmail/A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45828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45828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45828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45828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45828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45828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45828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45828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45828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45828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45828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45828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45828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45828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45828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45828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45828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45828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45828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45828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45828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45828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45828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45828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45828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45828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45828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45828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45828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45828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45828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45828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45828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45828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45828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45828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45828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45828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45828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45828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45828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45828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45828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45828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45828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45828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45828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45828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45828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45828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45828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45828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45828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45828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45828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45828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45828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45828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45828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45828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45828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45828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45828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45828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45828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45828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45828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45828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30323-2025</t>
        </is>
      </c>
      <c r="B94" s="1" t="n">
        <v>45827</v>
      </c>
      <c r="C94" s="1" t="n">
        <v>45828</v>
      </c>
      <c r="D94" t="inlineStr">
        <is>
          <t>GÄVLEBORGS LÄN</t>
        </is>
      </c>
      <c r="E94" t="inlineStr">
        <is>
          <t>GÄVLE</t>
        </is>
      </c>
      <c r="G94" t="n">
        <v>4.9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HYPERLINK("https://klasma.github.io/Logging_212180/artfynd/A 30323-2025 artfynd.xlsx", "A 30323-2025")</f>
        <v/>
      </c>
      <c r="T94">
        <f>HYPERLINK("https://klasma.github.io/Logging_212180/kartor/A 30323-2025 karta.png", "A 30323-2025")</f>
        <v/>
      </c>
      <c r="V94">
        <f>HYPERLINK("https://klasma.github.io/Logging_212180/klagomål/A 30323-2025 FSC-klagomål.docx", "A 30323-2025")</f>
        <v/>
      </c>
      <c r="W94">
        <f>HYPERLINK("https://klasma.github.io/Logging_212180/klagomålsmail/A 30323-2025 FSC-klagomål mail.docx", "A 30323-2025")</f>
        <v/>
      </c>
      <c r="X94">
        <f>HYPERLINK("https://klasma.github.io/Logging_212180/tillsyn/A 30323-2025 tillsynsbegäran.docx", "A 30323-2025")</f>
        <v/>
      </c>
      <c r="Y94">
        <f>HYPERLINK("https://klasma.github.io/Logging_212180/tillsynsmail/A 30323-2025 tillsynsbegäran mail.docx", "A 30323-2025")</f>
        <v/>
      </c>
    </row>
    <row r="95" ht="15" customHeight="1">
      <c r="A95" t="inlineStr">
        <is>
          <t>A 18398-2019</t>
        </is>
      </c>
      <c r="B95" s="1" t="n">
        <v>43559</v>
      </c>
      <c r="C95" s="1" t="n">
        <v>45828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18473-2019</t>
        </is>
      </c>
      <c r="B96" s="1" t="n">
        <v>43559</v>
      </c>
      <c r="C96" s="1" t="n">
        <v>45828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19418-2019</t>
        </is>
      </c>
      <c r="B97" s="1" t="n">
        <v>43565</v>
      </c>
      <c r="C97" s="1" t="n">
        <v>45828</v>
      </c>
      <c r="D97" t="inlineStr">
        <is>
          <t>GÄVLEBORGS LÄN</t>
        </is>
      </c>
      <c r="E97" t="inlineStr">
        <is>
          <t>GÄVLE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19856-2019</t>
        </is>
      </c>
      <c r="B98" s="1" t="n">
        <v>43567</v>
      </c>
      <c r="C98" s="1" t="n">
        <v>45828</v>
      </c>
      <c r="D98" t="inlineStr">
        <is>
          <t>GÄVLEBORGS LÄN</t>
        </is>
      </c>
      <c r="E98" t="inlineStr">
        <is>
          <t>GÄVLE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20858-2019</t>
        </is>
      </c>
      <c r="B99" s="1" t="n">
        <v>43578</v>
      </c>
      <c r="C99" s="1" t="n">
        <v>45828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20872-2019</t>
        </is>
      </c>
      <c r="B100" s="1" t="n">
        <v>43578</v>
      </c>
      <c r="C100" s="1" t="n">
        <v>45828</v>
      </c>
      <c r="D100" t="inlineStr">
        <is>
          <t>GÄVLEBORGS LÄN</t>
        </is>
      </c>
      <c r="E100" t="inlineStr">
        <is>
          <t>GÄVLE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21347-2019</t>
        </is>
      </c>
      <c r="B101" s="1" t="n">
        <v>43579</v>
      </c>
      <c r="C101" s="1" t="n">
        <v>45828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22617-2019</t>
        </is>
      </c>
      <c r="B102" s="1" t="n">
        <v>43588</v>
      </c>
      <c r="C102" s="1" t="n">
        <v>45828</v>
      </c>
      <c r="D102" t="inlineStr">
        <is>
          <t>GÄVLEBORGS LÄN</t>
        </is>
      </c>
      <c r="E102" t="inlineStr">
        <is>
          <t>GÄVLE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22611-2019</t>
        </is>
      </c>
      <c r="B103" s="1" t="n">
        <v>43588</v>
      </c>
      <c r="C103" s="1" t="n">
        <v>45828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22609-2019</t>
        </is>
      </c>
      <c r="B104" s="1" t="n">
        <v>43588</v>
      </c>
      <c r="C104" s="1" t="n">
        <v>45828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24677-2019</t>
        </is>
      </c>
      <c r="B105" s="1" t="n">
        <v>43601</v>
      </c>
      <c r="C105" s="1" t="n">
        <v>45828</v>
      </c>
      <c r="D105" t="inlineStr">
        <is>
          <t>GÄVLEBORGS LÄN</t>
        </is>
      </c>
      <c r="E105" t="inlineStr">
        <is>
          <t>GÄVLE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25306-2019</t>
        </is>
      </c>
      <c r="B106" s="1" t="n">
        <v>43605</v>
      </c>
      <c r="C106" s="1" t="n">
        <v>45828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26464-2019</t>
        </is>
      </c>
      <c r="B107" s="1" t="n">
        <v>43612</v>
      </c>
      <c r="C107" s="1" t="n">
        <v>45828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27118-2019</t>
        </is>
      </c>
      <c r="B108" s="1" t="n">
        <v>43614</v>
      </c>
      <c r="C108" s="1" t="n">
        <v>45828</v>
      </c>
      <c r="D108" t="inlineStr">
        <is>
          <t>GÄVLEBORGS LÄN</t>
        </is>
      </c>
      <c r="E108" t="inlineStr">
        <is>
          <t>GÄVLE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28316-2019</t>
        </is>
      </c>
      <c r="B109" s="1" t="n">
        <v>43623</v>
      </c>
      <c r="C109" s="1" t="n">
        <v>45828</v>
      </c>
      <c r="D109" t="inlineStr">
        <is>
          <t>GÄVLEBORGS LÄN</t>
        </is>
      </c>
      <c r="E109" t="inlineStr">
        <is>
          <t>GÄVLE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28559-2019</t>
        </is>
      </c>
      <c r="B110" s="1" t="n">
        <v>43626</v>
      </c>
      <c r="C110" s="1" t="n">
        <v>45828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30581-2019</t>
        </is>
      </c>
      <c r="B111" s="1" t="n">
        <v>43635</v>
      </c>
      <c r="C111" s="1" t="n">
        <v>45828</v>
      </c>
      <c r="D111" t="inlineStr">
        <is>
          <t>GÄVLEBORGS LÄN</t>
        </is>
      </c>
      <c r="E111" t="inlineStr">
        <is>
          <t>GÄVLE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30567-2019</t>
        </is>
      </c>
      <c r="B112" s="1" t="n">
        <v>43635</v>
      </c>
      <c r="C112" s="1" t="n">
        <v>45828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30821-2019</t>
        </is>
      </c>
      <c r="B113" s="1" t="n">
        <v>43636</v>
      </c>
      <c r="C113" s="1" t="n">
        <v>45828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33228-2019</t>
        </is>
      </c>
      <c r="B114" s="1" t="n">
        <v>43650</v>
      </c>
      <c r="C114" s="1" t="n">
        <v>45828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33580-2019</t>
        </is>
      </c>
      <c r="B115" s="1" t="n">
        <v>43651</v>
      </c>
      <c r="C115" s="1" t="n">
        <v>45828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35208-2019</t>
        </is>
      </c>
      <c r="B116" s="1" t="n">
        <v>43662</v>
      </c>
      <c r="C116" s="1" t="n">
        <v>45828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41483-2019</t>
        </is>
      </c>
      <c r="B117" s="1" t="n">
        <v>43696</v>
      </c>
      <c r="C117" s="1" t="n">
        <v>45828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40440-2019</t>
        </is>
      </c>
      <c r="B118" s="1" t="n">
        <v>43696</v>
      </c>
      <c r="C118" s="1" t="n">
        <v>45828</v>
      </c>
      <c r="D118" t="inlineStr">
        <is>
          <t>GÄVLEBORGS LÄN</t>
        </is>
      </c>
      <c r="E118" t="inlineStr">
        <is>
          <t>GÄVLE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41223-2019</t>
        </is>
      </c>
      <c r="B119" s="1" t="n">
        <v>43698</v>
      </c>
      <c r="C119" s="1" t="n">
        <v>45828</v>
      </c>
      <c r="D119" t="inlineStr">
        <is>
          <t>GÄVLEBORGS LÄN</t>
        </is>
      </c>
      <c r="E119" t="inlineStr">
        <is>
          <t>GÄVLE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41977-2019</t>
        </is>
      </c>
      <c r="B120" s="1" t="n">
        <v>43700</v>
      </c>
      <c r="C120" s="1" t="n">
        <v>45828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43287-2019</t>
        </is>
      </c>
      <c r="B121" s="1" t="n">
        <v>43706</v>
      </c>
      <c r="C121" s="1" t="n">
        <v>45828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43610-2019</t>
        </is>
      </c>
      <c r="B122" s="1" t="n">
        <v>43707</v>
      </c>
      <c r="C122" s="1" t="n">
        <v>45828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45358-2019</t>
        </is>
      </c>
      <c r="B123" s="1" t="n">
        <v>43714</v>
      </c>
      <c r="C123" s="1" t="n">
        <v>45828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46014-2019</t>
        </is>
      </c>
      <c r="B124" s="1" t="n">
        <v>43718</v>
      </c>
      <c r="C124" s="1" t="n">
        <v>45828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46444-2019</t>
        </is>
      </c>
      <c r="B125" s="1" t="n">
        <v>43719</v>
      </c>
      <c r="C125" s="1" t="n">
        <v>45828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46442-2019</t>
        </is>
      </c>
      <c r="B126" s="1" t="n">
        <v>43719</v>
      </c>
      <c r="C126" s="1" t="n">
        <v>45828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47378-2019</t>
        </is>
      </c>
      <c r="B127" s="1" t="n">
        <v>43721</v>
      </c>
      <c r="C127" s="1" t="n">
        <v>45828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48641-2019</t>
        </is>
      </c>
      <c r="B128" s="1" t="n">
        <v>43728</v>
      </c>
      <c r="C128" s="1" t="n">
        <v>45828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48642-2019</t>
        </is>
      </c>
      <c r="B129" s="1" t="n">
        <v>43728</v>
      </c>
      <c r="C129" s="1" t="n">
        <v>45828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48647-2019</t>
        </is>
      </c>
      <c r="B130" s="1" t="n">
        <v>43728</v>
      </c>
      <c r="C130" s="1" t="n">
        <v>45828</v>
      </c>
      <c r="D130" t="inlineStr">
        <is>
          <t>GÄVLEBORGS LÄN</t>
        </is>
      </c>
      <c r="E130" t="inlineStr">
        <is>
          <t>GÄVLE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49573-2019</t>
        </is>
      </c>
      <c r="B131" s="1" t="n">
        <v>43732</v>
      </c>
      <c r="C131" s="1" t="n">
        <v>45828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50333-2019</t>
        </is>
      </c>
      <c r="B132" s="1" t="n">
        <v>43735</v>
      </c>
      <c r="C132" s="1" t="n">
        <v>45828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52743-2019</t>
        </is>
      </c>
      <c r="B133" s="1" t="n">
        <v>43746</v>
      </c>
      <c r="C133" s="1" t="n">
        <v>45828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54773-2019</t>
        </is>
      </c>
      <c r="B134" s="1" t="n">
        <v>43755</v>
      </c>
      <c r="C134" s="1" t="n">
        <v>45828</v>
      </c>
      <c r="D134" t="inlineStr">
        <is>
          <t>GÄVLEBORGS LÄN</t>
        </is>
      </c>
      <c r="E134" t="inlineStr">
        <is>
          <t>GÄVLE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55857-2019</t>
        </is>
      </c>
      <c r="B135" s="1" t="n">
        <v>43759</v>
      </c>
      <c r="C135" s="1" t="n">
        <v>45828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55742-2019</t>
        </is>
      </c>
      <c r="B136" s="1" t="n">
        <v>43761</v>
      </c>
      <c r="C136" s="1" t="n">
        <v>45828</v>
      </c>
      <c r="D136" t="inlineStr">
        <is>
          <t>GÄVLEBORGS LÄN</t>
        </is>
      </c>
      <c r="E136" t="inlineStr">
        <is>
          <t>GÄVLE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56670-2019</t>
        </is>
      </c>
      <c r="B137" s="1" t="n">
        <v>43763</v>
      </c>
      <c r="C137" s="1" t="n">
        <v>45828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57453-2019</t>
        </is>
      </c>
      <c r="B138" s="1" t="n">
        <v>43767</v>
      </c>
      <c r="C138" s="1" t="n">
        <v>45828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58287-2019</t>
        </is>
      </c>
      <c r="B139" s="1" t="n">
        <v>43770</v>
      </c>
      <c r="C139" s="1" t="n">
        <v>45828</v>
      </c>
      <c r="D139" t="inlineStr">
        <is>
          <t>GÄVLEBORGS LÄN</t>
        </is>
      </c>
      <c r="E139" t="inlineStr">
        <is>
          <t>GÄVLE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58296-2019</t>
        </is>
      </c>
      <c r="B140" s="1" t="n">
        <v>43770</v>
      </c>
      <c r="C140" s="1" t="n">
        <v>45828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59734-2019</t>
        </is>
      </c>
      <c r="B141" s="1" t="n">
        <v>43776</v>
      </c>
      <c r="C141" s="1" t="n">
        <v>45828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59926-2019</t>
        </is>
      </c>
      <c r="B142" s="1" t="n">
        <v>43777</v>
      </c>
      <c r="C142" s="1" t="n">
        <v>45828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59907-2019</t>
        </is>
      </c>
      <c r="B143" s="1" t="n">
        <v>43777</v>
      </c>
      <c r="C143" s="1" t="n">
        <v>45828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61392-2019</t>
        </is>
      </c>
      <c r="B144" s="1" t="n">
        <v>43783</v>
      </c>
      <c r="C144" s="1" t="n">
        <v>45828</v>
      </c>
      <c r="D144" t="inlineStr">
        <is>
          <t>GÄVLEBORGS LÄN</t>
        </is>
      </c>
      <c r="E144" t="inlineStr">
        <is>
          <t>GÄVLE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62250-2019</t>
        </is>
      </c>
      <c r="B145" s="1" t="n">
        <v>43788</v>
      </c>
      <c r="C145" s="1" t="n">
        <v>45828</v>
      </c>
      <c r="D145" t="inlineStr">
        <is>
          <t>GÄVLEBORGS LÄN</t>
        </is>
      </c>
      <c r="E145" t="inlineStr">
        <is>
          <t>GÄVLE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62841-2019</t>
        </is>
      </c>
      <c r="B146" s="1" t="n">
        <v>43790</v>
      </c>
      <c r="C146" s="1" t="n">
        <v>45828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63469-2019</t>
        </is>
      </c>
      <c r="B147" s="1" t="n">
        <v>43794</v>
      </c>
      <c r="C147" s="1" t="n">
        <v>45828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66206-2019</t>
        </is>
      </c>
      <c r="B148" s="1" t="n">
        <v>43808</v>
      </c>
      <c r="C148" s="1" t="n">
        <v>45828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66410-2019</t>
        </is>
      </c>
      <c r="B149" s="1" t="n">
        <v>43809</v>
      </c>
      <c r="C149" s="1" t="n">
        <v>45828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67138-2019</t>
        </is>
      </c>
      <c r="B150" s="1" t="n">
        <v>43811</v>
      </c>
      <c r="C150" s="1" t="n">
        <v>45828</v>
      </c>
      <c r="D150" t="inlineStr">
        <is>
          <t>GÄVLEBORGS LÄN</t>
        </is>
      </c>
      <c r="E150" t="inlineStr">
        <is>
          <t>GÄVLE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67417-2019</t>
        </is>
      </c>
      <c r="B151" s="1" t="n">
        <v>43812</v>
      </c>
      <c r="C151" s="1" t="n">
        <v>45828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68436-2019</t>
        </is>
      </c>
      <c r="B152" s="1" t="n">
        <v>43818</v>
      </c>
      <c r="C152" s="1" t="n">
        <v>45828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68555-2019</t>
        </is>
      </c>
      <c r="B153" s="1" t="n">
        <v>43818</v>
      </c>
      <c r="C153" s="1" t="n">
        <v>45828</v>
      </c>
      <c r="D153" t="inlineStr">
        <is>
          <t>GÄVLEBORGS LÄN</t>
        </is>
      </c>
      <c r="E153" t="inlineStr">
        <is>
          <t>GÄVLE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743-2020</t>
        </is>
      </c>
      <c r="B154" s="1" t="n">
        <v>43838</v>
      </c>
      <c r="C154" s="1" t="n">
        <v>45828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2786-2020</t>
        </is>
      </c>
      <c r="B155" s="1" t="n">
        <v>43850</v>
      </c>
      <c r="C155" s="1" t="n">
        <v>45828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3383-2020</t>
        </is>
      </c>
      <c r="B156" s="1" t="n">
        <v>43852</v>
      </c>
      <c r="C156" s="1" t="n">
        <v>45828</v>
      </c>
      <c r="D156" t="inlineStr">
        <is>
          <t>GÄVLEBORGS LÄN</t>
        </is>
      </c>
      <c r="E156" t="inlineStr">
        <is>
          <t>GÄVLE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3854-2020</t>
        </is>
      </c>
      <c r="B157" s="1" t="n">
        <v>43854</v>
      </c>
      <c r="C157" s="1" t="n">
        <v>45828</v>
      </c>
      <c r="D157" t="inlineStr">
        <is>
          <t>GÄVLEBORGS LÄN</t>
        </is>
      </c>
      <c r="E157" t="inlineStr">
        <is>
          <t>GÄVLE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3975-2020</t>
        </is>
      </c>
      <c r="B158" s="1" t="n">
        <v>43854</v>
      </c>
      <c r="C158" s="1" t="n">
        <v>45828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3974-2020</t>
        </is>
      </c>
      <c r="B159" s="1" t="n">
        <v>43854</v>
      </c>
      <c r="C159" s="1" t="n">
        <v>45828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3976-2020</t>
        </is>
      </c>
      <c r="B160" s="1" t="n">
        <v>43855</v>
      </c>
      <c r="C160" s="1" t="n">
        <v>45828</v>
      </c>
      <c r="D160" t="inlineStr">
        <is>
          <t>GÄVLEBORGS LÄN</t>
        </is>
      </c>
      <c r="E160" t="inlineStr">
        <is>
          <t>GÄVLE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6046-2020</t>
        </is>
      </c>
      <c r="B161" s="1" t="n">
        <v>43865</v>
      </c>
      <c r="C161" s="1" t="n">
        <v>45828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7240-2020</t>
        </is>
      </c>
      <c r="B162" s="1" t="n">
        <v>43871</v>
      </c>
      <c r="C162" s="1" t="n">
        <v>45828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7725-2020</t>
        </is>
      </c>
      <c r="B163" s="1" t="n">
        <v>43872</v>
      </c>
      <c r="C163" s="1" t="n">
        <v>45828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7982-2020</t>
        </is>
      </c>
      <c r="B164" s="1" t="n">
        <v>43873</v>
      </c>
      <c r="C164" s="1" t="n">
        <v>45828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7989-2020</t>
        </is>
      </c>
      <c r="B165" s="1" t="n">
        <v>43873</v>
      </c>
      <c r="C165" s="1" t="n">
        <v>45828</v>
      </c>
      <c r="D165" t="inlineStr">
        <is>
          <t>GÄVLEBORGS LÄN</t>
        </is>
      </c>
      <c r="E165" t="inlineStr">
        <is>
          <t>GÄVLE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7841-2020</t>
        </is>
      </c>
      <c r="B166" s="1" t="n">
        <v>43873</v>
      </c>
      <c r="C166" s="1" t="n">
        <v>45828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9218-2020</t>
        </is>
      </c>
      <c r="B167" s="1" t="n">
        <v>43879</v>
      </c>
      <c r="C167" s="1" t="n">
        <v>45828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9138-2020</t>
        </is>
      </c>
      <c r="B168" s="1" t="n">
        <v>43879</v>
      </c>
      <c r="C168" s="1" t="n">
        <v>45828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10833-2020</t>
        </is>
      </c>
      <c r="B169" s="1" t="n">
        <v>43888</v>
      </c>
      <c r="C169" s="1" t="n">
        <v>45828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11121-2020</t>
        </is>
      </c>
      <c r="B170" s="1" t="n">
        <v>43889</v>
      </c>
      <c r="C170" s="1" t="n">
        <v>45828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12268-2020</t>
        </is>
      </c>
      <c r="B171" s="1" t="n">
        <v>43895</v>
      </c>
      <c r="C171" s="1" t="n">
        <v>45828</v>
      </c>
      <c r="D171" t="inlineStr">
        <is>
          <t>GÄVLEBORGS LÄN</t>
        </is>
      </c>
      <c r="E171" t="inlineStr">
        <is>
          <t>GÄVLE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12513-2020</t>
        </is>
      </c>
      <c r="B172" s="1" t="n">
        <v>43896</v>
      </c>
      <c r="C172" s="1" t="n">
        <v>45828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14242-2020</t>
        </is>
      </c>
      <c r="B173" s="1" t="n">
        <v>43901</v>
      </c>
      <c r="C173" s="1" t="n">
        <v>45828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13978-2020</t>
        </is>
      </c>
      <c r="B174" s="1" t="n">
        <v>43906</v>
      </c>
      <c r="C174" s="1" t="n">
        <v>45828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18035-2020</t>
        </is>
      </c>
      <c r="B175" s="1" t="n">
        <v>43927</v>
      </c>
      <c r="C175" s="1" t="n">
        <v>45828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19054-2020</t>
        </is>
      </c>
      <c r="B176" s="1" t="n">
        <v>43936</v>
      </c>
      <c r="C176" s="1" t="n">
        <v>45828</v>
      </c>
      <c r="D176" t="inlineStr">
        <is>
          <t>GÄVLEBORGS LÄN</t>
        </is>
      </c>
      <c r="E176" t="inlineStr">
        <is>
          <t>GÄVLE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19873-2020</t>
        </is>
      </c>
      <c r="B177" s="1" t="n">
        <v>43942</v>
      </c>
      <c r="C177" s="1" t="n">
        <v>45828</v>
      </c>
      <c r="D177" t="inlineStr">
        <is>
          <t>GÄVLEBORGS LÄN</t>
        </is>
      </c>
      <c r="E177" t="inlineStr">
        <is>
          <t>GÄVLE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21080-2020</t>
        </is>
      </c>
      <c r="B178" s="1" t="n">
        <v>43951</v>
      </c>
      <c r="C178" s="1" t="n">
        <v>45828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21379-2020</t>
        </is>
      </c>
      <c r="B179" s="1" t="n">
        <v>43955</v>
      </c>
      <c r="C179" s="1" t="n">
        <v>45828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21981-2020</t>
        </is>
      </c>
      <c r="B180" s="1" t="n">
        <v>43959</v>
      </c>
      <c r="C180" s="1" t="n">
        <v>45828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22385-2020</t>
        </is>
      </c>
      <c r="B181" s="1" t="n">
        <v>43962</v>
      </c>
      <c r="C181" s="1" t="n">
        <v>45828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24780-2020</t>
        </is>
      </c>
      <c r="B182" s="1" t="n">
        <v>43978</v>
      </c>
      <c r="C182" s="1" t="n">
        <v>45828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25009-2020</t>
        </is>
      </c>
      <c r="B183" s="1" t="n">
        <v>43979</v>
      </c>
      <c r="C183" s="1" t="n">
        <v>45828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25220-2020</t>
        </is>
      </c>
      <c r="B184" s="1" t="n">
        <v>43980</v>
      </c>
      <c r="C184" s="1" t="n">
        <v>45828</v>
      </c>
      <c r="D184" t="inlineStr">
        <is>
          <t>GÄVLEBORGS LÄN</t>
        </is>
      </c>
      <c r="E184" t="inlineStr">
        <is>
          <t>GÄVLE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25532-2020</t>
        </is>
      </c>
      <c r="B185" s="1" t="n">
        <v>43983</v>
      </c>
      <c r="C185" s="1" t="n">
        <v>45828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26763-2020</t>
        </is>
      </c>
      <c r="B186" s="1" t="n">
        <v>43990</v>
      </c>
      <c r="C186" s="1" t="n">
        <v>45828</v>
      </c>
      <c r="D186" t="inlineStr">
        <is>
          <t>GÄVLEBORGS LÄN</t>
        </is>
      </c>
      <c r="E186" t="inlineStr">
        <is>
          <t>GÄVLE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26790-2020</t>
        </is>
      </c>
      <c r="B187" s="1" t="n">
        <v>43990</v>
      </c>
      <c r="C187" s="1" t="n">
        <v>45828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26781-2020</t>
        </is>
      </c>
      <c r="B188" s="1" t="n">
        <v>43990</v>
      </c>
      <c r="C188" s="1" t="n">
        <v>45828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28173-2020</t>
        </is>
      </c>
      <c r="B189" s="1" t="n">
        <v>43997</v>
      </c>
      <c r="C189" s="1" t="n">
        <v>45828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28806-2020</t>
        </is>
      </c>
      <c r="B190" s="1" t="n">
        <v>44000</v>
      </c>
      <c r="C190" s="1" t="n">
        <v>45828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28825-2020</t>
        </is>
      </c>
      <c r="B191" s="1" t="n">
        <v>44000</v>
      </c>
      <c r="C191" s="1" t="n">
        <v>45828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29564-2020</t>
        </is>
      </c>
      <c r="B192" s="1" t="n">
        <v>44005</v>
      </c>
      <c r="C192" s="1" t="n">
        <v>45828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29940-2020</t>
        </is>
      </c>
      <c r="B193" s="1" t="n">
        <v>44006</v>
      </c>
      <c r="C193" s="1" t="n">
        <v>45828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30658-2020</t>
        </is>
      </c>
      <c r="B194" s="1" t="n">
        <v>44008</v>
      </c>
      <c r="C194" s="1" t="n">
        <v>45828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30851-2020</t>
        </is>
      </c>
      <c r="B195" s="1" t="n">
        <v>44011</v>
      </c>
      <c r="C195" s="1" t="n">
        <v>45828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31747-2020</t>
        </is>
      </c>
      <c r="B196" s="1" t="n">
        <v>44014</v>
      </c>
      <c r="C196" s="1" t="n">
        <v>45828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32223-2020</t>
        </is>
      </c>
      <c r="B197" s="1" t="n">
        <v>44015</v>
      </c>
      <c r="C197" s="1" t="n">
        <v>45828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32231-2020</t>
        </is>
      </c>
      <c r="B198" s="1" t="n">
        <v>44015</v>
      </c>
      <c r="C198" s="1" t="n">
        <v>45828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33351-2020</t>
        </is>
      </c>
      <c r="B199" s="1" t="n">
        <v>44022</v>
      </c>
      <c r="C199" s="1" t="n">
        <v>45828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33893-2020</t>
        </is>
      </c>
      <c r="B200" s="1" t="n">
        <v>44025</v>
      </c>
      <c r="C200" s="1" t="n">
        <v>45828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33755-2020</t>
        </is>
      </c>
      <c r="B201" s="1" t="n">
        <v>44026</v>
      </c>
      <c r="C201" s="1" t="n">
        <v>45828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35533-2020</t>
        </is>
      </c>
      <c r="B202" s="1" t="n">
        <v>44043</v>
      </c>
      <c r="C202" s="1" t="n">
        <v>45828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37604-2020</t>
        </is>
      </c>
      <c r="B203" s="1" t="n">
        <v>44056</v>
      </c>
      <c r="C203" s="1" t="n">
        <v>45828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37721-2020</t>
        </is>
      </c>
      <c r="B204" s="1" t="n">
        <v>44056</v>
      </c>
      <c r="C204" s="1" t="n">
        <v>45828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37717-2020</t>
        </is>
      </c>
      <c r="B205" s="1" t="n">
        <v>44056</v>
      </c>
      <c r="C205" s="1" t="n">
        <v>45828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38300-2020</t>
        </is>
      </c>
      <c r="B206" s="1" t="n">
        <v>44060</v>
      </c>
      <c r="C206" s="1" t="n">
        <v>45828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38305-2020</t>
        </is>
      </c>
      <c r="B207" s="1" t="n">
        <v>44060</v>
      </c>
      <c r="C207" s="1" t="n">
        <v>45828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38926-2020</t>
        </is>
      </c>
      <c r="B208" s="1" t="n">
        <v>44062</v>
      </c>
      <c r="C208" s="1" t="n">
        <v>45828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39798-2020</t>
        </is>
      </c>
      <c r="B209" s="1" t="n">
        <v>44067</v>
      </c>
      <c r="C209" s="1" t="n">
        <v>45828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40087-2020</t>
        </is>
      </c>
      <c r="B210" s="1" t="n">
        <v>44068</v>
      </c>
      <c r="C210" s="1" t="n">
        <v>45828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40340-2020</t>
        </is>
      </c>
      <c r="B211" s="1" t="n">
        <v>44068</v>
      </c>
      <c r="C211" s="1" t="n">
        <v>45828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40626-2020</t>
        </is>
      </c>
      <c r="B212" s="1" t="n">
        <v>44069</v>
      </c>
      <c r="C212" s="1" t="n">
        <v>45828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42357-2020</t>
        </is>
      </c>
      <c r="B213" s="1" t="n">
        <v>44076</v>
      </c>
      <c r="C213" s="1" t="n">
        <v>45828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42351-2020</t>
        </is>
      </c>
      <c r="B214" s="1" t="n">
        <v>44076</v>
      </c>
      <c r="C214" s="1" t="n">
        <v>45828</v>
      </c>
      <c r="D214" t="inlineStr">
        <is>
          <t>GÄVLEBORGS LÄN</t>
        </is>
      </c>
      <c r="E214" t="inlineStr">
        <is>
          <t>GÄVLE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42356-2020</t>
        </is>
      </c>
      <c r="B215" s="1" t="n">
        <v>44076</v>
      </c>
      <c r="C215" s="1" t="n">
        <v>45828</v>
      </c>
      <c r="D215" t="inlineStr">
        <is>
          <t>GÄVLEBORGS LÄN</t>
        </is>
      </c>
      <c r="E215" t="inlineStr">
        <is>
          <t>GÄVLE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42868-2020</t>
        </is>
      </c>
      <c r="B216" s="1" t="n">
        <v>44078</v>
      </c>
      <c r="C216" s="1" t="n">
        <v>45828</v>
      </c>
      <c r="D216" t="inlineStr">
        <is>
          <t>GÄVLEBORGS LÄN</t>
        </is>
      </c>
      <c r="E216" t="inlineStr">
        <is>
          <t>GÄVLE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43385-2020</t>
        </is>
      </c>
      <c r="B217" s="1" t="n">
        <v>44081</v>
      </c>
      <c r="C217" s="1" t="n">
        <v>45828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43185-2020</t>
        </is>
      </c>
      <c r="B218" s="1" t="n">
        <v>44081</v>
      </c>
      <c r="C218" s="1" t="n">
        <v>45828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44350-2020</t>
        </is>
      </c>
      <c r="B219" s="1" t="n">
        <v>44084</v>
      </c>
      <c r="C219" s="1" t="n">
        <v>45828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46455-2020</t>
        </is>
      </c>
      <c r="B220" s="1" t="n">
        <v>44095</v>
      </c>
      <c r="C220" s="1" t="n">
        <v>45828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46694-2020</t>
        </is>
      </c>
      <c r="B221" s="1" t="n">
        <v>44095</v>
      </c>
      <c r="C221" s="1" t="n">
        <v>45828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46708-2020</t>
        </is>
      </c>
      <c r="B222" s="1" t="n">
        <v>44095</v>
      </c>
      <c r="C222" s="1" t="n">
        <v>45828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46444-2020</t>
        </is>
      </c>
      <c r="B223" s="1" t="n">
        <v>44095</v>
      </c>
      <c r="C223" s="1" t="n">
        <v>45828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46898-2020</t>
        </is>
      </c>
      <c r="B224" s="1" t="n">
        <v>44096</v>
      </c>
      <c r="C224" s="1" t="n">
        <v>45828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46925-2020</t>
        </is>
      </c>
      <c r="B225" s="1" t="n">
        <v>44096</v>
      </c>
      <c r="C225" s="1" t="n">
        <v>45828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47543-2020</t>
        </is>
      </c>
      <c r="B226" s="1" t="n">
        <v>44098</v>
      </c>
      <c r="C226" s="1" t="n">
        <v>45828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50216-2020</t>
        </is>
      </c>
      <c r="B227" s="1" t="n">
        <v>44109</v>
      </c>
      <c r="C227" s="1" t="n">
        <v>45828</v>
      </c>
      <c r="D227" t="inlineStr">
        <is>
          <t>GÄVLEBORGS LÄN</t>
        </is>
      </c>
      <c r="E227" t="inlineStr">
        <is>
          <t>GÄVLE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51121-2020</t>
        </is>
      </c>
      <c r="B228" s="1" t="n">
        <v>44112</v>
      </c>
      <c r="C228" s="1" t="n">
        <v>45828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51126-2020</t>
        </is>
      </c>
      <c r="B229" s="1" t="n">
        <v>44112</v>
      </c>
      <c r="C229" s="1" t="n">
        <v>45828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52790-2020</t>
        </is>
      </c>
      <c r="B230" s="1" t="n">
        <v>44118</v>
      </c>
      <c r="C230" s="1" t="n">
        <v>45828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53470-2020</t>
        </is>
      </c>
      <c r="B231" s="1" t="n">
        <v>44123</v>
      </c>
      <c r="C231" s="1" t="n">
        <v>45828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53517-2020</t>
        </is>
      </c>
      <c r="B232" s="1" t="n">
        <v>44124</v>
      </c>
      <c r="C232" s="1" t="n">
        <v>45828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54031-2020</t>
        </is>
      </c>
      <c r="B233" s="1" t="n">
        <v>44125</v>
      </c>
      <c r="C233" s="1" t="n">
        <v>45828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54053-2020</t>
        </is>
      </c>
      <c r="B234" s="1" t="n">
        <v>44125</v>
      </c>
      <c r="C234" s="1" t="n">
        <v>45828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54065-2020</t>
        </is>
      </c>
      <c r="B235" s="1" t="n">
        <v>44125</v>
      </c>
      <c r="C235" s="1" t="n">
        <v>45828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54249-2020</t>
        </is>
      </c>
      <c r="B236" s="1" t="n">
        <v>44126</v>
      </c>
      <c r="C236" s="1" t="n">
        <v>45828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54294-2020</t>
        </is>
      </c>
      <c r="B237" s="1" t="n">
        <v>44126</v>
      </c>
      <c r="C237" s="1" t="n">
        <v>45828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54616-2020</t>
        </is>
      </c>
      <c r="B238" s="1" t="n">
        <v>44127</v>
      </c>
      <c r="C238" s="1" t="n">
        <v>45828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54624-2020</t>
        </is>
      </c>
      <c r="B239" s="1" t="n">
        <v>44127</v>
      </c>
      <c r="C239" s="1" t="n">
        <v>45828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54620-2020</t>
        </is>
      </c>
      <c r="B240" s="1" t="n">
        <v>44127</v>
      </c>
      <c r="C240" s="1" t="n">
        <v>45828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54638-2020</t>
        </is>
      </c>
      <c r="B241" s="1" t="n">
        <v>44127</v>
      </c>
      <c r="C241" s="1" t="n">
        <v>45828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56221-2020</t>
        </is>
      </c>
      <c r="B242" s="1" t="n">
        <v>44134</v>
      </c>
      <c r="C242" s="1" t="n">
        <v>45828</v>
      </c>
      <c r="D242" t="inlineStr">
        <is>
          <t>GÄVLEBORGS LÄN</t>
        </is>
      </c>
      <c r="E242" t="inlineStr">
        <is>
          <t>GÄVLE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57535-2020</t>
        </is>
      </c>
      <c r="B243" s="1" t="n">
        <v>44140</v>
      </c>
      <c r="C243" s="1" t="n">
        <v>45828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57702-2020</t>
        </is>
      </c>
      <c r="B244" s="1" t="n">
        <v>44140</v>
      </c>
      <c r="C244" s="1" t="n">
        <v>45828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57706-2020</t>
        </is>
      </c>
      <c r="B245" s="1" t="n">
        <v>44140</v>
      </c>
      <c r="C245" s="1" t="n">
        <v>45828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58189-2020</t>
        </is>
      </c>
      <c r="B246" s="1" t="n">
        <v>44144</v>
      </c>
      <c r="C246" s="1" t="n">
        <v>45828</v>
      </c>
      <c r="D246" t="inlineStr">
        <is>
          <t>GÄVLEBORGS LÄN</t>
        </is>
      </c>
      <c r="E246" t="inlineStr">
        <is>
          <t>GÄVLE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58690-2020</t>
        </is>
      </c>
      <c r="B247" s="1" t="n">
        <v>44146</v>
      </c>
      <c r="C247" s="1" t="n">
        <v>45828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59072-2020</t>
        </is>
      </c>
      <c r="B248" s="1" t="n">
        <v>44147</v>
      </c>
      <c r="C248" s="1" t="n">
        <v>45828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60249-2020</t>
        </is>
      </c>
      <c r="B249" s="1" t="n">
        <v>44152</v>
      </c>
      <c r="C249" s="1" t="n">
        <v>45828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60951-2020</t>
        </is>
      </c>
      <c r="B250" s="1" t="n">
        <v>44154</v>
      </c>
      <c r="C250" s="1" t="n">
        <v>45828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60953-2020</t>
        </is>
      </c>
      <c r="B251" s="1" t="n">
        <v>44154</v>
      </c>
      <c r="C251" s="1" t="n">
        <v>45828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61694-2020</t>
        </is>
      </c>
      <c r="B252" s="1" t="n">
        <v>44158</v>
      </c>
      <c r="C252" s="1" t="n">
        <v>45828</v>
      </c>
      <c r="D252" t="inlineStr">
        <is>
          <t>GÄVLEBORGS LÄN</t>
        </is>
      </c>
      <c r="E252" t="inlineStr">
        <is>
          <t>GÄVLE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61704-2020</t>
        </is>
      </c>
      <c r="B253" s="1" t="n">
        <v>44158</v>
      </c>
      <c r="C253" s="1" t="n">
        <v>45828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62495-2020</t>
        </is>
      </c>
      <c r="B254" s="1" t="n">
        <v>44160</v>
      </c>
      <c r="C254" s="1" t="n">
        <v>45828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62654-2020</t>
        </is>
      </c>
      <c r="B255" s="1" t="n">
        <v>44161</v>
      </c>
      <c r="C255" s="1" t="n">
        <v>45828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62986-2020</t>
        </is>
      </c>
      <c r="B256" s="1" t="n">
        <v>44162</v>
      </c>
      <c r="C256" s="1" t="n">
        <v>45828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66006-2020</t>
        </is>
      </c>
      <c r="B257" s="1" t="n">
        <v>44175</v>
      </c>
      <c r="C257" s="1" t="n">
        <v>45828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66346-2020</t>
        </is>
      </c>
      <c r="B258" s="1" t="n">
        <v>44176</v>
      </c>
      <c r="C258" s="1" t="n">
        <v>45828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66343-2020</t>
        </is>
      </c>
      <c r="B259" s="1" t="n">
        <v>44176</v>
      </c>
      <c r="C259" s="1" t="n">
        <v>45828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69210-2020</t>
        </is>
      </c>
      <c r="B260" s="1" t="n">
        <v>44191</v>
      </c>
      <c r="C260" s="1" t="n">
        <v>45828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69206-2020</t>
        </is>
      </c>
      <c r="B261" s="1" t="n">
        <v>44191</v>
      </c>
      <c r="C261" s="1" t="n">
        <v>45828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69216-2020</t>
        </is>
      </c>
      <c r="B262" s="1" t="n">
        <v>44192</v>
      </c>
      <c r="C262" s="1" t="n">
        <v>45828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69254-2020</t>
        </is>
      </c>
      <c r="B263" s="1" t="n">
        <v>44192</v>
      </c>
      <c r="C263" s="1" t="n">
        <v>45828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69252-2020</t>
        </is>
      </c>
      <c r="B264" s="1" t="n">
        <v>44192</v>
      </c>
      <c r="C264" s="1" t="n">
        <v>45828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69215-2020</t>
        </is>
      </c>
      <c r="B265" s="1" t="n">
        <v>44192</v>
      </c>
      <c r="C265" s="1" t="n">
        <v>45828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69253-2020</t>
        </is>
      </c>
      <c r="B266" s="1" t="n">
        <v>44192</v>
      </c>
      <c r="C266" s="1" t="n">
        <v>45828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69219-2020</t>
        </is>
      </c>
      <c r="B267" s="1" t="n">
        <v>44192</v>
      </c>
      <c r="C267" s="1" t="n">
        <v>45828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69251-2020</t>
        </is>
      </c>
      <c r="B268" s="1" t="n">
        <v>44192</v>
      </c>
      <c r="C268" s="1" t="n">
        <v>45828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69675-2020</t>
        </is>
      </c>
      <c r="B269" s="1" t="n">
        <v>44196</v>
      </c>
      <c r="C269" s="1" t="n">
        <v>45828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242-2021</t>
        </is>
      </c>
      <c r="B270" s="1" t="n">
        <v>44200</v>
      </c>
      <c r="C270" s="1" t="n">
        <v>45828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247-2021</t>
        </is>
      </c>
      <c r="B271" s="1" t="n">
        <v>44200</v>
      </c>
      <c r="C271" s="1" t="n">
        <v>45828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795-2021</t>
        </is>
      </c>
      <c r="B272" s="1" t="n">
        <v>44204</v>
      </c>
      <c r="C272" s="1" t="n">
        <v>45828</v>
      </c>
      <c r="D272" t="inlineStr">
        <is>
          <t>GÄVLEBORGS LÄN</t>
        </is>
      </c>
      <c r="E272" t="inlineStr">
        <is>
          <t>GÄVLE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2901-2021</t>
        </is>
      </c>
      <c r="B273" s="1" t="n">
        <v>44216</v>
      </c>
      <c r="C273" s="1" t="n">
        <v>45828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4277-2021</t>
        </is>
      </c>
      <c r="B274" s="1" t="n">
        <v>44223</v>
      </c>
      <c r="C274" s="1" t="n">
        <v>45828</v>
      </c>
      <c r="D274" t="inlineStr">
        <is>
          <t>GÄVLEBORGS LÄN</t>
        </is>
      </c>
      <c r="E274" t="inlineStr">
        <is>
          <t>GÄVLE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5207-2021</t>
        </is>
      </c>
      <c r="B275" s="1" t="n">
        <v>44228</v>
      </c>
      <c r="C275" s="1" t="n">
        <v>45828</v>
      </c>
      <c r="D275" t="inlineStr">
        <is>
          <t>GÄVLEBORGS LÄN</t>
        </is>
      </c>
      <c r="E275" t="inlineStr">
        <is>
          <t>GÄVLE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5972-2021</t>
        </is>
      </c>
      <c r="B276" s="1" t="n">
        <v>44231</v>
      </c>
      <c r="C276" s="1" t="n">
        <v>45828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6468-2021</t>
        </is>
      </c>
      <c r="B277" s="1" t="n">
        <v>44235</v>
      </c>
      <c r="C277" s="1" t="n">
        <v>45828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6467-2021</t>
        </is>
      </c>
      <c r="B278" s="1" t="n">
        <v>44235</v>
      </c>
      <c r="C278" s="1" t="n">
        <v>45828</v>
      </c>
      <c r="D278" t="inlineStr">
        <is>
          <t>GÄVLEBORGS LÄN</t>
        </is>
      </c>
      <c r="E278" t="inlineStr">
        <is>
          <t>GÄVLE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9738-2021</t>
        </is>
      </c>
      <c r="B279" s="1" t="n">
        <v>44252</v>
      </c>
      <c r="C279" s="1" t="n">
        <v>45828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9733-2021</t>
        </is>
      </c>
      <c r="B280" s="1" t="n">
        <v>44252</v>
      </c>
      <c r="C280" s="1" t="n">
        <v>45828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10704-2021</t>
        </is>
      </c>
      <c r="B281" s="1" t="n">
        <v>44258</v>
      </c>
      <c r="C281" s="1" t="n">
        <v>45828</v>
      </c>
      <c r="D281" t="inlineStr">
        <is>
          <t>GÄVLEBORGS LÄN</t>
        </is>
      </c>
      <c r="E281" t="inlineStr">
        <is>
          <t>GÄVLE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10709-2021</t>
        </is>
      </c>
      <c r="B282" s="1" t="n">
        <v>44258</v>
      </c>
      <c r="C282" s="1" t="n">
        <v>45828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11020-2021</t>
        </is>
      </c>
      <c r="B283" s="1" t="n">
        <v>44260</v>
      </c>
      <c r="C283" s="1" t="n">
        <v>45828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11188-2021</t>
        </is>
      </c>
      <c r="B284" s="1" t="n">
        <v>44263</v>
      </c>
      <c r="C284" s="1" t="n">
        <v>45828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11190-2021</t>
        </is>
      </c>
      <c r="B285" s="1" t="n">
        <v>44263</v>
      </c>
      <c r="C285" s="1" t="n">
        <v>45828</v>
      </c>
      <c r="D285" t="inlineStr">
        <is>
          <t>GÄVLEBORGS LÄN</t>
        </is>
      </c>
      <c r="E285" t="inlineStr">
        <is>
          <t>GÄVLE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12775-2021</t>
        </is>
      </c>
      <c r="B286" s="1" t="n">
        <v>44270</v>
      </c>
      <c r="C286" s="1" t="n">
        <v>45828</v>
      </c>
      <c r="D286" t="inlineStr">
        <is>
          <t>GÄVLEBORGS LÄN</t>
        </is>
      </c>
      <c r="E286" t="inlineStr">
        <is>
          <t>GÄVLE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12841-2021</t>
        </is>
      </c>
      <c r="B287" s="1" t="n">
        <v>44271</v>
      </c>
      <c r="C287" s="1" t="n">
        <v>45828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13030-2021</t>
        </is>
      </c>
      <c r="B288" s="1" t="n">
        <v>44271</v>
      </c>
      <c r="C288" s="1" t="n">
        <v>45828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13297-2021</t>
        </is>
      </c>
      <c r="B289" s="1" t="n">
        <v>44272</v>
      </c>
      <c r="C289" s="1" t="n">
        <v>45828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13259-2021</t>
        </is>
      </c>
      <c r="B290" s="1" t="n">
        <v>44272</v>
      </c>
      <c r="C290" s="1" t="n">
        <v>45828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13594-2021</t>
        </is>
      </c>
      <c r="B291" s="1" t="n">
        <v>44274</v>
      </c>
      <c r="C291" s="1" t="n">
        <v>45828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13600-2021</t>
        </is>
      </c>
      <c r="B292" s="1" t="n">
        <v>44274</v>
      </c>
      <c r="C292" s="1" t="n">
        <v>45828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14032-2021</t>
        </is>
      </c>
      <c r="B293" s="1" t="n">
        <v>44277</v>
      </c>
      <c r="C293" s="1" t="n">
        <v>45828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14212-2021</t>
        </is>
      </c>
      <c r="B294" s="1" t="n">
        <v>44278</v>
      </c>
      <c r="C294" s="1" t="n">
        <v>45828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14449-2021</t>
        </is>
      </c>
      <c r="B295" s="1" t="n">
        <v>44279</v>
      </c>
      <c r="C295" s="1" t="n">
        <v>45828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14594-2021</t>
        </is>
      </c>
      <c r="B296" s="1" t="n">
        <v>44279</v>
      </c>
      <c r="C296" s="1" t="n">
        <v>45828</v>
      </c>
      <c r="D296" t="inlineStr">
        <is>
          <t>GÄVLEBORGS LÄN</t>
        </is>
      </c>
      <c r="E296" t="inlineStr">
        <is>
          <t>GÄVLE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15047-2021</t>
        </is>
      </c>
      <c r="B297" s="1" t="n">
        <v>44281</v>
      </c>
      <c r="C297" s="1" t="n">
        <v>45828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15280-2021</t>
        </is>
      </c>
      <c r="B298" s="1" t="n">
        <v>44284</v>
      </c>
      <c r="C298" s="1" t="n">
        <v>45828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15372-2021</t>
        </is>
      </c>
      <c r="B299" s="1" t="n">
        <v>44284</v>
      </c>
      <c r="C299" s="1" t="n">
        <v>45828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45828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15824-2021</t>
        </is>
      </c>
      <c r="B301" s="1" t="n">
        <v>44286</v>
      </c>
      <c r="C301" s="1" t="n">
        <v>45828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15738-2021</t>
        </is>
      </c>
      <c r="B302" s="1" t="n">
        <v>44286</v>
      </c>
      <c r="C302" s="1" t="n">
        <v>45828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15904-2021</t>
        </is>
      </c>
      <c r="B303" s="1" t="n">
        <v>44286</v>
      </c>
      <c r="C303" s="1" t="n">
        <v>45828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16574-2021</t>
        </is>
      </c>
      <c r="B304" s="1" t="n">
        <v>44294</v>
      </c>
      <c r="C304" s="1" t="n">
        <v>45828</v>
      </c>
      <c r="D304" t="inlineStr">
        <is>
          <t>GÄVLEBORGS LÄN</t>
        </is>
      </c>
      <c r="E304" t="inlineStr">
        <is>
          <t>GÄVLE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16581-2021</t>
        </is>
      </c>
      <c r="B305" s="1" t="n">
        <v>44294</v>
      </c>
      <c r="C305" s="1" t="n">
        <v>45828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16713-2021</t>
        </is>
      </c>
      <c r="B306" s="1" t="n">
        <v>44294</v>
      </c>
      <c r="C306" s="1" t="n">
        <v>45828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16931-2021</t>
        </is>
      </c>
      <c r="B307" s="1" t="n">
        <v>44295</v>
      </c>
      <c r="C307" s="1" t="n">
        <v>45828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17593-2021</t>
        </is>
      </c>
      <c r="B308" s="1" t="n">
        <v>44300</v>
      </c>
      <c r="C308" s="1" t="n">
        <v>45828</v>
      </c>
      <c r="D308" t="inlineStr">
        <is>
          <t>GÄVLEBORGS LÄN</t>
        </is>
      </c>
      <c r="E308" t="inlineStr">
        <is>
          <t>GÄVLE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17656-2021</t>
        </is>
      </c>
      <c r="B309" s="1" t="n">
        <v>44300</v>
      </c>
      <c r="C309" s="1" t="n">
        <v>45828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17834-2021</t>
        </is>
      </c>
      <c r="B310" s="1" t="n">
        <v>44300</v>
      </c>
      <c r="C310" s="1" t="n">
        <v>45828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18431-2021</t>
        </is>
      </c>
      <c r="B311" s="1" t="n">
        <v>44305</v>
      </c>
      <c r="C311" s="1" t="n">
        <v>45828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18827-2021</t>
        </is>
      </c>
      <c r="B312" s="1" t="n">
        <v>44307</v>
      </c>
      <c r="C312" s="1" t="n">
        <v>45828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19180-2021</t>
        </is>
      </c>
      <c r="B313" s="1" t="n">
        <v>44308</v>
      </c>
      <c r="C313" s="1" t="n">
        <v>45828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19178-2021</t>
        </is>
      </c>
      <c r="B314" s="1" t="n">
        <v>44308</v>
      </c>
      <c r="C314" s="1" t="n">
        <v>45828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20632-2021</t>
        </is>
      </c>
      <c r="B315" s="1" t="n">
        <v>44316</v>
      </c>
      <c r="C315" s="1" t="n">
        <v>45828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20657-2021</t>
        </is>
      </c>
      <c r="B316" s="1" t="n">
        <v>44316</v>
      </c>
      <c r="C316" s="1" t="n">
        <v>45828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21004-2021</t>
        </is>
      </c>
      <c r="B317" s="1" t="n">
        <v>44319</v>
      </c>
      <c r="C317" s="1" t="n">
        <v>45828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21552-2021</t>
        </is>
      </c>
      <c r="B318" s="1" t="n">
        <v>44321</v>
      </c>
      <c r="C318" s="1" t="n">
        <v>45828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21557-2021</t>
        </is>
      </c>
      <c r="B319" s="1" t="n">
        <v>44321</v>
      </c>
      <c r="C319" s="1" t="n">
        <v>45828</v>
      </c>
      <c r="D319" t="inlineStr">
        <is>
          <t>GÄVLEBORGS LÄN</t>
        </is>
      </c>
      <c r="E319" t="inlineStr">
        <is>
          <t>GÄVLE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22422-2021</t>
        </is>
      </c>
      <c r="B320" s="1" t="n">
        <v>44326</v>
      </c>
      <c r="C320" s="1" t="n">
        <v>45828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23246-2021</t>
        </is>
      </c>
      <c r="B321" s="1" t="n">
        <v>44333</v>
      </c>
      <c r="C321" s="1" t="n">
        <v>45828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23649-2021</t>
        </is>
      </c>
      <c r="B322" s="1" t="n">
        <v>44334</v>
      </c>
      <c r="C322" s="1" t="n">
        <v>45828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24173-2021</t>
        </is>
      </c>
      <c r="B323" s="1" t="n">
        <v>44336</v>
      </c>
      <c r="C323" s="1" t="n">
        <v>45828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25312-2021</t>
        </is>
      </c>
      <c r="B324" s="1" t="n">
        <v>44342</v>
      </c>
      <c r="C324" s="1" t="n">
        <v>45828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25335-2021</t>
        </is>
      </c>
      <c r="B325" s="1" t="n">
        <v>44342</v>
      </c>
      <c r="C325" s="1" t="n">
        <v>45828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25446-2021</t>
        </is>
      </c>
      <c r="B326" s="1" t="n">
        <v>44342</v>
      </c>
      <c r="C326" s="1" t="n">
        <v>45828</v>
      </c>
      <c r="D326" t="inlineStr">
        <is>
          <t>GÄVLEBORGS LÄN</t>
        </is>
      </c>
      <c r="E326" t="inlineStr">
        <is>
          <t>GÄVLE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25547-2021</t>
        </is>
      </c>
      <c r="B327" s="1" t="n">
        <v>44343</v>
      </c>
      <c r="C327" s="1" t="n">
        <v>45828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26323-2021</t>
        </is>
      </c>
      <c r="B328" s="1" t="n">
        <v>44347</v>
      </c>
      <c r="C328" s="1" t="n">
        <v>45828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26779-2021</t>
        </is>
      </c>
      <c r="B329" s="1" t="n">
        <v>44349</v>
      </c>
      <c r="C329" s="1" t="n">
        <v>45828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26776-2021</t>
        </is>
      </c>
      <c r="B330" s="1" t="n">
        <v>44349</v>
      </c>
      <c r="C330" s="1" t="n">
        <v>45828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27179-2021</t>
        </is>
      </c>
      <c r="B331" s="1" t="n">
        <v>44350</v>
      </c>
      <c r="C331" s="1" t="n">
        <v>45828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27480-2021</t>
        </is>
      </c>
      <c r="B332" s="1" t="n">
        <v>44351</v>
      </c>
      <c r="C332" s="1" t="n">
        <v>45828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27476-2021</t>
        </is>
      </c>
      <c r="B333" s="1" t="n">
        <v>44351</v>
      </c>
      <c r="C333" s="1" t="n">
        <v>45828</v>
      </c>
      <c r="D333" t="inlineStr">
        <is>
          <t>GÄVLEBORGS LÄN</t>
        </is>
      </c>
      <c r="E333" t="inlineStr">
        <is>
          <t>GÄVLE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27864-2021</t>
        </is>
      </c>
      <c r="B334" s="1" t="n">
        <v>44354</v>
      </c>
      <c r="C334" s="1" t="n">
        <v>45828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28403-2021</t>
        </is>
      </c>
      <c r="B335" s="1" t="n">
        <v>44356</v>
      </c>
      <c r="C335" s="1" t="n">
        <v>45828</v>
      </c>
      <c r="D335" t="inlineStr">
        <is>
          <t>GÄVLEBORGS LÄN</t>
        </is>
      </c>
      <c r="E335" t="inlineStr">
        <is>
          <t>GÄVLE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29313-2021</t>
        </is>
      </c>
      <c r="B336" s="1" t="n">
        <v>44361</v>
      </c>
      <c r="C336" s="1" t="n">
        <v>45828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30330-2021</t>
        </is>
      </c>
      <c r="B337" s="1" t="n">
        <v>44364</v>
      </c>
      <c r="C337" s="1" t="n">
        <v>45828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30525-2021</t>
        </is>
      </c>
      <c r="B338" s="1" t="n">
        <v>44364</v>
      </c>
      <c r="C338" s="1" t="n">
        <v>45828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31423-2021</t>
        </is>
      </c>
      <c r="B339" s="1" t="n">
        <v>44369</v>
      </c>
      <c r="C339" s="1" t="n">
        <v>45828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31619-2021</t>
        </is>
      </c>
      <c r="B340" s="1" t="n">
        <v>44369</v>
      </c>
      <c r="C340" s="1" t="n">
        <v>45828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32018-2021</t>
        </is>
      </c>
      <c r="B341" s="1" t="n">
        <v>44370</v>
      </c>
      <c r="C341" s="1" t="n">
        <v>45828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32008-2021</t>
        </is>
      </c>
      <c r="B342" s="1" t="n">
        <v>44370</v>
      </c>
      <c r="C342" s="1" t="n">
        <v>45828</v>
      </c>
      <c r="D342" t="inlineStr">
        <is>
          <t>GÄVLEBORGS LÄN</t>
        </is>
      </c>
      <c r="E342" t="inlineStr">
        <is>
          <t>GÄVLE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32970-2021</t>
        </is>
      </c>
      <c r="B343" s="1" t="n">
        <v>44376</v>
      </c>
      <c r="C343" s="1" t="n">
        <v>45828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33224-2021</t>
        </is>
      </c>
      <c r="B344" s="1" t="n">
        <v>44377</v>
      </c>
      <c r="C344" s="1" t="n">
        <v>45828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36205-2021</t>
        </is>
      </c>
      <c r="B345" s="1" t="n">
        <v>44389</v>
      </c>
      <c r="C345" s="1" t="n">
        <v>45828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36483-2021</t>
        </is>
      </c>
      <c r="B346" s="1" t="n">
        <v>44390</v>
      </c>
      <c r="C346" s="1" t="n">
        <v>45828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39374-2021</t>
        </is>
      </c>
      <c r="B347" s="1" t="n">
        <v>44414</v>
      </c>
      <c r="C347" s="1" t="n">
        <v>45828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45828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45828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45828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45828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45828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45828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45828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45828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45828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45828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45828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45828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45828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45828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45828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45828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45828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45828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45828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45828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45828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45828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45828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45828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45828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45828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45828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45828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45828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45828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45828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45828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45828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45828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45828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45828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45828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45828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45828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45828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45828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45828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45828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45828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45828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45828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45828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45828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45828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45828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45828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45828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45828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45828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45828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45828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45828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45828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45828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45828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45828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45828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45828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45828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45828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45828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45828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45828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45828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45828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45828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45828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45828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45828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45828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45828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45828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45828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45828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45828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45828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45828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45828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45828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45828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45828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45828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45828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45828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45828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45828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45828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45828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45828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45828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45828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45828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45828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45828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45828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45828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45828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45828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45828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45828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45828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45828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45828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45828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45828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45828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45828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45828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45828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45828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45828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45828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45828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45828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45828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45828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45828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45828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45828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45828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45828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45828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45828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45828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45828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45828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45828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45828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45828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45828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45828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45828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45828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45828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45828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45828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45828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45828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45828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45828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45828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45828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45828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45828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45828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45828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45828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45828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45828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45828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45828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45828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45828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45828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45828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45828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45828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45828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45828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45828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45828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45828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45828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45828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45828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45828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45828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45828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45828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45828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45828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45828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45828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45828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45828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45828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45828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45828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45828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45828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45828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45828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45828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45828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45828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45828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45828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45828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45828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45828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45828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45828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45828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56874-2022</t>
        </is>
      </c>
      <c r="B546" s="1" t="n">
        <v>44888</v>
      </c>
      <c r="C546" s="1" t="n">
        <v>45828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55989-2022</t>
        </is>
      </c>
      <c r="B547" s="1" t="n">
        <v>44889</v>
      </c>
      <c r="C547" s="1" t="n">
        <v>45828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55976-2022</t>
        </is>
      </c>
      <c r="B548" s="1" t="n">
        <v>44889</v>
      </c>
      <c r="C548" s="1" t="n">
        <v>45828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55996-2022</t>
        </is>
      </c>
      <c r="B549" s="1" t="n">
        <v>44889</v>
      </c>
      <c r="C549" s="1" t="n">
        <v>45828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57040-2022</t>
        </is>
      </c>
      <c r="B550" s="1" t="n">
        <v>44895</v>
      </c>
      <c r="C550" s="1" t="n">
        <v>45828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57179-2022</t>
        </is>
      </c>
      <c r="B551" s="1" t="n">
        <v>44895</v>
      </c>
      <c r="C551" s="1" t="n">
        <v>45828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57343-2022</t>
        </is>
      </c>
      <c r="B552" s="1" t="n">
        <v>44896</v>
      </c>
      <c r="C552" s="1" t="n">
        <v>45828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57345-2022</t>
        </is>
      </c>
      <c r="B553" s="1" t="n">
        <v>44896</v>
      </c>
      <c r="C553" s="1" t="n">
        <v>45828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57681-2022</t>
        </is>
      </c>
      <c r="B554" s="1" t="n">
        <v>44897</v>
      </c>
      <c r="C554" s="1" t="n">
        <v>45828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59261-2022</t>
        </is>
      </c>
      <c r="B555" s="1" t="n">
        <v>44904</v>
      </c>
      <c r="C555" s="1" t="n">
        <v>45828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59259-2022</t>
        </is>
      </c>
      <c r="B556" s="1" t="n">
        <v>44904</v>
      </c>
      <c r="C556" s="1" t="n">
        <v>45828</v>
      </c>
      <c r="D556" t="inlineStr">
        <is>
          <t>GÄVLEBORGS LÄN</t>
        </is>
      </c>
      <c r="E556" t="inlineStr">
        <is>
          <t>GÄVLE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59313-2022</t>
        </is>
      </c>
      <c r="B557" s="1" t="n">
        <v>44904</v>
      </c>
      <c r="C557" s="1" t="n">
        <v>45828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59322-2022</t>
        </is>
      </c>
      <c r="B558" s="1" t="n">
        <v>44904</v>
      </c>
      <c r="C558" s="1" t="n">
        <v>45828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59546-2022</t>
        </is>
      </c>
      <c r="B559" s="1" t="n">
        <v>44907</v>
      </c>
      <c r="C559" s="1" t="n">
        <v>45828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60371-2022</t>
        </is>
      </c>
      <c r="B560" s="1" t="n">
        <v>44910</v>
      </c>
      <c r="C560" s="1" t="n">
        <v>45828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60396-2022</t>
        </is>
      </c>
      <c r="B561" s="1" t="n">
        <v>44910</v>
      </c>
      <c r="C561" s="1" t="n">
        <v>45828</v>
      </c>
      <c r="D561" t="inlineStr">
        <is>
          <t>GÄVLEBORGS LÄN</t>
        </is>
      </c>
      <c r="E561" t="inlineStr">
        <is>
          <t>GÄVLE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45828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60376-2022</t>
        </is>
      </c>
      <c r="B563" s="1" t="n">
        <v>44910</v>
      </c>
      <c r="C563" s="1" t="n">
        <v>45828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60442-2022</t>
        </is>
      </c>
      <c r="B564" s="1" t="n">
        <v>44911</v>
      </c>
      <c r="C564" s="1" t="n">
        <v>45828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61512-2022</t>
        </is>
      </c>
      <c r="B565" s="1" t="n">
        <v>44916</v>
      </c>
      <c r="C565" s="1" t="n">
        <v>45828</v>
      </c>
      <c r="D565" t="inlineStr">
        <is>
          <t>GÄVLEBORGS LÄN</t>
        </is>
      </c>
      <c r="E565" t="inlineStr">
        <is>
          <t>GÄVLE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62130-2022</t>
        </is>
      </c>
      <c r="B566" s="1" t="n">
        <v>44922</v>
      </c>
      <c r="C566" s="1" t="n">
        <v>45828</v>
      </c>
      <c r="D566" t="inlineStr">
        <is>
          <t>GÄVLEBORGS LÄN</t>
        </is>
      </c>
      <c r="E566" t="inlineStr">
        <is>
          <t>GÄVLE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62255-2022</t>
        </is>
      </c>
      <c r="B567" s="1" t="n">
        <v>44922</v>
      </c>
      <c r="C567" s="1" t="n">
        <v>45828</v>
      </c>
      <c r="D567" t="inlineStr">
        <is>
          <t>GÄVLEBORGS LÄN</t>
        </is>
      </c>
      <c r="E567" t="inlineStr">
        <is>
          <t>GÄVLE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62128-2022</t>
        </is>
      </c>
      <c r="B568" s="1" t="n">
        <v>44922</v>
      </c>
      <c r="C568" s="1" t="n">
        <v>45828</v>
      </c>
      <c r="D568" t="inlineStr">
        <is>
          <t>GÄVLEBORGS LÄN</t>
        </is>
      </c>
      <c r="E568" t="inlineStr">
        <is>
          <t>GÄVLE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11-2023</t>
        </is>
      </c>
      <c r="B569" s="1" t="n">
        <v>44927</v>
      </c>
      <c r="C569" s="1" t="n">
        <v>45828</v>
      </c>
      <c r="D569" t="inlineStr">
        <is>
          <t>GÄVLEBORGS LÄN</t>
        </is>
      </c>
      <c r="E569" t="inlineStr">
        <is>
          <t>GÄVLE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138-2023</t>
        </is>
      </c>
      <c r="B570" s="1" t="n">
        <v>44928</v>
      </c>
      <c r="C570" s="1" t="n">
        <v>45828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1007-2023</t>
        </is>
      </c>
      <c r="B571" s="1" t="n">
        <v>44935</v>
      </c>
      <c r="C571" s="1" t="n">
        <v>45828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19.3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</v>
      </c>
      <c r="C572" s="1" t="n">
        <v>45828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1019-2023</t>
        </is>
      </c>
      <c r="B573" s="1" t="n">
        <v>44935</v>
      </c>
      <c r="C573" s="1" t="n">
        <v>45828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1238-2023</t>
        </is>
      </c>
      <c r="B574" s="1" t="n">
        <v>44936</v>
      </c>
      <c r="C574" s="1" t="n">
        <v>45828</v>
      </c>
      <c r="D574" t="inlineStr">
        <is>
          <t>GÄVLEBORGS LÄN</t>
        </is>
      </c>
      <c r="E574" t="inlineStr">
        <is>
          <t>GÄVLE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1244-2023</t>
        </is>
      </c>
      <c r="B575" s="1" t="n">
        <v>44936</v>
      </c>
      <c r="C575" s="1" t="n">
        <v>45828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1441-2023</t>
        </is>
      </c>
      <c r="B576" s="1" t="n">
        <v>44937</v>
      </c>
      <c r="C576" s="1" t="n">
        <v>45828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1436-2023</t>
        </is>
      </c>
      <c r="B577" s="1" t="n">
        <v>44937</v>
      </c>
      <c r="C577" s="1" t="n">
        <v>45828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2247-2023</t>
        </is>
      </c>
      <c r="B578" s="1" t="n">
        <v>44942</v>
      </c>
      <c r="C578" s="1" t="n">
        <v>45828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2400-2023</t>
        </is>
      </c>
      <c r="B579" s="1" t="n">
        <v>44942</v>
      </c>
      <c r="C579" s="1" t="n">
        <v>45828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2425-2023</t>
        </is>
      </c>
      <c r="B580" s="1" t="n">
        <v>44943</v>
      </c>
      <c r="C580" s="1" t="n">
        <v>45828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2696-2023</t>
        </is>
      </c>
      <c r="B581" s="1" t="n">
        <v>44944</v>
      </c>
      <c r="C581" s="1" t="n">
        <v>45828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3063-2023</t>
        </is>
      </c>
      <c r="B582" s="1" t="n">
        <v>44946</v>
      </c>
      <c r="C582" s="1" t="n">
        <v>45828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3715-2023</t>
        </is>
      </c>
      <c r="B583" s="1" t="n">
        <v>44951</v>
      </c>
      <c r="C583" s="1" t="n">
        <v>45828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3714-2023</t>
        </is>
      </c>
      <c r="B584" s="1" t="n">
        <v>44951</v>
      </c>
      <c r="C584" s="1" t="n">
        <v>45828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3712-2023</t>
        </is>
      </c>
      <c r="B585" s="1" t="n">
        <v>44951</v>
      </c>
      <c r="C585" s="1" t="n">
        <v>45828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3891-2023</t>
        </is>
      </c>
      <c r="B586" s="1" t="n">
        <v>44951</v>
      </c>
      <c r="C586" s="1" t="n">
        <v>45828</v>
      </c>
      <c r="D586" t="inlineStr">
        <is>
          <t>GÄVLEBORGS LÄN</t>
        </is>
      </c>
      <c r="E586" t="inlineStr">
        <is>
          <t>GÄVLE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5407-2023</t>
        </is>
      </c>
      <c r="B587" s="1" t="n">
        <v>44959</v>
      </c>
      <c r="C587" s="1" t="n">
        <v>45828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5219-2023</t>
        </is>
      </c>
      <c r="B588" s="1" t="n">
        <v>44959</v>
      </c>
      <c r="C588" s="1" t="n">
        <v>45828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5233-2023</t>
        </is>
      </c>
      <c r="B589" s="1" t="n">
        <v>44959</v>
      </c>
      <c r="C589" s="1" t="n">
        <v>45828</v>
      </c>
      <c r="D589" t="inlineStr">
        <is>
          <t>GÄVLEBORGS LÄN</t>
        </is>
      </c>
      <c r="E589" t="inlineStr">
        <is>
          <t>GÄVLE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5241-2023</t>
        </is>
      </c>
      <c r="B590" s="1" t="n">
        <v>44959</v>
      </c>
      <c r="C590" s="1" t="n">
        <v>45828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5287-2023</t>
        </is>
      </c>
      <c r="B591" s="1" t="n">
        <v>44959</v>
      </c>
      <c r="C591" s="1" t="n">
        <v>45828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5399-2023</t>
        </is>
      </c>
      <c r="B592" s="1" t="n">
        <v>44959</v>
      </c>
      <c r="C592" s="1" t="n">
        <v>45828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5409-2023</t>
        </is>
      </c>
      <c r="B593" s="1" t="n">
        <v>44959</v>
      </c>
      <c r="C593" s="1" t="n">
        <v>45828</v>
      </c>
      <c r="D593" t="inlineStr">
        <is>
          <t>GÄVLEBORGS LÄN</t>
        </is>
      </c>
      <c r="E593" t="inlineStr">
        <is>
          <t>GÄVLE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5414-2023</t>
        </is>
      </c>
      <c r="B594" s="1" t="n">
        <v>44959</v>
      </c>
      <c r="C594" s="1" t="n">
        <v>45828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5211-2023</t>
        </is>
      </c>
      <c r="B595" s="1" t="n">
        <v>44959</v>
      </c>
      <c r="C595" s="1" t="n">
        <v>45828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5234-2023</t>
        </is>
      </c>
      <c r="B596" s="1" t="n">
        <v>44959</v>
      </c>
      <c r="C596" s="1" t="n">
        <v>45828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5400-2023</t>
        </is>
      </c>
      <c r="B597" s="1" t="n">
        <v>44959</v>
      </c>
      <c r="C597" s="1" t="n">
        <v>45828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5415-2023</t>
        </is>
      </c>
      <c r="B598" s="1" t="n">
        <v>44959</v>
      </c>
      <c r="C598" s="1" t="n">
        <v>45828</v>
      </c>
      <c r="D598" t="inlineStr">
        <is>
          <t>GÄVLEBORGS LÄN</t>
        </is>
      </c>
      <c r="E598" t="inlineStr">
        <is>
          <t>GÄVLE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5412-2023</t>
        </is>
      </c>
      <c r="B599" s="1" t="n">
        <v>44959</v>
      </c>
      <c r="C599" s="1" t="n">
        <v>45828</v>
      </c>
      <c r="D599" t="inlineStr">
        <is>
          <t>GÄVLEBORGS LÄN</t>
        </is>
      </c>
      <c r="E599" t="inlineStr">
        <is>
          <t>GÄVLE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5408-2023</t>
        </is>
      </c>
      <c r="B600" s="1" t="n">
        <v>44959</v>
      </c>
      <c r="C600" s="1" t="n">
        <v>45828</v>
      </c>
      <c r="D600" t="inlineStr">
        <is>
          <t>GÄVLEBORGS LÄN</t>
        </is>
      </c>
      <c r="E600" t="inlineStr">
        <is>
          <t>GÄVLE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5413-2023</t>
        </is>
      </c>
      <c r="B601" s="1" t="n">
        <v>44959</v>
      </c>
      <c r="C601" s="1" t="n">
        <v>45828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5462-2023</t>
        </is>
      </c>
      <c r="B602" s="1" t="n">
        <v>44960</v>
      </c>
      <c r="C602" s="1" t="n">
        <v>45828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5727-2023</t>
        </is>
      </c>
      <c r="B603" s="1" t="n">
        <v>44962</v>
      </c>
      <c r="C603" s="1" t="n">
        <v>45828</v>
      </c>
      <c r="D603" t="inlineStr">
        <is>
          <t>GÄVLEBORGS LÄN</t>
        </is>
      </c>
      <c r="E603" t="inlineStr">
        <is>
          <t>GÄVLE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5728-2023</t>
        </is>
      </c>
      <c r="B604" s="1" t="n">
        <v>44962</v>
      </c>
      <c r="C604" s="1" t="n">
        <v>45828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6935-2023</t>
        </is>
      </c>
      <c r="B605" s="1" t="n">
        <v>44967</v>
      </c>
      <c r="C605" s="1" t="n">
        <v>45828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6972-2023</t>
        </is>
      </c>
      <c r="B606" s="1" t="n">
        <v>44967</v>
      </c>
      <c r="C606" s="1" t="n">
        <v>45828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7161-2023</t>
        </is>
      </c>
      <c r="B607" s="1" t="n">
        <v>44970</v>
      </c>
      <c r="C607" s="1" t="n">
        <v>45828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7410-2023</t>
        </is>
      </c>
      <c r="B608" s="1" t="n">
        <v>44971</v>
      </c>
      <c r="C608" s="1" t="n">
        <v>45828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7575-2023</t>
        </is>
      </c>
      <c r="B609" s="1" t="n">
        <v>44972</v>
      </c>
      <c r="C609" s="1" t="n">
        <v>45828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7792-2023</t>
        </is>
      </c>
      <c r="B610" s="1" t="n">
        <v>44973</v>
      </c>
      <c r="C610" s="1" t="n">
        <v>45828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7998-2023</t>
        </is>
      </c>
      <c r="B611" s="1" t="n">
        <v>44973</v>
      </c>
      <c r="C611" s="1" t="n">
        <v>45828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8902-2023</t>
        </is>
      </c>
      <c r="B612" s="1" t="n">
        <v>44979</v>
      </c>
      <c r="C612" s="1" t="n">
        <v>45828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8904-2023</t>
        </is>
      </c>
      <c r="B613" s="1" t="n">
        <v>44979</v>
      </c>
      <c r="C613" s="1" t="n">
        <v>45828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9883-2023</t>
        </is>
      </c>
      <c r="B614" s="1" t="n">
        <v>44985</v>
      </c>
      <c r="C614" s="1" t="n">
        <v>45828</v>
      </c>
      <c r="D614" t="inlineStr">
        <is>
          <t>GÄVLEBORGS LÄN</t>
        </is>
      </c>
      <c r="E614" t="inlineStr">
        <is>
          <t>GÄVLE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10018-2023</t>
        </is>
      </c>
      <c r="B615" s="1" t="n">
        <v>44985</v>
      </c>
      <c r="C615" s="1" t="n">
        <v>45828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10165-2023</t>
        </is>
      </c>
      <c r="B616" s="1" t="n">
        <v>44986</v>
      </c>
      <c r="C616" s="1" t="n">
        <v>45828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10577-2023</t>
        </is>
      </c>
      <c r="B617" s="1" t="n">
        <v>44988</v>
      </c>
      <c r="C617" s="1" t="n">
        <v>45828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10942-2023</t>
        </is>
      </c>
      <c r="B618" s="1" t="n">
        <v>44991</v>
      </c>
      <c r="C618" s="1" t="n">
        <v>45828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10986-2023</t>
        </is>
      </c>
      <c r="B619" s="1" t="n">
        <v>44991</v>
      </c>
      <c r="C619" s="1" t="n">
        <v>45828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11081-2023</t>
        </is>
      </c>
      <c r="B620" s="1" t="n">
        <v>44992</v>
      </c>
      <c r="C620" s="1" t="n">
        <v>45828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11652-2023</t>
        </is>
      </c>
      <c r="B621" s="1" t="n">
        <v>44994</v>
      </c>
      <c r="C621" s="1" t="n">
        <v>45828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12047-2023</t>
        </is>
      </c>
      <c r="B622" s="1" t="n">
        <v>44995</v>
      </c>
      <c r="C622" s="1" t="n">
        <v>45828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12381-2023</t>
        </is>
      </c>
      <c r="B623" s="1" t="n">
        <v>44999</v>
      </c>
      <c r="C623" s="1" t="n">
        <v>45828</v>
      </c>
      <c r="D623" t="inlineStr">
        <is>
          <t>GÄVLEBORGS LÄN</t>
        </is>
      </c>
      <c r="E623" t="inlineStr">
        <is>
          <t>GÄVLE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13500-2023</t>
        </is>
      </c>
      <c r="B624" s="1" t="n">
        <v>45006</v>
      </c>
      <c r="C624" s="1" t="n">
        <v>45828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14155-2023</t>
        </is>
      </c>
      <c r="B625" s="1" t="n">
        <v>45009</v>
      </c>
      <c r="C625" s="1" t="n">
        <v>45828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14411-2023</t>
        </is>
      </c>
      <c r="B626" s="1" t="n">
        <v>45012</v>
      </c>
      <c r="C626" s="1" t="n">
        <v>45828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14426-2023</t>
        </is>
      </c>
      <c r="B627" s="1" t="n">
        <v>45012</v>
      </c>
      <c r="C627" s="1" t="n">
        <v>45828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14807-2023</t>
        </is>
      </c>
      <c r="B628" s="1" t="n">
        <v>45014</v>
      </c>
      <c r="C628" s="1" t="n">
        <v>45828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14850-2023</t>
        </is>
      </c>
      <c r="B629" s="1" t="n">
        <v>45014</v>
      </c>
      <c r="C629" s="1" t="n">
        <v>45828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45828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14801-2023</t>
        </is>
      </c>
      <c r="B631" s="1" t="n">
        <v>45014</v>
      </c>
      <c r="C631" s="1" t="n">
        <v>45828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14957-2023</t>
        </is>
      </c>
      <c r="B632" s="1" t="n">
        <v>45015</v>
      </c>
      <c r="C632" s="1" t="n">
        <v>45828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14964-2023</t>
        </is>
      </c>
      <c r="B633" s="1" t="n">
        <v>45015</v>
      </c>
      <c r="C633" s="1" t="n">
        <v>45828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15001-2023</t>
        </is>
      </c>
      <c r="B634" s="1" t="n">
        <v>45015</v>
      </c>
      <c r="C634" s="1" t="n">
        <v>45828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14994-2023</t>
        </is>
      </c>
      <c r="B635" s="1" t="n">
        <v>45015</v>
      </c>
      <c r="C635" s="1" t="n">
        <v>45828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14989-2023</t>
        </is>
      </c>
      <c r="B636" s="1" t="n">
        <v>45015</v>
      </c>
      <c r="C636" s="1" t="n">
        <v>45828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15314-2023</t>
        </is>
      </c>
      <c r="B637" s="1" t="n">
        <v>45019</v>
      </c>
      <c r="C637" s="1" t="n">
        <v>45828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15311-2023</t>
        </is>
      </c>
      <c r="B638" s="1" t="n">
        <v>45019</v>
      </c>
      <c r="C638" s="1" t="n">
        <v>45828</v>
      </c>
      <c r="D638" t="inlineStr">
        <is>
          <t>GÄVLEBORGS LÄN</t>
        </is>
      </c>
      <c r="E638" t="inlineStr">
        <is>
          <t>GÄVLE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15312-2023</t>
        </is>
      </c>
      <c r="B639" s="1" t="n">
        <v>45019</v>
      </c>
      <c r="C639" s="1" t="n">
        <v>45828</v>
      </c>
      <c r="D639" t="inlineStr">
        <is>
          <t>GÄVLEBORGS LÄN</t>
        </is>
      </c>
      <c r="E639" t="inlineStr">
        <is>
          <t>GÄVLE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15873-2023</t>
        </is>
      </c>
      <c r="B640" s="1" t="n">
        <v>45022</v>
      </c>
      <c r="C640" s="1" t="n">
        <v>45828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16247-2023</t>
        </is>
      </c>
      <c r="B641" s="1" t="n">
        <v>45022</v>
      </c>
      <c r="C641" s="1" t="n">
        <v>45828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31.7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16242-2023</t>
        </is>
      </c>
      <c r="B642" s="1" t="n">
        <v>45022</v>
      </c>
      <c r="C642" s="1" t="n">
        <v>45828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16254-2023</t>
        </is>
      </c>
      <c r="B643" s="1" t="n">
        <v>45022</v>
      </c>
      <c r="C643" s="1" t="n">
        <v>45828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16023-2023</t>
        </is>
      </c>
      <c r="B644" s="1" t="n">
        <v>45026</v>
      </c>
      <c r="C644" s="1" t="n">
        <v>45828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16057-2023</t>
        </is>
      </c>
      <c r="B645" s="1" t="n">
        <v>45027</v>
      </c>
      <c r="C645" s="1" t="n">
        <v>45828</v>
      </c>
      <c r="D645" t="inlineStr">
        <is>
          <t>GÄVLEBORGS LÄN</t>
        </is>
      </c>
      <c r="E645" t="inlineStr">
        <is>
          <t>GÄVLE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16062-2023</t>
        </is>
      </c>
      <c r="B646" s="1" t="n">
        <v>45027</v>
      </c>
      <c r="C646" s="1" t="n">
        <v>45828</v>
      </c>
      <c r="D646" t="inlineStr">
        <is>
          <t>GÄVLEBORGS LÄN</t>
        </is>
      </c>
      <c r="E646" t="inlineStr">
        <is>
          <t>GÄVLE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16421-2023</t>
        </is>
      </c>
      <c r="B647" s="1" t="n">
        <v>45029</v>
      </c>
      <c r="C647" s="1" t="n">
        <v>45828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16432-2023</t>
        </is>
      </c>
      <c r="B648" s="1" t="n">
        <v>45029</v>
      </c>
      <c r="C648" s="1" t="n">
        <v>45828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16504-2023</t>
        </is>
      </c>
      <c r="B649" s="1" t="n">
        <v>45029</v>
      </c>
      <c r="C649" s="1" t="n">
        <v>45828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16632-2023</t>
        </is>
      </c>
      <c r="B650" s="1" t="n">
        <v>45030</v>
      </c>
      <c r="C650" s="1" t="n">
        <v>45828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16624-2023</t>
        </is>
      </c>
      <c r="B651" s="1" t="n">
        <v>45030</v>
      </c>
      <c r="C651" s="1" t="n">
        <v>45828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16663-2023</t>
        </is>
      </c>
      <c r="B652" s="1" t="n">
        <v>45030</v>
      </c>
      <c r="C652" s="1" t="n">
        <v>45828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17062-2023</t>
        </is>
      </c>
      <c r="B653" s="1" t="n">
        <v>45034</v>
      </c>
      <c r="C653" s="1" t="n">
        <v>45828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17088-2023</t>
        </is>
      </c>
      <c r="B654" s="1" t="n">
        <v>45034</v>
      </c>
      <c r="C654" s="1" t="n">
        <v>45828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17057-2023</t>
        </is>
      </c>
      <c r="B655" s="1" t="n">
        <v>45034</v>
      </c>
      <c r="C655" s="1" t="n">
        <v>45828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17449-2023</t>
        </is>
      </c>
      <c r="B656" s="1" t="n">
        <v>45036</v>
      </c>
      <c r="C656" s="1" t="n">
        <v>45828</v>
      </c>
      <c r="D656" t="inlineStr">
        <is>
          <t>GÄVLEBORGS LÄN</t>
        </is>
      </c>
      <c r="E656" t="inlineStr">
        <is>
          <t>GÄVLE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17570-2023</t>
        </is>
      </c>
      <c r="B657" s="1" t="n">
        <v>45036</v>
      </c>
      <c r="C657" s="1" t="n">
        <v>45828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17903-2023</t>
        </is>
      </c>
      <c r="B658" s="1" t="n">
        <v>45040</v>
      </c>
      <c r="C658" s="1" t="n">
        <v>45828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17911-2023</t>
        </is>
      </c>
      <c r="B659" s="1" t="n">
        <v>45040</v>
      </c>
      <c r="C659" s="1" t="n">
        <v>45828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18017-2023</t>
        </is>
      </c>
      <c r="B660" s="1" t="n">
        <v>45040</v>
      </c>
      <c r="C660" s="1" t="n">
        <v>45828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18849-2023</t>
        </is>
      </c>
      <c r="B661" s="1" t="n">
        <v>45044</v>
      </c>
      <c r="C661" s="1" t="n">
        <v>45828</v>
      </c>
      <c r="D661" t="inlineStr">
        <is>
          <t>GÄVLEBORGS LÄN</t>
        </is>
      </c>
      <c r="E661" t="inlineStr">
        <is>
          <t>GÄVLE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19874-2023</t>
        </is>
      </c>
      <c r="B662" s="1" t="n">
        <v>45054</v>
      </c>
      <c r="C662" s="1" t="n">
        <v>45828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19876-2023</t>
        </is>
      </c>
      <c r="B663" s="1" t="n">
        <v>45054</v>
      </c>
      <c r="C663" s="1" t="n">
        <v>45828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20361-2023</t>
        </is>
      </c>
      <c r="B664" s="1" t="n">
        <v>45056</v>
      </c>
      <c r="C664" s="1" t="n">
        <v>45828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20682-2023</t>
        </is>
      </c>
      <c r="B665" s="1" t="n">
        <v>45058</v>
      </c>
      <c r="C665" s="1" t="n">
        <v>45828</v>
      </c>
      <c r="D665" t="inlineStr">
        <is>
          <t>GÄVLEBORGS LÄN</t>
        </is>
      </c>
      <c r="E665" t="inlineStr">
        <is>
          <t>GÄVLE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22106-2023</t>
        </is>
      </c>
      <c r="B666" s="1" t="n">
        <v>45069</v>
      </c>
      <c r="C666" s="1" t="n">
        <v>45828</v>
      </c>
      <c r="D666" t="inlineStr">
        <is>
          <t>GÄVLEBORGS LÄN</t>
        </is>
      </c>
      <c r="E666" t="inlineStr">
        <is>
          <t>GÄVLE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22466-2023</t>
        </is>
      </c>
      <c r="B667" s="1" t="n">
        <v>45070</v>
      </c>
      <c r="C667" s="1" t="n">
        <v>45828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22720-2023</t>
        </is>
      </c>
      <c r="B668" s="1" t="n">
        <v>45071</v>
      </c>
      <c r="C668" s="1" t="n">
        <v>45828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22724-2023</t>
        </is>
      </c>
      <c r="B669" s="1" t="n">
        <v>45071</v>
      </c>
      <c r="C669" s="1" t="n">
        <v>45828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22741-2023</t>
        </is>
      </c>
      <c r="B670" s="1" t="n">
        <v>45072</v>
      </c>
      <c r="C670" s="1" t="n">
        <v>45828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22777-2023</t>
        </is>
      </c>
      <c r="B671" s="1" t="n">
        <v>45072</v>
      </c>
      <c r="C671" s="1" t="n">
        <v>45828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24138-2023</t>
        </is>
      </c>
      <c r="B672" s="1" t="n">
        <v>45079</v>
      </c>
      <c r="C672" s="1" t="n">
        <v>45828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24480-2023</t>
        </is>
      </c>
      <c r="B673" s="1" t="n">
        <v>45082</v>
      </c>
      <c r="C673" s="1" t="n">
        <v>45828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24478-2023</t>
        </is>
      </c>
      <c r="B674" s="1" t="n">
        <v>45082</v>
      </c>
      <c r="C674" s="1" t="n">
        <v>45828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24720-2023</t>
        </is>
      </c>
      <c r="B675" s="1" t="n">
        <v>45084</v>
      </c>
      <c r="C675" s="1" t="n">
        <v>45828</v>
      </c>
      <c r="D675" t="inlineStr">
        <is>
          <t>GÄVLEBORGS LÄN</t>
        </is>
      </c>
      <c r="E675" t="inlineStr">
        <is>
          <t>GÄVLE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24724-2023</t>
        </is>
      </c>
      <c r="B676" s="1" t="n">
        <v>45084</v>
      </c>
      <c r="C676" s="1" t="n">
        <v>45828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24618-2023</t>
        </is>
      </c>
      <c r="B677" s="1" t="n">
        <v>45084</v>
      </c>
      <c r="C677" s="1" t="n">
        <v>45828</v>
      </c>
      <c r="D677" t="inlineStr">
        <is>
          <t>GÄVLEBORGS LÄN</t>
        </is>
      </c>
      <c r="E677" t="inlineStr">
        <is>
          <t>GÄVLE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24919-2023</t>
        </is>
      </c>
      <c r="B678" s="1" t="n">
        <v>45085</v>
      </c>
      <c r="C678" s="1" t="n">
        <v>45828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25071-2023</t>
        </is>
      </c>
      <c r="B679" s="1" t="n">
        <v>45086</v>
      </c>
      <c r="C679" s="1" t="n">
        <v>45828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25185-2023</t>
        </is>
      </c>
      <c r="B680" s="1" t="n">
        <v>45086</v>
      </c>
      <c r="C680" s="1" t="n">
        <v>45828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25466-2023</t>
        </is>
      </c>
      <c r="B681" s="1" t="n">
        <v>45089</v>
      </c>
      <c r="C681" s="1" t="n">
        <v>45828</v>
      </c>
      <c r="D681" t="inlineStr">
        <is>
          <t>GÄVLEBORGS LÄN</t>
        </is>
      </c>
      <c r="E681" t="inlineStr">
        <is>
          <t>GÄVLE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25532-2023</t>
        </is>
      </c>
      <c r="B682" s="1" t="n">
        <v>45089</v>
      </c>
      <c r="C682" s="1" t="n">
        <v>45828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25607-2023</t>
        </is>
      </c>
      <c r="B683" s="1" t="n">
        <v>45089</v>
      </c>
      <c r="C683" s="1" t="n">
        <v>45828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25645-2023</t>
        </is>
      </c>
      <c r="B684" s="1" t="n">
        <v>45089</v>
      </c>
      <c r="C684" s="1" t="n">
        <v>45828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25646-2023</t>
        </is>
      </c>
      <c r="B685" s="1" t="n">
        <v>45089</v>
      </c>
      <c r="C685" s="1" t="n">
        <v>45828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25650-2023</t>
        </is>
      </c>
      <c r="B686" s="1" t="n">
        <v>45089</v>
      </c>
      <c r="C686" s="1" t="n">
        <v>45828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25812-2023</t>
        </is>
      </c>
      <c r="B687" s="1" t="n">
        <v>45090</v>
      </c>
      <c r="C687" s="1" t="n">
        <v>45828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</v>
      </c>
      <c r="C688" s="1" t="n">
        <v>45828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25814-2023</t>
        </is>
      </c>
      <c r="B689" s="1" t="n">
        <v>45090</v>
      </c>
      <c r="C689" s="1" t="n">
        <v>45828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27089-2023</t>
        </is>
      </c>
      <c r="B690" s="1" t="n">
        <v>45096</v>
      </c>
      <c r="C690" s="1" t="n">
        <v>45828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27742-2023</t>
        </is>
      </c>
      <c r="B691" s="1" t="n">
        <v>45098</v>
      </c>
      <c r="C691" s="1" t="n">
        <v>45828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28675-2023</t>
        </is>
      </c>
      <c r="B692" s="1" t="n">
        <v>45103</v>
      </c>
      <c r="C692" s="1" t="n">
        <v>45828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28797-2023</t>
        </is>
      </c>
      <c r="B693" s="1" t="n">
        <v>45104</v>
      </c>
      <c r="C693" s="1" t="n">
        <v>45828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28812-2023</t>
        </is>
      </c>
      <c r="B694" s="1" t="n">
        <v>45104</v>
      </c>
      <c r="C694" s="1" t="n">
        <v>45828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29014-2023</t>
        </is>
      </c>
      <c r="B695" s="1" t="n">
        <v>45104</v>
      </c>
      <c r="C695" s="1" t="n">
        <v>45828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28905-2023</t>
        </is>
      </c>
      <c r="B696" s="1" t="n">
        <v>45104</v>
      </c>
      <c r="C696" s="1" t="n">
        <v>45828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29016-2023</t>
        </is>
      </c>
      <c r="B697" s="1" t="n">
        <v>45104</v>
      </c>
      <c r="C697" s="1" t="n">
        <v>45828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31866-2023</t>
        </is>
      </c>
      <c r="B698" s="1" t="n">
        <v>45106</v>
      </c>
      <c r="C698" s="1" t="n">
        <v>45828</v>
      </c>
      <c r="D698" t="inlineStr">
        <is>
          <t>GÄVLEBORGS LÄN</t>
        </is>
      </c>
      <c r="E698" t="inlineStr">
        <is>
          <t>GÄVLE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29699-2023</t>
        </is>
      </c>
      <c r="B699" s="1" t="n">
        <v>45107</v>
      </c>
      <c r="C699" s="1" t="n">
        <v>45828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29840-2023</t>
        </is>
      </c>
      <c r="B700" s="1" t="n">
        <v>45107</v>
      </c>
      <c r="C700" s="1" t="n">
        <v>45828</v>
      </c>
      <c r="D700" t="inlineStr">
        <is>
          <t>GÄVLEBORGS LÄN</t>
        </is>
      </c>
      <c r="E700" t="inlineStr">
        <is>
          <t>GÄVLE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29862-2023</t>
        </is>
      </c>
      <c r="B701" s="1" t="n">
        <v>45107</v>
      </c>
      <c r="C701" s="1" t="n">
        <v>45828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31011-2023</t>
        </is>
      </c>
      <c r="B702" s="1" t="n">
        <v>45113</v>
      </c>
      <c r="C702" s="1" t="n">
        <v>45828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31062-2023</t>
        </is>
      </c>
      <c r="B703" s="1" t="n">
        <v>45113</v>
      </c>
      <c r="C703" s="1" t="n">
        <v>45828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31544-2023</t>
        </is>
      </c>
      <c r="B704" s="1" t="n">
        <v>45117</v>
      </c>
      <c r="C704" s="1" t="n">
        <v>45828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</v>
      </c>
      <c r="C705" s="1" t="n">
        <v>45828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32353-2023</t>
        </is>
      </c>
      <c r="B706" s="1" t="n">
        <v>45120</v>
      </c>
      <c r="C706" s="1" t="n">
        <v>45828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33015-2023</t>
        </is>
      </c>
      <c r="B707" s="1" t="n">
        <v>45125</v>
      </c>
      <c r="C707" s="1" t="n">
        <v>45828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33786-2023</t>
        </is>
      </c>
      <c r="B708" s="1" t="n">
        <v>45133</v>
      </c>
      <c r="C708" s="1" t="n">
        <v>45828</v>
      </c>
      <c r="D708" t="inlineStr">
        <is>
          <t>GÄVLEBORGS LÄN</t>
        </is>
      </c>
      <c r="E708" t="inlineStr">
        <is>
          <t>GÄVLE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33784-2023</t>
        </is>
      </c>
      <c r="B709" s="1" t="n">
        <v>45133</v>
      </c>
      <c r="C709" s="1" t="n">
        <v>45828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33790-2023</t>
        </is>
      </c>
      <c r="B710" s="1" t="n">
        <v>45133</v>
      </c>
      <c r="C710" s="1" t="n">
        <v>45828</v>
      </c>
      <c r="D710" t="inlineStr">
        <is>
          <t>GÄVLEBORGS LÄN</t>
        </is>
      </c>
      <c r="E710" t="inlineStr">
        <is>
          <t>GÄVLE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34235-2023</t>
        </is>
      </c>
      <c r="B711" s="1" t="n">
        <v>45138</v>
      </c>
      <c r="C711" s="1" t="n">
        <v>45828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34233-2023</t>
        </is>
      </c>
      <c r="B712" s="1" t="n">
        <v>45138</v>
      </c>
      <c r="C712" s="1" t="n">
        <v>45828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34790-2023</t>
        </is>
      </c>
      <c r="B713" s="1" t="n">
        <v>45141</v>
      </c>
      <c r="C713" s="1" t="n">
        <v>45828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34786-2023</t>
        </is>
      </c>
      <c r="B714" s="1" t="n">
        <v>45141</v>
      </c>
      <c r="C714" s="1" t="n">
        <v>45828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HYPERLINK("https://klasma.github.io/Logging_2180/knärot/A 34786-2023 karta knärot.png", "A 34786-2023")</f>
        <v/>
      </c>
      <c r="V714">
        <f>HYPERLINK("https://klasma.github.io/Logging_2180/klagomål/A 34786-2023 FSC-klagomål.docx", "A 34786-2023")</f>
        <v/>
      </c>
      <c r="W714">
        <f>HYPERLINK("https://klasma.github.io/Logging_2180/klagomålsmail/A 34786-2023 FSC-klagomål mail.docx", "A 34786-2023")</f>
        <v/>
      </c>
      <c r="X714">
        <f>HYPERLINK("https://klasma.github.io/Logging_2180/tillsyn/A 34786-2023 tillsynsbegäran.docx", "A 34786-2023")</f>
        <v/>
      </c>
      <c r="Y714">
        <f>HYPERLINK("https://klasma.github.io/Logging_2180/tillsynsmail/A 34786-2023 tillsynsbegäran mail.docx", "A 34786-2023")</f>
        <v/>
      </c>
    </row>
    <row r="715" ht="15" customHeight="1">
      <c r="A715" t="inlineStr">
        <is>
          <t>A 35440-2023</t>
        </is>
      </c>
      <c r="B715" s="1" t="n">
        <v>45146</v>
      </c>
      <c r="C715" s="1" t="n">
        <v>45828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35445-2023</t>
        </is>
      </c>
      <c r="B716" s="1" t="n">
        <v>45146</v>
      </c>
      <c r="C716" s="1" t="n">
        <v>45828</v>
      </c>
      <c r="D716" t="inlineStr">
        <is>
          <t>GÄVLEBORGS LÄN</t>
        </is>
      </c>
      <c r="E716" t="inlineStr">
        <is>
          <t>GÄVLE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36320-2023</t>
        </is>
      </c>
      <c r="B717" s="1" t="n">
        <v>45152</v>
      </c>
      <c r="C717" s="1" t="n">
        <v>45828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37341-2023</t>
        </is>
      </c>
      <c r="B718" s="1" t="n">
        <v>45156</v>
      </c>
      <c r="C718" s="1" t="n">
        <v>45828</v>
      </c>
      <c r="D718" t="inlineStr">
        <is>
          <t>GÄVLEBORGS LÄN</t>
        </is>
      </c>
      <c r="E718" t="inlineStr">
        <is>
          <t>GÄVLE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37362-2023</t>
        </is>
      </c>
      <c r="B719" s="1" t="n">
        <v>45156</v>
      </c>
      <c r="C719" s="1" t="n">
        <v>45828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37534-2023</t>
        </is>
      </c>
      <c r="B720" s="1" t="n">
        <v>45159</v>
      </c>
      <c r="C720" s="1" t="n">
        <v>45828</v>
      </c>
      <c r="D720" t="inlineStr">
        <is>
          <t>GÄVLEBORGS LÄN</t>
        </is>
      </c>
      <c r="E720" t="inlineStr">
        <is>
          <t>GÄVLE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37538-2023</t>
        </is>
      </c>
      <c r="B721" s="1" t="n">
        <v>45159</v>
      </c>
      <c r="C721" s="1" t="n">
        <v>45828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37592-2023</t>
        </is>
      </c>
      <c r="B722" s="1" t="n">
        <v>45159</v>
      </c>
      <c r="C722" s="1" t="n">
        <v>45828</v>
      </c>
      <c r="D722" t="inlineStr">
        <is>
          <t>GÄVLEBORGS LÄN</t>
        </is>
      </c>
      <c r="E722" t="inlineStr">
        <is>
          <t>GÄVLE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37728-2023</t>
        </is>
      </c>
      <c r="B723" s="1" t="n">
        <v>45159</v>
      </c>
      <c r="C723" s="1" t="n">
        <v>45828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38235-2023</t>
        </is>
      </c>
      <c r="B724" s="1" t="n">
        <v>45161</v>
      </c>
      <c r="C724" s="1" t="n">
        <v>45828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38255-2023</t>
        </is>
      </c>
      <c r="B725" s="1" t="n">
        <v>45161</v>
      </c>
      <c r="C725" s="1" t="n">
        <v>45828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38495-2023</t>
        </is>
      </c>
      <c r="B726" s="1" t="n">
        <v>45162</v>
      </c>
      <c r="C726" s="1" t="n">
        <v>45828</v>
      </c>
      <c r="D726" t="inlineStr">
        <is>
          <t>GÄVLEBORGS LÄN</t>
        </is>
      </c>
      <c r="E726" t="inlineStr">
        <is>
          <t>GÄVLE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38558-2023</t>
        </is>
      </c>
      <c r="B727" s="1" t="n">
        <v>45162</v>
      </c>
      <c r="C727" s="1" t="n">
        <v>45828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39931-2023</t>
        </is>
      </c>
      <c r="B728" s="1" t="n">
        <v>45168</v>
      </c>
      <c r="C728" s="1" t="n">
        <v>45828</v>
      </c>
      <c r="D728" t="inlineStr">
        <is>
          <t>GÄVLEBORGS LÄN</t>
        </is>
      </c>
      <c r="E728" t="inlineStr">
        <is>
          <t>GÄVLE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40091-2023</t>
        </is>
      </c>
      <c r="B729" s="1" t="n">
        <v>45169</v>
      </c>
      <c r="C729" s="1" t="n">
        <v>45828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40116-2023</t>
        </is>
      </c>
      <c r="B730" s="1" t="n">
        <v>45169</v>
      </c>
      <c r="C730" s="1" t="n">
        <v>45828</v>
      </c>
      <c r="D730" t="inlineStr">
        <is>
          <t>GÄVLEBORGS LÄN</t>
        </is>
      </c>
      <c r="E730" t="inlineStr">
        <is>
          <t>GÄVLE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40092-2023</t>
        </is>
      </c>
      <c r="B731" s="1" t="n">
        <v>45169</v>
      </c>
      <c r="C731" s="1" t="n">
        <v>45828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40268-2023</t>
        </is>
      </c>
      <c r="B732" s="1" t="n">
        <v>45169</v>
      </c>
      <c r="C732" s="1" t="n">
        <v>45828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41712-2023</t>
        </is>
      </c>
      <c r="B733" s="1" t="n">
        <v>45176</v>
      </c>
      <c r="C733" s="1" t="n">
        <v>45828</v>
      </c>
      <c r="D733" t="inlineStr">
        <is>
          <t>GÄVLEBORGS LÄN</t>
        </is>
      </c>
      <c r="E733" t="inlineStr">
        <is>
          <t>GÄVLE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41842-2023</t>
        </is>
      </c>
      <c r="B734" s="1" t="n">
        <v>45176</v>
      </c>
      <c r="C734" s="1" t="n">
        <v>45828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45828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41844-2023</t>
        </is>
      </c>
      <c r="B736" s="1" t="n">
        <v>45176</v>
      </c>
      <c r="C736" s="1" t="n">
        <v>45828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42934-2023</t>
        </is>
      </c>
      <c r="B737" s="1" t="n">
        <v>45182</v>
      </c>
      <c r="C737" s="1" t="n">
        <v>45828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42876-2023</t>
        </is>
      </c>
      <c r="B738" s="1" t="n">
        <v>45182</v>
      </c>
      <c r="C738" s="1" t="n">
        <v>45828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43553-2023</t>
        </is>
      </c>
      <c r="B739" s="1" t="n">
        <v>45184</v>
      </c>
      <c r="C739" s="1" t="n">
        <v>45828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43556-2023</t>
        </is>
      </c>
      <c r="B740" s="1" t="n">
        <v>45184</v>
      </c>
      <c r="C740" s="1" t="n">
        <v>45828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44063-2023</t>
        </is>
      </c>
      <c r="B741" s="1" t="n">
        <v>45188</v>
      </c>
      <c r="C741" s="1" t="n">
        <v>45828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45356-2023</t>
        </is>
      </c>
      <c r="B742" s="1" t="n">
        <v>45192</v>
      </c>
      <c r="C742" s="1" t="n">
        <v>45828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45360-2023</t>
        </is>
      </c>
      <c r="B743" s="1" t="n">
        <v>45192</v>
      </c>
      <c r="C743" s="1" t="n">
        <v>45828</v>
      </c>
      <c r="D743" t="inlineStr">
        <is>
          <t>GÄVLEBORGS LÄN</t>
        </is>
      </c>
      <c r="E743" t="inlineStr">
        <is>
          <t>GÄVLE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45569-2023</t>
        </is>
      </c>
      <c r="B744" s="1" t="n">
        <v>45194</v>
      </c>
      <c r="C744" s="1" t="n">
        <v>45828</v>
      </c>
      <c r="D744" t="inlineStr">
        <is>
          <t>GÄVLEBORGS LÄN</t>
        </is>
      </c>
      <c r="E744" t="inlineStr">
        <is>
          <t>GÄVLE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45559-2023</t>
        </is>
      </c>
      <c r="B745" s="1" t="n">
        <v>45194</v>
      </c>
      <c r="C745" s="1" t="n">
        <v>45828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45770-2023</t>
        </is>
      </c>
      <c r="B746" s="1" t="n">
        <v>45195</v>
      </c>
      <c r="C746" s="1" t="n">
        <v>45828</v>
      </c>
      <c r="D746" t="inlineStr">
        <is>
          <t>GÄVLEBORGS LÄN</t>
        </is>
      </c>
      <c r="E746" t="inlineStr">
        <is>
          <t>GÄVLE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45745-2023</t>
        </is>
      </c>
      <c r="B747" s="1" t="n">
        <v>45195</v>
      </c>
      <c r="C747" s="1" t="n">
        <v>45828</v>
      </c>
      <c r="D747" t="inlineStr">
        <is>
          <t>GÄVLEBORGS LÄN</t>
        </is>
      </c>
      <c r="E747" t="inlineStr">
        <is>
          <t>GÄVLE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45750-2023</t>
        </is>
      </c>
      <c r="B748" s="1" t="n">
        <v>45195</v>
      </c>
      <c r="C748" s="1" t="n">
        <v>45828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46031-2023</t>
        </is>
      </c>
      <c r="B749" s="1" t="n">
        <v>45196</v>
      </c>
      <c r="C749" s="1" t="n">
        <v>45828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46532-2023</t>
        </is>
      </c>
      <c r="B750" s="1" t="n">
        <v>45197</v>
      </c>
      <c r="C750" s="1" t="n">
        <v>45828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46627-2023</t>
        </is>
      </c>
      <c r="B751" s="1" t="n">
        <v>45198</v>
      </c>
      <c r="C751" s="1" t="n">
        <v>45828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47742-2023</t>
        </is>
      </c>
      <c r="B752" s="1" t="n">
        <v>45203</v>
      </c>
      <c r="C752" s="1" t="n">
        <v>45828</v>
      </c>
      <c r="D752" t="inlineStr">
        <is>
          <t>GÄVLEBORGS LÄN</t>
        </is>
      </c>
      <c r="E752" t="inlineStr">
        <is>
          <t>GÄVLE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47746-2023</t>
        </is>
      </c>
      <c r="B753" s="1" t="n">
        <v>45203</v>
      </c>
      <c r="C753" s="1" t="n">
        <v>45828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47743-2023</t>
        </is>
      </c>
      <c r="B754" s="1" t="n">
        <v>45203</v>
      </c>
      <c r="C754" s="1" t="n">
        <v>45828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47747-2023</t>
        </is>
      </c>
      <c r="B755" s="1" t="n">
        <v>45203</v>
      </c>
      <c r="C755" s="1" t="n">
        <v>45828</v>
      </c>
      <c r="D755" t="inlineStr">
        <is>
          <t>GÄVLEBORGS LÄN</t>
        </is>
      </c>
      <c r="E755" t="inlineStr">
        <is>
          <t>GÄVLE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47739-2023</t>
        </is>
      </c>
      <c r="B756" s="1" t="n">
        <v>45203</v>
      </c>
      <c r="C756" s="1" t="n">
        <v>45828</v>
      </c>
      <c r="D756" t="inlineStr">
        <is>
          <t>GÄVLEBORGS LÄN</t>
        </is>
      </c>
      <c r="E756" t="inlineStr">
        <is>
          <t>GÄVLE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47970-2023</t>
        </is>
      </c>
      <c r="B757" s="1" t="n">
        <v>45204</v>
      </c>
      <c r="C757" s="1" t="n">
        <v>45828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48012-2023</t>
        </is>
      </c>
      <c r="B758" s="1" t="n">
        <v>45204</v>
      </c>
      <c r="C758" s="1" t="n">
        <v>45828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48280-2023</t>
        </is>
      </c>
      <c r="B759" s="1" t="n">
        <v>45205</v>
      </c>
      <c r="C759" s="1" t="n">
        <v>45828</v>
      </c>
      <c r="D759" t="inlineStr">
        <is>
          <t>GÄVLEBORGS LÄN</t>
        </is>
      </c>
      <c r="E759" t="inlineStr">
        <is>
          <t>GÄVLE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48519-2023</t>
        </is>
      </c>
      <c r="B760" s="1" t="n">
        <v>45208</v>
      </c>
      <c r="C760" s="1" t="n">
        <v>45828</v>
      </c>
      <c r="D760" t="inlineStr">
        <is>
          <t>GÄVLEBORGS LÄN</t>
        </is>
      </c>
      <c r="E760" t="inlineStr">
        <is>
          <t>GÄVLE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48818-2023</t>
        </is>
      </c>
      <c r="B761" s="1" t="n">
        <v>45209</v>
      </c>
      <c r="C761" s="1" t="n">
        <v>45828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48861-2023</t>
        </is>
      </c>
      <c r="B762" s="1" t="n">
        <v>45209</v>
      </c>
      <c r="C762" s="1" t="n">
        <v>45828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48871-2023</t>
        </is>
      </c>
      <c r="B763" s="1" t="n">
        <v>45209</v>
      </c>
      <c r="C763" s="1" t="n">
        <v>45828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49414-2023</t>
        </is>
      </c>
      <c r="B764" s="1" t="n">
        <v>45211</v>
      </c>
      <c r="C764" s="1" t="n">
        <v>45828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49836-2023</t>
        </is>
      </c>
      <c r="B765" s="1" t="n">
        <v>45212</v>
      </c>
      <c r="C765" s="1" t="n">
        <v>45828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49824-2023</t>
        </is>
      </c>
      <c r="B766" s="1" t="n">
        <v>45212</v>
      </c>
      <c r="C766" s="1" t="n">
        <v>45828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49832-2023</t>
        </is>
      </c>
      <c r="B767" s="1" t="n">
        <v>45212</v>
      </c>
      <c r="C767" s="1" t="n">
        <v>45828</v>
      </c>
      <c r="D767" t="inlineStr">
        <is>
          <t>GÄVLEBORGS LÄN</t>
        </is>
      </c>
      <c r="E767" t="inlineStr">
        <is>
          <t>GÄVLE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50575-2023</t>
        </is>
      </c>
      <c r="B768" s="1" t="n">
        <v>45217</v>
      </c>
      <c r="C768" s="1" t="n">
        <v>45828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</v>
      </c>
      <c r="C769" s="1" t="n">
        <v>45828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50569-2023</t>
        </is>
      </c>
      <c r="B770" s="1" t="n">
        <v>45217</v>
      </c>
      <c r="C770" s="1" t="n">
        <v>45828</v>
      </c>
      <c r="D770" t="inlineStr">
        <is>
          <t>GÄVLEBORGS LÄN</t>
        </is>
      </c>
      <c r="E770" t="inlineStr">
        <is>
          <t>GÄVLE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50907-2023</t>
        </is>
      </c>
      <c r="B771" s="1" t="n">
        <v>45218</v>
      </c>
      <c r="C771" s="1" t="n">
        <v>45828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51071-2023</t>
        </is>
      </c>
      <c r="B772" s="1" t="n">
        <v>45218</v>
      </c>
      <c r="C772" s="1" t="n">
        <v>45828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50980-2023</t>
        </is>
      </c>
      <c r="B773" s="1" t="n">
        <v>45218</v>
      </c>
      <c r="C773" s="1" t="n">
        <v>45828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51265-2023</t>
        </is>
      </c>
      <c r="B774" s="1" t="n">
        <v>45219</v>
      </c>
      <c r="C774" s="1" t="n">
        <v>45828</v>
      </c>
      <c r="D774" t="inlineStr">
        <is>
          <t>GÄVLEBORGS LÄN</t>
        </is>
      </c>
      <c r="E774" t="inlineStr">
        <is>
          <t>GÄVLE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51249-2023</t>
        </is>
      </c>
      <c r="B775" s="1" t="n">
        <v>45219</v>
      </c>
      <c r="C775" s="1" t="n">
        <v>45828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51454-2023</t>
        </is>
      </c>
      <c r="B776" s="1" t="n">
        <v>45220</v>
      </c>
      <c r="C776" s="1" t="n">
        <v>45828</v>
      </c>
      <c r="D776" t="inlineStr">
        <is>
          <t>GÄVLEBORGS LÄN</t>
        </is>
      </c>
      <c r="E776" t="inlineStr">
        <is>
          <t>GÄVLE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51838-2023</t>
        </is>
      </c>
      <c r="B777" s="1" t="n">
        <v>45223</v>
      </c>
      <c r="C777" s="1" t="n">
        <v>45828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51876-2023</t>
        </is>
      </c>
      <c r="B778" s="1" t="n">
        <v>45223</v>
      </c>
      <c r="C778" s="1" t="n">
        <v>45828</v>
      </c>
      <c r="D778" t="inlineStr">
        <is>
          <t>GÄVLEBORGS LÄN</t>
        </is>
      </c>
      <c r="E778" t="inlineStr">
        <is>
          <t>GÄVLE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52170-2023</t>
        </is>
      </c>
      <c r="B779" s="1" t="n">
        <v>45224</v>
      </c>
      <c r="C779" s="1" t="n">
        <v>45828</v>
      </c>
      <c r="D779" t="inlineStr">
        <is>
          <t>GÄVLEBORGS LÄN</t>
        </is>
      </c>
      <c r="E779" t="inlineStr">
        <is>
          <t>GÄVLE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53270-2023</t>
        </is>
      </c>
      <c r="B780" s="1" t="n">
        <v>45229</v>
      </c>
      <c r="C780" s="1" t="n">
        <v>45828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53198-2023</t>
        </is>
      </c>
      <c r="B781" s="1" t="n">
        <v>45229</v>
      </c>
      <c r="C781" s="1" t="n">
        <v>45828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45828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54119-2023</t>
        </is>
      </c>
      <c r="B783" s="1" t="n">
        <v>45232</v>
      </c>
      <c r="C783" s="1" t="n">
        <v>45828</v>
      </c>
      <c r="D783" t="inlineStr">
        <is>
          <t>GÄVLEBORGS LÄN</t>
        </is>
      </c>
      <c r="E783" t="inlineStr">
        <is>
          <t>GÄVLE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54147-2023</t>
        </is>
      </c>
      <c r="B784" s="1" t="n">
        <v>45232</v>
      </c>
      <c r="C784" s="1" t="n">
        <v>45828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54202-2023</t>
        </is>
      </c>
      <c r="B785" s="1" t="n">
        <v>45232</v>
      </c>
      <c r="C785" s="1" t="n">
        <v>45828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54207-2023</t>
        </is>
      </c>
      <c r="B786" s="1" t="n">
        <v>45232</v>
      </c>
      <c r="C786" s="1" t="n">
        <v>45828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54126-2023</t>
        </is>
      </c>
      <c r="B787" s="1" t="n">
        <v>45232</v>
      </c>
      <c r="C787" s="1" t="n">
        <v>45828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54157-2023</t>
        </is>
      </c>
      <c r="B788" s="1" t="n">
        <v>45232</v>
      </c>
      <c r="C788" s="1" t="n">
        <v>45828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54183-2023</t>
        </is>
      </c>
      <c r="B789" s="1" t="n">
        <v>45232</v>
      </c>
      <c r="C789" s="1" t="n">
        <v>45828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54268-2023</t>
        </is>
      </c>
      <c r="B790" s="1" t="n">
        <v>45232</v>
      </c>
      <c r="C790" s="1" t="n">
        <v>45828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55571-2023</t>
        </is>
      </c>
      <c r="B791" s="1" t="n">
        <v>45238</v>
      </c>
      <c r="C791" s="1" t="n">
        <v>45828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55854-2023</t>
        </is>
      </c>
      <c r="B792" s="1" t="n">
        <v>45239</v>
      </c>
      <c r="C792" s="1" t="n">
        <v>45828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56138-2023</t>
        </is>
      </c>
      <c r="B793" s="1" t="n">
        <v>45240</v>
      </c>
      <c r="C793" s="1" t="n">
        <v>45828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56446-2023</t>
        </is>
      </c>
      <c r="B794" s="1" t="n">
        <v>45243</v>
      </c>
      <c r="C794" s="1" t="n">
        <v>45828</v>
      </c>
      <c r="D794" t="inlineStr">
        <is>
          <t>GÄVLEBORGS LÄN</t>
        </is>
      </c>
      <c r="E794" t="inlineStr">
        <is>
          <t>GÄVLE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56457-2023</t>
        </is>
      </c>
      <c r="B795" s="1" t="n">
        <v>45243</v>
      </c>
      <c r="C795" s="1" t="n">
        <v>45828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56487-2023</t>
        </is>
      </c>
      <c r="B796" s="1" t="n">
        <v>45243</v>
      </c>
      <c r="C796" s="1" t="n">
        <v>45828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56456-2023</t>
        </is>
      </c>
      <c r="B797" s="1" t="n">
        <v>45243</v>
      </c>
      <c r="C797" s="1" t="n">
        <v>45828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56462-2023</t>
        </is>
      </c>
      <c r="B798" s="1" t="n">
        <v>45243</v>
      </c>
      <c r="C798" s="1" t="n">
        <v>45828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56447-2023</t>
        </is>
      </c>
      <c r="B799" s="1" t="n">
        <v>45243</v>
      </c>
      <c r="C799" s="1" t="n">
        <v>45828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57156-2023</t>
        </is>
      </c>
      <c r="B800" s="1" t="n">
        <v>45245</v>
      </c>
      <c r="C800" s="1" t="n">
        <v>45828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57161-2023</t>
        </is>
      </c>
      <c r="B801" s="1" t="n">
        <v>45245</v>
      </c>
      <c r="C801" s="1" t="n">
        <v>45828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57171-2023</t>
        </is>
      </c>
      <c r="B802" s="1" t="n">
        <v>45245</v>
      </c>
      <c r="C802" s="1" t="n">
        <v>45828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57341-2023</t>
        </is>
      </c>
      <c r="B803" s="1" t="n">
        <v>45245</v>
      </c>
      <c r="C803" s="1" t="n">
        <v>45828</v>
      </c>
      <c r="D803" t="inlineStr">
        <is>
          <t>GÄVLEBORGS LÄN</t>
        </is>
      </c>
      <c r="E803" t="inlineStr">
        <is>
          <t>GÄVLE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57177-2023</t>
        </is>
      </c>
      <c r="B804" s="1" t="n">
        <v>45245</v>
      </c>
      <c r="C804" s="1" t="n">
        <v>45828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57184-2023</t>
        </is>
      </c>
      <c r="B805" s="1" t="n">
        <v>45245</v>
      </c>
      <c r="C805" s="1" t="n">
        <v>45828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57122-2023</t>
        </is>
      </c>
      <c r="B806" s="1" t="n">
        <v>45245</v>
      </c>
      <c r="C806" s="1" t="n">
        <v>45828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57166-2023</t>
        </is>
      </c>
      <c r="B807" s="1" t="n">
        <v>45245</v>
      </c>
      <c r="C807" s="1" t="n">
        <v>45828</v>
      </c>
      <c r="D807" t="inlineStr">
        <is>
          <t>GÄVLEBORGS LÄN</t>
        </is>
      </c>
      <c r="E807" t="inlineStr">
        <is>
          <t>GÄVLE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57168-2023</t>
        </is>
      </c>
      <c r="B808" s="1" t="n">
        <v>45245</v>
      </c>
      <c r="C808" s="1" t="n">
        <v>45828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57857-2023</t>
        </is>
      </c>
      <c r="B809" s="1" t="n">
        <v>45247</v>
      </c>
      <c r="C809" s="1" t="n">
        <v>45828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58153-2023</t>
        </is>
      </c>
      <c r="B810" s="1" t="n">
        <v>45250</v>
      </c>
      <c r="C810" s="1" t="n">
        <v>45828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58867-2023</t>
        </is>
      </c>
      <c r="B811" s="1" t="n">
        <v>45252</v>
      </c>
      <c r="C811" s="1" t="n">
        <v>45828</v>
      </c>
      <c r="D811" t="inlineStr">
        <is>
          <t>GÄVLEBORGS LÄN</t>
        </is>
      </c>
      <c r="E811" t="inlineStr">
        <is>
          <t>GÄVLE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59044-2023</t>
        </is>
      </c>
      <c r="B812" s="1" t="n">
        <v>45252</v>
      </c>
      <c r="C812" s="1" t="n">
        <v>45828</v>
      </c>
      <c r="D812" t="inlineStr">
        <is>
          <t>GÄVLEBORGS LÄN</t>
        </is>
      </c>
      <c r="E812" t="inlineStr">
        <is>
          <t>GÄVLE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59196-2023</t>
        </is>
      </c>
      <c r="B813" s="1" t="n">
        <v>45253</v>
      </c>
      <c r="C813" s="1" t="n">
        <v>45828</v>
      </c>
      <c r="D813" t="inlineStr">
        <is>
          <t>GÄVLEBORGS LÄN</t>
        </is>
      </c>
      <c r="E813" t="inlineStr">
        <is>
          <t>GÄVLE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59359-2023</t>
        </is>
      </c>
      <c r="B814" s="1" t="n">
        <v>45253</v>
      </c>
      <c r="C814" s="1" t="n">
        <v>45828</v>
      </c>
      <c r="D814" t="inlineStr">
        <is>
          <t>GÄVLEBORGS LÄN</t>
        </is>
      </c>
      <c r="E814" t="inlineStr">
        <is>
          <t>GÄVLE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59363-2023</t>
        </is>
      </c>
      <c r="B815" s="1" t="n">
        <v>45253</v>
      </c>
      <c r="C815" s="1" t="n">
        <v>45828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59672-2023</t>
        </is>
      </c>
      <c r="B816" s="1" t="n">
        <v>45255</v>
      </c>
      <c r="C816" s="1" t="n">
        <v>45828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59817-2023</t>
        </is>
      </c>
      <c r="B817" s="1" t="n">
        <v>45257</v>
      </c>
      <c r="C817" s="1" t="n">
        <v>45828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59806-2023</t>
        </is>
      </c>
      <c r="B818" s="1" t="n">
        <v>45257</v>
      </c>
      <c r="C818" s="1" t="n">
        <v>45828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59812-2023</t>
        </is>
      </c>
      <c r="B819" s="1" t="n">
        <v>45257</v>
      </c>
      <c r="C819" s="1" t="n">
        <v>45828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59816-2023</t>
        </is>
      </c>
      <c r="B820" s="1" t="n">
        <v>45257</v>
      </c>
      <c r="C820" s="1" t="n">
        <v>45828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59861-2023</t>
        </is>
      </c>
      <c r="B821" s="1" t="n">
        <v>45257</v>
      </c>
      <c r="C821" s="1" t="n">
        <v>45828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60502-2023</t>
        </is>
      </c>
      <c r="B822" s="1" t="n">
        <v>45259</v>
      </c>
      <c r="C822" s="1" t="n">
        <v>45828</v>
      </c>
      <c r="D822" t="inlineStr">
        <is>
          <t>GÄVLEBORGS LÄN</t>
        </is>
      </c>
      <c r="E822" t="inlineStr">
        <is>
          <t>GÄVLE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60885-2023</t>
        </is>
      </c>
      <c r="B823" s="1" t="n">
        <v>45261</v>
      </c>
      <c r="C823" s="1" t="n">
        <v>45828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60879-2023</t>
        </is>
      </c>
      <c r="B824" s="1" t="n">
        <v>45261</v>
      </c>
      <c r="C824" s="1" t="n">
        <v>45828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61231-2023</t>
        </is>
      </c>
      <c r="B825" s="1" t="n">
        <v>45264</v>
      </c>
      <c r="C825" s="1" t="n">
        <v>45828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61340-2023</t>
        </is>
      </c>
      <c r="B826" s="1" t="n">
        <v>45264</v>
      </c>
      <c r="C826" s="1" t="n">
        <v>45828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61390-2023</t>
        </is>
      </c>
      <c r="B827" s="1" t="n">
        <v>45264</v>
      </c>
      <c r="C827" s="1" t="n">
        <v>45828</v>
      </c>
      <c r="D827" t="inlineStr">
        <is>
          <t>GÄVLEBORGS LÄN</t>
        </is>
      </c>
      <c r="E827" t="inlineStr">
        <is>
          <t>GÄVLE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61672-2023</t>
        </is>
      </c>
      <c r="B828" s="1" t="n">
        <v>45265</v>
      </c>
      <c r="C828" s="1" t="n">
        <v>45828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61819-2023</t>
        </is>
      </c>
      <c r="B829" s="1" t="n">
        <v>45266</v>
      </c>
      <c r="C829" s="1" t="n">
        <v>45828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61823-2023</t>
        </is>
      </c>
      <c r="B830" s="1" t="n">
        <v>45266</v>
      </c>
      <c r="C830" s="1" t="n">
        <v>45828</v>
      </c>
      <c r="D830" t="inlineStr">
        <is>
          <t>GÄVLEBORGS LÄN</t>
        </is>
      </c>
      <c r="E830" t="inlineStr">
        <is>
          <t>GÄVLE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61918-2023</t>
        </is>
      </c>
      <c r="B831" s="1" t="n">
        <v>45266</v>
      </c>
      <c r="C831" s="1" t="n">
        <v>45828</v>
      </c>
      <c r="D831" t="inlineStr">
        <is>
          <t>GÄVLEBORGS LÄN</t>
        </is>
      </c>
      <c r="E831" t="inlineStr">
        <is>
          <t>GÄVLE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61843-2023</t>
        </is>
      </c>
      <c r="B832" s="1" t="n">
        <v>45266</v>
      </c>
      <c r="C832" s="1" t="n">
        <v>45828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45828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62041-2023</t>
        </is>
      </c>
      <c r="B834" s="1" t="n">
        <v>45266</v>
      </c>
      <c r="C834" s="1" t="n">
        <v>45828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62063-2023</t>
        </is>
      </c>
      <c r="B835" s="1" t="n">
        <v>45266</v>
      </c>
      <c r="C835" s="1" t="n">
        <v>45828</v>
      </c>
      <c r="D835" t="inlineStr">
        <is>
          <t>GÄVLEBORGS LÄN</t>
        </is>
      </c>
      <c r="E835" t="inlineStr">
        <is>
          <t>GÄVLE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62215-2023</t>
        </is>
      </c>
      <c r="B836" s="1" t="n">
        <v>45267</v>
      </c>
      <c r="C836" s="1" t="n">
        <v>45828</v>
      </c>
      <c r="D836" t="inlineStr">
        <is>
          <t>GÄVLEBORGS LÄN</t>
        </is>
      </c>
      <c r="E836" t="inlineStr">
        <is>
          <t>GÄVLE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62216-2023</t>
        </is>
      </c>
      <c r="B837" s="1" t="n">
        <v>45267</v>
      </c>
      <c r="C837" s="1" t="n">
        <v>45828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62983-2023</t>
        </is>
      </c>
      <c r="B838" s="1" t="n">
        <v>45272</v>
      </c>
      <c r="C838" s="1" t="n">
        <v>45828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63036-2023</t>
        </is>
      </c>
      <c r="B839" s="1" t="n">
        <v>45272</v>
      </c>
      <c r="C839" s="1" t="n">
        <v>45828</v>
      </c>
      <c r="D839" t="inlineStr">
        <is>
          <t>GÄVLEBORGS LÄN</t>
        </is>
      </c>
      <c r="E839" t="inlineStr">
        <is>
          <t>GÄVLE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63845-2023</t>
        </is>
      </c>
      <c r="B840" s="1" t="n">
        <v>45278</v>
      </c>
      <c r="C840" s="1" t="n">
        <v>45828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63870-2023</t>
        </is>
      </c>
      <c r="B841" s="1" t="n">
        <v>45278</v>
      </c>
      <c r="C841" s="1" t="n">
        <v>45828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64095-2023</t>
        </is>
      </c>
      <c r="B842" s="1" t="n">
        <v>45279</v>
      </c>
      <c r="C842" s="1" t="n">
        <v>45828</v>
      </c>
      <c r="D842" t="inlineStr">
        <is>
          <t>GÄVLEBORGS LÄN</t>
        </is>
      </c>
      <c r="E842" t="inlineStr">
        <is>
          <t>GÄVLE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64868-2023</t>
        </is>
      </c>
      <c r="B843" s="1" t="n">
        <v>45282</v>
      </c>
      <c r="C843" s="1" t="n">
        <v>45828</v>
      </c>
      <c r="D843" t="inlineStr">
        <is>
          <t>GÄVLEBORGS LÄN</t>
        </is>
      </c>
      <c r="E843" t="inlineStr">
        <is>
          <t>GÄVLE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64878-2023</t>
        </is>
      </c>
      <c r="B844" s="1" t="n">
        <v>45282</v>
      </c>
      <c r="C844" s="1" t="n">
        <v>45828</v>
      </c>
      <c r="D844" t="inlineStr">
        <is>
          <t>GÄVLEBORGS LÄN</t>
        </is>
      </c>
      <c r="E844" t="inlineStr">
        <is>
          <t>GÄVLE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64871-2023</t>
        </is>
      </c>
      <c r="B845" s="1" t="n">
        <v>45282</v>
      </c>
      <c r="C845" s="1" t="n">
        <v>45828</v>
      </c>
      <c r="D845" t="inlineStr">
        <is>
          <t>GÄVLEBORGS LÄN</t>
        </is>
      </c>
      <c r="E845" t="inlineStr">
        <is>
          <t>GÄVLE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64875-2023</t>
        </is>
      </c>
      <c r="B846" s="1" t="n">
        <v>45282</v>
      </c>
      <c r="C846" s="1" t="n">
        <v>45828</v>
      </c>
      <c r="D846" t="inlineStr">
        <is>
          <t>GÄVLEBORGS LÄN</t>
        </is>
      </c>
      <c r="E846" t="inlineStr">
        <is>
          <t>GÄVLE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45828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64921-2023</t>
        </is>
      </c>
      <c r="B848" s="1" t="n">
        <v>45282</v>
      </c>
      <c r="C848" s="1" t="n">
        <v>45828</v>
      </c>
      <c r="D848" t="inlineStr">
        <is>
          <t>GÄVLEBORGS LÄN</t>
        </is>
      </c>
      <c r="E848" t="inlineStr">
        <is>
          <t>GÄVLE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21-2024</t>
        </is>
      </c>
      <c r="B849" s="1" t="n">
        <v>45293</v>
      </c>
      <c r="C849" s="1" t="n">
        <v>45828</v>
      </c>
      <c r="D849" t="inlineStr">
        <is>
          <t>GÄVLEBORGS LÄN</t>
        </is>
      </c>
      <c r="E849" t="inlineStr">
        <is>
          <t>GÄVLE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25-2024</t>
        </is>
      </c>
      <c r="B850" s="1" t="n">
        <v>45293</v>
      </c>
      <c r="C850" s="1" t="n">
        <v>45828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16-2024</t>
        </is>
      </c>
      <c r="B851" s="1" t="n">
        <v>45293</v>
      </c>
      <c r="C851" s="1" t="n">
        <v>45828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24-2024</t>
        </is>
      </c>
      <c r="B852" s="1" t="n">
        <v>45293</v>
      </c>
      <c r="C852" s="1" t="n">
        <v>45828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18-2024</t>
        </is>
      </c>
      <c r="B853" s="1" t="n">
        <v>45293</v>
      </c>
      <c r="C853" s="1" t="n">
        <v>45828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308-2024</t>
        </is>
      </c>
      <c r="B854" s="1" t="n">
        <v>45295</v>
      </c>
      <c r="C854" s="1" t="n">
        <v>45828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768-2024</t>
        </is>
      </c>
      <c r="B855" s="1" t="n">
        <v>45300</v>
      </c>
      <c r="C855" s="1" t="n">
        <v>45828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1059-2024</t>
        </is>
      </c>
      <c r="B856" s="1" t="n">
        <v>45301</v>
      </c>
      <c r="C856" s="1" t="n">
        <v>45828</v>
      </c>
      <c r="D856" t="inlineStr">
        <is>
          <t>GÄVLEBORGS LÄN</t>
        </is>
      </c>
      <c r="E856" t="inlineStr">
        <is>
          <t>GÄVLE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1121-2024</t>
        </is>
      </c>
      <c r="B857" s="1" t="n">
        <v>45302</v>
      </c>
      <c r="C857" s="1" t="n">
        <v>45828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1104-2024</t>
        </is>
      </c>
      <c r="B858" s="1" t="n">
        <v>45302</v>
      </c>
      <c r="C858" s="1" t="n">
        <v>45828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1296-2024</t>
        </is>
      </c>
      <c r="B859" s="1" t="n">
        <v>45303</v>
      </c>
      <c r="C859" s="1" t="n">
        <v>45828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1594-2024</t>
        </is>
      </c>
      <c r="B860" s="1" t="n">
        <v>45306</v>
      </c>
      <c r="C860" s="1" t="n">
        <v>45828</v>
      </c>
      <c r="D860" t="inlineStr">
        <is>
          <t>GÄVLEBORGS LÄN</t>
        </is>
      </c>
      <c r="E860" t="inlineStr">
        <is>
          <t>GÄVLE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1882-2024</t>
        </is>
      </c>
      <c r="B861" s="1" t="n">
        <v>45308</v>
      </c>
      <c r="C861" s="1" t="n">
        <v>45828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</v>
      </c>
      <c r="C862" s="1" t="n">
        <v>45828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2457-2024</t>
        </is>
      </c>
      <c r="B863" s="1" t="n">
        <v>45312</v>
      </c>
      <c r="C863" s="1" t="n">
        <v>45828</v>
      </c>
      <c r="D863" t="inlineStr">
        <is>
          <t>GÄVLEBORGS LÄN</t>
        </is>
      </c>
      <c r="E863" t="inlineStr">
        <is>
          <t>GÄVLE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2461-2024</t>
        </is>
      </c>
      <c r="B864" s="1" t="n">
        <v>45312</v>
      </c>
      <c r="C864" s="1" t="n">
        <v>45828</v>
      </c>
      <c r="D864" t="inlineStr">
        <is>
          <t>GÄVLEBORGS LÄN</t>
        </is>
      </c>
      <c r="E864" t="inlineStr">
        <is>
          <t>GÄVLE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3334-2024</t>
        </is>
      </c>
      <c r="B865" s="1" t="n">
        <v>45317</v>
      </c>
      <c r="C865" s="1" t="n">
        <v>45828</v>
      </c>
      <c r="D865" t="inlineStr">
        <is>
          <t>GÄVLEBORGS LÄN</t>
        </is>
      </c>
      <c r="E865" t="inlineStr">
        <is>
          <t>GÄVLE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3337-2024</t>
        </is>
      </c>
      <c r="B866" s="1" t="n">
        <v>45317</v>
      </c>
      <c r="C866" s="1" t="n">
        <v>45828</v>
      </c>
      <c r="D866" t="inlineStr">
        <is>
          <t>GÄVLEBORGS LÄN</t>
        </is>
      </c>
      <c r="E866" t="inlineStr">
        <is>
          <t>GÄVLE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3426-2024</t>
        </is>
      </c>
      <c r="B867" s="1" t="n">
        <v>45319</v>
      </c>
      <c r="C867" s="1" t="n">
        <v>45828</v>
      </c>
      <c r="D867" t="inlineStr">
        <is>
          <t>GÄVLEBORGS LÄN</t>
        </is>
      </c>
      <c r="E867" t="inlineStr">
        <is>
          <t>GÄVLE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3615-2024</t>
        </is>
      </c>
      <c r="B868" s="1" t="n">
        <v>45320</v>
      </c>
      <c r="C868" s="1" t="n">
        <v>45828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3862-2024</t>
        </is>
      </c>
      <c r="B869" s="1" t="n">
        <v>45322</v>
      </c>
      <c r="C869" s="1" t="n">
        <v>45828</v>
      </c>
      <c r="D869" t="inlineStr">
        <is>
          <t>GÄVLEBORGS LÄN</t>
        </is>
      </c>
      <c r="E869" t="inlineStr">
        <is>
          <t>GÄVLE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4290-2024</t>
        </is>
      </c>
      <c r="B870" s="1" t="n">
        <v>45324</v>
      </c>
      <c r="C870" s="1" t="n">
        <v>45828</v>
      </c>
      <c r="D870" t="inlineStr">
        <is>
          <t>GÄVLEBORGS LÄN</t>
        </is>
      </c>
      <c r="E870" t="inlineStr">
        <is>
          <t>GÄVLE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4294-2024</t>
        </is>
      </c>
      <c r="B871" s="1" t="n">
        <v>45324</v>
      </c>
      <c r="C871" s="1" t="n">
        <v>45828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4287-2024</t>
        </is>
      </c>
      <c r="B872" s="1" t="n">
        <v>45324</v>
      </c>
      <c r="C872" s="1" t="n">
        <v>45828</v>
      </c>
      <c r="D872" t="inlineStr">
        <is>
          <t>GÄVLEBORGS LÄN</t>
        </is>
      </c>
      <c r="E872" t="inlineStr">
        <is>
          <t>GÄVLE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4814-2024</t>
        </is>
      </c>
      <c r="B873" s="1" t="n">
        <v>45328</v>
      </c>
      <c r="C873" s="1" t="n">
        <v>45828</v>
      </c>
      <c r="D873" t="inlineStr">
        <is>
          <t>GÄVLEBORGS LÄN</t>
        </is>
      </c>
      <c r="E873" t="inlineStr">
        <is>
          <t>GÄVLE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5000-2024</t>
        </is>
      </c>
      <c r="B874" s="1" t="n">
        <v>45329</v>
      </c>
      <c r="C874" s="1" t="n">
        <v>45828</v>
      </c>
      <c r="D874" t="inlineStr">
        <is>
          <t>GÄVLEBORGS LÄN</t>
        </is>
      </c>
      <c r="E874" t="inlineStr">
        <is>
          <t>GÄVLE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5243-2024</t>
        </is>
      </c>
      <c r="B875" s="1" t="n">
        <v>45330</v>
      </c>
      <c r="C875" s="1" t="n">
        <v>45828</v>
      </c>
      <c r="D875" t="inlineStr">
        <is>
          <t>GÄVLEBORGS LÄN</t>
        </is>
      </c>
      <c r="E875" t="inlineStr">
        <is>
          <t>GÄVLE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5241-2024</t>
        </is>
      </c>
      <c r="B876" s="1" t="n">
        <v>45330</v>
      </c>
      <c r="C876" s="1" t="n">
        <v>45828</v>
      </c>
      <c r="D876" t="inlineStr">
        <is>
          <t>GÄVLEBORGS LÄN</t>
        </is>
      </c>
      <c r="E876" t="inlineStr">
        <is>
          <t>GÄVLE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5605-2024</t>
        </is>
      </c>
      <c r="B877" s="1" t="n">
        <v>45334</v>
      </c>
      <c r="C877" s="1" t="n">
        <v>45828</v>
      </c>
      <c r="D877" t="inlineStr">
        <is>
          <t>GÄVLEBORGS LÄN</t>
        </is>
      </c>
      <c r="E877" t="inlineStr">
        <is>
          <t>GÄVLE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5633-2024</t>
        </is>
      </c>
      <c r="B878" s="1" t="n">
        <v>45334</v>
      </c>
      <c r="C878" s="1" t="n">
        <v>45828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5893-2024</t>
        </is>
      </c>
      <c r="B879" s="1" t="n">
        <v>45335</v>
      </c>
      <c r="C879" s="1" t="n">
        <v>45828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6474-2024</t>
        </is>
      </c>
      <c r="B880" s="1" t="n">
        <v>45338</v>
      </c>
      <c r="C880" s="1" t="n">
        <v>45828</v>
      </c>
      <c r="D880" t="inlineStr">
        <is>
          <t>GÄVLEBORGS LÄN</t>
        </is>
      </c>
      <c r="E880" t="inlineStr">
        <is>
          <t>GÄVLE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7298-2024</t>
        </is>
      </c>
      <c r="B881" s="1" t="n">
        <v>45344</v>
      </c>
      <c r="C881" s="1" t="n">
        <v>45828</v>
      </c>
      <c r="D881" t="inlineStr">
        <is>
          <t>GÄVLEBORGS LÄN</t>
        </is>
      </c>
      <c r="E881" t="inlineStr">
        <is>
          <t>GÄVLE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7297-2024</t>
        </is>
      </c>
      <c r="B882" s="1" t="n">
        <v>45344</v>
      </c>
      <c r="C882" s="1" t="n">
        <v>45828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7915-2024</t>
        </is>
      </c>
      <c r="B883" s="1" t="n">
        <v>45350</v>
      </c>
      <c r="C883" s="1" t="n">
        <v>45828</v>
      </c>
      <c r="D883" t="inlineStr">
        <is>
          <t>GÄVLEBORGS LÄN</t>
        </is>
      </c>
      <c r="E883" t="inlineStr">
        <is>
          <t>GÄVLE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7923-2024</t>
        </is>
      </c>
      <c r="B884" s="1" t="n">
        <v>45350</v>
      </c>
      <c r="C884" s="1" t="n">
        <v>45828</v>
      </c>
      <c r="D884" t="inlineStr">
        <is>
          <t>GÄVLEBORGS LÄN</t>
        </is>
      </c>
      <c r="E884" t="inlineStr">
        <is>
          <t>GÄVLE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7899-2024</t>
        </is>
      </c>
      <c r="B885" s="1" t="n">
        <v>45350</v>
      </c>
      <c r="C885" s="1" t="n">
        <v>45828</v>
      </c>
      <c r="D885" t="inlineStr">
        <is>
          <t>GÄVLEBORGS LÄN</t>
        </is>
      </c>
      <c r="E885" t="inlineStr">
        <is>
          <t>GÄVLE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7920-2024</t>
        </is>
      </c>
      <c r="B886" s="1" t="n">
        <v>45350</v>
      </c>
      <c r="C886" s="1" t="n">
        <v>45828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7926-2024</t>
        </is>
      </c>
      <c r="B887" s="1" t="n">
        <v>45350</v>
      </c>
      <c r="C887" s="1" t="n">
        <v>45828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</v>
      </c>
      <c r="C888" s="1" t="n">
        <v>45828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8691-2024</t>
        </is>
      </c>
      <c r="B889" s="1" t="n">
        <v>45356</v>
      </c>
      <c r="C889" s="1" t="n">
        <v>45828</v>
      </c>
      <c r="D889" t="inlineStr">
        <is>
          <t>GÄVLEBORGS LÄN</t>
        </is>
      </c>
      <c r="E889" t="inlineStr">
        <is>
          <t>GÄVLE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8693-2024</t>
        </is>
      </c>
      <c r="B890" s="1" t="n">
        <v>45356</v>
      </c>
      <c r="C890" s="1" t="n">
        <v>45828</v>
      </c>
      <c r="D890" t="inlineStr">
        <is>
          <t>GÄVLEBORGS LÄN</t>
        </is>
      </c>
      <c r="E890" t="inlineStr">
        <is>
          <t>GÄVLE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11413-2024</t>
        </is>
      </c>
      <c r="B891" s="1" t="n">
        <v>45372</v>
      </c>
      <c r="C891" s="1" t="n">
        <v>45828</v>
      </c>
      <c r="D891" t="inlineStr">
        <is>
          <t>GÄVLEBORGS LÄN</t>
        </is>
      </c>
      <c r="E891" t="inlineStr">
        <is>
          <t>GÄVLE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11407-2024</t>
        </is>
      </c>
      <c r="B892" s="1" t="n">
        <v>45372</v>
      </c>
      <c r="C892" s="1" t="n">
        <v>45828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11402-2024</t>
        </is>
      </c>
      <c r="B893" s="1" t="n">
        <v>45372</v>
      </c>
      <c r="C893" s="1" t="n">
        <v>45828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11691-2024</t>
        </is>
      </c>
      <c r="B894" s="1" t="n">
        <v>45373</v>
      </c>
      <c r="C894" s="1" t="n">
        <v>45828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12068-2024</t>
        </is>
      </c>
      <c r="B895" s="1" t="n">
        <v>45377</v>
      </c>
      <c r="C895" s="1" t="n">
        <v>45828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12413-2024</t>
        </is>
      </c>
      <c r="B896" s="1" t="n">
        <v>45379</v>
      </c>
      <c r="C896" s="1" t="n">
        <v>45828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12437-2024</t>
        </is>
      </c>
      <c r="B897" s="1" t="n">
        <v>45379</v>
      </c>
      <c r="C897" s="1" t="n">
        <v>45828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12415-2024</t>
        </is>
      </c>
      <c r="B898" s="1" t="n">
        <v>45379</v>
      </c>
      <c r="C898" s="1" t="n">
        <v>45828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12430-2024</t>
        </is>
      </c>
      <c r="B899" s="1" t="n">
        <v>45379</v>
      </c>
      <c r="C899" s="1" t="n">
        <v>45828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13229-2024</t>
        </is>
      </c>
      <c r="B900" s="1" t="n">
        <v>45386</v>
      </c>
      <c r="C900" s="1" t="n">
        <v>45828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13227-2024</t>
        </is>
      </c>
      <c r="B901" s="1" t="n">
        <v>45386</v>
      </c>
      <c r="C901" s="1" t="n">
        <v>45828</v>
      </c>
      <c r="D901" t="inlineStr">
        <is>
          <t>GÄVLEBORGS LÄN</t>
        </is>
      </c>
      <c r="E901" t="inlineStr">
        <is>
          <t>GÄVLE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13362-2024</t>
        </is>
      </c>
      <c r="B902" s="1" t="n">
        <v>45387</v>
      </c>
      <c r="C902" s="1" t="n">
        <v>45828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13369-2024</t>
        </is>
      </c>
      <c r="B903" s="1" t="n">
        <v>45387</v>
      </c>
      <c r="C903" s="1" t="n">
        <v>45828</v>
      </c>
      <c r="D903" t="inlineStr">
        <is>
          <t>GÄVLEBORGS LÄN</t>
        </is>
      </c>
      <c r="E903" t="inlineStr">
        <is>
          <t>GÄVLE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13603-2024</t>
        </is>
      </c>
      <c r="B904" s="1" t="n">
        <v>45390</v>
      </c>
      <c r="C904" s="1" t="n">
        <v>45828</v>
      </c>
      <c r="D904" t="inlineStr">
        <is>
          <t>GÄVLEBORGS LÄN</t>
        </is>
      </c>
      <c r="E904" t="inlineStr">
        <is>
          <t>GÄVLE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13680-2024</t>
        </is>
      </c>
      <c r="B905" s="1" t="n">
        <v>45390</v>
      </c>
      <c r="C905" s="1" t="n">
        <v>45828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13961-2024</t>
        </is>
      </c>
      <c r="B906" s="1" t="n">
        <v>45392</v>
      </c>
      <c r="C906" s="1" t="n">
        <v>45828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14686-2024</t>
        </is>
      </c>
      <c r="B907" s="1" t="n">
        <v>45397</v>
      </c>
      <c r="C907" s="1" t="n">
        <v>45828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14721-2024</t>
        </is>
      </c>
      <c r="B908" s="1" t="n">
        <v>45397</v>
      </c>
      <c r="C908" s="1" t="n">
        <v>45828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14735-2024</t>
        </is>
      </c>
      <c r="B909" s="1" t="n">
        <v>45397</v>
      </c>
      <c r="C909" s="1" t="n">
        <v>45828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14712-2024</t>
        </is>
      </c>
      <c r="B910" s="1" t="n">
        <v>45397</v>
      </c>
      <c r="C910" s="1" t="n">
        <v>45828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14691-2024</t>
        </is>
      </c>
      <c r="B911" s="1" t="n">
        <v>45397</v>
      </c>
      <c r="C911" s="1" t="n">
        <v>45828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14719-2024</t>
        </is>
      </c>
      <c r="B912" s="1" t="n">
        <v>45397</v>
      </c>
      <c r="C912" s="1" t="n">
        <v>45828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14832-2024</t>
        </is>
      </c>
      <c r="B913" s="1" t="n">
        <v>45398</v>
      </c>
      <c r="C913" s="1" t="n">
        <v>45828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14862-2024</t>
        </is>
      </c>
      <c r="B914" s="1" t="n">
        <v>45398</v>
      </c>
      <c r="C914" s="1" t="n">
        <v>45828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14881-2024</t>
        </is>
      </c>
      <c r="B915" s="1" t="n">
        <v>45398</v>
      </c>
      <c r="C915" s="1" t="n">
        <v>45828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14916-2024</t>
        </is>
      </c>
      <c r="B916" s="1" t="n">
        <v>45398</v>
      </c>
      <c r="C916" s="1" t="n">
        <v>45828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14924-2024</t>
        </is>
      </c>
      <c r="B917" s="1" t="n">
        <v>45398</v>
      </c>
      <c r="C917" s="1" t="n">
        <v>45828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14886-2024</t>
        </is>
      </c>
      <c r="B918" s="1" t="n">
        <v>45398</v>
      </c>
      <c r="C918" s="1" t="n">
        <v>45828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14864-2024</t>
        </is>
      </c>
      <c r="B919" s="1" t="n">
        <v>45398</v>
      </c>
      <c r="C919" s="1" t="n">
        <v>45828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14891-2024</t>
        </is>
      </c>
      <c r="B920" s="1" t="n">
        <v>45398</v>
      </c>
      <c r="C920" s="1" t="n">
        <v>45828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14899-2024</t>
        </is>
      </c>
      <c r="B921" s="1" t="n">
        <v>45398</v>
      </c>
      <c r="C921" s="1" t="n">
        <v>45828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15026-2024</t>
        </is>
      </c>
      <c r="B922" s="1" t="n">
        <v>45399</v>
      </c>
      <c r="C922" s="1" t="n">
        <v>45828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15068-2024</t>
        </is>
      </c>
      <c r="B923" s="1" t="n">
        <v>45399</v>
      </c>
      <c r="C923" s="1" t="n">
        <v>45828</v>
      </c>
      <c r="D923" t="inlineStr">
        <is>
          <t>GÄVLEBORGS LÄN</t>
        </is>
      </c>
      <c r="E923" t="inlineStr">
        <is>
          <t>GÄVLE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15027-2024</t>
        </is>
      </c>
      <c r="B924" s="1" t="n">
        <v>45399</v>
      </c>
      <c r="C924" s="1" t="n">
        <v>45828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15032-2024</t>
        </is>
      </c>
      <c r="B925" s="1" t="n">
        <v>45399</v>
      </c>
      <c r="C925" s="1" t="n">
        <v>45828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30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15305-2024</t>
        </is>
      </c>
      <c r="B926" s="1" t="n">
        <v>45400</v>
      </c>
      <c r="C926" s="1" t="n">
        <v>45828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15207-2024</t>
        </is>
      </c>
      <c r="B927" s="1" t="n">
        <v>45400</v>
      </c>
      <c r="C927" s="1" t="n">
        <v>45828</v>
      </c>
      <c r="D927" t="inlineStr">
        <is>
          <t>GÄVLEBORGS LÄN</t>
        </is>
      </c>
      <c r="E927" t="inlineStr">
        <is>
          <t>GÄVLE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15240-2024</t>
        </is>
      </c>
      <c r="B928" s="1" t="n">
        <v>45400</v>
      </c>
      <c r="C928" s="1" t="n">
        <v>45828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15444-2024</t>
        </is>
      </c>
      <c r="B929" s="1" t="n">
        <v>45401</v>
      </c>
      <c r="C929" s="1" t="n">
        <v>45828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15742-2024</t>
        </is>
      </c>
      <c r="B930" s="1" t="n">
        <v>45404</v>
      </c>
      <c r="C930" s="1" t="n">
        <v>45828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15707-2024</t>
        </is>
      </c>
      <c r="B931" s="1" t="n">
        <v>45404</v>
      </c>
      <c r="C931" s="1" t="n">
        <v>45828</v>
      </c>
      <c r="D931" t="inlineStr">
        <is>
          <t>GÄVLEBORGS LÄN</t>
        </is>
      </c>
      <c r="E931" t="inlineStr">
        <is>
          <t>GÄVLE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15853-2024</t>
        </is>
      </c>
      <c r="B932" s="1" t="n">
        <v>45404</v>
      </c>
      <c r="C932" s="1" t="n">
        <v>45828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15976-2024</t>
        </is>
      </c>
      <c r="B933" s="1" t="n">
        <v>45405</v>
      </c>
      <c r="C933" s="1" t="n">
        <v>45828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16546-2024</t>
        </is>
      </c>
      <c r="B934" s="1" t="n">
        <v>45408</v>
      </c>
      <c r="C934" s="1" t="n">
        <v>45828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17113-2024</t>
        </is>
      </c>
      <c r="B935" s="1" t="n">
        <v>45412</v>
      </c>
      <c r="C935" s="1" t="n">
        <v>45828</v>
      </c>
      <c r="D935" t="inlineStr">
        <is>
          <t>GÄVLEBORGS LÄN</t>
        </is>
      </c>
      <c r="E935" t="inlineStr">
        <is>
          <t>GÄVLE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17241-2024</t>
        </is>
      </c>
      <c r="B936" s="1" t="n">
        <v>45414</v>
      </c>
      <c r="C936" s="1" t="n">
        <v>45828</v>
      </c>
      <c r="D936" t="inlineStr">
        <is>
          <t>GÄVLEBORGS LÄN</t>
        </is>
      </c>
      <c r="E936" t="inlineStr">
        <is>
          <t>GÄVLE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17245-2024</t>
        </is>
      </c>
      <c r="B937" s="1" t="n">
        <v>45414</v>
      </c>
      <c r="C937" s="1" t="n">
        <v>45828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17247-2024</t>
        </is>
      </c>
      <c r="B938" s="1" t="n">
        <v>45414</v>
      </c>
      <c r="C938" s="1" t="n">
        <v>45828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17237-2024</t>
        </is>
      </c>
      <c r="B939" s="1" t="n">
        <v>45414</v>
      </c>
      <c r="C939" s="1" t="n">
        <v>45828</v>
      </c>
      <c r="D939" t="inlineStr">
        <is>
          <t>GÄVLEBORGS LÄN</t>
        </is>
      </c>
      <c r="E939" t="inlineStr">
        <is>
          <t>GÄVLE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17254-2024</t>
        </is>
      </c>
      <c r="B940" s="1" t="n">
        <v>45414</v>
      </c>
      <c r="C940" s="1" t="n">
        <v>45828</v>
      </c>
      <c r="D940" t="inlineStr">
        <is>
          <t>GÄVLEBORGS LÄN</t>
        </is>
      </c>
      <c r="E940" t="inlineStr">
        <is>
          <t>GÄVLE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18218-2024</t>
        </is>
      </c>
      <c r="B941" s="1" t="n">
        <v>45420</v>
      </c>
      <c r="C941" s="1" t="n">
        <v>45828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18217-2024</t>
        </is>
      </c>
      <c r="B942" s="1" t="n">
        <v>45420</v>
      </c>
      <c r="C942" s="1" t="n">
        <v>45828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18216-2024</t>
        </is>
      </c>
      <c r="B943" s="1" t="n">
        <v>45420</v>
      </c>
      <c r="C943" s="1" t="n">
        <v>45828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18377-2024</t>
        </is>
      </c>
      <c r="B944" s="1" t="n">
        <v>45423</v>
      </c>
      <c r="C944" s="1" t="n">
        <v>45828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18455-2024</t>
        </is>
      </c>
      <c r="B945" s="1" t="n">
        <v>45425</v>
      </c>
      <c r="C945" s="1" t="n">
        <v>45828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18457-2024</t>
        </is>
      </c>
      <c r="B946" s="1" t="n">
        <v>45425</v>
      </c>
      <c r="C946" s="1" t="n">
        <v>45828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18452-2024</t>
        </is>
      </c>
      <c r="B947" s="1" t="n">
        <v>45425</v>
      </c>
      <c r="C947" s="1" t="n">
        <v>45828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18454-2024</t>
        </is>
      </c>
      <c r="B948" s="1" t="n">
        <v>45425</v>
      </c>
      <c r="C948" s="1" t="n">
        <v>45828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19186-2024</t>
        </is>
      </c>
      <c r="B949" s="1" t="n">
        <v>45428</v>
      </c>
      <c r="C949" s="1" t="n">
        <v>45828</v>
      </c>
      <c r="D949" t="inlineStr">
        <is>
          <t>GÄVLEBORGS LÄN</t>
        </is>
      </c>
      <c r="E949" t="inlineStr">
        <is>
          <t>GÄVLE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19497-2024</t>
        </is>
      </c>
      <c r="B950" s="1" t="n">
        <v>45429</v>
      </c>
      <c r="C950" s="1" t="n">
        <v>45828</v>
      </c>
      <c r="D950" t="inlineStr">
        <is>
          <t>GÄVLEBORGS LÄN</t>
        </is>
      </c>
      <c r="E950" t="inlineStr">
        <is>
          <t>GÄVLE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19517-2024</t>
        </is>
      </c>
      <c r="B951" s="1" t="n">
        <v>45429</v>
      </c>
      <c r="C951" s="1" t="n">
        <v>45828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19861-2024</t>
        </is>
      </c>
      <c r="B952" s="1" t="n">
        <v>45433</v>
      </c>
      <c r="C952" s="1" t="n">
        <v>45828</v>
      </c>
      <c r="D952" t="inlineStr">
        <is>
          <t>GÄVLEBORGS LÄN</t>
        </is>
      </c>
      <c r="E952" t="inlineStr">
        <is>
          <t>GÄVLE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19948-2024</t>
        </is>
      </c>
      <c r="B953" s="1" t="n">
        <v>45433</v>
      </c>
      <c r="C953" s="1" t="n">
        <v>45828</v>
      </c>
      <c r="D953" t="inlineStr">
        <is>
          <t>GÄVLEBORGS LÄN</t>
        </is>
      </c>
      <c r="E953" t="inlineStr">
        <is>
          <t>GÄVLE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20142-2024</t>
        </is>
      </c>
      <c r="B954" s="1" t="n">
        <v>45434</v>
      </c>
      <c r="C954" s="1" t="n">
        <v>45828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20229-2024</t>
        </is>
      </c>
      <c r="B955" s="1" t="n">
        <v>45434</v>
      </c>
      <c r="C955" s="1" t="n">
        <v>45828</v>
      </c>
      <c r="D955" t="inlineStr">
        <is>
          <t>GÄVLEBORGS LÄN</t>
        </is>
      </c>
      <c r="E955" t="inlineStr">
        <is>
          <t>GÄVLE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20233-2024</t>
        </is>
      </c>
      <c r="B956" s="1" t="n">
        <v>45434</v>
      </c>
      <c r="C956" s="1" t="n">
        <v>45828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20143-2024</t>
        </is>
      </c>
      <c r="B957" s="1" t="n">
        <v>45434</v>
      </c>
      <c r="C957" s="1" t="n">
        <v>45828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20232-2024</t>
        </is>
      </c>
      <c r="B958" s="1" t="n">
        <v>45434</v>
      </c>
      <c r="C958" s="1" t="n">
        <v>45828</v>
      </c>
      <c r="D958" t="inlineStr">
        <is>
          <t>GÄVLEBORGS LÄN</t>
        </is>
      </c>
      <c r="E958" t="inlineStr">
        <is>
          <t>GÄVLE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20338-2024</t>
        </is>
      </c>
      <c r="B959" s="1" t="n">
        <v>45435</v>
      </c>
      <c r="C959" s="1" t="n">
        <v>45828</v>
      </c>
      <c r="D959" t="inlineStr">
        <is>
          <t>GÄVLEBORGS LÄN</t>
        </is>
      </c>
      <c r="E959" t="inlineStr">
        <is>
          <t>GÄVLE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20689-2024</t>
        </is>
      </c>
      <c r="B960" s="1" t="n">
        <v>45436</v>
      </c>
      <c r="C960" s="1" t="n">
        <v>45828</v>
      </c>
      <c r="D960" t="inlineStr">
        <is>
          <t>GÄVLEBORGS LÄN</t>
        </is>
      </c>
      <c r="E960" t="inlineStr">
        <is>
          <t>GÄVLE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20893-2024</t>
        </is>
      </c>
      <c r="B961" s="1" t="n">
        <v>45439</v>
      </c>
      <c r="C961" s="1" t="n">
        <v>45828</v>
      </c>
      <c r="D961" t="inlineStr">
        <is>
          <t>GÄVLEBORGS LÄN</t>
        </is>
      </c>
      <c r="E961" t="inlineStr">
        <is>
          <t>GÄVLE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20908-2024</t>
        </is>
      </c>
      <c r="B962" s="1" t="n">
        <v>45439</v>
      </c>
      <c r="C962" s="1" t="n">
        <v>45828</v>
      </c>
      <c r="D962" t="inlineStr">
        <is>
          <t>GÄVLEBORGS LÄN</t>
        </is>
      </c>
      <c r="E962" t="inlineStr">
        <is>
          <t>GÄVLE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21246-2024</t>
        </is>
      </c>
      <c r="B963" s="1" t="n">
        <v>45440</v>
      </c>
      <c r="C963" s="1" t="n">
        <v>45828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21239-2024</t>
        </is>
      </c>
      <c r="B964" s="1" t="n">
        <v>45440</v>
      </c>
      <c r="C964" s="1" t="n">
        <v>45828</v>
      </c>
      <c r="D964" t="inlineStr">
        <is>
          <t>GÄVLEBORGS LÄN</t>
        </is>
      </c>
      <c r="E964" t="inlineStr">
        <is>
          <t>GÄVLE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21300-2024</t>
        </is>
      </c>
      <c r="B965" s="1" t="n">
        <v>45440</v>
      </c>
      <c r="C965" s="1" t="n">
        <v>45828</v>
      </c>
      <c r="D965" t="inlineStr">
        <is>
          <t>GÄVLEBORGS LÄN</t>
        </is>
      </c>
      <c r="E965" t="inlineStr">
        <is>
          <t>GÄVLE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21273-2024</t>
        </is>
      </c>
      <c r="B966" s="1" t="n">
        <v>45440</v>
      </c>
      <c r="C966" s="1" t="n">
        <v>45828</v>
      </c>
      <c r="D966" t="inlineStr">
        <is>
          <t>GÄVLEBORGS LÄN</t>
        </is>
      </c>
      <c r="E966" t="inlineStr">
        <is>
          <t>GÄVLE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22088-2024</t>
        </is>
      </c>
      <c r="B967" s="1" t="n">
        <v>45443</v>
      </c>
      <c r="C967" s="1" t="n">
        <v>45828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22090-2024</t>
        </is>
      </c>
      <c r="B968" s="1" t="n">
        <v>45443</v>
      </c>
      <c r="C968" s="1" t="n">
        <v>45828</v>
      </c>
      <c r="D968" t="inlineStr">
        <is>
          <t>GÄVLEBORGS LÄN</t>
        </is>
      </c>
      <c r="E968" t="inlineStr">
        <is>
          <t>GÄVLE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22087-2024</t>
        </is>
      </c>
      <c r="B969" s="1" t="n">
        <v>45443</v>
      </c>
      <c r="C969" s="1" t="n">
        <v>45828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22571-2024</t>
        </is>
      </c>
      <c r="B970" s="1" t="n">
        <v>45447</v>
      </c>
      <c r="C970" s="1" t="n">
        <v>45828</v>
      </c>
      <c r="D970" t="inlineStr">
        <is>
          <t>GÄVLEBORGS LÄN</t>
        </is>
      </c>
      <c r="E970" t="inlineStr">
        <is>
          <t>GÄVLE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22572-2024</t>
        </is>
      </c>
      <c r="B971" s="1" t="n">
        <v>45447</v>
      </c>
      <c r="C971" s="1" t="n">
        <v>45828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22858-2024</t>
        </is>
      </c>
      <c r="B972" s="1" t="n">
        <v>45448</v>
      </c>
      <c r="C972" s="1" t="n">
        <v>45828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23324-2024</t>
        </is>
      </c>
      <c r="B973" s="1" t="n">
        <v>45453</v>
      </c>
      <c r="C973" s="1" t="n">
        <v>45828</v>
      </c>
      <c r="D973" t="inlineStr">
        <is>
          <t>GÄVLEBORGS LÄN</t>
        </is>
      </c>
      <c r="E973" t="inlineStr">
        <is>
          <t>GÄVLE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23310-2024</t>
        </is>
      </c>
      <c r="B974" s="1" t="n">
        <v>45453</v>
      </c>
      <c r="C974" s="1" t="n">
        <v>45828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23587-2024</t>
        </is>
      </c>
      <c r="B975" s="1" t="n">
        <v>45454</v>
      </c>
      <c r="C975" s="1" t="n">
        <v>45828</v>
      </c>
      <c r="D975" t="inlineStr">
        <is>
          <t>GÄVLEBORGS LÄN</t>
        </is>
      </c>
      <c r="E975" t="inlineStr">
        <is>
          <t>GÄVLE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23643-2024</t>
        </is>
      </c>
      <c r="B976" s="1" t="n">
        <v>45454</v>
      </c>
      <c r="C976" s="1" t="n">
        <v>45828</v>
      </c>
      <c r="D976" t="inlineStr">
        <is>
          <t>GÄVLEBORGS LÄN</t>
        </is>
      </c>
      <c r="E976" t="inlineStr">
        <is>
          <t>GÄVLE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23638-2024</t>
        </is>
      </c>
      <c r="B977" s="1" t="n">
        <v>45454</v>
      </c>
      <c r="C977" s="1" t="n">
        <v>45828</v>
      </c>
      <c r="D977" t="inlineStr">
        <is>
          <t>GÄVLEBORGS LÄN</t>
        </is>
      </c>
      <c r="E977" t="inlineStr">
        <is>
          <t>GÄVLE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23883-2024</t>
        </is>
      </c>
      <c r="B978" s="1" t="n">
        <v>45455</v>
      </c>
      <c r="C978" s="1" t="n">
        <v>45828</v>
      </c>
      <c r="D978" t="inlineStr">
        <is>
          <t>GÄVLEBORGS LÄN</t>
        </is>
      </c>
      <c r="E978" t="inlineStr">
        <is>
          <t>GÄVLE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24141-2024</t>
        </is>
      </c>
      <c r="B979" s="1" t="n">
        <v>45456</v>
      </c>
      <c r="C979" s="1" t="n">
        <v>45828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25266-2024</t>
        </is>
      </c>
      <c r="B980" s="1" t="n">
        <v>45462</v>
      </c>
      <c r="C980" s="1" t="n">
        <v>45828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25276-2024</t>
        </is>
      </c>
      <c r="B981" s="1" t="n">
        <v>45462</v>
      </c>
      <c r="C981" s="1" t="n">
        <v>45828</v>
      </c>
      <c r="D981" t="inlineStr">
        <is>
          <t>GÄVLEBORGS LÄN</t>
        </is>
      </c>
      <c r="E981" t="inlineStr">
        <is>
          <t>GÄVLE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25235-2024</t>
        </is>
      </c>
      <c r="B982" s="1" t="n">
        <v>45462</v>
      </c>
      <c r="C982" s="1" t="n">
        <v>45828</v>
      </c>
      <c r="D982" t="inlineStr">
        <is>
          <t>GÄVLEBORGS LÄN</t>
        </is>
      </c>
      <c r="E982" t="inlineStr">
        <is>
          <t>GÄVLE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25655-2024</t>
        </is>
      </c>
      <c r="B983" s="1" t="n">
        <v>45463</v>
      </c>
      <c r="C983" s="1" t="n">
        <v>45828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25593-2024</t>
        </is>
      </c>
      <c r="B984" s="1" t="n">
        <v>45463</v>
      </c>
      <c r="C984" s="1" t="n">
        <v>45828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25829-2024</t>
        </is>
      </c>
      <c r="B985" s="1" t="n">
        <v>45467</v>
      </c>
      <c r="C985" s="1" t="n">
        <v>45828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25857-2024</t>
        </is>
      </c>
      <c r="B986" s="1" t="n">
        <v>45467</v>
      </c>
      <c r="C986" s="1" t="n">
        <v>45828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26289-2024</t>
        </is>
      </c>
      <c r="B987" s="1" t="n">
        <v>45468</v>
      </c>
      <c r="C987" s="1" t="n">
        <v>45828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26136-2024</t>
        </is>
      </c>
      <c r="B988" s="1" t="n">
        <v>45468</v>
      </c>
      <c r="C988" s="1" t="n">
        <v>45828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26131-2024</t>
        </is>
      </c>
      <c r="B989" s="1" t="n">
        <v>45468</v>
      </c>
      <c r="C989" s="1" t="n">
        <v>45828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26111-2024</t>
        </is>
      </c>
      <c r="B990" s="1" t="n">
        <v>45468</v>
      </c>
      <c r="C990" s="1" t="n">
        <v>45828</v>
      </c>
      <c r="D990" t="inlineStr">
        <is>
          <t>GÄVLEBORGS LÄN</t>
        </is>
      </c>
      <c r="E990" t="inlineStr">
        <is>
          <t>GÄVLE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26129-2024</t>
        </is>
      </c>
      <c r="B991" s="1" t="n">
        <v>45468</v>
      </c>
      <c r="C991" s="1" t="n">
        <v>45828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26335-2024</t>
        </is>
      </c>
      <c r="B992" s="1" t="n">
        <v>45469</v>
      </c>
      <c r="C992" s="1" t="n">
        <v>45828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27808-2024</t>
        </is>
      </c>
      <c r="B993" s="1" t="n">
        <v>45475</v>
      </c>
      <c r="C993" s="1" t="n">
        <v>45828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27805-2024</t>
        </is>
      </c>
      <c r="B994" s="1" t="n">
        <v>45475</v>
      </c>
      <c r="C994" s="1" t="n">
        <v>45828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27801-2024</t>
        </is>
      </c>
      <c r="B995" s="1" t="n">
        <v>45475</v>
      </c>
      <c r="C995" s="1" t="n">
        <v>45828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27793-2024</t>
        </is>
      </c>
      <c r="B996" s="1" t="n">
        <v>45475</v>
      </c>
      <c r="C996" s="1" t="n">
        <v>45828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27787-2024</t>
        </is>
      </c>
      <c r="B997" s="1" t="n">
        <v>45475</v>
      </c>
      <c r="C997" s="1" t="n">
        <v>45828</v>
      </c>
      <c r="D997" t="inlineStr">
        <is>
          <t>GÄVLEBORGS LÄN</t>
        </is>
      </c>
      <c r="E997" t="inlineStr">
        <is>
          <t>GÄVLE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28593-2024</t>
        </is>
      </c>
      <c r="B998" s="1" t="n">
        <v>45478</v>
      </c>
      <c r="C998" s="1" t="n">
        <v>45828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28694-2024</t>
        </is>
      </c>
      <c r="B999" s="1" t="n">
        <v>45478</v>
      </c>
      <c r="C999" s="1" t="n">
        <v>45828</v>
      </c>
      <c r="D999" t="inlineStr">
        <is>
          <t>GÄVLEBORGS LÄN</t>
        </is>
      </c>
      <c r="E999" t="inlineStr">
        <is>
          <t>GÄVLE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28933-2024</t>
        </is>
      </c>
      <c r="B1000" s="1" t="n">
        <v>45481</v>
      </c>
      <c r="C1000" s="1" t="n">
        <v>45828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29025-2024</t>
        </is>
      </c>
      <c r="B1001" s="1" t="n">
        <v>45481</v>
      </c>
      <c r="C1001" s="1" t="n">
        <v>45828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28942-2024</t>
        </is>
      </c>
      <c r="B1002" s="1" t="n">
        <v>45481</v>
      </c>
      <c r="C1002" s="1" t="n">
        <v>45828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HYPERLINK("https://klasma.github.io/Logging_2180/knärot/A 28942-2024 karta knärot.png", "A 28942-2024")</f>
        <v/>
      </c>
      <c r="V1002">
        <f>HYPERLINK("https://klasma.github.io/Logging_2180/klagomål/A 28942-2024 FSC-klagomål.docx", "A 28942-2024")</f>
        <v/>
      </c>
      <c r="W1002">
        <f>HYPERLINK("https://klasma.github.io/Logging_2180/klagomålsmail/A 28942-2024 FSC-klagomål mail.docx", "A 28942-2024")</f>
        <v/>
      </c>
      <c r="X1002">
        <f>HYPERLINK("https://klasma.github.io/Logging_2180/tillsyn/A 28942-2024 tillsynsbegäran.docx", "A 28942-2024")</f>
        <v/>
      </c>
      <c r="Y1002">
        <f>HYPERLINK("https://klasma.github.io/Logging_2180/tillsynsmail/A 28942-2024 tillsynsbegäran mail.docx", "A 28942-2024")</f>
        <v/>
      </c>
    </row>
    <row r="1003" ht="15" customHeight="1">
      <c r="A1003" t="inlineStr">
        <is>
          <t>A 28935-2024</t>
        </is>
      </c>
      <c r="B1003" s="1" t="n">
        <v>45481</v>
      </c>
      <c r="C1003" s="1" t="n">
        <v>45828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29855-2024</t>
        </is>
      </c>
      <c r="B1004" s="1" t="n">
        <v>45485</v>
      </c>
      <c r="C1004" s="1" t="n">
        <v>45828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30104-2024</t>
        </is>
      </c>
      <c r="B1005" s="1" t="n">
        <v>45485</v>
      </c>
      <c r="C1005" s="1" t="n">
        <v>45828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29884-2024</t>
        </is>
      </c>
      <c r="B1006" s="1" t="n">
        <v>45486</v>
      </c>
      <c r="C1006" s="1" t="n">
        <v>45828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29927-2024</t>
        </is>
      </c>
      <c r="B1007" s="1" t="n">
        <v>45488</v>
      </c>
      <c r="C1007" s="1" t="n">
        <v>45828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30997-2024</t>
        </is>
      </c>
      <c r="B1008" s="1" t="n">
        <v>45499</v>
      </c>
      <c r="C1008" s="1" t="n">
        <v>45828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31284-2024</t>
        </is>
      </c>
      <c r="B1009" s="1" t="n">
        <v>45504</v>
      </c>
      <c r="C1009" s="1" t="n">
        <v>45828</v>
      </c>
      <c r="D1009" t="inlineStr">
        <is>
          <t>GÄVLEBORGS LÄN</t>
        </is>
      </c>
      <c r="E1009" t="inlineStr">
        <is>
          <t>GÄVLE</t>
        </is>
      </c>
      <c r="G1009" t="n">
        <v>21.2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31367-2024</t>
        </is>
      </c>
      <c r="B1010" s="1" t="n">
        <v>45505</v>
      </c>
      <c r="C1010" s="1" t="n">
        <v>45828</v>
      </c>
      <c r="D1010" t="inlineStr">
        <is>
          <t>GÄVLEBORGS LÄN</t>
        </is>
      </c>
      <c r="E1010" t="inlineStr">
        <is>
          <t>GÄVLE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31735-2024</t>
        </is>
      </c>
      <c r="B1011" s="1" t="n">
        <v>45509</v>
      </c>
      <c r="C1011" s="1" t="n">
        <v>45828</v>
      </c>
      <c r="D1011" t="inlineStr">
        <is>
          <t>GÄVLEBORGS LÄN</t>
        </is>
      </c>
      <c r="E1011" t="inlineStr">
        <is>
          <t>GÄVLE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32143-2024</t>
        </is>
      </c>
      <c r="B1012" s="1" t="n">
        <v>45511</v>
      </c>
      <c r="C1012" s="1" t="n">
        <v>45828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32144-2024</t>
        </is>
      </c>
      <c r="B1013" s="1" t="n">
        <v>45511</v>
      </c>
      <c r="C1013" s="1" t="n">
        <v>45828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32284-2024</t>
        </is>
      </c>
      <c r="B1014" s="1" t="n">
        <v>45512</v>
      </c>
      <c r="C1014" s="1" t="n">
        <v>45828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32297-2024</t>
        </is>
      </c>
      <c r="B1015" s="1" t="n">
        <v>45512</v>
      </c>
      <c r="C1015" s="1" t="n">
        <v>45828</v>
      </c>
      <c r="D1015" t="inlineStr">
        <is>
          <t>GÄVLEBORGS LÄN</t>
        </is>
      </c>
      <c r="E1015" t="inlineStr">
        <is>
          <t>GÄVLE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32306-2024</t>
        </is>
      </c>
      <c r="B1016" s="1" t="n">
        <v>45512</v>
      </c>
      <c r="C1016" s="1" t="n">
        <v>45828</v>
      </c>
      <c r="D1016" t="inlineStr">
        <is>
          <t>GÄVLEBORGS LÄN</t>
        </is>
      </c>
      <c r="E1016" t="inlineStr">
        <is>
          <t>GÄVLE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32307-2024</t>
        </is>
      </c>
      <c r="B1017" s="1" t="n">
        <v>45512</v>
      </c>
      <c r="C1017" s="1" t="n">
        <v>45828</v>
      </c>
      <c r="D1017" t="inlineStr">
        <is>
          <t>GÄVLEBORGS LÄN</t>
        </is>
      </c>
      <c r="E1017" t="inlineStr">
        <is>
          <t>GÄVLE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32461-2024</t>
        </is>
      </c>
      <c r="B1018" s="1" t="n">
        <v>45513</v>
      </c>
      <c r="C1018" s="1" t="n">
        <v>45828</v>
      </c>
      <c r="D1018" t="inlineStr">
        <is>
          <t>GÄVLEBORGS LÄN</t>
        </is>
      </c>
      <c r="E1018" t="inlineStr">
        <is>
          <t>GÄVLE</t>
        </is>
      </c>
      <c r="G1018" t="n">
        <v>12.7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33223-2024</t>
        </is>
      </c>
      <c r="B1019" s="1" t="n">
        <v>45518</v>
      </c>
      <c r="C1019" s="1" t="n">
        <v>45828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33358-2024</t>
        </is>
      </c>
      <c r="B1020" s="1" t="n">
        <v>45519</v>
      </c>
      <c r="C1020" s="1" t="n">
        <v>45828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33449-2024</t>
        </is>
      </c>
      <c r="B1021" s="1" t="n">
        <v>45519</v>
      </c>
      <c r="C1021" s="1" t="n">
        <v>45828</v>
      </c>
      <c r="D1021" t="inlineStr">
        <is>
          <t>GÄVLEBORGS LÄN</t>
        </is>
      </c>
      <c r="E1021" t="inlineStr">
        <is>
          <t>GÄVLE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33575-2024</t>
        </is>
      </c>
      <c r="B1022" s="1" t="n">
        <v>45520</v>
      </c>
      <c r="C1022" s="1" t="n">
        <v>45828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33625-2024</t>
        </is>
      </c>
      <c r="B1023" s="1" t="n">
        <v>45520</v>
      </c>
      <c r="C1023" s="1" t="n">
        <v>45828</v>
      </c>
      <c r="D1023" t="inlineStr">
        <is>
          <t>GÄVLEBORGS LÄN</t>
        </is>
      </c>
      <c r="E1023" t="inlineStr">
        <is>
          <t>GÄVLE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33581-2024</t>
        </is>
      </c>
      <c r="B1024" s="1" t="n">
        <v>45520</v>
      </c>
      <c r="C1024" s="1" t="n">
        <v>45828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33637-2024</t>
        </is>
      </c>
      <c r="B1025" s="1" t="n">
        <v>45520</v>
      </c>
      <c r="C1025" s="1" t="n">
        <v>45828</v>
      </c>
      <c r="D1025" t="inlineStr">
        <is>
          <t>GÄVLEBORGS LÄN</t>
        </is>
      </c>
      <c r="E1025" t="inlineStr">
        <is>
          <t>GÄVLE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33635-2024</t>
        </is>
      </c>
      <c r="B1026" s="1" t="n">
        <v>45520</v>
      </c>
      <c r="C1026" s="1" t="n">
        <v>45828</v>
      </c>
      <c r="D1026" t="inlineStr">
        <is>
          <t>GÄVLEBORGS LÄN</t>
        </is>
      </c>
      <c r="E1026" t="inlineStr">
        <is>
          <t>GÄVLE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33778-2024</t>
        </is>
      </c>
      <c r="B1027" s="1" t="n">
        <v>45520</v>
      </c>
      <c r="C1027" s="1" t="n">
        <v>45828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33901-2024</t>
        </is>
      </c>
      <c r="B1028" s="1" t="n">
        <v>45523</v>
      </c>
      <c r="C1028" s="1" t="n">
        <v>45828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34269-2024</t>
        </is>
      </c>
      <c r="B1029" s="1" t="n">
        <v>45524</v>
      </c>
      <c r="C1029" s="1" t="n">
        <v>45828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34387-2024</t>
        </is>
      </c>
      <c r="B1030" s="1" t="n">
        <v>45525</v>
      </c>
      <c r="C1030" s="1" t="n">
        <v>45828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34381-2024</t>
        </is>
      </c>
      <c r="B1031" s="1" t="n">
        <v>45525</v>
      </c>
      <c r="C1031" s="1" t="n">
        <v>45828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34668-2024</t>
        </is>
      </c>
      <c r="B1032" s="1" t="n">
        <v>45526</v>
      </c>
      <c r="C1032" s="1" t="n">
        <v>45828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34669-2024</t>
        </is>
      </c>
      <c r="B1033" s="1" t="n">
        <v>45526</v>
      </c>
      <c r="C1033" s="1" t="n">
        <v>45828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34767-2024</t>
        </is>
      </c>
      <c r="B1034" s="1" t="n">
        <v>45526</v>
      </c>
      <c r="C1034" s="1" t="n">
        <v>45828</v>
      </c>
      <c r="D1034" t="inlineStr">
        <is>
          <t>GÄVLEBORGS LÄN</t>
        </is>
      </c>
      <c r="E1034" t="inlineStr">
        <is>
          <t>GÄVLE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34666-2024</t>
        </is>
      </c>
      <c r="B1035" s="1" t="n">
        <v>45526</v>
      </c>
      <c r="C1035" s="1" t="n">
        <v>45828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34600-2024</t>
        </is>
      </c>
      <c r="B1036" s="1" t="n">
        <v>45526</v>
      </c>
      <c r="C1036" s="1" t="n">
        <v>45828</v>
      </c>
      <c r="D1036" t="inlineStr">
        <is>
          <t>GÄVLEBORGS LÄN</t>
        </is>
      </c>
      <c r="E1036" t="inlineStr">
        <is>
          <t>GÄVLE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35032-2024</t>
        </is>
      </c>
      <c r="B1037" s="1" t="n">
        <v>45527</v>
      </c>
      <c r="C1037" s="1" t="n">
        <v>45828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35205-2024</t>
        </is>
      </c>
      <c r="B1038" s="1" t="n">
        <v>45530</v>
      </c>
      <c r="C1038" s="1" t="n">
        <v>45828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35225-2024</t>
        </is>
      </c>
      <c r="B1039" s="1" t="n">
        <v>45530</v>
      </c>
      <c r="C1039" s="1" t="n">
        <v>45828</v>
      </c>
      <c r="D1039" t="inlineStr">
        <is>
          <t>GÄVLEBORGS LÄN</t>
        </is>
      </c>
      <c r="E1039" t="inlineStr">
        <is>
          <t>GÄVLE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35233-2024</t>
        </is>
      </c>
      <c r="B1040" s="1" t="n">
        <v>45530</v>
      </c>
      <c r="C1040" s="1" t="n">
        <v>45828</v>
      </c>
      <c r="D1040" t="inlineStr">
        <is>
          <t>GÄVLEBORGS LÄN</t>
        </is>
      </c>
      <c r="E1040" t="inlineStr">
        <is>
          <t>GÄVLE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35331-2024</t>
        </is>
      </c>
      <c r="B1041" s="1" t="n">
        <v>45530</v>
      </c>
      <c r="C1041" s="1" t="n">
        <v>45828</v>
      </c>
      <c r="D1041" t="inlineStr">
        <is>
          <t>GÄVLEBORGS LÄN</t>
        </is>
      </c>
      <c r="E1041" t="inlineStr">
        <is>
          <t>GÄVLE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35204-2024</t>
        </is>
      </c>
      <c r="B1042" s="1" t="n">
        <v>45530</v>
      </c>
      <c r="C1042" s="1" t="n">
        <v>45828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35227-2024</t>
        </is>
      </c>
      <c r="B1043" s="1" t="n">
        <v>45530</v>
      </c>
      <c r="C1043" s="1" t="n">
        <v>45828</v>
      </c>
      <c r="D1043" t="inlineStr">
        <is>
          <t>GÄVLEBORGS LÄN</t>
        </is>
      </c>
      <c r="E1043" t="inlineStr">
        <is>
          <t>GÄVLE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35203-2024</t>
        </is>
      </c>
      <c r="B1044" s="1" t="n">
        <v>45530</v>
      </c>
      <c r="C1044" s="1" t="n">
        <v>45828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35206-2024</t>
        </is>
      </c>
      <c r="B1045" s="1" t="n">
        <v>45530</v>
      </c>
      <c r="C1045" s="1" t="n">
        <v>45828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35254-2024</t>
        </is>
      </c>
      <c r="B1046" s="1" t="n">
        <v>45530</v>
      </c>
      <c r="C1046" s="1" t="n">
        <v>45828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35348-2024</t>
        </is>
      </c>
      <c r="B1047" s="1" t="n">
        <v>45531</v>
      </c>
      <c r="C1047" s="1" t="n">
        <v>45828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35865-2024</t>
        </is>
      </c>
      <c r="B1048" s="1" t="n">
        <v>45533</v>
      </c>
      <c r="C1048" s="1" t="n">
        <v>45828</v>
      </c>
      <c r="D1048" t="inlineStr">
        <is>
          <t>GÄVLEBORGS LÄN</t>
        </is>
      </c>
      <c r="E1048" t="inlineStr">
        <is>
          <t>GÄVLE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35856-2024</t>
        </is>
      </c>
      <c r="B1049" s="1" t="n">
        <v>45533</v>
      </c>
      <c r="C1049" s="1" t="n">
        <v>45828</v>
      </c>
      <c r="D1049" t="inlineStr">
        <is>
          <t>GÄVLEBORGS LÄN</t>
        </is>
      </c>
      <c r="E1049" t="inlineStr">
        <is>
          <t>GÄVLE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35910-2024</t>
        </is>
      </c>
      <c r="B1050" s="1" t="n">
        <v>45533</v>
      </c>
      <c r="C1050" s="1" t="n">
        <v>45828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35950-2024</t>
        </is>
      </c>
      <c r="B1051" s="1" t="n">
        <v>45533</v>
      </c>
      <c r="C1051" s="1" t="n">
        <v>45828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35989-2024</t>
        </is>
      </c>
      <c r="B1052" s="1" t="n">
        <v>45533</v>
      </c>
      <c r="C1052" s="1" t="n">
        <v>45828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HYPERLINK("https://klasma.github.io/Logging_2180/knärot/A 35989-2024 karta knärot.png", "A 35989-2024")</f>
        <v/>
      </c>
      <c r="V1052">
        <f>HYPERLINK("https://klasma.github.io/Logging_2180/klagomål/A 35989-2024 FSC-klagomål.docx", "A 35989-2024")</f>
        <v/>
      </c>
      <c r="W1052">
        <f>HYPERLINK("https://klasma.github.io/Logging_2180/klagomålsmail/A 35989-2024 FSC-klagomål mail.docx", "A 35989-2024")</f>
        <v/>
      </c>
      <c r="X1052">
        <f>HYPERLINK("https://klasma.github.io/Logging_2180/tillsyn/A 35989-2024 tillsynsbegäran.docx", "A 35989-2024")</f>
        <v/>
      </c>
      <c r="Y1052">
        <f>HYPERLINK("https://klasma.github.io/Logging_2180/tillsynsmail/A 35989-2024 tillsynsbegäran mail.docx", "A 35989-2024")</f>
        <v/>
      </c>
    </row>
    <row r="1053" ht="15" customHeight="1">
      <c r="A1053" t="inlineStr">
        <is>
          <t>A 36197-2024</t>
        </is>
      </c>
      <c r="B1053" s="1" t="n">
        <v>45534</v>
      </c>
      <c r="C1053" s="1" t="n">
        <v>45828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37100-2024</t>
        </is>
      </c>
      <c r="B1054" s="1" t="n">
        <v>45539</v>
      </c>
      <c r="C1054" s="1" t="n">
        <v>45828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37146-2024</t>
        </is>
      </c>
      <c r="B1055" s="1" t="n">
        <v>45539</v>
      </c>
      <c r="C1055" s="1" t="n">
        <v>45828</v>
      </c>
      <c r="D1055" t="inlineStr">
        <is>
          <t>GÄVLEBORGS LÄN</t>
        </is>
      </c>
      <c r="E1055" t="inlineStr">
        <is>
          <t>GÄVLE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37148-2024</t>
        </is>
      </c>
      <c r="B1056" s="1" t="n">
        <v>45539</v>
      </c>
      <c r="C1056" s="1" t="n">
        <v>45828</v>
      </c>
      <c r="D1056" t="inlineStr">
        <is>
          <t>GÄVLEBORGS LÄN</t>
        </is>
      </c>
      <c r="E1056" t="inlineStr">
        <is>
          <t>GÄVLE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37005-2024</t>
        </is>
      </c>
      <c r="B1057" s="1" t="n">
        <v>45539</v>
      </c>
      <c r="C1057" s="1" t="n">
        <v>45828</v>
      </c>
      <c r="D1057" t="inlineStr">
        <is>
          <t>GÄVLEBORGS LÄN</t>
        </is>
      </c>
      <c r="E1057" t="inlineStr">
        <is>
          <t>GÄVLE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37258-2024</t>
        </is>
      </c>
      <c r="B1058" s="1" t="n">
        <v>45540</v>
      </c>
      <c r="C1058" s="1" t="n">
        <v>45828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37365-2024</t>
        </is>
      </c>
      <c r="B1059" s="1" t="n">
        <v>45540</v>
      </c>
      <c r="C1059" s="1" t="n">
        <v>45828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37253-2024</t>
        </is>
      </c>
      <c r="B1060" s="1" t="n">
        <v>45540</v>
      </c>
      <c r="C1060" s="1" t="n">
        <v>45828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37352-2024</t>
        </is>
      </c>
      <c r="B1061" s="1" t="n">
        <v>45540</v>
      </c>
      <c r="C1061" s="1" t="n">
        <v>45828</v>
      </c>
      <c r="D1061" t="inlineStr">
        <is>
          <t>GÄVLEBORGS LÄN</t>
        </is>
      </c>
      <c r="E1061" t="inlineStr">
        <is>
          <t>GÄVLE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37363-2024</t>
        </is>
      </c>
      <c r="B1062" s="1" t="n">
        <v>45540</v>
      </c>
      <c r="C1062" s="1" t="n">
        <v>45828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37350-2024</t>
        </is>
      </c>
      <c r="B1063" s="1" t="n">
        <v>45540</v>
      </c>
      <c r="C1063" s="1" t="n">
        <v>45828</v>
      </c>
      <c r="D1063" t="inlineStr">
        <is>
          <t>GÄVLEBORGS LÄN</t>
        </is>
      </c>
      <c r="E1063" t="inlineStr">
        <is>
          <t>GÄVLE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37893-2024</t>
        </is>
      </c>
      <c r="B1064" s="1" t="n">
        <v>45544</v>
      </c>
      <c r="C1064" s="1" t="n">
        <v>45828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38240-2024</t>
        </is>
      </c>
      <c r="B1065" s="1" t="n">
        <v>45545</v>
      </c>
      <c r="C1065" s="1" t="n">
        <v>45828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38541-2024</t>
        </is>
      </c>
      <c r="B1066" s="1" t="n">
        <v>45546</v>
      </c>
      <c r="C1066" s="1" t="n">
        <v>45828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38694-2024</t>
        </is>
      </c>
      <c r="B1067" s="1" t="n">
        <v>45547</v>
      </c>
      <c r="C1067" s="1" t="n">
        <v>45828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38793-2024</t>
        </is>
      </c>
      <c r="B1068" s="1" t="n">
        <v>45547</v>
      </c>
      <c r="C1068" s="1" t="n">
        <v>45828</v>
      </c>
      <c r="D1068" t="inlineStr">
        <is>
          <t>GÄVLEBORGS LÄN</t>
        </is>
      </c>
      <c r="E1068" t="inlineStr">
        <is>
          <t>GÄVLE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38673-2024</t>
        </is>
      </c>
      <c r="B1069" s="1" t="n">
        <v>45547</v>
      </c>
      <c r="C1069" s="1" t="n">
        <v>45828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38964-2024</t>
        </is>
      </c>
      <c r="B1070" s="1" t="n">
        <v>45548</v>
      </c>
      <c r="C1070" s="1" t="n">
        <v>45828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39183-2024</t>
        </is>
      </c>
      <c r="B1071" s="1" t="n">
        <v>45548</v>
      </c>
      <c r="C1071" s="1" t="n">
        <v>45828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39999-2024</t>
        </is>
      </c>
      <c r="B1072" s="1" t="n">
        <v>45553</v>
      </c>
      <c r="C1072" s="1" t="n">
        <v>45828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39804-2024</t>
        </is>
      </c>
      <c r="B1073" s="1" t="n">
        <v>45553</v>
      </c>
      <c r="C1073" s="1" t="n">
        <v>45828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40071-2024</t>
        </is>
      </c>
      <c r="B1074" s="1" t="n">
        <v>45554</v>
      </c>
      <c r="C1074" s="1" t="n">
        <v>45828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40402-2024</t>
        </is>
      </c>
      <c r="B1075" s="1" t="n">
        <v>45555</v>
      </c>
      <c r="C1075" s="1" t="n">
        <v>45828</v>
      </c>
      <c r="D1075" t="inlineStr">
        <is>
          <t>GÄVLEBORGS LÄN</t>
        </is>
      </c>
      <c r="E1075" t="inlineStr">
        <is>
          <t>GÄVLE</t>
        </is>
      </c>
      <c r="F1075" t="inlineStr">
        <is>
          <t>Kyrkan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40507-2024</t>
        </is>
      </c>
      <c r="B1076" s="1" t="n">
        <v>45555</v>
      </c>
      <c r="C1076" s="1" t="n">
        <v>45828</v>
      </c>
      <c r="D1076" t="inlineStr">
        <is>
          <t>GÄVLEBORGS LÄN</t>
        </is>
      </c>
      <c r="E1076" t="inlineStr">
        <is>
          <t>GÄVLE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40515-2024</t>
        </is>
      </c>
      <c r="B1077" s="1" t="n">
        <v>45555</v>
      </c>
      <c r="C1077" s="1" t="n">
        <v>45828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41098-2024</t>
        </is>
      </c>
      <c r="B1078" s="1" t="n">
        <v>45559</v>
      </c>
      <c r="C1078" s="1" t="n">
        <v>45828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41100-2024</t>
        </is>
      </c>
      <c r="B1079" s="1" t="n">
        <v>45559</v>
      </c>
      <c r="C1079" s="1" t="n">
        <v>45828</v>
      </c>
      <c r="D1079" t="inlineStr">
        <is>
          <t>GÄVLEBORGS LÄN</t>
        </is>
      </c>
      <c r="E1079" t="inlineStr">
        <is>
          <t>GÄVLE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41117-2024</t>
        </is>
      </c>
      <c r="B1080" s="1" t="n">
        <v>45559</v>
      </c>
      <c r="C1080" s="1" t="n">
        <v>45828</v>
      </c>
      <c r="D1080" t="inlineStr">
        <is>
          <t>GÄVLEBORGS LÄN</t>
        </is>
      </c>
      <c r="E1080" t="inlineStr">
        <is>
          <t>GÄVLE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41171-2024</t>
        </is>
      </c>
      <c r="B1081" s="1" t="n">
        <v>45559</v>
      </c>
      <c r="C1081" s="1" t="n">
        <v>45828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41453-2024</t>
        </is>
      </c>
      <c r="B1082" s="1" t="n">
        <v>45560</v>
      </c>
      <c r="C1082" s="1" t="n">
        <v>45828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41525-2024</t>
        </is>
      </c>
      <c r="B1083" s="1" t="n">
        <v>45560</v>
      </c>
      <c r="C1083" s="1" t="n">
        <v>45828</v>
      </c>
      <c r="D1083" t="inlineStr">
        <is>
          <t>GÄVLEBORGS LÄN</t>
        </is>
      </c>
      <c r="E1083" t="inlineStr">
        <is>
          <t>GÄVLE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42210-2024</t>
        </is>
      </c>
      <c r="B1084" s="1" t="n">
        <v>45562</v>
      </c>
      <c r="C1084" s="1" t="n">
        <v>45828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42247-2024</t>
        </is>
      </c>
      <c r="B1085" s="1" t="n">
        <v>45562</v>
      </c>
      <c r="C1085" s="1" t="n">
        <v>45828</v>
      </c>
      <c r="D1085" t="inlineStr">
        <is>
          <t>GÄVLEBORGS LÄN</t>
        </is>
      </c>
      <c r="E1085" t="inlineStr">
        <is>
          <t>GÄVLE</t>
        </is>
      </c>
      <c r="G1085" t="n">
        <v>14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42360-2024</t>
        </is>
      </c>
      <c r="B1086" s="1" t="n">
        <v>45562</v>
      </c>
      <c r="C1086" s="1" t="n">
        <v>45828</v>
      </c>
      <c r="D1086" t="inlineStr">
        <is>
          <t>GÄVLEBORGS LÄN</t>
        </is>
      </c>
      <c r="E1086" t="inlineStr">
        <is>
          <t>GÄVLE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42400-2024</t>
        </is>
      </c>
      <c r="B1087" s="1" t="n">
        <v>45565</v>
      </c>
      <c r="C1087" s="1" t="n">
        <v>45828</v>
      </c>
      <c r="D1087" t="inlineStr">
        <is>
          <t>GÄVLEBORGS LÄN</t>
        </is>
      </c>
      <c r="E1087" t="inlineStr">
        <is>
          <t>GÄVLE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43005-2024</t>
        </is>
      </c>
      <c r="B1088" s="1" t="n">
        <v>45567</v>
      </c>
      <c r="C1088" s="1" t="n">
        <v>45828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43007-2024</t>
        </is>
      </c>
      <c r="B1089" s="1" t="n">
        <v>45567</v>
      </c>
      <c r="C1089" s="1" t="n">
        <v>45828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43686-2024</t>
        </is>
      </c>
      <c r="B1090" s="1" t="n">
        <v>45569</v>
      </c>
      <c r="C1090" s="1" t="n">
        <v>45828</v>
      </c>
      <c r="D1090" t="inlineStr">
        <is>
          <t>GÄVLEBORGS LÄN</t>
        </is>
      </c>
      <c r="E1090" t="inlineStr">
        <is>
          <t>GÄVLE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43652-2024</t>
        </is>
      </c>
      <c r="B1091" s="1" t="n">
        <v>45569</v>
      </c>
      <c r="C1091" s="1" t="n">
        <v>45828</v>
      </c>
      <c r="D1091" t="inlineStr">
        <is>
          <t>GÄVLEBORGS LÄN</t>
        </is>
      </c>
      <c r="E1091" t="inlineStr">
        <is>
          <t>GÄVLE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43661-2024</t>
        </is>
      </c>
      <c r="B1092" s="1" t="n">
        <v>45569</v>
      </c>
      <c r="C1092" s="1" t="n">
        <v>45828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44791-2024</t>
        </is>
      </c>
      <c r="B1093" s="1" t="n">
        <v>45574</v>
      </c>
      <c r="C1093" s="1" t="n">
        <v>45828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44795-2024</t>
        </is>
      </c>
      <c r="B1094" s="1" t="n">
        <v>45574</v>
      </c>
      <c r="C1094" s="1" t="n">
        <v>45828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44790-2024</t>
        </is>
      </c>
      <c r="B1095" s="1" t="n">
        <v>45574</v>
      </c>
      <c r="C1095" s="1" t="n">
        <v>45828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44802-2024</t>
        </is>
      </c>
      <c r="B1096" s="1" t="n">
        <v>45574</v>
      </c>
      <c r="C1096" s="1" t="n">
        <v>45828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44806-2024</t>
        </is>
      </c>
      <c r="B1097" s="1" t="n">
        <v>45574</v>
      </c>
      <c r="C1097" s="1" t="n">
        <v>45828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44843-2024</t>
        </is>
      </c>
      <c r="B1098" s="1" t="n">
        <v>45574</v>
      </c>
      <c r="C1098" s="1" t="n">
        <v>45828</v>
      </c>
      <c r="D1098" t="inlineStr">
        <is>
          <t>GÄVLEBORGS LÄN</t>
        </is>
      </c>
      <c r="E1098" t="inlineStr">
        <is>
          <t>GÄVLE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44556-2024</t>
        </is>
      </c>
      <c r="B1099" s="1" t="n">
        <v>45574</v>
      </c>
      <c r="C1099" s="1" t="n">
        <v>45828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44800-2024</t>
        </is>
      </c>
      <c r="B1100" s="1" t="n">
        <v>45574</v>
      </c>
      <c r="C1100" s="1" t="n">
        <v>45828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45029-2024</t>
        </is>
      </c>
      <c r="B1101" s="1" t="n">
        <v>45575</v>
      </c>
      <c r="C1101" s="1" t="n">
        <v>45828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44914-2024</t>
        </is>
      </c>
      <c r="B1102" s="1" t="n">
        <v>45575</v>
      </c>
      <c r="C1102" s="1" t="n">
        <v>45828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44913-2024</t>
        </is>
      </c>
      <c r="B1103" s="1" t="n">
        <v>45575</v>
      </c>
      <c r="C1103" s="1" t="n">
        <v>45828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45373-2024</t>
        </is>
      </c>
      <c r="B1104" s="1" t="n">
        <v>45576</v>
      </c>
      <c r="C1104" s="1" t="n">
        <v>45828</v>
      </c>
      <c r="D1104" t="inlineStr">
        <is>
          <t>GÄVLEBORGS LÄN</t>
        </is>
      </c>
      <c r="E1104" t="inlineStr">
        <is>
          <t>GÄVLE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45566-2024</t>
        </is>
      </c>
      <c r="B1105" s="1" t="n">
        <v>45579</v>
      </c>
      <c r="C1105" s="1" t="n">
        <v>45828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45965-2024</t>
        </is>
      </c>
      <c r="B1106" s="1" t="n">
        <v>45580</v>
      </c>
      <c r="C1106" s="1" t="n">
        <v>45828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45938-2024</t>
        </is>
      </c>
      <c r="B1107" s="1" t="n">
        <v>45580</v>
      </c>
      <c r="C1107" s="1" t="n">
        <v>45828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46217-2024</t>
        </is>
      </c>
      <c r="B1108" s="1" t="n">
        <v>45581</v>
      </c>
      <c r="C1108" s="1" t="n">
        <v>45828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46115-2024</t>
        </is>
      </c>
      <c r="B1109" s="1" t="n">
        <v>45581</v>
      </c>
      <c r="C1109" s="1" t="n">
        <v>45828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46449-2024</t>
        </is>
      </c>
      <c r="B1110" s="1" t="n">
        <v>45582</v>
      </c>
      <c r="C1110" s="1" t="n">
        <v>45828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46400-2024</t>
        </is>
      </c>
      <c r="B1111" s="1" t="n">
        <v>45582</v>
      </c>
      <c r="C1111" s="1" t="n">
        <v>45828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46660-2024</t>
        </is>
      </c>
      <c r="B1112" s="1" t="n">
        <v>45583</v>
      </c>
      <c r="C1112" s="1" t="n">
        <v>45828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46725-2024</t>
        </is>
      </c>
      <c r="B1113" s="1" t="n">
        <v>45583</v>
      </c>
      <c r="C1113" s="1" t="n">
        <v>45828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46719-2024</t>
        </is>
      </c>
      <c r="B1114" s="1" t="n">
        <v>45583</v>
      </c>
      <c r="C1114" s="1" t="n">
        <v>45828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46690-2024</t>
        </is>
      </c>
      <c r="B1115" s="1" t="n">
        <v>45583</v>
      </c>
      <c r="C1115" s="1" t="n">
        <v>45828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46744-2024</t>
        </is>
      </c>
      <c r="B1116" s="1" t="n">
        <v>45583</v>
      </c>
      <c r="C1116" s="1" t="n">
        <v>45828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47108-2024</t>
        </is>
      </c>
      <c r="B1117" s="1" t="n">
        <v>45586</v>
      </c>
      <c r="C1117" s="1" t="n">
        <v>45828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47143-2024</t>
        </is>
      </c>
      <c r="B1118" s="1" t="n">
        <v>45586</v>
      </c>
      <c r="C1118" s="1" t="n">
        <v>45828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47642-2024</t>
        </is>
      </c>
      <c r="B1119" s="1" t="n">
        <v>45588</v>
      </c>
      <c r="C1119" s="1" t="n">
        <v>45828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47637-2024</t>
        </is>
      </c>
      <c r="B1120" s="1" t="n">
        <v>45588</v>
      </c>
      <c r="C1120" s="1" t="n">
        <v>45828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47638-2024</t>
        </is>
      </c>
      <c r="B1121" s="1" t="n">
        <v>45588</v>
      </c>
      <c r="C1121" s="1" t="n">
        <v>45828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47991-2024</t>
        </is>
      </c>
      <c r="B1122" s="1" t="n">
        <v>45589</v>
      </c>
      <c r="C1122" s="1" t="n">
        <v>45828</v>
      </c>
      <c r="D1122" t="inlineStr">
        <is>
          <t>GÄVLEBORGS LÄN</t>
        </is>
      </c>
      <c r="E1122" t="inlineStr">
        <is>
          <t>GÄVLE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48268-2024</t>
        </is>
      </c>
      <c r="B1123" s="1" t="n">
        <v>45590</v>
      </c>
      <c r="C1123" s="1" t="n">
        <v>45828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48329-2024</t>
        </is>
      </c>
      <c r="B1124" s="1" t="n">
        <v>45590</v>
      </c>
      <c r="C1124" s="1" t="n">
        <v>45828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48262-2024</t>
        </is>
      </c>
      <c r="B1125" s="1" t="n">
        <v>45590</v>
      </c>
      <c r="C1125" s="1" t="n">
        <v>45828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48319-2024</t>
        </is>
      </c>
      <c r="B1126" s="1" t="n">
        <v>45590</v>
      </c>
      <c r="C1126" s="1" t="n">
        <v>45828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48291-2024</t>
        </is>
      </c>
      <c r="B1127" s="1" t="n">
        <v>45590</v>
      </c>
      <c r="C1127" s="1" t="n">
        <v>45828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48263-2024</t>
        </is>
      </c>
      <c r="B1128" s="1" t="n">
        <v>45590</v>
      </c>
      <c r="C1128" s="1" t="n">
        <v>45828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48668-2024</t>
        </is>
      </c>
      <c r="B1129" s="1" t="n">
        <v>45593</v>
      </c>
      <c r="C1129" s="1" t="n">
        <v>45828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48625-2024</t>
        </is>
      </c>
      <c r="B1130" s="1" t="n">
        <v>45593</v>
      </c>
      <c r="C1130" s="1" t="n">
        <v>45828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48834-2024</t>
        </is>
      </c>
      <c r="B1131" s="1" t="n">
        <v>45593</v>
      </c>
      <c r="C1131" s="1" t="n">
        <v>45828</v>
      </c>
      <c r="D1131" t="inlineStr">
        <is>
          <t>GÄVLEBORGS LÄN</t>
        </is>
      </c>
      <c r="E1131" t="inlineStr">
        <is>
          <t>GÄVLE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48639-2024</t>
        </is>
      </c>
      <c r="B1132" s="1" t="n">
        <v>45593</v>
      </c>
      <c r="C1132" s="1" t="n">
        <v>45828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48979-2024</t>
        </is>
      </c>
      <c r="B1133" s="1" t="n">
        <v>45594</v>
      </c>
      <c r="C1133" s="1" t="n">
        <v>45828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48932-2024</t>
        </is>
      </c>
      <c r="B1134" s="1" t="n">
        <v>45594</v>
      </c>
      <c r="C1134" s="1" t="n">
        <v>45828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48960-2024</t>
        </is>
      </c>
      <c r="B1135" s="1" t="n">
        <v>45594</v>
      </c>
      <c r="C1135" s="1" t="n">
        <v>45828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48913-2024</t>
        </is>
      </c>
      <c r="B1136" s="1" t="n">
        <v>45594</v>
      </c>
      <c r="C1136" s="1" t="n">
        <v>45828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48973-2024</t>
        </is>
      </c>
      <c r="B1137" s="1" t="n">
        <v>45594</v>
      </c>
      <c r="C1137" s="1" t="n">
        <v>45828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49401-2024</t>
        </is>
      </c>
      <c r="B1138" s="1" t="n">
        <v>45595</v>
      </c>
      <c r="C1138" s="1" t="n">
        <v>45828</v>
      </c>
      <c r="D1138" t="inlineStr">
        <is>
          <t>GÄVLEBORGS LÄN</t>
        </is>
      </c>
      <c r="E1138" t="inlineStr">
        <is>
          <t>GÄVLE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49390-2024</t>
        </is>
      </c>
      <c r="B1139" s="1" t="n">
        <v>45595</v>
      </c>
      <c r="C1139" s="1" t="n">
        <v>45828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49410-2024</t>
        </is>
      </c>
      <c r="B1140" s="1" t="n">
        <v>45595</v>
      </c>
      <c r="C1140" s="1" t="n">
        <v>45828</v>
      </c>
      <c r="D1140" t="inlineStr">
        <is>
          <t>GÄVLEBORGS LÄN</t>
        </is>
      </c>
      <c r="E1140" t="inlineStr">
        <is>
          <t>GÄVLE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49380-2024</t>
        </is>
      </c>
      <c r="B1141" s="1" t="n">
        <v>45595</v>
      </c>
      <c r="C1141" s="1" t="n">
        <v>45828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49549-2024</t>
        </is>
      </c>
      <c r="B1142" s="1" t="n">
        <v>45596</v>
      </c>
      <c r="C1142" s="1" t="n">
        <v>45828</v>
      </c>
      <c r="D1142" t="inlineStr">
        <is>
          <t>GÄVLEBORGS LÄN</t>
        </is>
      </c>
      <c r="E1142" t="inlineStr">
        <is>
          <t>GÄVLE</t>
        </is>
      </c>
      <c r="F1142" t="inlineStr">
        <is>
          <t>Kommuner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49561-2024</t>
        </is>
      </c>
      <c r="B1143" s="1" t="n">
        <v>45596</v>
      </c>
      <c r="C1143" s="1" t="n">
        <v>45828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49511-2024</t>
        </is>
      </c>
      <c r="B1144" s="1" t="n">
        <v>45596</v>
      </c>
      <c r="C1144" s="1" t="n">
        <v>45828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49741-2024</t>
        </is>
      </c>
      <c r="B1145" s="1" t="n">
        <v>45596</v>
      </c>
      <c r="C1145" s="1" t="n">
        <v>45828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49581-2024</t>
        </is>
      </c>
      <c r="B1146" s="1" t="n">
        <v>45596</v>
      </c>
      <c r="C1146" s="1" t="n">
        <v>45828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49743-2024</t>
        </is>
      </c>
      <c r="B1147" s="1" t="n">
        <v>45597</v>
      </c>
      <c r="C1147" s="1" t="n">
        <v>45828</v>
      </c>
      <c r="D1147" t="inlineStr">
        <is>
          <t>GÄVLEBORGS LÄN</t>
        </is>
      </c>
      <c r="E1147" t="inlineStr">
        <is>
          <t>GÄVLE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49742-2024</t>
        </is>
      </c>
      <c r="B1148" s="1" t="n">
        <v>45597</v>
      </c>
      <c r="C1148" s="1" t="n">
        <v>45828</v>
      </c>
      <c r="D1148" t="inlineStr">
        <is>
          <t>GÄVLEBORGS LÄN</t>
        </is>
      </c>
      <c r="E1148" t="inlineStr">
        <is>
          <t>GÄVLE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49997-2024</t>
        </is>
      </c>
      <c r="B1149" s="1" t="n">
        <v>45597</v>
      </c>
      <c r="C1149" s="1" t="n">
        <v>45828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50083-2024</t>
        </is>
      </c>
      <c r="B1150" s="1" t="n">
        <v>45600</v>
      </c>
      <c r="C1150" s="1" t="n">
        <v>45828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50191-2024</t>
        </is>
      </c>
      <c r="B1151" s="1" t="n">
        <v>45600</v>
      </c>
      <c r="C1151" s="1" t="n">
        <v>45828</v>
      </c>
      <c r="D1151" t="inlineStr">
        <is>
          <t>GÄVLEBORGS LÄN</t>
        </is>
      </c>
      <c r="E1151" t="inlineStr">
        <is>
          <t>GÄVLE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50314-2024</t>
        </is>
      </c>
      <c r="B1152" s="1" t="n">
        <v>45600</v>
      </c>
      <c r="C1152" s="1" t="n">
        <v>45828</v>
      </c>
      <c r="D1152" t="inlineStr">
        <is>
          <t>GÄVLEBORGS LÄN</t>
        </is>
      </c>
      <c r="E1152" t="inlineStr">
        <is>
          <t>GÄVLE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50643-2024</t>
        </is>
      </c>
      <c r="B1153" s="1" t="n">
        <v>45601</v>
      </c>
      <c r="C1153" s="1" t="n">
        <v>45828</v>
      </c>
      <c r="D1153" t="inlineStr">
        <is>
          <t>GÄVLEBORGS LÄN</t>
        </is>
      </c>
      <c r="E1153" t="inlineStr">
        <is>
          <t>GÄVLE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50636-2024</t>
        </is>
      </c>
      <c r="B1154" s="1" t="n">
        <v>45601</v>
      </c>
      <c r="C1154" s="1" t="n">
        <v>45828</v>
      </c>
      <c r="D1154" t="inlineStr">
        <is>
          <t>GÄVLEBORGS LÄN</t>
        </is>
      </c>
      <c r="E1154" t="inlineStr">
        <is>
          <t>GÄVLE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50794-2024</t>
        </is>
      </c>
      <c r="B1155" s="1" t="n">
        <v>45602</v>
      </c>
      <c r="C1155" s="1" t="n">
        <v>45828</v>
      </c>
      <c r="D1155" t="inlineStr">
        <is>
          <t>GÄVLEBORGS LÄN</t>
        </is>
      </c>
      <c r="E1155" t="inlineStr">
        <is>
          <t>GÄVLE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51138-2024</t>
        </is>
      </c>
      <c r="B1156" s="1" t="n">
        <v>45603</v>
      </c>
      <c r="C1156" s="1" t="n">
        <v>45828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51368-2024</t>
        </is>
      </c>
      <c r="B1157" s="1" t="n">
        <v>45604</v>
      </c>
      <c r="C1157" s="1" t="n">
        <v>45828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51831-2024</t>
        </is>
      </c>
      <c r="B1158" s="1" t="n">
        <v>45607</v>
      </c>
      <c r="C1158" s="1" t="n">
        <v>45828</v>
      </c>
      <c r="D1158" t="inlineStr">
        <is>
          <t>GÄVLEBORGS LÄN</t>
        </is>
      </c>
      <c r="E1158" t="inlineStr">
        <is>
          <t>GÄVLE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51679-2024</t>
        </is>
      </c>
      <c r="B1159" s="1" t="n">
        <v>45607</v>
      </c>
      <c r="C1159" s="1" t="n">
        <v>45828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52253-2024</t>
        </is>
      </c>
      <c r="B1160" s="1" t="n">
        <v>45608</v>
      </c>
      <c r="C1160" s="1" t="n">
        <v>45828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52250-2024</t>
        </is>
      </c>
      <c r="B1161" s="1" t="n">
        <v>45608</v>
      </c>
      <c r="C1161" s="1" t="n">
        <v>45828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52777-2024</t>
        </is>
      </c>
      <c r="B1162" s="1" t="n">
        <v>45610</v>
      </c>
      <c r="C1162" s="1" t="n">
        <v>45828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52781-2024</t>
        </is>
      </c>
      <c r="B1163" s="1" t="n">
        <v>45610</v>
      </c>
      <c r="C1163" s="1" t="n">
        <v>45828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52813-2024</t>
        </is>
      </c>
      <c r="B1164" s="1" t="n">
        <v>45610</v>
      </c>
      <c r="C1164" s="1" t="n">
        <v>45828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52779-2024</t>
        </is>
      </c>
      <c r="B1165" s="1" t="n">
        <v>45610</v>
      </c>
      <c r="C1165" s="1" t="n">
        <v>45828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52846-2024</t>
        </is>
      </c>
      <c r="B1166" s="1" t="n">
        <v>45610</v>
      </c>
      <c r="C1166" s="1" t="n">
        <v>45828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53138-2024</t>
        </is>
      </c>
      <c r="B1167" s="1" t="n">
        <v>45611</v>
      </c>
      <c r="C1167" s="1" t="n">
        <v>45828</v>
      </c>
      <c r="D1167" t="inlineStr">
        <is>
          <t>GÄVLEBORGS LÄN</t>
        </is>
      </c>
      <c r="E1167" t="inlineStr">
        <is>
          <t>GÄVLE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53323-2024</t>
        </is>
      </c>
      <c r="B1168" s="1" t="n">
        <v>45614</v>
      </c>
      <c r="C1168" s="1" t="n">
        <v>45828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53281-2024</t>
        </is>
      </c>
      <c r="B1169" s="1" t="n">
        <v>45614</v>
      </c>
      <c r="C1169" s="1" t="n">
        <v>45828</v>
      </c>
      <c r="D1169" t="inlineStr">
        <is>
          <t>GÄVLEBORGS LÄN</t>
        </is>
      </c>
      <c r="E1169" t="inlineStr">
        <is>
          <t>GÄVLE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53439-2024</t>
        </is>
      </c>
      <c r="B1170" s="1" t="n">
        <v>45614</v>
      </c>
      <c r="C1170" s="1" t="n">
        <v>45828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53567-2024</t>
        </is>
      </c>
      <c r="B1171" s="1" t="n">
        <v>45614</v>
      </c>
      <c r="C1171" s="1" t="n">
        <v>45828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53582-2024</t>
        </is>
      </c>
      <c r="B1172" s="1" t="n">
        <v>45614</v>
      </c>
      <c r="C1172" s="1" t="n">
        <v>45828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8.300000000000001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53268-2024</t>
        </is>
      </c>
      <c r="B1173" s="1" t="n">
        <v>45614</v>
      </c>
      <c r="C1173" s="1" t="n">
        <v>45828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53397-2024</t>
        </is>
      </c>
      <c r="B1174" s="1" t="n">
        <v>45614</v>
      </c>
      <c r="C1174" s="1" t="n">
        <v>45828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54142-2024</t>
        </is>
      </c>
      <c r="B1175" s="1" t="n">
        <v>45616</v>
      </c>
      <c r="C1175" s="1" t="n">
        <v>45828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54293-2024</t>
        </is>
      </c>
      <c r="B1176" s="1" t="n">
        <v>45617</v>
      </c>
      <c r="C1176" s="1" t="n">
        <v>45828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54758-2024</t>
        </is>
      </c>
      <c r="B1177" s="1" t="n">
        <v>45618</v>
      </c>
      <c r="C1177" s="1" t="n">
        <v>45828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54885-2024</t>
        </is>
      </c>
      <c r="B1178" s="1" t="n">
        <v>45618</v>
      </c>
      <c r="C1178" s="1" t="n">
        <v>45828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54751-2024</t>
        </is>
      </c>
      <c r="B1179" s="1" t="n">
        <v>45618</v>
      </c>
      <c r="C1179" s="1" t="n">
        <v>45828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54683-2024</t>
        </is>
      </c>
      <c r="B1180" s="1" t="n">
        <v>45618</v>
      </c>
      <c r="C1180" s="1" t="n">
        <v>45828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55110-2024</t>
        </is>
      </c>
      <c r="B1181" s="1" t="n">
        <v>45621</v>
      </c>
      <c r="C1181" s="1" t="n">
        <v>45828</v>
      </c>
      <c r="D1181" t="inlineStr">
        <is>
          <t>GÄVLEBORGS LÄN</t>
        </is>
      </c>
      <c r="E1181" t="inlineStr">
        <is>
          <t>GÄVLE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55141-2024</t>
        </is>
      </c>
      <c r="B1182" s="1" t="n">
        <v>45621</v>
      </c>
      <c r="C1182" s="1" t="n">
        <v>45828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55205-2024</t>
        </is>
      </c>
      <c r="B1183" s="1" t="n">
        <v>45621</v>
      </c>
      <c r="C1183" s="1" t="n">
        <v>45828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55878-2024</t>
        </is>
      </c>
      <c r="B1184" s="1" t="n">
        <v>45623</v>
      </c>
      <c r="C1184" s="1" t="n">
        <v>45828</v>
      </c>
      <c r="D1184" t="inlineStr">
        <is>
          <t>GÄVLEBORGS LÄN</t>
        </is>
      </c>
      <c r="E1184" t="inlineStr">
        <is>
          <t>GÄVLE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55930-2024</t>
        </is>
      </c>
      <c r="B1185" s="1" t="n">
        <v>45623</v>
      </c>
      <c r="C1185" s="1" t="n">
        <v>45828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55924-2024</t>
        </is>
      </c>
      <c r="B1186" s="1" t="n">
        <v>45623</v>
      </c>
      <c r="C1186" s="1" t="n">
        <v>45828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55927-2024</t>
        </is>
      </c>
      <c r="B1187" s="1" t="n">
        <v>45623</v>
      </c>
      <c r="C1187" s="1" t="n">
        <v>45828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55981-2024</t>
        </is>
      </c>
      <c r="B1188" s="1" t="n">
        <v>45623</v>
      </c>
      <c r="C1188" s="1" t="n">
        <v>45828</v>
      </c>
      <c r="D1188" t="inlineStr">
        <is>
          <t>GÄVLEBORGS LÄN</t>
        </is>
      </c>
      <c r="E1188" t="inlineStr">
        <is>
          <t>GÄVLE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56223-2024</t>
        </is>
      </c>
      <c r="B1189" s="1" t="n">
        <v>45624</v>
      </c>
      <c r="C1189" s="1" t="n">
        <v>45828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56728-2024</t>
        </is>
      </c>
      <c r="B1190" s="1" t="n">
        <v>45628</v>
      </c>
      <c r="C1190" s="1" t="n">
        <v>45828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56894-2024</t>
        </is>
      </c>
      <c r="B1191" s="1" t="n">
        <v>45628</v>
      </c>
      <c r="C1191" s="1" t="n">
        <v>45828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56915-2024</t>
        </is>
      </c>
      <c r="B1192" s="1" t="n">
        <v>45628</v>
      </c>
      <c r="C1192" s="1" t="n">
        <v>45828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57054-2024</t>
        </is>
      </c>
      <c r="B1193" s="1" t="n">
        <v>45629</v>
      </c>
      <c r="C1193" s="1" t="n">
        <v>45828</v>
      </c>
      <c r="D1193" t="inlineStr">
        <is>
          <t>GÄVLEBORGS LÄN</t>
        </is>
      </c>
      <c r="E1193" t="inlineStr">
        <is>
          <t>GÄVLE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57151-2024</t>
        </is>
      </c>
      <c r="B1194" s="1" t="n">
        <v>45629</v>
      </c>
      <c r="C1194" s="1" t="n">
        <v>45828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57464-2024</t>
        </is>
      </c>
      <c r="B1195" s="1" t="n">
        <v>45630</v>
      </c>
      <c r="C1195" s="1" t="n">
        <v>45828</v>
      </c>
      <c r="D1195" t="inlineStr">
        <is>
          <t>GÄVLEBORGS LÄN</t>
        </is>
      </c>
      <c r="E1195" t="inlineStr">
        <is>
          <t>GÄVLE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57570-2024</t>
        </is>
      </c>
      <c r="B1196" s="1" t="n">
        <v>45630</v>
      </c>
      <c r="C1196" s="1" t="n">
        <v>45828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57571-2024</t>
        </is>
      </c>
      <c r="B1197" s="1" t="n">
        <v>45630</v>
      </c>
      <c r="C1197" s="1" t="n">
        <v>45828</v>
      </c>
      <c r="D1197" t="inlineStr">
        <is>
          <t>GÄVLEBORGS LÄN</t>
        </is>
      </c>
      <c r="E1197" t="inlineStr">
        <is>
          <t>GÄVLE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57877-2024</t>
        </is>
      </c>
      <c r="B1198" s="1" t="n">
        <v>45630</v>
      </c>
      <c r="C1198" s="1" t="n">
        <v>45828</v>
      </c>
      <c r="D1198" t="inlineStr">
        <is>
          <t>GÄVLEBORGS LÄN</t>
        </is>
      </c>
      <c r="E1198" t="inlineStr">
        <is>
          <t>GÄVLE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57928-2024</t>
        </is>
      </c>
      <c r="B1199" s="1" t="n">
        <v>45631</v>
      </c>
      <c r="C1199" s="1" t="n">
        <v>45828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58370-2024</t>
        </is>
      </c>
      <c r="B1200" s="1" t="n">
        <v>45632</v>
      </c>
      <c r="C1200" s="1" t="n">
        <v>45828</v>
      </c>
      <c r="D1200" t="inlineStr">
        <is>
          <t>GÄVLEBORGS LÄN</t>
        </is>
      </c>
      <c r="E1200" t="inlineStr">
        <is>
          <t>GÄVLE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58192-2024</t>
        </is>
      </c>
      <c r="B1201" s="1" t="n">
        <v>45632</v>
      </c>
      <c r="C1201" s="1" t="n">
        <v>45828</v>
      </c>
      <c r="D1201" t="inlineStr">
        <is>
          <t>GÄVLEBORGS LÄN</t>
        </is>
      </c>
      <c r="E1201" t="inlineStr">
        <is>
          <t>GÄVLE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58196-2024</t>
        </is>
      </c>
      <c r="B1202" s="1" t="n">
        <v>45632</v>
      </c>
      <c r="C1202" s="1" t="n">
        <v>45828</v>
      </c>
      <c r="D1202" t="inlineStr">
        <is>
          <t>GÄVLEBORGS LÄN</t>
        </is>
      </c>
      <c r="E1202" t="inlineStr">
        <is>
          <t>GÄVLE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58204-2024</t>
        </is>
      </c>
      <c r="B1203" s="1" t="n">
        <v>45632</v>
      </c>
      <c r="C1203" s="1" t="n">
        <v>45828</v>
      </c>
      <c r="D1203" t="inlineStr">
        <is>
          <t>GÄVLEBORGS LÄN</t>
        </is>
      </c>
      <c r="E1203" t="inlineStr">
        <is>
          <t>GÄVLE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58373-2024</t>
        </is>
      </c>
      <c r="B1204" s="1" t="n">
        <v>45632</v>
      </c>
      <c r="C1204" s="1" t="n">
        <v>45828</v>
      </c>
      <c r="D1204" t="inlineStr">
        <is>
          <t>GÄVLEBORGS LÄN</t>
        </is>
      </c>
      <c r="E1204" t="inlineStr">
        <is>
          <t>GÄVLE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58873-2024</t>
        </is>
      </c>
      <c r="B1205" s="1" t="n">
        <v>45636</v>
      </c>
      <c r="C1205" s="1" t="n">
        <v>45828</v>
      </c>
      <c r="D1205" t="inlineStr">
        <is>
          <t>GÄVLEBORGS LÄN</t>
        </is>
      </c>
      <c r="E1205" t="inlineStr">
        <is>
          <t>GÄVLE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59154-2024</t>
        </is>
      </c>
      <c r="B1206" s="1" t="n">
        <v>45637</v>
      </c>
      <c r="C1206" s="1" t="n">
        <v>45828</v>
      </c>
      <c r="D1206" t="inlineStr">
        <is>
          <t>GÄVLEBORGS LÄN</t>
        </is>
      </c>
      <c r="E1206" t="inlineStr">
        <is>
          <t>GÄVLE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59149-2024</t>
        </is>
      </c>
      <c r="B1207" s="1" t="n">
        <v>45637</v>
      </c>
      <c r="C1207" s="1" t="n">
        <v>45828</v>
      </c>
      <c r="D1207" t="inlineStr">
        <is>
          <t>GÄVLEBORGS LÄN</t>
        </is>
      </c>
      <c r="E1207" t="inlineStr">
        <is>
          <t>GÄVLE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59099-2024</t>
        </is>
      </c>
      <c r="B1208" s="1" t="n">
        <v>45637</v>
      </c>
      <c r="C1208" s="1" t="n">
        <v>45828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59379-2024</t>
        </is>
      </c>
      <c r="B1209" s="1" t="n">
        <v>45638</v>
      </c>
      <c r="C1209" s="1" t="n">
        <v>45828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60307-2024</t>
        </is>
      </c>
      <c r="B1210" s="1" t="n">
        <v>45643</v>
      </c>
      <c r="C1210" s="1" t="n">
        <v>45828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60309-2024</t>
        </is>
      </c>
      <c r="B1211" s="1" t="n">
        <v>45643</v>
      </c>
      <c r="C1211" s="1" t="n">
        <v>45828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60629-2024</t>
        </is>
      </c>
      <c r="B1212" s="1" t="n">
        <v>45644</v>
      </c>
      <c r="C1212" s="1" t="n">
        <v>45828</v>
      </c>
      <c r="D1212" t="inlineStr">
        <is>
          <t>GÄVLEBORGS LÄN</t>
        </is>
      </c>
      <c r="E1212" t="inlineStr">
        <is>
          <t>GÄVLE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60602-2024</t>
        </is>
      </c>
      <c r="B1213" s="1" t="n">
        <v>45644</v>
      </c>
      <c r="C1213" s="1" t="n">
        <v>45828</v>
      </c>
      <c r="D1213" t="inlineStr">
        <is>
          <t>GÄVLEBORGS LÄN</t>
        </is>
      </c>
      <c r="E1213" t="inlineStr">
        <is>
          <t>GÄVLE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60792-2024</t>
        </is>
      </c>
      <c r="B1214" s="1" t="n">
        <v>45644</v>
      </c>
      <c r="C1214" s="1" t="n">
        <v>45828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60801-2024</t>
        </is>
      </c>
      <c r="B1215" s="1" t="n">
        <v>45644</v>
      </c>
      <c r="C1215" s="1" t="n">
        <v>45828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60617-2024</t>
        </is>
      </c>
      <c r="B1216" s="1" t="n">
        <v>45644</v>
      </c>
      <c r="C1216" s="1" t="n">
        <v>45828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61004-2024</t>
        </is>
      </c>
      <c r="B1217" s="1" t="n">
        <v>45645</v>
      </c>
      <c r="C1217" s="1" t="n">
        <v>45828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61016-2024</t>
        </is>
      </c>
      <c r="B1218" s="1" t="n">
        <v>45645</v>
      </c>
      <c r="C1218" s="1" t="n">
        <v>45828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61056-2024</t>
        </is>
      </c>
      <c r="B1219" s="1" t="n">
        <v>45645</v>
      </c>
      <c r="C1219" s="1" t="n">
        <v>45828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61133-2024</t>
        </is>
      </c>
      <c r="B1220" s="1" t="n">
        <v>45645</v>
      </c>
      <c r="C1220" s="1" t="n">
        <v>45828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61301-2024</t>
        </is>
      </c>
      <c r="B1221" s="1" t="n">
        <v>45645</v>
      </c>
      <c r="C1221" s="1" t="n">
        <v>45828</v>
      </c>
      <c r="D1221" t="inlineStr">
        <is>
          <t>GÄVLEBORGS LÄN</t>
        </is>
      </c>
      <c r="E1221" t="inlineStr">
        <is>
          <t>GÄVLE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61130-2024</t>
        </is>
      </c>
      <c r="B1222" s="1" t="n">
        <v>45645</v>
      </c>
      <c r="C1222" s="1" t="n">
        <v>45828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61300-2024</t>
        </is>
      </c>
      <c r="B1223" s="1" t="n">
        <v>45645</v>
      </c>
      <c r="C1223" s="1" t="n">
        <v>45828</v>
      </c>
      <c r="D1223" t="inlineStr">
        <is>
          <t>GÄVLEBORGS LÄN</t>
        </is>
      </c>
      <c r="E1223" t="inlineStr">
        <is>
          <t>GÄVLE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61131-2024</t>
        </is>
      </c>
      <c r="B1224" s="1" t="n">
        <v>45645</v>
      </c>
      <c r="C1224" s="1" t="n">
        <v>45828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61492-2024</t>
        </is>
      </c>
      <c r="B1225" s="1" t="n">
        <v>45646</v>
      </c>
      <c r="C1225" s="1" t="n">
        <v>45828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61501-2024</t>
        </is>
      </c>
      <c r="B1226" s="1" t="n">
        <v>45646</v>
      </c>
      <c r="C1226" s="1" t="n">
        <v>45828</v>
      </c>
      <c r="D1226" t="inlineStr">
        <is>
          <t>GÄVLEBORGS LÄN</t>
        </is>
      </c>
      <c r="E1226" t="inlineStr">
        <is>
          <t>GÄVLE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61688-2024</t>
        </is>
      </c>
      <c r="B1227" s="1" t="n">
        <v>45647</v>
      </c>
      <c r="C1227" s="1" t="n">
        <v>45828</v>
      </c>
      <c r="D1227" t="inlineStr">
        <is>
          <t>GÄVLEBORGS LÄN</t>
        </is>
      </c>
      <c r="E1227" t="inlineStr">
        <is>
          <t>GÄVLE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61786-2024</t>
        </is>
      </c>
      <c r="B1228" s="1" t="n">
        <v>45649</v>
      </c>
      <c r="C1228" s="1" t="n">
        <v>45828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61879-2024</t>
        </is>
      </c>
      <c r="B1229" s="1" t="n">
        <v>45652</v>
      </c>
      <c r="C1229" s="1" t="n">
        <v>45828</v>
      </c>
      <c r="D1229" t="inlineStr">
        <is>
          <t>GÄVLEBORGS LÄN</t>
        </is>
      </c>
      <c r="E1229" t="inlineStr">
        <is>
          <t>GÄVLE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61880-2024</t>
        </is>
      </c>
      <c r="B1230" s="1" t="n">
        <v>45652</v>
      </c>
      <c r="C1230" s="1" t="n">
        <v>45828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24-2025</t>
        </is>
      </c>
      <c r="B1231" s="1" t="n">
        <v>45658</v>
      </c>
      <c r="C1231" s="1" t="n">
        <v>45828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230-2025</t>
        </is>
      </c>
      <c r="B1232" s="1" t="n">
        <v>45660</v>
      </c>
      <c r="C1232" s="1" t="n">
        <v>45828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257-2025</t>
        </is>
      </c>
      <c r="B1233" s="1" t="n">
        <v>45660</v>
      </c>
      <c r="C1233" s="1" t="n">
        <v>45828</v>
      </c>
      <c r="D1233" t="inlineStr">
        <is>
          <t>GÄVLEBORGS LÄN</t>
        </is>
      </c>
      <c r="E1233" t="inlineStr">
        <is>
          <t>GÄVLE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225-2025</t>
        </is>
      </c>
      <c r="B1234" s="1" t="n">
        <v>45660</v>
      </c>
      <c r="C1234" s="1" t="n">
        <v>45828</v>
      </c>
      <c r="D1234" t="inlineStr">
        <is>
          <t>GÄVLEBORGS LÄN</t>
        </is>
      </c>
      <c r="E1234" t="inlineStr">
        <is>
          <t>GÄVLE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214-2025</t>
        </is>
      </c>
      <c r="B1235" s="1" t="n">
        <v>45660</v>
      </c>
      <c r="C1235" s="1" t="n">
        <v>45828</v>
      </c>
      <c r="D1235" t="inlineStr">
        <is>
          <t>GÄVLEBORGS LÄN</t>
        </is>
      </c>
      <c r="E1235" t="inlineStr">
        <is>
          <t>GÄVLE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255-2025</t>
        </is>
      </c>
      <c r="B1236" s="1" t="n">
        <v>45660</v>
      </c>
      <c r="C1236" s="1" t="n">
        <v>45828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247-2025</t>
        </is>
      </c>
      <c r="B1237" s="1" t="n">
        <v>45660</v>
      </c>
      <c r="C1237" s="1" t="n">
        <v>45828</v>
      </c>
      <c r="D1237" t="inlineStr">
        <is>
          <t>GÄVLEBORGS LÄN</t>
        </is>
      </c>
      <c r="E1237" t="inlineStr">
        <is>
          <t>GÄVLE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212-2025</t>
        </is>
      </c>
      <c r="B1238" s="1" t="n">
        <v>45660</v>
      </c>
      <c r="C1238" s="1" t="n">
        <v>45828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259-2025</t>
        </is>
      </c>
      <c r="B1239" s="1" t="n">
        <v>45660</v>
      </c>
      <c r="C1239" s="1" t="n">
        <v>45828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250-2025</t>
        </is>
      </c>
      <c r="B1240" s="1" t="n">
        <v>45660</v>
      </c>
      <c r="C1240" s="1" t="n">
        <v>45828</v>
      </c>
      <c r="D1240" t="inlineStr">
        <is>
          <t>GÄVLEBORGS LÄN</t>
        </is>
      </c>
      <c r="E1240" t="inlineStr">
        <is>
          <t>GÄVLE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232-2025</t>
        </is>
      </c>
      <c r="B1241" s="1" t="n">
        <v>45660</v>
      </c>
      <c r="C1241" s="1" t="n">
        <v>45828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447-2025</t>
        </is>
      </c>
      <c r="B1242" s="1" t="n">
        <v>45664</v>
      </c>
      <c r="C1242" s="1" t="n">
        <v>45828</v>
      </c>
      <c r="D1242" t="inlineStr">
        <is>
          <t>GÄVLEBORGS LÄN</t>
        </is>
      </c>
      <c r="E1242" t="inlineStr">
        <is>
          <t>GÄVLE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701-2025</t>
        </is>
      </c>
      <c r="B1243" s="1" t="n">
        <v>45665</v>
      </c>
      <c r="C1243" s="1" t="n">
        <v>45828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1087-2025</t>
        </is>
      </c>
      <c r="B1244" s="1" t="n">
        <v>45666</v>
      </c>
      <c r="C1244" s="1" t="n">
        <v>45828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1062-2025</t>
        </is>
      </c>
      <c r="B1245" s="1" t="n">
        <v>45666</v>
      </c>
      <c r="C1245" s="1" t="n">
        <v>45828</v>
      </c>
      <c r="D1245" t="inlineStr">
        <is>
          <t>GÄVLEBORGS LÄN</t>
        </is>
      </c>
      <c r="E1245" t="inlineStr">
        <is>
          <t>GÄVLE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1066-2025</t>
        </is>
      </c>
      <c r="B1246" s="1" t="n">
        <v>45666</v>
      </c>
      <c r="C1246" s="1" t="n">
        <v>45828</v>
      </c>
      <c r="D1246" t="inlineStr">
        <is>
          <t>GÄVLEBORGS LÄN</t>
        </is>
      </c>
      <c r="E1246" t="inlineStr">
        <is>
          <t>GÄVLE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1212-2025</t>
        </is>
      </c>
      <c r="B1247" s="1" t="n">
        <v>45667</v>
      </c>
      <c r="C1247" s="1" t="n">
        <v>45828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1261-2025</t>
        </is>
      </c>
      <c r="B1248" s="1" t="n">
        <v>45667</v>
      </c>
      <c r="C1248" s="1" t="n">
        <v>45828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1287-2025</t>
        </is>
      </c>
      <c r="B1249" s="1" t="n">
        <v>45667</v>
      </c>
      <c r="C1249" s="1" t="n">
        <v>45828</v>
      </c>
      <c r="D1249" t="inlineStr">
        <is>
          <t>GÄVLEBORGS LÄN</t>
        </is>
      </c>
      <c r="E1249" t="inlineStr">
        <is>
          <t>GÄVLE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1344-2025</t>
        </is>
      </c>
      <c r="B1250" s="1" t="n">
        <v>45667</v>
      </c>
      <c r="C1250" s="1" t="n">
        <v>45828</v>
      </c>
      <c r="D1250" t="inlineStr">
        <is>
          <t>GÄVLEBORGS LÄN</t>
        </is>
      </c>
      <c r="E1250" t="inlineStr">
        <is>
          <t>GÄVLE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1969-2025</t>
        </is>
      </c>
      <c r="B1251" s="1" t="n">
        <v>45672</v>
      </c>
      <c r="C1251" s="1" t="n">
        <v>45828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1974-2025</t>
        </is>
      </c>
      <c r="B1252" s="1" t="n">
        <v>45672</v>
      </c>
      <c r="C1252" s="1" t="n">
        <v>45828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2274-2025</t>
        </is>
      </c>
      <c r="B1253" s="1" t="n">
        <v>45673</v>
      </c>
      <c r="C1253" s="1" t="n">
        <v>45828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2374-2025</t>
        </is>
      </c>
      <c r="B1254" s="1" t="n">
        <v>45673</v>
      </c>
      <c r="C1254" s="1" t="n">
        <v>45828</v>
      </c>
      <c r="D1254" t="inlineStr">
        <is>
          <t>GÄVLEBORGS LÄN</t>
        </is>
      </c>
      <c r="E1254" t="inlineStr">
        <is>
          <t>GÄVLE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2373-2025</t>
        </is>
      </c>
      <c r="B1255" s="1" t="n">
        <v>45673</v>
      </c>
      <c r="C1255" s="1" t="n">
        <v>45828</v>
      </c>
      <c r="D1255" t="inlineStr">
        <is>
          <t>GÄVLEBORGS LÄN</t>
        </is>
      </c>
      <c r="E1255" t="inlineStr">
        <is>
          <t>GÄVLE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2442-2025</t>
        </is>
      </c>
      <c r="B1256" s="1" t="n">
        <v>45674</v>
      </c>
      <c r="C1256" s="1" t="n">
        <v>45828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2397-2025</t>
        </is>
      </c>
      <c r="B1257" s="1" t="n">
        <v>45674</v>
      </c>
      <c r="C1257" s="1" t="n">
        <v>45828</v>
      </c>
      <c r="D1257" t="inlineStr">
        <is>
          <t>GÄVLEBORGS LÄN</t>
        </is>
      </c>
      <c r="E1257" t="inlineStr">
        <is>
          <t>GÄVLE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3069-2025</t>
        </is>
      </c>
      <c r="B1258" s="1" t="n">
        <v>45678</v>
      </c>
      <c r="C1258" s="1" t="n">
        <v>45828</v>
      </c>
      <c r="D1258" t="inlineStr">
        <is>
          <t>GÄVLEBORGS LÄN</t>
        </is>
      </c>
      <c r="E1258" t="inlineStr">
        <is>
          <t>GÄVLE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3440-2025</t>
        </is>
      </c>
      <c r="B1259" s="1" t="n">
        <v>45680</v>
      </c>
      <c r="C1259" s="1" t="n">
        <v>45828</v>
      </c>
      <c r="D1259" t="inlineStr">
        <is>
          <t>GÄVLEBORGS LÄN</t>
        </is>
      </c>
      <c r="E1259" t="inlineStr">
        <is>
          <t>GÄVLE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3491-2025</t>
        </is>
      </c>
      <c r="B1260" s="1" t="n">
        <v>45680</v>
      </c>
      <c r="C1260" s="1" t="n">
        <v>45828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3719-2025</t>
        </is>
      </c>
      <c r="B1261" s="1" t="n">
        <v>45681</v>
      </c>
      <c r="C1261" s="1" t="n">
        <v>45828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3732-2025</t>
        </is>
      </c>
      <c r="B1262" s="1" t="n">
        <v>45681</v>
      </c>
      <c r="C1262" s="1" t="n">
        <v>45828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3718-2025</t>
        </is>
      </c>
      <c r="B1263" s="1" t="n">
        <v>45681</v>
      </c>
      <c r="C1263" s="1" t="n">
        <v>45828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4091-2025</t>
        </is>
      </c>
      <c r="B1264" s="1" t="n">
        <v>45684</v>
      </c>
      <c r="C1264" s="1" t="n">
        <v>45828</v>
      </c>
      <c r="D1264" t="inlineStr">
        <is>
          <t>GÄVLEBORGS LÄN</t>
        </is>
      </c>
      <c r="E1264" t="inlineStr">
        <is>
          <t>GÄVLE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4090-2025</t>
        </is>
      </c>
      <c r="B1265" s="1" t="n">
        <v>45684</v>
      </c>
      <c r="C1265" s="1" t="n">
        <v>45828</v>
      </c>
      <c r="D1265" t="inlineStr">
        <is>
          <t>GÄVLEBORGS LÄN</t>
        </is>
      </c>
      <c r="E1265" t="inlineStr">
        <is>
          <t>GÄVLE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4116-2025</t>
        </is>
      </c>
      <c r="B1266" s="1" t="n">
        <v>45684</v>
      </c>
      <c r="C1266" s="1" t="n">
        <v>45828</v>
      </c>
      <c r="D1266" t="inlineStr">
        <is>
          <t>GÄVLEBORGS LÄN</t>
        </is>
      </c>
      <c r="E1266" t="inlineStr">
        <is>
          <t>GÄVLE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4097-2025</t>
        </is>
      </c>
      <c r="B1267" s="1" t="n">
        <v>45684</v>
      </c>
      <c r="C1267" s="1" t="n">
        <v>45828</v>
      </c>
      <c r="D1267" t="inlineStr">
        <is>
          <t>GÄVLEBORGS LÄN</t>
        </is>
      </c>
      <c r="E1267" t="inlineStr">
        <is>
          <t>GÄVLE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4235-2025</t>
        </is>
      </c>
      <c r="B1268" s="1" t="n">
        <v>45685</v>
      </c>
      <c r="C1268" s="1" t="n">
        <v>45828</v>
      </c>
      <c r="D1268" t="inlineStr">
        <is>
          <t>GÄVLEBORGS LÄN</t>
        </is>
      </c>
      <c r="E1268" t="inlineStr">
        <is>
          <t>GÄVLE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4402-2025</t>
        </is>
      </c>
      <c r="B1269" s="1" t="n">
        <v>45686</v>
      </c>
      <c r="C1269" s="1" t="n">
        <v>45828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4405-2025</t>
        </is>
      </c>
      <c r="B1270" s="1" t="n">
        <v>45686</v>
      </c>
      <c r="C1270" s="1" t="n">
        <v>45828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5090-2025</t>
        </is>
      </c>
      <c r="B1271" s="1" t="n">
        <v>45691</v>
      </c>
      <c r="C1271" s="1" t="n">
        <v>45828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5094-2025</t>
        </is>
      </c>
      <c r="B1272" s="1" t="n">
        <v>45691</v>
      </c>
      <c r="C1272" s="1" t="n">
        <v>45828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5075-2025</t>
        </is>
      </c>
      <c r="B1273" s="1" t="n">
        <v>45691</v>
      </c>
      <c r="C1273" s="1" t="n">
        <v>45828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5172-2025</t>
        </is>
      </c>
      <c r="B1274" s="1" t="n">
        <v>45691</v>
      </c>
      <c r="C1274" s="1" t="n">
        <v>45828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5028-2025</t>
        </is>
      </c>
      <c r="B1275" s="1" t="n">
        <v>45691</v>
      </c>
      <c r="C1275" s="1" t="n">
        <v>45828</v>
      </c>
      <c r="D1275" t="inlineStr">
        <is>
          <t>GÄVLEBORGS LÄN</t>
        </is>
      </c>
      <c r="E1275" t="inlineStr">
        <is>
          <t>GÄVLE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5241-2025</t>
        </is>
      </c>
      <c r="B1276" s="1" t="n">
        <v>45692</v>
      </c>
      <c r="C1276" s="1" t="n">
        <v>45828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20.6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5521-2025</t>
        </is>
      </c>
      <c r="B1277" s="1" t="n">
        <v>45693</v>
      </c>
      <c r="C1277" s="1" t="n">
        <v>45828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5603-2025</t>
        </is>
      </c>
      <c r="B1278" s="1" t="n">
        <v>45693</v>
      </c>
      <c r="C1278" s="1" t="n">
        <v>45828</v>
      </c>
      <c r="D1278" t="inlineStr">
        <is>
          <t>GÄVLEBORGS LÄN</t>
        </is>
      </c>
      <c r="E1278" t="inlineStr">
        <is>
          <t>GÄVLE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5518-2025</t>
        </is>
      </c>
      <c r="B1279" s="1" t="n">
        <v>45693</v>
      </c>
      <c r="C1279" s="1" t="n">
        <v>45828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5514-2025</t>
        </is>
      </c>
      <c r="B1280" s="1" t="n">
        <v>45693</v>
      </c>
      <c r="C1280" s="1" t="n">
        <v>45828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5487-2025</t>
        </is>
      </c>
      <c r="B1281" s="1" t="n">
        <v>45693</v>
      </c>
      <c r="C1281" s="1" t="n">
        <v>45828</v>
      </c>
      <c r="D1281" t="inlineStr">
        <is>
          <t>GÄVLEBORGS LÄN</t>
        </is>
      </c>
      <c r="E1281" t="inlineStr">
        <is>
          <t>GÄVLE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5520-2025</t>
        </is>
      </c>
      <c r="B1282" s="1" t="n">
        <v>45693</v>
      </c>
      <c r="C1282" s="1" t="n">
        <v>45828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5512-2025</t>
        </is>
      </c>
      <c r="B1283" s="1" t="n">
        <v>45693</v>
      </c>
      <c r="C1283" s="1" t="n">
        <v>45828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5751-2025</t>
        </is>
      </c>
      <c r="B1284" s="1" t="n">
        <v>45694</v>
      </c>
      <c r="C1284" s="1" t="n">
        <v>45828</v>
      </c>
      <c r="D1284" t="inlineStr">
        <is>
          <t>GÄVLEBORGS LÄN</t>
        </is>
      </c>
      <c r="E1284" t="inlineStr">
        <is>
          <t>GÄVLE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5917-2025</t>
        </is>
      </c>
      <c r="B1285" s="1" t="n">
        <v>45695</v>
      </c>
      <c r="C1285" s="1" t="n">
        <v>45828</v>
      </c>
      <c r="D1285" t="inlineStr">
        <is>
          <t>GÄVLEBORGS LÄN</t>
        </is>
      </c>
      <c r="E1285" t="inlineStr">
        <is>
          <t>GÄVLE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5906-2025</t>
        </is>
      </c>
      <c r="B1286" s="1" t="n">
        <v>45695</v>
      </c>
      <c r="C1286" s="1" t="n">
        <v>45828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5914-2025</t>
        </is>
      </c>
      <c r="B1287" s="1" t="n">
        <v>45695</v>
      </c>
      <c r="C1287" s="1" t="n">
        <v>45828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5908-2025</t>
        </is>
      </c>
      <c r="B1288" s="1" t="n">
        <v>45695</v>
      </c>
      <c r="C1288" s="1" t="n">
        <v>45828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5912-2025</t>
        </is>
      </c>
      <c r="B1289" s="1" t="n">
        <v>45695</v>
      </c>
      <c r="C1289" s="1" t="n">
        <v>45828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6370-2025</t>
        </is>
      </c>
      <c r="B1290" s="1" t="n">
        <v>45699</v>
      </c>
      <c r="C1290" s="1" t="n">
        <v>45828</v>
      </c>
      <c r="D1290" t="inlineStr">
        <is>
          <t>GÄVLEBORGS LÄN</t>
        </is>
      </c>
      <c r="E1290" t="inlineStr">
        <is>
          <t>GÄVLE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6367-2025</t>
        </is>
      </c>
      <c r="B1291" s="1" t="n">
        <v>45699</v>
      </c>
      <c r="C1291" s="1" t="n">
        <v>45828</v>
      </c>
      <c r="D1291" t="inlineStr">
        <is>
          <t>GÄVLEBORGS LÄN</t>
        </is>
      </c>
      <c r="E1291" t="inlineStr">
        <is>
          <t>GÄVLE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6797-2025</t>
        </is>
      </c>
      <c r="B1292" s="1" t="n">
        <v>45700</v>
      </c>
      <c r="C1292" s="1" t="n">
        <v>45828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6701-2025</t>
        </is>
      </c>
      <c r="B1293" s="1" t="n">
        <v>45700</v>
      </c>
      <c r="C1293" s="1" t="n">
        <v>45828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6780-2025</t>
        </is>
      </c>
      <c r="B1294" s="1" t="n">
        <v>45700</v>
      </c>
      <c r="C1294" s="1" t="n">
        <v>45828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7074-2025</t>
        </is>
      </c>
      <c r="B1295" s="1" t="n">
        <v>45701</v>
      </c>
      <c r="C1295" s="1" t="n">
        <v>45828</v>
      </c>
      <c r="D1295" t="inlineStr">
        <is>
          <t>GÄVLEBORGS LÄN</t>
        </is>
      </c>
      <c r="E1295" t="inlineStr">
        <is>
          <t>GÄVLE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7193-2025</t>
        </is>
      </c>
      <c r="B1296" s="1" t="n">
        <v>45702</v>
      </c>
      <c r="C1296" s="1" t="n">
        <v>45828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7296-2025</t>
        </is>
      </c>
      <c r="B1297" s="1" t="n">
        <v>45702</v>
      </c>
      <c r="C1297" s="1" t="n">
        <v>45828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7286-2025</t>
        </is>
      </c>
      <c r="B1298" s="1" t="n">
        <v>45702</v>
      </c>
      <c r="C1298" s="1" t="n">
        <v>45828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7294-2025</t>
        </is>
      </c>
      <c r="B1299" s="1" t="n">
        <v>45702</v>
      </c>
      <c r="C1299" s="1" t="n">
        <v>45828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7298-2025</t>
        </is>
      </c>
      <c r="B1300" s="1" t="n">
        <v>45702</v>
      </c>
      <c r="C1300" s="1" t="n">
        <v>45828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7235-2025</t>
        </is>
      </c>
      <c r="B1301" s="1" t="n">
        <v>45702</v>
      </c>
      <c r="C1301" s="1" t="n">
        <v>45828</v>
      </c>
      <c r="D1301" t="inlineStr">
        <is>
          <t>GÄVLEBORGS LÄN</t>
        </is>
      </c>
      <c r="E1301" t="inlineStr">
        <is>
          <t>GÄVLE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7253-2025</t>
        </is>
      </c>
      <c r="B1302" s="1" t="n">
        <v>45702</v>
      </c>
      <c r="C1302" s="1" t="n">
        <v>45828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7249-2025</t>
        </is>
      </c>
      <c r="B1303" s="1" t="n">
        <v>45702</v>
      </c>
      <c r="C1303" s="1" t="n">
        <v>45828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7202-2025</t>
        </is>
      </c>
      <c r="B1304" s="1" t="n">
        <v>45702</v>
      </c>
      <c r="C1304" s="1" t="n">
        <v>45828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7260-2025</t>
        </is>
      </c>
      <c r="B1305" s="1" t="n">
        <v>45702</v>
      </c>
      <c r="C1305" s="1" t="n">
        <v>45828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7297-2025</t>
        </is>
      </c>
      <c r="B1306" s="1" t="n">
        <v>45702</v>
      </c>
      <c r="C1306" s="1" t="n">
        <v>45828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7362-2025</t>
        </is>
      </c>
      <c r="B1307" s="1" t="n">
        <v>45704</v>
      </c>
      <c r="C1307" s="1" t="n">
        <v>45828</v>
      </c>
      <c r="D1307" t="inlineStr">
        <is>
          <t>GÄVLEBORGS LÄN</t>
        </is>
      </c>
      <c r="E1307" t="inlineStr">
        <is>
          <t>GÄVLE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7572-2025</t>
        </is>
      </c>
      <c r="B1308" s="1" t="n">
        <v>45705</v>
      </c>
      <c r="C1308" s="1" t="n">
        <v>45828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7563-2025</t>
        </is>
      </c>
      <c r="B1309" s="1" t="n">
        <v>45705</v>
      </c>
      <c r="C1309" s="1" t="n">
        <v>45828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7451-2025</t>
        </is>
      </c>
      <c r="B1310" s="1" t="n">
        <v>45705</v>
      </c>
      <c r="C1310" s="1" t="n">
        <v>45828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7441-2025</t>
        </is>
      </c>
      <c r="B1311" s="1" t="n">
        <v>45705</v>
      </c>
      <c r="C1311" s="1" t="n">
        <v>45828</v>
      </c>
      <c r="D1311" t="inlineStr">
        <is>
          <t>GÄVLEBORGS LÄN</t>
        </is>
      </c>
      <c r="E1311" t="inlineStr">
        <is>
          <t>GÄVLE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7442-2025</t>
        </is>
      </c>
      <c r="B1312" s="1" t="n">
        <v>45705</v>
      </c>
      <c r="C1312" s="1" t="n">
        <v>45828</v>
      </c>
      <c r="D1312" t="inlineStr">
        <is>
          <t>GÄVLEBORGS LÄN</t>
        </is>
      </c>
      <c r="E1312" t="inlineStr">
        <is>
          <t>GÄVLE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7562-2025</t>
        </is>
      </c>
      <c r="B1313" s="1" t="n">
        <v>45705</v>
      </c>
      <c r="C1313" s="1" t="n">
        <v>45828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7410-2025</t>
        </is>
      </c>
      <c r="B1314" s="1" t="n">
        <v>45705</v>
      </c>
      <c r="C1314" s="1" t="n">
        <v>45828</v>
      </c>
      <c r="D1314" t="inlineStr">
        <is>
          <t>GÄVLEBORGS LÄN</t>
        </is>
      </c>
      <c r="E1314" t="inlineStr">
        <is>
          <t>GÄVLE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7458-2025</t>
        </is>
      </c>
      <c r="B1315" s="1" t="n">
        <v>45705</v>
      </c>
      <c r="C1315" s="1" t="n">
        <v>45828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7454-2025</t>
        </is>
      </c>
      <c r="B1316" s="1" t="n">
        <v>45705</v>
      </c>
      <c r="C1316" s="1" t="n">
        <v>45828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7748-2025</t>
        </is>
      </c>
      <c r="B1317" s="1" t="n">
        <v>45706</v>
      </c>
      <c r="C1317" s="1" t="n">
        <v>45828</v>
      </c>
      <c r="D1317" t="inlineStr">
        <is>
          <t>GÄVLEBORGS LÄN</t>
        </is>
      </c>
      <c r="E1317" t="inlineStr">
        <is>
          <t>GÄVLE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7755-2025</t>
        </is>
      </c>
      <c r="B1318" s="1" t="n">
        <v>45706</v>
      </c>
      <c r="C1318" s="1" t="n">
        <v>45828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7731-2025</t>
        </is>
      </c>
      <c r="B1319" s="1" t="n">
        <v>45706</v>
      </c>
      <c r="C1319" s="1" t="n">
        <v>45828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7743-2025</t>
        </is>
      </c>
      <c r="B1320" s="1" t="n">
        <v>45706</v>
      </c>
      <c r="C1320" s="1" t="n">
        <v>45828</v>
      </c>
      <c r="D1320" t="inlineStr">
        <is>
          <t>GÄVLEBORGS LÄN</t>
        </is>
      </c>
      <c r="E1320" t="inlineStr">
        <is>
          <t>GÄVLE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8237-2025</t>
        </is>
      </c>
      <c r="B1321" s="1" t="n">
        <v>45708</v>
      </c>
      <c r="C1321" s="1" t="n">
        <v>45828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8272-2025</t>
        </is>
      </c>
      <c r="B1322" s="1" t="n">
        <v>45708</v>
      </c>
      <c r="C1322" s="1" t="n">
        <v>45828</v>
      </c>
      <c r="D1322" t="inlineStr">
        <is>
          <t>GÄVLEBORGS LÄN</t>
        </is>
      </c>
      <c r="E1322" t="inlineStr">
        <is>
          <t>GÄVLE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8322-2025</t>
        </is>
      </c>
      <c r="B1323" s="1" t="n">
        <v>45708</v>
      </c>
      <c r="C1323" s="1" t="n">
        <v>45828</v>
      </c>
      <c r="D1323" t="inlineStr">
        <is>
          <t>GÄVLEBORGS LÄN</t>
        </is>
      </c>
      <c r="E1323" t="inlineStr">
        <is>
          <t>GÄVLE</t>
        </is>
      </c>
      <c r="G1323" t="n">
        <v>10.6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8670-2025</t>
        </is>
      </c>
      <c r="B1324" s="1" t="n">
        <v>45712</v>
      </c>
      <c r="C1324" s="1" t="n">
        <v>45828</v>
      </c>
      <c r="D1324" t="inlineStr">
        <is>
          <t>GÄVLEBORGS LÄN</t>
        </is>
      </c>
      <c r="E1324" t="inlineStr">
        <is>
          <t>GÄVLE</t>
        </is>
      </c>
      <c r="F1324" t="inlineStr">
        <is>
          <t>Kyrkan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8823-2025</t>
        </is>
      </c>
      <c r="B1325" s="1" t="n">
        <v>45712</v>
      </c>
      <c r="C1325" s="1" t="n">
        <v>45828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9454-2025</t>
        </is>
      </c>
      <c r="B1326" s="1" t="n">
        <v>45715</v>
      </c>
      <c r="C1326" s="1" t="n">
        <v>45828</v>
      </c>
      <c r="D1326" t="inlineStr">
        <is>
          <t>GÄVLEBORGS LÄN</t>
        </is>
      </c>
      <c r="E1326" t="inlineStr">
        <is>
          <t>GÄVLE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9449-2025</t>
        </is>
      </c>
      <c r="B1327" s="1" t="n">
        <v>45715</v>
      </c>
      <c r="C1327" s="1" t="n">
        <v>45828</v>
      </c>
      <c r="D1327" t="inlineStr">
        <is>
          <t>GÄVLEBORGS LÄN</t>
        </is>
      </c>
      <c r="E1327" t="inlineStr">
        <is>
          <t>GÄVLE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9412-2025</t>
        </is>
      </c>
      <c r="B1328" s="1" t="n">
        <v>45715</v>
      </c>
      <c r="C1328" s="1" t="n">
        <v>45828</v>
      </c>
      <c r="D1328" t="inlineStr">
        <is>
          <t>GÄVLEBORGS LÄN</t>
        </is>
      </c>
      <c r="E1328" t="inlineStr">
        <is>
          <t>GÄVLE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9452-2025</t>
        </is>
      </c>
      <c r="B1329" s="1" t="n">
        <v>45715</v>
      </c>
      <c r="C1329" s="1" t="n">
        <v>45828</v>
      </c>
      <c r="D1329" t="inlineStr">
        <is>
          <t>GÄVLEBORGS LÄN</t>
        </is>
      </c>
      <c r="E1329" t="inlineStr">
        <is>
          <t>GÄVLE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9512-2025</t>
        </is>
      </c>
      <c r="B1330" s="1" t="n">
        <v>45715</v>
      </c>
      <c r="C1330" s="1" t="n">
        <v>45828</v>
      </c>
      <c r="D1330" t="inlineStr">
        <is>
          <t>GÄVLEBORGS LÄN</t>
        </is>
      </c>
      <c r="E1330" t="inlineStr">
        <is>
          <t>GÄVLE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HYPERLINK("https://klasma.github.io/Logging_212180/knärot/A 9512-2025 karta knärot.png", "A 9512-2025")</f>
        <v/>
      </c>
      <c r="V1330">
        <f>HYPERLINK("https://klasma.github.io/Logging_212180/klagomål/A 9512-2025 FSC-klagomål.docx", "A 9512-2025")</f>
        <v/>
      </c>
      <c r="W1330">
        <f>HYPERLINK("https://klasma.github.io/Logging_212180/klagomålsmail/A 9512-2025 FSC-klagomål mail.docx", "A 9512-2025")</f>
        <v/>
      </c>
      <c r="X1330">
        <f>HYPERLINK("https://klasma.github.io/Logging_212180/tillsyn/A 9512-2025 tillsynsbegäran.docx", "A 9512-2025")</f>
        <v/>
      </c>
      <c r="Y1330">
        <f>HYPERLINK("https://klasma.github.io/Logging_212180/tillsynsmail/A 9512-2025 tillsynsbegäran mail.docx", "A 9512-2025")</f>
        <v/>
      </c>
    </row>
    <row r="1331" ht="15" customHeight="1">
      <c r="A1331" t="inlineStr">
        <is>
          <t>A 9440-2025</t>
        </is>
      </c>
      <c r="B1331" s="1" t="n">
        <v>45715</v>
      </c>
      <c r="C1331" s="1" t="n">
        <v>45828</v>
      </c>
      <c r="D1331" t="inlineStr">
        <is>
          <t>GÄVLEBORGS LÄN</t>
        </is>
      </c>
      <c r="E1331" t="inlineStr">
        <is>
          <t>GÄVLE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9391-2025</t>
        </is>
      </c>
      <c r="B1332" s="1" t="n">
        <v>45715</v>
      </c>
      <c r="C1332" s="1" t="n">
        <v>45828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9419-2025</t>
        </is>
      </c>
      <c r="B1333" s="1" t="n">
        <v>45715</v>
      </c>
      <c r="C1333" s="1" t="n">
        <v>45828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9422-2025</t>
        </is>
      </c>
      <c r="B1334" s="1" t="n">
        <v>45715</v>
      </c>
      <c r="C1334" s="1" t="n">
        <v>45828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9426-2025</t>
        </is>
      </c>
      <c r="B1335" s="1" t="n">
        <v>45715</v>
      </c>
      <c r="C1335" s="1" t="n">
        <v>45828</v>
      </c>
      <c r="D1335" t="inlineStr">
        <is>
          <t>GÄVLEBORGS LÄN</t>
        </is>
      </c>
      <c r="E1335" t="inlineStr">
        <is>
          <t>GÄVLE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9378-2025</t>
        </is>
      </c>
      <c r="B1336" s="1" t="n">
        <v>45715</v>
      </c>
      <c r="C1336" s="1" t="n">
        <v>45828</v>
      </c>
      <c r="D1336" t="inlineStr">
        <is>
          <t>GÄVLEBORGS LÄN</t>
        </is>
      </c>
      <c r="E1336" t="inlineStr">
        <is>
          <t>GÄVLE</t>
        </is>
      </c>
      <c r="F1336" t="inlineStr">
        <is>
          <t>Kyrkan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10001-2025</t>
        </is>
      </c>
      <c r="B1337" s="1" t="n">
        <v>45719</v>
      </c>
      <c r="C1337" s="1" t="n">
        <v>45828</v>
      </c>
      <c r="D1337" t="inlineStr">
        <is>
          <t>GÄVLEBORGS LÄN</t>
        </is>
      </c>
      <c r="E1337" t="inlineStr">
        <is>
          <t>GÄVLE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10126-2025</t>
        </is>
      </c>
      <c r="B1338" s="1" t="n">
        <v>45719</v>
      </c>
      <c r="C1338" s="1" t="n">
        <v>45828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10095-2025</t>
        </is>
      </c>
      <c r="B1339" s="1" t="n">
        <v>45719</v>
      </c>
      <c r="C1339" s="1" t="n">
        <v>45828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10118-2025</t>
        </is>
      </c>
      <c r="B1340" s="1" t="n">
        <v>45719</v>
      </c>
      <c r="C1340" s="1" t="n">
        <v>45828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10181-2025</t>
        </is>
      </c>
      <c r="B1341" s="1" t="n">
        <v>45719</v>
      </c>
      <c r="C1341" s="1" t="n">
        <v>45828</v>
      </c>
      <c r="D1341" t="inlineStr">
        <is>
          <t>GÄVLEBORGS LÄN</t>
        </is>
      </c>
      <c r="E1341" t="inlineStr">
        <is>
          <t>GÄVLE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10064-2025</t>
        </is>
      </c>
      <c r="B1342" s="1" t="n">
        <v>45719</v>
      </c>
      <c r="C1342" s="1" t="n">
        <v>45828</v>
      </c>
      <c r="D1342" t="inlineStr">
        <is>
          <t>GÄVLEBORGS LÄN</t>
        </is>
      </c>
      <c r="E1342" t="inlineStr">
        <is>
          <t>GÄVLE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9988-2025</t>
        </is>
      </c>
      <c r="B1343" s="1" t="n">
        <v>45719</v>
      </c>
      <c r="C1343" s="1" t="n">
        <v>45828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10423-2025</t>
        </is>
      </c>
      <c r="B1344" s="1" t="n">
        <v>45720</v>
      </c>
      <c r="C1344" s="1" t="n">
        <v>45828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10430-2025</t>
        </is>
      </c>
      <c r="B1345" s="1" t="n">
        <v>45720</v>
      </c>
      <c r="C1345" s="1" t="n">
        <v>45828</v>
      </c>
      <c r="D1345" t="inlineStr">
        <is>
          <t>GÄVLEBORGS LÄN</t>
        </is>
      </c>
      <c r="E1345" t="inlineStr">
        <is>
          <t>GÄVLE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10352-2025</t>
        </is>
      </c>
      <c r="B1346" s="1" t="n">
        <v>45720</v>
      </c>
      <c r="C1346" s="1" t="n">
        <v>45828</v>
      </c>
      <c r="D1346" t="inlineStr">
        <is>
          <t>GÄVLEBORGS LÄN</t>
        </is>
      </c>
      <c r="E1346" t="inlineStr">
        <is>
          <t>GÄVLE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10333-2025</t>
        </is>
      </c>
      <c r="B1347" s="1" t="n">
        <v>45720</v>
      </c>
      <c r="C1347" s="1" t="n">
        <v>45828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10312-2025</t>
        </is>
      </c>
      <c r="B1348" s="1" t="n">
        <v>45720</v>
      </c>
      <c r="C1348" s="1" t="n">
        <v>45828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10319-2025</t>
        </is>
      </c>
      <c r="B1349" s="1" t="n">
        <v>45720</v>
      </c>
      <c r="C1349" s="1" t="n">
        <v>45828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10245-2025</t>
        </is>
      </c>
      <c r="B1350" s="1" t="n">
        <v>45720</v>
      </c>
      <c r="C1350" s="1" t="n">
        <v>45828</v>
      </c>
      <c r="D1350" t="inlineStr">
        <is>
          <t>GÄVLEBORGS LÄN</t>
        </is>
      </c>
      <c r="E1350" t="inlineStr">
        <is>
          <t>GÄVLE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10811-2025</t>
        </is>
      </c>
      <c r="B1351" s="1" t="n">
        <v>45722</v>
      </c>
      <c r="C1351" s="1" t="n">
        <v>45828</v>
      </c>
      <c r="D1351" t="inlineStr">
        <is>
          <t>GÄVLEBORGS LÄN</t>
        </is>
      </c>
      <c r="E1351" t="inlineStr">
        <is>
          <t>GÄVLE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11084-2025</t>
        </is>
      </c>
      <c r="B1352" s="1" t="n">
        <v>45723</v>
      </c>
      <c r="C1352" s="1" t="n">
        <v>45828</v>
      </c>
      <c r="D1352" t="inlineStr">
        <is>
          <t>GÄVLEBORGS LÄN</t>
        </is>
      </c>
      <c r="E1352" t="inlineStr">
        <is>
          <t>GÄVLE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11080-2025</t>
        </is>
      </c>
      <c r="B1353" s="1" t="n">
        <v>45723</v>
      </c>
      <c r="C1353" s="1" t="n">
        <v>45828</v>
      </c>
      <c r="D1353" t="inlineStr">
        <is>
          <t>GÄVLEBORGS LÄN</t>
        </is>
      </c>
      <c r="E1353" t="inlineStr">
        <is>
          <t>GÄVLE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11082-2025</t>
        </is>
      </c>
      <c r="B1354" s="1" t="n">
        <v>45723</v>
      </c>
      <c r="C1354" s="1" t="n">
        <v>45828</v>
      </c>
      <c r="D1354" t="inlineStr">
        <is>
          <t>GÄVLEBORGS LÄN</t>
        </is>
      </c>
      <c r="E1354" t="inlineStr">
        <is>
          <t>GÄVLE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11429-2025</t>
        </is>
      </c>
      <c r="B1355" s="1" t="n">
        <v>45726</v>
      </c>
      <c r="C1355" s="1" t="n">
        <v>45828</v>
      </c>
      <c r="D1355" t="inlineStr">
        <is>
          <t>GÄVLEBORGS LÄN</t>
        </is>
      </c>
      <c r="E1355" t="inlineStr">
        <is>
          <t>GÄVLE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11340-2025</t>
        </is>
      </c>
      <c r="B1356" s="1" t="n">
        <v>45726</v>
      </c>
      <c r="C1356" s="1" t="n">
        <v>45828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11346-2025</t>
        </is>
      </c>
      <c r="B1357" s="1" t="n">
        <v>45726</v>
      </c>
      <c r="C1357" s="1" t="n">
        <v>45828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11390-2025</t>
        </is>
      </c>
      <c r="B1358" s="1" t="n">
        <v>45726</v>
      </c>
      <c r="C1358" s="1" t="n">
        <v>45828</v>
      </c>
      <c r="D1358" t="inlineStr">
        <is>
          <t>GÄVLEBORGS LÄN</t>
        </is>
      </c>
      <c r="E1358" t="inlineStr">
        <is>
          <t>GÄVLE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11410-2025</t>
        </is>
      </c>
      <c r="B1359" s="1" t="n">
        <v>45726</v>
      </c>
      <c r="C1359" s="1" t="n">
        <v>45828</v>
      </c>
      <c r="D1359" t="inlineStr">
        <is>
          <t>GÄVLEBORGS LÄN</t>
        </is>
      </c>
      <c r="E1359" t="inlineStr">
        <is>
          <t>GÄVLE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11382-2025</t>
        </is>
      </c>
      <c r="B1360" s="1" t="n">
        <v>45726</v>
      </c>
      <c r="C1360" s="1" t="n">
        <v>45828</v>
      </c>
      <c r="D1360" t="inlineStr">
        <is>
          <t>GÄVLEBORGS LÄN</t>
        </is>
      </c>
      <c r="E1360" t="inlineStr">
        <is>
          <t>GÄVLE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11407-2025</t>
        </is>
      </c>
      <c r="B1361" s="1" t="n">
        <v>45726</v>
      </c>
      <c r="C1361" s="1" t="n">
        <v>45828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11417-2025</t>
        </is>
      </c>
      <c r="B1362" s="1" t="n">
        <v>45726</v>
      </c>
      <c r="C1362" s="1" t="n">
        <v>45828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11643-2025</t>
        </is>
      </c>
      <c r="B1363" s="1" t="n">
        <v>45727</v>
      </c>
      <c r="C1363" s="1" t="n">
        <v>45828</v>
      </c>
      <c r="D1363" t="inlineStr">
        <is>
          <t>GÄVLEBORGS LÄN</t>
        </is>
      </c>
      <c r="E1363" t="inlineStr">
        <is>
          <t>GÄVLE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11768-2025</t>
        </is>
      </c>
      <c r="B1364" s="1" t="n">
        <v>45727</v>
      </c>
      <c r="C1364" s="1" t="n">
        <v>45828</v>
      </c>
      <c r="D1364" t="inlineStr">
        <is>
          <t>GÄVLEBORGS LÄN</t>
        </is>
      </c>
      <c r="E1364" t="inlineStr">
        <is>
          <t>GÄVLE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11594-2025</t>
        </is>
      </c>
      <c r="B1365" s="1" t="n">
        <v>45727</v>
      </c>
      <c r="C1365" s="1" t="n">
        <v>45828</v>
      </c>
      <c r="D1365" t="inlineStr">
        <is>
          <t>GÄVLEBORGS LÄN</t>
        </is>
      </c>
      <c r="E1365" t="inlineStr">
        <is>
          <t>GÄVLE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11921-2025</t>
        </is>
      </c>
      <c r="B1366" s="1" t="n">
        <v>45728</v>
      </c>
      <c r="C1366" s="1" t="n">
        <v>45828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12083-2025</t>
        </is>
      </c>
      <c r="B1367" s="1" t="n">
        <v>45728</v>
      </c>
      <c r="C1367" s="1" t="n">
        <v>45828</v>
      </c>
      <c r="D1367" t="inlineStr">
        <is>
          <t>GÄVLEBORGS LÄN</t>
        </is>
      </c>
      <c r="E1367" t="inlineStr">
        <is>
          <t>GÄVLE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12069-2025</t>
        </is>
      </c>
      <c r="B1368" s="1" t="n">
        <v>45728</v>
      </c>
      <c r="C1368" s="1" t="n">
        <v>45828</v>
      </c>
      <c r="D1368" t="inlineStr">
        <is>
          <t>GÄVLEBORGS LÄN</t>
        </is>
      </c>
      <c r="E1368" t="inlineStr">
        <is>
          <t>GÄVLE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12079-2025</t>
        </is>
      </c>
      <c r="B1369" s="1" t="n">
        <v>45728</v>
      </c>
      <c r="C1369" s="1" t="n">
        <v>45828</v>
      </c>
      <c r="D1369" t="inlineStr">
        <is>
          <t>GÄVLEBORGS LÄN</t>
        </is>
      </c>
      <c r="E1369" t="inlineStr">
        <is>
          <t>GÄVLE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11922-2025</t>
        </is>
      </c>
      <c r="B1370" s="1" t="n">
        <v>45728</v>
      </c>
      <c r="C1370" s="1" t="n">
        <v>45828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12184-2025</t>
        </is>
      </c>
      <c r="B1371" s="1" t="n">
        <v>45729</v>
      </c>
      <c r="C1371" s="1" t="n">
        <v>45828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12505-2025</t>
        </is>
      </c>
      <c r="B1372" s="1" t="n">
        <v>45730</v>
      </c>
      <c r="C1372" s="1" t="n">
        <v>45828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12483-2025</t>
        </is>
      </c>
      <c r="B1373" s="1" t="n">
        <v>45730</v>
      </c>
      <c r="C1373" s="1" t="n">
        <v>45828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12434-2025</t>
        </is>
      </c>
      <c r="B1374" s="1" t="n">
        <v>45730</v>
      </c>
      <c r="C1374" s="1" t="n">
        <v>45828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12471-2025</t>
        </is>
      </c>
      <c r="B1375" s="1" t="n">
        <v>45730</v>
      </c>
      <c r="C1375" s="1" t="n">
        <v>45828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12893-2025</t>
        </is>
      </c>
      <c r="B1376" s="1" t="n">
        <v>45733</v>
      </c>
      <c r="C1376" s="1" t="n">
        <v>45828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12865-2025</t>
        </is>
      </c>
      <c r="B1377" s="1" t="n">
        <v>45733</v>
      </c>
      <c r="C1377" s="1" t="n">
        <v>45828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12735-2025</t>
        </is>
      </c>
      <c r="B1378" s="1" t="n">
        <v>45733</v>
      </c>
      <c r="C1378" s="1" t="n">
        <v>45828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12897-2025</t>
        </is>
      </c>
      <c r="B1379" s="1" t="n">
        <v>45733</v>
      </c>
      <c r="C1379" s="1" t="n">
        <v>45828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12863-2025</t>
        </is>
      </c>
      <c r="B1380" s="1" t="n">
        <v>45733</v>
      </c>
      <c r="C1380" s="1" t="n">
        <v>45828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12992-2025</t>
        </is>
      </c>
      <c r="B1381" s="1" t="n">
        <v>45734</v>
      </c>
      <c r="C1381" s="1" t="n">
        <v>45828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13125-2025</t>
        </is>
      </c>
      <c r="B1382" s="1" t="n">
        <v>45734</v>
      </c>
      <c r="C1382" s="1" t="n">
        <v>45828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13027-2025</t>
        </is>
      </c>
      <c r="B1383" s="1" t="n">
        <v>45734</v>
      </c>
      <c r="C1383" s="1" t="n">
        <v>45828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13173-2025</t>
        </is>
      </c>
      <c r="B1384" s="1" t="n">
        <v>45735</v>
      </c>
      <c r="C1384" s="1" t="n">
        <v>45828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13193-2025</t>
        </is>
      </c>
      <c r="B1385" s="1" t="n">
        <v>45735</v>
      </c>
      <c r="C1385" s="1" t="n">
        <v>45828</v>
      </c>
      <c r="D1385" t="inlineStr">
        <is>
          <t>GÄVLEBORGS LÄN</t>
        </is>
      </c>
      <c r="E1385" t="inlineStr">
        <is>
          <t>GÄVLE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13184-2025</t>
        </is>
      </c>
      <c r="B1386" s="1" t="n">
        <v>45735</v>
      </c>
      <c r="C1386" s="1" t="n">
        <v>45828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13458-2025</t>
        </is>
      </c>
      <c r="B1387" s="1" t="n">
        <v>45736</v>
      </c>
      <c r="C1387" s="1" t="n">
        <v>45828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väst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13435-2025</t>
        </is>
      </c>
      <c r="B1388" s="1" t="n">
        <v>45736</v>
      </c>
      <c r="C1388" s="1" t="n">
        <v>45828</v>
      </c>
      <c r="D1388" t="inlineStr">
        <is>
          <t>GÄVLEBORGS LÄN</t>
        </is>
      </c>
      <c r="E1388" t="inlineStr">
        <is>
          <t>GÄVLE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13825-2025</t>
        </is>
      </c>
      <c r="B1389" s="1" t="n">
        <v>45737</v>
      </c>
      <c r="C1389" s="1" t="n">
        <v>45828</v>
      </c>
      <c r="D1389" t="inlineStr">
        <is>
          <t>GÄVLEBORGS LÄN</t>
        </is>
      </c>
      <c r="E1389" t="inlineStr">
        <is>
          <t>GÄVLE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13929-2025</t>
        </is>
      </c>
      <c r="B1390" s="1" t="n">
        <v>45737</v>
      </c>
      <c r="C1390" s="1" t="n">
        <v>45828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13806-2025</t>
        </is>
      </c>
      <c r="B1391" s="1" t="n">
        <v>45737</v>
      </c>
      <c r="C1391" s="1" t="n">
        <v>45828</v>
      </c>
      <c r="D1391" t="inlineStr">
        <is>
          <t>GÄVLEBORGS LÄN</t>
        </is>
      </c>
      <c r="E1391" t="inlineStr">
        <is>
          <t>GÄVLE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14156-2025</t>
        </is>
      </c>
      <c r="B1392" s="1" t="n">
        <v>45740</v>
      </c>
      <c r="C1392" s="1" t="n">
        <v>45828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14150-2025</t>
        </is>
      </c>
      <c r="B1393" s="1" t="n">
        <v>45740</v>
      </c>
      <c r="C1393" s="1" t="n">
        <v>45828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14284-2025</t>
        </is>
      </c>
      <c r="B1394" s="1" t="n">
        <v>45740</v>
      </c>
      <c r="C1394" s="1" t="n">
        <v>45828</v>
      </c>
      <c r="D1394" t="inlineStr">
        <is>
          <t>GÄVLEBORGS LÄN</t>
        </is>
      </c>
      <c r="E1394" t="inlineStr">
        <is>
          <t>GÄVLE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14093-2025</t>
        </is>
      </c>
      <c r="B1395" s="1" t="n">
        <v>45740</v>
      </c>
      <c r="C1395" s="1" t="n">
        <v>45828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14145-2025</t>
        </is>
      </c>
      <c r="B1396" s="1" t="n">
        <v>45740</v>
      </c>
      <c r="C1396" s="1" t="n">
        <v>45828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14115-2025</t>
        </is>
      </c>
      <c r="B1397" s="1" t="n">
        <v>45740</v>
      </c>
      <c r="C1397" s="1" t="n">
        <v>45828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14222-2025</t>
        </is>
      </c>
      <c r="B1398" s="1" t="n">
        <v>45740</v>
      </c>
      <c r="C1398" s="1" t="n">
        <v>45828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14564-2025</t>
        </is>
      </c>
      <c r="B1399" s="1" t="n">
        <v>45741</v>
      </c>
      <c r="C1399" s="1" t="n">
        <v>45828</v>
      </c>
      <c r="D1399" t="inlineStr">
        <is>
          <t>GÄVLEBORGS LÄN</t>
        </is>
      </c>
      <c r="E1399" t="inlineStr">
        <is>
          <t>GÄVLE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14567-2025</t>
        </is>
      </c>
      <c r="B1400" s="1" t="n">
        <v>45741</v>
      </c>
      <c r="C1400" s="1" t="n">
        <v>45828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14563-2025</t>
        </is>
      </c>
      <c r="B1401" s="1" t="n">
        <v>45741</v>
      </c>
      <c r="C1401" s="1" t="n">
        <v>45828</v>
      </c>
      <c r="D1401" t="inlineStr">
        <is>
          <t>GÄVLEBORGS LÄN</t>
        </is>
      </c>
      <c r="E1401" t="inlineStr">
        <is>
          <t>GÄVLE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14568-2025</t>
        </is>
      </c>
      <c r="B1402" s="1" t="n">
        <v>45741</v>
      </c>
      <c r="C1402" s="1" t="n">
        <v>45828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14606-2025</t>
        </is>
      </c>
      <c r="B1403" s="1" t="n">
        <v>45742</v>
      </c>
      <c r="C1403" s="1" t="n">
        <v>45828</v>
      </c>
      <c r="D1403" t="inlineStr">
        <is>
          <t>GÄVLEBORGS LÄN</t>
        </is>
      </c>
      <c r="E1403" t="inlineStr">
        <is>
          <t>GÄVLE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14711-2025</t>
        </is>
      </c>
      <c r="B1404" s="1" t="n">
        <v>45742</v>
      </c>
      <c r="C1404" s="1" t="n">
        <v>45828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14647-2025</t>
        </is>
      </c>
      <c r="B1405" s="1" t="n">
        <v>45742</v>
      </c>
      <c r="C1405" s="1" t="n">
        <v>45828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14716-2025</t>
        </is>
      </c>
      <c r="B1406" s="1" t="n">
        <v>45742</v>
      </c>
      <c r="C1406" s="1" t="n">
        <v>45828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14629-2025</t>
        </is>
      </c>
      <c r="B1407" s="1" t="n">
        <v>45742</v>
      </c>
      <c r="C1407" s="1" t="n">
        <v>45828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14708-2025</t>
        </is>
      </c>
      <c r="B1408" s="1" t="n">
        <v>45742</v>
      </c>
      <c r="C1408" s="1" t="n">
        <v>45828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14668-2025</t>
        </is>
      </c>
      <c r="B1409" s="1" t="n">
        <v>45742</v>
      </c>
      <c r="C1409" s="1" t="n">
        <v>45828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14675-2025</t>
        </is>
      </c>
      <c r="B1410" s="1" t="n">
        <v>45742</v>
      </c>
      <c r="C1410" s="1" t="n">
        <v>45828</v>
      </c>
      <c r="D1410" t="inlineStr">
        <is>
          <t>GÄVLEBORGS LÄN</t>
        </is>
      </c>
      <c r="E1410" t="inlineStr">
        <is>
          <t>GÄVLE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14783-2025</t>
        </is>
      </c>
      <c r="B1411" s="1" t="n">
        <v>45742</v>
      </c>
      <c r="C1411" s="1" t="n">
        <v>45828</v>
      </c>
      <c r="D1411" t="inlineStr">
        <is>
          <t>GÄVLEBORGS LÄN</t>
        </is>
      </c>
      <c r="E1411" t="inlineStr">
        <is>
          <t>GÄVLE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15016-2025</t>
        </is>
      </c>
      <c r="B1412" s="1" t="n">
        <v>45743</v>
      </c>
      <c r="C1412" s="1" t="n">
        <v>45828</v>
      </c>
      <c r="D1412" t="inlineStr">
        <is>
          <t>GÄVLEBORGS LÄN</t>
        </is>
      </c>
      <c r="E1412" t="inlineStr">
        <is>
          <t>GÄVLE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15038-2025</t>
        </is>
      </c>
      <c r="B1413" s="1" t="n">
        <v>45743</v>
      </c>
      <c r="C1413" s="1" t="n">
        <v>45828</v>
      </c>
      <c r="D1413" t="inlineStr">
        <is>
          <t>GÄVLEBORGS LÄN</t>
        </is>
      </c>
      <c r="E1413" t="inlineStr">
        <is>
          <t>GÄVLE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15017-2025</t>
        </is>
      </c>
      <c r="B1414" s="1" t="n">
        <v>45743</v>
      </c>
      <c r="C1414" s="1" t="n">
        <v>45828</v>
      </c>
      <c r="D1414" t="inlineStr">
        <is>
          <t>GÄVLEBORGS LÄN</t>
        </is>
      </c>
      <c r="E1414" t="inlineStr">
        <is>
          <t>GÄVLE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15105-2025</t>
        </is>
      </c>
      <c r="B1415" s="1" t="n">
        <v>45744</v>
      </c>
      <c r="C1415" s="1" t="n">
        <v>45828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15146-2025</t>
        </is>
      </c>
      <c r="B1416" s="1" t="n">
        <v>45744</v>
      </c>
      <c r="C1416" s="1" t="n">
        <v>45828</v>
      </c>
      <c r="D1416" t="inlineStr">
        <is>
          <t>GÄVLEBORGS LÄN</t>
        </is>
      </c>
      <c r="E1416" t="inlineStr">
        <is>
          <t>GÄVLE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15144-2025</t>
        </is>
      </c>
      <c r="B1417" s="1" t="n">
        <v>45744</v>
      </c>
      <c r="C1417" s="1" t="n">
        <v>45828</v>
      </c>
      <c r="D1417" t="inlineStr">
        <is>
          <t>GÄVLEBORGS LÄN</t>
        </is>
      </c>
      <c r="E1417" t="inlineStr">
        <is>
          <t>GÄVLE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15101-2025</t>
        </is>
      </c>
      <c r="B1418" s="1" t="n">
        <v>45744</v>
      </c>
      <c r="C1418" s="1" t="n">
        <v>45828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15112-2025</t>
        </is>
      </c>
      <c r="B1419" s="1" t="n">
        <v>45744</v>
      </c>
      <c r="C1419" s="1" t="n">
        <v>45828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15126-2025</t>
        </is>
      </c>
      <c r="B1420" s="1" t="n">
        <v>45744</v>
      </c>
      <c r="C1420" s="1" t="n">
        <v>45828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15342-2025</t>
        </is>
      </c>
      <c r="B1421" s="1" t="n">
        <v>45747</v>
      </c>
      <c r="C1421" s="1" t="n">
        <v>45828</v>
      </c>
      <c r="D1421" t="inlineStr">
        <is>
          <t>GÄVLEBORGS LÄN</t>
        </is>
      </c>
      <c r="E1421" t="inlineStr">
        <is>
          <t>GÄVLE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15672-2025</t>
        </is>
      </c>
      <c r="B1422" s="1" t="n">
        <v>45748</v>
      </c>
      <c r="C1422" s="1" t="n">
        <v>45828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15697-2025</t>
        </is>
      </c>
      <c r="B1423" s="1" t="n">
        <v>45748</v>
      </c>
      <c r="C1423" s="1" t="n">
        <v>45828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15935-2025</t>
        </is>
      </c>
      <c r="B1424" s="1" t="n">
        <v>45749</v>
      </c>
      <c r="C1424" s="1" t="n">
        <v>45828</v>
      </c>
      <c r="D1424" t="inlineStr">
        <is>
          <t>GÄVLEBORGS LÄN</t>
        </is>
      </c>
      <c r="E1424" t="inlineStr">
        <is>
          <t>GÄVLE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15939-2025</t>
        </is>
      </c>
      <c r="B1425" s="1" t="n">
        <v>45749</v>
      </c>
      <c r="C1425" s="1" t="n">
        <v>45828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15938-2025</t>
        </is>
      </c>
      <c r="B1426" s="1" t="n">
        <v>45749</v>
      </c>
      <c r="C1426" s="1" t="n">
        <v>45828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15932-2025</t>
        </is>
      </c>
      <c r="B1427" s="1" t="n">
        <v>45749</v>
      </c>
      <c r="C1427" s="1" t="n">
        <v>45828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16384-2025</t>
        </is>
      </c>
      <c r="B1428" s="1" t="n">
        <v>45751</v>
      </c>
      <c r="C1428" s="1" t="n">
        <v>45828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16389-2025</t>
        </is>
      </c>
      <c r="B1429" s="1" t="n">
        <v>45751</v>
      </c>
      <c r="C1429" s="1" t="n">
        <v>45828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16401-2025</t>
        </is>
      </c>
      <c r="B1430" s="1" t="n">
        <v>45751</v>
      </c>
      <c r="C1430" s="1" t="n">
        <v>45828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17004-2025</t>
        </is>
      </c>
      <c r="B1431" s="1" t="n">
        <v>45755</v>
      </c>
      <c r="C1431" s="1" t="n">
        <v>45828</v>
      </c>
      <c r="D1431" t="inlineStr">
        <is>
          <t>GÄVLEBORGS LÄN</t>
        </is>
      </c>
      <c r="E1431" t="inlineStr">
        <is>
          <t>GÄVLE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16895-2025</t>
        </is>
      </c>
      <c r="B1432" s="1" t="n">
        <v>45755</v>
      </c>
      <c r="C1432" s="1" t="n">
        <v>45828</v>
      </c>
      <c r="D1432" t="inlineStr">
        <is>
          <t>GÄVLEBORGS LÄN</t>
        </is>
      </c>
      <c r="E1432" t="inlineStr">
        <is>
          <t>GÄVLE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17180-2025</t>
        </is>
      </c>
      <c r="B1433" s="1" t="n">
        <v>45756</v>
      </c>
      <c r="C1433" s="1" t="n">
        <v>45828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17170-2025</t>
        </is>
      </c>
      <c r="B1434" s="1" t="n">
        <v>45756</v>
      </c>
      <c r="C1434" s="1" t="n">
        <v>45828</v>
      </c>
      <c r="D1434" t="inlineStr">
        <is>
          <t>GÄVLEBORGS LÄN</t>
        </is>
      </c>
      <c r="E1434" t="inlineStr">
        <is>
          <t>GÄVLE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17216-2025</t>
        </is>
      </c>
      <c r="B1435" s="1" t="n">
        <v>45756</v>
      </c>
      <c r="C1435" s="1" t="n">
        <v>45828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öst AB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17605-2025</t>
        </is>
      </c>
      <c r="B1436" s="1" t="n">
        <v>45757</v>
      </c>
      <c r="C1436" s="1" t="n">
        <v>45828</v>
      </c>
      <c r="D1436" t="inlineStr">
        <is>
          <t>GÄVLEBORGS LÄN</t>
        </is>
      </c>
      <c r="E1436" t="inlineStr">
        <is>
          <t>GÄVLE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17404-2025</t>
        </is>
      </c>
      <c r="B1437" s="1" t="n">
        <v>45757</v>
      </c>
      <c r="C1437" s="1" t="n">
        <v>45828</v>
      </c>
      <c r="D1437" t="inlineStr">
        <is>
          <t>GÄVLEBORGS LÄN</t>
        </is>
      </c>
      <c r="E1437" t="inlineStr">
        <is>
          <t>GÄVLE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17607-2025</t>
        </is>
      </c>
      <c r="B1438" s="1" t="n">
        <v>45757</v>
      </c>
      <c r="C1438" s="1" t="n">
        <v>45828</v>
      </c>
      <c r="D1438" t="inlineStr">
        <is>
          <t>GÄVLEBORGS LÄN</t>
        </is>
      </c>
      <c r="E1438" t="inlineStr">
        <is>
          <t>GÄVLE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17879-2025</t>
        </is>
      </c>
      <c r="B1439" s="1" t="n">
        <v>45758</v>
      </c>
      <c r="C1439" s="1" t="n">
        <v>45828</v>
      </c>
      <c r="D1439" t="inlineStr">
        <is>
          <t>GÄVLEBORGS LÄN</t>
        </is>
      </c>
      <c r="E1439" t="inlineStr">
        <is>
          <t>GÄVLE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17788-2025</t>
        </is>
      </c>
      <c r="B1440" s="1" t="n">
        <v>45758</v>
      </c>
      <c r="C1440" s="1" t="n">
        <v>45828</v>
      </c>
      <c r="D1440" t="inlineStr">
        <is>
          <t>GÄVLEBORGS LÄN</t>
        </is>
      </c>
      <c r="E1440" t="inlineStr">
        <is>
          <t>GÄVLE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18950-2025</t>
        </is>
      </c>
      <c r="B1441" s="1" t="n">
        <v>45764</v>
      </c>
      <c r="C1441" s="1" t="n">
        <v>45828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18966-2025</t>
        </is>
      </c>
      <c r="B1442" s="1" t="n">
        <v>45764</v>
      </c>
      <c r="C1442" s="1" t="n">
        <v>45828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18874-2025</t>
        </is>
      </c>
      <c r="B1443" s="1" t="n">
        <v>45764</v>
      </c>
      <c r="C1443" s="1" t="n">
        <v>45828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18876-2025</t>
        </is>
      </c>
      <c r="B1444" s="1" t="n">
        <v>45764</v>
      </c>
      <c r="C1444" s="1" t="n">
        <v>45828</v>
      </c>
      <c r="D1444" t="inlineStr">
        <is>
          <t>GÄVLEBORGS LÄN</t>
        </is>
      </c>
      <c r="E1444" t="inlineStr">
        <is>
          <t>GÄVLE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19327-2025</t>
        </is>
      </c>
      <c r="B1445" s="1" t="n">
        <v>45769</v>
      </c>
      <c r="C1445" s="1" t="n">
        <v>45828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19331-2025</t>
        </is>
      </c>
      <c r="B1446" s="1" t="n">
        <v>45769</v>
      </c>
      <c r="C1446" s="1" t="n">
        <v>45828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19333-2025</t>
        </is>
      </c>
      <c r="B1447" s="1" t="n">
        <v>45769</v>
      </c>
      <c r="C1447" s="1" t="n">
        <v>45828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19206-2025</t>
        </is>
      </c>
      <c r="B1448" s="1" t="n">
        <v>45769</v>
      </c>
      <c r="C1448" s="1" t="n">
        <v>45828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19217-2025</t>
        </is>
      </c>
      <c r="B1449" s="1" t="n">
        <v>45769</v>
      </c>
      <c r="C1449" s="1" t="n">
        <v>45828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öst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19524-2025</t>
        </is>
      </c>
      <c r="B1450" s="1" t="n">
        <v>45770</v>
      </c>
      <c r="C1450" s="1" t="n">
        <v>45828</v>
      </c>
      <c r="D1450" t="inlineStr">
        <is>
          <t>GÄVLEBORGS LÄN</t>
        </is>
      </c>
      <c r="E1450" t="inlineStr">
        <is>
          <t>GÄVLE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19454-2025</t>
        </is>
      </c>
      <c r="B1451" s="1" t="n">
        <v>45770</v>
      </c>
      <c r="C1451" s="1" t="n">
        <v>45828</v>
      </c>
      <c r="D1451" t="inlineStr">
        <is>
          <t>GÄVLEBORGS LÄN</t>
        </is>
      </c>
      <c r="E1451" t="inlineStr">
        <is>
          <t>GÄVLE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19551-2025</t>
        </is>
      </c>
      <c r="B1452" s="1" t="n">
        <v>45770</v>
      </c>
      <c r="C1452" s="1" t="n">
        <v>45828</v>
      </c>
      <c r="D1452" t="inlineStr">
        <is>
          <t>GÄVLEBORGS LÄN</t>
        </is>
      </c>
      <c r="E1452" t="inlineStr">
        <is>
          <t>GÄVLE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19518-2025</t>
        </is>
      </c>
      <c r="B1453" s="1" t="n">
        <v>45770</v>
      </c>
      <c r="C1453" s="1" t="n">
        <v>45828</v>
      </c>
      <c r="D1453" t="inlineStr">
        <is>
          <t>GÄVLEBORGS LÄN</t>
        </is>
      </c>
      <c r="E1453" t="inlineStr">
        <is>
          <t>GÄVLE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19696-2025</t>
        </is>
      </c>
      <c r="B1454" s="1" t="n">
        <v>45771</v>
      </c>
      <c r="C1454" s="1" t="n">
        <v>45828</v>
      </c>
      <c r="D1454" t="inlineStr">
        <is>
          <t>GÄVLEBORGS LÄN</t>
        </is>
      </c>
      <c r="E1454" t="inlineStr">
        <is>
          <t>GÄVLE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20027-2025</t>
        </is>
      </c>
      <c r="B1455" s="1" t="n">
        <v>45772</v>
      </c>
      <c r="C1455" s="1" t="n">
        <v>45828</v>
      </c>
      <c r="D1455" t="inlineStr">
        <is>
          <t>GÄVLEBORGS LÄN</t>
        </is>
      </c>
      <c r="E1455" t="inlineStr">
        <is>
          <t>GÄVLE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20364-2025</t>
        </is>
      </c>
      <c r="B1456" s="1" t="n">
        <v>45775</v>
      </c>
      <c r="C1456" s="1" t="n">
        <v>45828</v>
      </c>
      <c r="D1456" t="inlineStr">
        <is>
          <t>GÄVLEBORGS LÄN</t>
        </is>
      </c>
      <c r="E1456" t="inlineStr">
        <is>
          <t>GÄVLE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20380-2025</t>
        </is>
      </c>
      <c r="B1457" s="1" t="n">
        <v>45775</v>
      </c>
      <c r="C1457" s="1" t="n">
        <v>45828</v>
      </c>
      <c r="D1457" t="inlineStr">
        <is>
          <t>GÄVLEBORGS LÄN</t>
        </is>
      </c>
      <c r="E1457" t="inlineStr">
        <is>
          <t>GÄVLE</t>
        </is>
      </c>
      <c r="G1457" t="n">
        <v>13.5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20621-2025</t>
        </is>
      </c>
      <c r="B1458" s="1" t="n">
        <v>45776</v>
      </c>
      <c r="C1458" s="1" t="n">
        <v>45828</v>
      </c>
      <c r="D1458" t="inlineStr">
        <is>
          <t>GÄVLEBORGS LÄN</t>
        </is>
      </c>
      <c r="E1458" t="inlineStr">
        <is>
          <t>GÄVLE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20760-2025</t>
        </is>
      </c>
      <c r="B1459" s="1" t="n">
        <v>45776</v>
      </c>
      <c r="C1459" s="1" t="n">
        <v>45828</v>
      </c>
      <c r="D1459" t="inlineStr">
        <is>
          <t>GÄVLEBORGS LÄN</t>
        </is>
      </c>
      <c r="E1459" t="inlineStr">
        <is>
          <t>GÄVLE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20761-2025</t>
        </is>
      </c>
      <c r="B1460" s="1" t="n">
        <v>45776</v>
      </c>
      <c r="C1460" s="1" t="n">
        <v>45828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21431-2025</t>
        </is>
      </c>
      <c r="B1461" s="1" t="n">
        <v>45782</v>
      </c>
      <c r="C1461" s="1" t="n">
        <v>45828</v>
      </c>
      <c r="D1461" t="inlineStr">
        <is>
          <t>GÄVLEBORGS LÄN</t>
        </is>
      </c>
      <c r="E1461" t="inlineStr">
        <is>
          <t>GÄVLE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21978-2025</t>
        </is>
      </c>
      <c r="B1462" s="1" t="n">
        <v>45784</v>
      </c>
      <c r="C1462" s="1" t="n">
        <v>45828</v>
      </c>
      <c r="D1462" t="inlineStr">
        <is>
          <t>GÄVLEBORGS LÄN</t>
        </is>
      </c>
      <c r="E1462" t="inlineStr">
        <is>
          <t>GÄVLE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21966-2025</t>
        </is>
      </c>
      <c r="B1463" s="1" t="n">
        <v>45784</v>
      </c>
      <c r="C1463" s="1" t="n">
        <v>45828</v>
      </c>
      <c r="D1463" t="inlineStr">
        <is>
          <t>GÄVLEBORGS LÄN</t>
        </is>
      </c>
      <c r="E1463" t="inlineStr">
        <is>
          <t>GÄVLE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22355-2025</t>
        </is>
      </c>
      <c r="B1464" s="1" t="n">
        <v>45786</v>
      </c>
      <c r="C1464" s="1" t="n">
        <v>45828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22645-2025</t>
        </is>
      </c>
      <c r="B1465" s="1" t="n">
        <v>45789</v>
      </c>
      <c r="C1465" s="1" t="n">
        <v>45828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22664-2025</t>
        </is>
      </c>
      <c r="B1466" s="1" t="n">
        <v>45789</v>
      </c>
      <c r="C1466" s="1" t="n">
        <v>45828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22879-2025</t>
        </is>
      </c>
      <c r="B1467" s="1" t="n">
        <v>45790</v>
      </c>
      <c r="C1467" s="1" t="n">
        <v>45828</v>
      </c>
      <c r="D1467" t="inlineStr">
        <is>
          <t>GÄVLEBORGS LÄN</t>
        </is>
      </c>
      <c r="E1467" t="inlineStr">
        <is>
          <t>GÄVLE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22923-2025</t>
        </is>
      </c>
      <c r="B1468" s="1" t="n">
        <v>45790</v>
      </c>
      <c r="C1468" s="1" t="n">
        <v>45828</v>
      </c>
      <c r="D1468" t="inlineStr">
        <is>
          <t>GÄVLEBORGS LÄN</t>
        </is>
      </c>
      <c r="E1468" t="inlineStr">
        <is>
          <t>GÄVLE</t>
        </is>
      </c>
      <c r="G1468" t="n">
        <v>20.8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23304-2025</t>
        </is>
      </c>
      <c r="B1469" s="1" t="n">
        <v>45791</v>
      </c>
      <c r="C1469" s="1" t="n">
        <v>45828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23324-2025</t>
        </is>
      </c>
      <c r="B1470" s="1" t="n">
        <v>45791</v>
      </c>
      <c r="C1470" s="1" t="n">
        <v>45828</v>
      </c>
      <c r="D1470" t="inlineStr">
        <is>
          <t>GÄVLEBORGS LÄN</t>
        </is>
      </c>
      <c r="E1470" t="inlineStr">
        <is>
          <t>GÄVLE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23232-2025</t>
        </is>
      </c>
      <c r="B1471" s="1" t="n">
        <v>45791</v>
      </c>
      <c r="C1471" s="1" t="n">
        <v>45828</v>
      </c>
      <c r="D1471" t="inlineStr">
        <is>
          <t>GÄVLEBORGS LÄN</t>
        </is>
      </c>
      <c r="E1471" t="inlineStr">
        <is>
          <t>GÄVLE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23291-2025</t>
        </is>
      </c>
      <c r="B1472" s="1" t="n">
        <v>45791</v>
      </c>
      <c r="C1472" s="1" t="n">
        <v>45828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23572-2025</t>
        </is>
      </c>
      <c r="B1473" s="1" t="n">
        <v>45792</v>
      </c>
      <c r="C1473" s="1" t="n">
        <v>45828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23575-2025</t>
        </is>
      </c>
      <c r="B1474" s="1" t="n">
        <v>45792</v>
      </c>
      <c r="C1474" s="1" t="n">
        <v>45828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23447-2025</t>
        </is>
      </c>
      <c r="B1475" s="1" t="n">
        <v>45792</v>
      </c>
      <c r="C1475" s="1" t="n">
        <v>45828</v>
      </c>
      <c r="D1475" t="inlineStr">
        <is>
          <t>GÄVLEBORGS LÄN</t>
        </is>
      </c>
      <c r="E1475" t="inlineStr">
        <is>
          <t>GÄVLE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23463-2025</t>
        </is>
      </c>
      <c r="B1476" s="1" t="n">
        <v>45792</v>
      </c>
      <c r="C1476" s="1" t="n">
        <v>45828</v>
      </c>
      <c r="D1476" t="inlineStr">
        <is>
          <t>GÄVLEBORGS LÄN</t>
        </is>
      </c>
      <c r="E1476" t="inlineStr">
        <is>
          <t>GÄVLE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23987-2025</t>
        </is>
      </c>
      <c r="B1477" s="1" t="n">
        <v>45796</v>
      </c>
      <c r="C1477" s="1" t="n">
        <v>45828</v>
      </c>
      <c r="D1477" t="inlineStr">
        <is>
          <t>GÄVLEBORGS LÄN</t>
        </is>
      </c>
      <c r="E1477" t="inlineStr">
        <is>
          <t>GÄVLE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24228-2025</t>
        </is>
      </c>
      <c r="B1478" s="1" t="n">
        <v>45797</v>
      </c>
      <c r="C1478" s="1" t="n">
        <v>45828</v>
      </c>
      <c r="D1478" t="inlineStr">
        <is>
          <t>GÄVLEBORGS LÄN</t>
        </is>
      </c>
      <c r="E1478" t="inlineStr">
        <is>
          <t>GÄVLE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24225-2025</t>
        </is>
      </c>
      <c r="B1479" s="1" t="n">
        <v>45797</v>
      </c>
      <c r="C1479" s="1" t="n">
        <v>45828</v>
      </c>
      <c r="D1479" t="inlineStr">
        <is>
          <t>GÄVLEBORGS LÄN</t>
        </is>
      </c>
      <c r="E1479" t="inlineStr">
        <is>
          <t>GÄVLE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24229-2025</t>
        </is>
      </c>
      <c r="B1480" s="1" t="n">
        <v>45797</v>
      </c>
      <c r="C1480" s="1" t="n">
        <v>45828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24215-2025</t>
        </is>
      </c>
      <c r="B1481" s="1" t="n">
        <v>45797</v>
      </c>
      <c r="C1481" s="1" t="n">
        <v>45828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24227-2025</t>
        </is>
      </c>
      <c r="B1482" s="1" t="n">
        <v>45797</v>
      </c>
      <c r="C1482" s="1" t="n">
        <v>45828</v>
      </c>
      <c r="D1482" t="inlineStr">
        <is>
          <t>GÄVLEBORGS LÄN</t>
        </is>
      </c>
      <c r="E1482" t="inlineStr">
        <is>
          <t>GÄVLE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24614-2025</t>
        </is>
      </c>
      <c r="B1483" s="1" t="n">
        <v>45798</v>
      </c>
      <c r="C1483" s="1" t="n">
        <v>45828</v>
      </c>
      <c r="D1483" t="inlineStr">
        <is>
          <t>GÄVLEBORGS LÄN</t>
        </is>
      </c>
      <c r="E1483" t="inlineStr">
        <is>
          <t>GÄVLE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24611-2025</t>
        </is>
      </c>
      <c r="B1484" s="1" t="n">
        <v>45798</v>
      </c>
      <c r="C1484" s="1" t="n">
        <v>45828</v>
      </c>
      <c r="D1484" t="inlineStr">
        <is>
          <t>GÄVLEBORGS LÄN</t>
        </is>
      </c>
      <c r="E1484" t="inlineStr">
        <is>
          <t>GÄVLE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24612-2025</t>
        </is>
      </c>
      <c r="B1485" s="1" t="n">
        <v>45798</v>
      </c>
      <c r="C1485" s="1" t="n">
        <v>45828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24616-2025</t>
        </is>
      </c>
      <c r="B1486" s="1" t="n">
        <v>45798</v>
      </c>
      <c r="C1486" s="1" t="n">
        <v>45828</v>
      </c>
      <c r="D1486" t="inlineStr">
        <is>
          <t>GÄVLEBORGS LÄN</t>
        </is>
      </c>
      <c r="E1486" t="inlineStr">
        <is>
          <t>GÄVLE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24619-2025</t>
        </is>
      </c>
      <c r="B1487" s="1" t="n">
        <v>45798</v>
      </c>
      <c r="C1487" s="1" t="n">
        <v>45828</v>
      </c>
      <c r="D1487" t="inlineStr">
        <is>
          <t>GÄVLEBORGS LÄN</t>
        </is>
      </c>
      <c r="E1487" t="inlineStr">
        <is>
          <t>GÄVLE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25064-2025</t>
        </is>
      </c>
      <c r="B1488" s="1" t="n">
        <v>45799</v>
      </c>
      <c r="C1488" s="1" t="n">
        <v>45828</v>
      </c>
      <c r="D1488" t="inlineStr">
        <is>
          <t>GÄVLEBORGS LÄN</t>
        </is>
      </c>
      <c r="E1488" t="inlineStr">
        <is>
          <t>GÄVLE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25382-2025</t>
        </is>
      </c>
      <c r="B1489" s="1" t="n">
        <v>45800</v>
      </c>
      <c r="C1489" s="1" t="n">
        <v>45828</v>
      </c>
      <c r="D1489" t="inlineStr">
        <is>
          <t>GÄVLEBORGS LÄN</t>
        </is>
      </c>
      <c r="E1489" t="inlineStr">
        <is>
          <t>GÄVLE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45828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25918-2025</t>
        </is>
      </c>
      <c r="B1491" s="1" t="n">
        <v>45803</v>
      </c>
      <c r="C1491" s="1" t="n">
        <v>45828</v>
      </c>
      <c r="D1491" t="inlineStr">
        <is>
          <t>GÄVLEBORGS LÄN</t>
        </is>
      </c>
      <c r="E1491" t="inlineStr">
        <is>
          <t>GÄVLE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25874-2025</t>
        </is>
      </c>
      <c r="B1492" s="1" t="n">
        <v>45804</v>
      </c>
      <c r="C1492" s="1" t="n">
        <v>45828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25878-2025</t>
        </is>
      </c>
      <c r="B1493" s="1" t="n">
        <v>45804</v>
      </c>
      <c r="C1493" s="1" t="n">
        <v>45828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26094-2025</t>
        </is>
      </c>
      <c r="B1494" s="1" t="n">
        <v>45805</v>
      </c>
      <c r="C1494" s="1" t="n">
        <v>45828</v>
      </c>
      <c r="D1494" t="inlineStr">
        <is>
          <t>GÄVLEBORGS LÄN</t>
        </is>
      </c>
      <c r="E1494" t="inlineStr">
        <is>
          <t>GÄVLE</t>
        </is>
      </c>
      <c r="G1494" t="n">
        <v>12.4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26933-2025</t>
        </is>
      </c>
      <c r="B1495" s="1" t="n">
        <v>45811</v>
      </c>
      <c r="C1495" s="1" t="n">
        <v>45828</v>
      </c>
      <c r="D1495" t="inlineStr">
        <is>
          <t>GÄVLEBORGS LÄN</t>
        </is>
      </c>
      <c r="E1495" t="inlineStr">
        <is>
          <t>GÄVLE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27666-2025</t>
        </is>
      </c>
      <c r="B1496" s="1" t="n">
        <v>45813</v>
      </c>
      <c r="C1496" s="1" t="n">
        <v>45828</v>
      </c>
      <c r="D1496" t="inlineStr">
        <is>
          <t>GÄVLEBORGS LÄN</t>
        </is>
      </c>
      <c r="E1496" t="inlineStr">
        <is>
          <t>GÄVLE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27611-2025</t>
        </is>
      </c>
      <c r="B1497" s="1" t="n">
        <v>45813</v>
      </c>
      <c r="C1497" s="1" t="n">
        <v>45828</v>
      </c>
      <c r="D1497" t="inlineStr">
        <is>
          <t>GÄVLEBORGS LÄN</t>
        </is>
      </c>
      <c r="E1497" t="inlineStr">
        <is>
          <t>GÄVLE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27633-2025</t>
        </is>
      </c>
      <c r="B1498" s="1" t="n">
        <v>45813</v>
      </c>
      <c r="C1498" s="1" t="n">
        <v>45828</v>
      </c>
      <c r="D1498" t="inlineStr">
        <is>
          <t>GÄVLEBORGS LÄN</t>
        </is>
      </c>
      <c r="E1498" t="inlineStr">
        <is>
          <t>GÄVLE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27858-2025</t>
        </is>
      </c>
      <c r="B1499" s="1" t="n">
        <v>45817</v>
      </c>
      <c r="C1499" s="1" t="n">
        <v>45828</v>
      </c>
      <c r="D1499" t="inlineStr">
        <is>
          <t>GÄVLEBORGS LÄN</t>
        </is>
      </c>
      <c r="E1499" t="inlineStr">
        <is>
          <t>GÄVLE</t>
        </is>
      </c>
      <c r="F1499" t="inlineStr">
        <is>
          <t>Bergvik skog väst AB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28009-2025</t>
        </is>
      </c>
      <c r="B1500" s="1" t="n">
        <v>45817</v>
      </c>
      <c r="C1500" s="1" t="n">
        <v>45828</v>
      </c>
      <c r="D1500" t="inlineStr">
        <is>
          <t>GÄVLEBORGS LÄN</t>
        </is>
      </c>
      <c r="E1500" t="inlineStr">
        <is>
          <t>GÄVLE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45828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28172-2025</t>
        </is>
      </c>
      <c r="B1502" s="1" t="n">
        <v>45818</v>
      </c>
      <c r="C1502" s="1" t="n">
        <v>45828</v>
      </c>
      <c r="D1502" t="inlineStr">
        <is>
          <t>GÄVLEBORGS LÄN</t>
        </is>
      </c>
      <c r="E1502" t="inlineStr">
        <is>
          <t>GÄVLE</t>
        </is>
      </c>
      <c r="G1502" t="n">
        <v>9.5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28375-2025</t>
        </is>
      </c>
      <c r="B1503" s="1" t="n">
        <v>45818</v>
      </c>
      <c r="C1503" s="1" t="n">
        <v>45828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28624-2025</t>
        </is>
      </c>
      <c r="B1504" s="1" t="n">
        <v>45819</v>
      </c>
      <c r="C1504" s="1" t="n">
        <v>45828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45828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28596-2025</t>
        </is>
      </c>
      <c r="B1506" s="1" t="n">
        <v>45819</v>
      </c>
      <c r="C1506" s="1" t="n">
        <v>45828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28461-2025</t>
        </is>
      </c>
      <c r="B1507" s="1" t="n">
        <v>45819</v>
      </c>
      <c r="C1507" s="1" t="n">
        <v>45828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28481-2025</t>
        </is>
      </c>
      <c r="B1508" s="1" t="n">
        <v>45819</v>
      </c>
      <c r="C1508" s="1" t="n">
        <v>45828</v>
      </c>
      <c r="D1508" t="inlineStr">
        <is>
          <t>GÄVLEBORGS LÄN</t>
        </is>
      </c>
      <c r="E1508" t="inlineStr">
        <is>
          <t>GÄVLE</t>
        </is>
      </c>
      <c r="G1508" t="n">
        <v>13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28931-2025</t>
        </is>
      </c>
      <c r="B1509" s="1" t="n">
        <v>45820</v>
      </c>
      <c r="C1509" s="1" t="n">
        <v>45828</v>
      </c>
      <c r="D1509" t="inlineStr">
        <is>
          <t>GÄVLEBORGS LÄN</t>
        </is>
      </c>
      <c r="E1509" t="inlineStr">
        <is>
          <t>GÄVLE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28851-2025</t>
        </is>
      </c>
      <c r="B1510" s="1" t="n">
        <v>45820</v>
      </c>
      <c r="C1510" s="1" t="n">
        <v>45828</v>
      </c>
      <c r="D1510" t="inlineStr">
        <is>
          <t>GÄVLEBORGS LÄN</t>
        </is>
      </c>
      <c r="E1510" t="inlineStr">
        <is>
          <t>GÄVLE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29076-2025</t>
        </is>
      </c>
      <c r="B1511" s="1" t="n">
        <v>45821</v>
      </c>
      <c r="C1511" s="1" t="n">
        <v>45828</v>
      </c>
      <c r="D1511" t="inlineStr">
        <is>
          <t>GÄVLEBORGS LÄN</t>
        </is>
      </c>
      <c r="E1511" t="inlineStr">
        <is>
          <t>GÄVLE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45828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30277-2025</t>
        </is>
      </c>
      <c r="B1513" s="1" t="n">
        <v>45827</v>
      </c>
      <c r="C1513" s="1" t="n">
        <v>45828</v>
      </c>
      <c r="D1513" t="inlineStr">
        <is>
          <t>GÄVLEBORGS LÄN</t>
        </is>
      </c>
      <c r="E1513" t="inlineStr">
        <is>
          <t>GÄVLE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30201-2025</t>
        </is>
      </c>
      <c r="B1514" s="1" t="n">
        <v>45827</v>
      </c>
      <c r="C1514" s="1" t="n">
        <v>45828</v>
      </c>
      <c r="D1514" t="inlineStr">
        <is>
          <t>GÄVLEBORGS LÄN</t>
        </is>
      </c>
      <c r="E1514" t="inlineStr">
        <is>
          <t>GÄVLE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30301-2025</t>
        </is>
      </c>
      <c r="B1515" s="1" t="n">
        <v>45827</v>
      </c>
      <c r="C1515" s="1" t="n">
        <v>45828</v>
      </c>
      <c r="D1515" t="inlineStr">
        <is>
          <t>GÄVLEBORGS LÄN</t>
        </is>
      </c>
      <c r="E1515" t="inlineStr">
        <is>
          <t>GÄVLE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30302-2025</t>
        </is>
      </c>
      <c r="B1516" s="1" t="n">
        <v>45827</v>
      </c>
      <c r="C1516" s="1" t="n">
        <v>45828</v>
      </c>
      <c r="D1516" t="inlineStr">
        <is>
          <t>GÄVLEBORGS LÄN</t>
        </is>
      </c>
      <c r="E1516" t="inlineStr">
        <is>
          <t>GÄVLE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30300-2025</t>
        </is>
      </c>
      <c r="B1517" s="1" t="n">
        <v>45827</v>
      </c>
      <c r="C1517" s="1" t="n">
        <v>45828</v>
      </c>
      <c r="D1517" t="inlineStr">
        <is>
          <t>GÄVLEBORGS LÄN</t>
        </is>
      </c>
      <c r="E1517" t="inlineStr">
        <is>
          <t>GÄVLE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30304-2025</t>
        </is>
      </c>
      <c r="B1518" s="1" t="n">
        <v>45827</v>
      </c>
      <c r="C1518" s="1" t="n">
        <v>45828</v>
      </c>
      <c r="D1518" t="inlineStr">
        <is>
          <t>GÄVLEBORGS LÄN</t>
        </is>
      </c>
      <c r="E1518" t="inlineStr">
        <is>
          <t>GÄVLE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2025-06-20T19:25:51Z</dcterms:created>
  <dcterms:modified xmlns:dcterms="http://purl.org/dc/terms/" xmlns:xsi="http://www.w3.org/2001/XMLSchema-instance" xsi:type="dcterms:W3CDTF">2025-06-20T19:25:53Z</dcterms:modified>
</cp:coreProperties>
</file>