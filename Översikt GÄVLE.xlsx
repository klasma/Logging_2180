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46271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46271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46271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46271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46271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46271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46271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46271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46271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46271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46271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46271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46271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46271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46271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46271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46271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46271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46271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46271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46271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46271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46271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46271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46271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46271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46271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46271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46271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46271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46271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46271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t="n">
        <v>0</v>
      </c>
      <c r="V54" s="2" t="inlineStr">
        <is>
          <t>Väddnätfjäril
Sotnätfjäril</t>
        </is>
      </c>
      <c r="W54">
        <f>HYPERLINK("https://klasma.github.io/Logging_2180/artfynd/A 14554-2026 artfynd.xlsx", "A 14554-2026")</f>
        <v/>
      </c>
      <c r="X54">
        <f>HYPERLINK("https://klasma.github.io/Logging_2180/kartor/A 14554-2026 karta.png", "A 14554-2026")</f>
        <v/>
      </c>
      <c r="Y54">
        <f>HYPERLINK("https://klasma.github.io/Logging_2180/kartor_geotiff/A 14554-2026 georefererad karta.tif", "A 14554-2026")</f>
        <v/>
      </c>
      <c r="AA54">
        <f>HYPERLINK("https://klasma.github.io/Logging_2180/klagomål/A 14554-2026 FSC-klagomål.docx", "A 14554-2026")</f>
        <v/>
      </c>
      <c r="AB54">
        <f>HYPERLINK("https://klasma.github.io/Logging_2180/klagomålsmail/A 14554-2026 FSC-klagomål mail.docx", "A 14554-2026")</f>
        <v/>
      </c>
      <c r="AC54">
        <f>HYPERLINK("https://klasma.github.io/Logging_2180/tillsyn/A 14554-2026 tillsynsbegäran.docx", "A 14554-2026")</f>
        <v/>
      </c>
      <c r="AD54">
        <f>HYPERLINK("https://klasma.github.io/Logging_2180/tillsynsmail/A 14554-2026 tillsynsbegäran mail.docx", "A 14554-2026")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46271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46271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46271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46271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46271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6473-2024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46271</v>
      </c>
      <c r="F60" t="inlineStr">
        <is>
          <t>GÄVLEBORGS LÄN</t>
        </is>
      </c>
      <c r="G60" t="inlineStr">
        <is>
          <t>GÄVLE</t>
        </is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Tibast
Nattviol</t>
        </is>
      </c>
      <c r="W60">
        <f>HYPERLINK("https://klasma.github.io/Logging_2180/artfynd/A 6473-2024 artfynd.xlsx", "A 6473-2024")</f>
        <v/>
      </c>
      <c r="X60">
        <f>HYPERLINK("https://klasma.github.io/Logging_2180/kartor/A 6473-2024 karta.png", "A 6473-2024")</f>
        <v/>
      </c>
      <c r="Y60">
        <f>HYPERLINK("https://klasma.github.io/Logging_2180/kartor_geotiff/A 6473-2024 georefererad karta.tif", "A 6473-2024")</f>
        <v/>
      </c>
      <c r="AA60">
        <f>HYPERLINK("https://klasma.github.io/Logging_2180/klagomål/A 6473-2024 FSC-klagomål.docx", "A 6473-2024")</f>
        <v/>
      </c>
      <c r="AB60">
        <f>HYPERLINK("https://klasma.github.io/Logging_2180/klagomålsmail/A 6473-2024 FSC-klagomål mail.docx", "A 6473-2024")</f>
        <v/>
      </c>
      <c r="AC60">
        <f>HYPERLINK("https://klasma.github.io/Logging_2180/tillsyn/A 6473-2024 tillsynsbegäran.docx", "A 6473-2024")</f>
        <v/>
      </c>
      <c r="AD60">
        <f>HYPERLINK("https://klasma.github.io/Logging_2180/tillsynsmail/A 6473-2024 tillsynsbegäran mail.docx", "A 6473-2024")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46271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Fläcknycklar</t>
        </is>
      </c>
      <c r="W61">
        <f>HYPERLINK("https://klasma.github.io/Logging_2180/artfynd/A 13248-2026 artfynd.xlsx", "A 13248-2026")</f>
        <v/>
      </c>
      <c r="X61">
        <f>HYPERLINK("https://klasma.github.io/Logging_2180/kartor/A 13248-2026 karta.png", "A 13248-2026")</f>
        <v/>
      </c>
      <c r="Y61">
        <f>HYPERLINK("https://klasma.github.io/Logging_2180/kartor_geotiff/A 13248-2026 georefererad karta.tif", "A 13248-2026")</f>
        <v/>
      </c>
      <c r="AA61">
        <f>HYPERLINK("https://klasma.github.io/Logging_2180/klagomål/A 13248-2026 FSC-klagomål.docx", "A 13248-2026")</f>
        <v/>
      </c>
      <c r="AB61">
        <f>HYPERLINK("https://klasma.github.io/Logging_2180/klagomålsmail/A 13248-2026 FSC-klagomål mail.docx", "A 13248-2026")</f>
        <v/>
      </c>
      <c r="AC61">
        <f>HYPERLINK("https://klasma.github.io/Logging_2180/tillsyn/A 13248-2026 tillsynsbegäran.docx", "A 13248-2026")</f>
        <v/>
      </c>
      <c r="AD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46271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46271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46271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46271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46271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46271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46271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46271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46271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46271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46271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46271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46271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46271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46271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46271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46271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46271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46271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46271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46271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46271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46271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46271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46271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46271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46271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Fläcknycklar</t>
        </is>
      </c>
      <c r="W89">
        <f>HYPERLINK("https://klasma.github.io/Logging_2180/artfynd/A 30302-2025 artfynd.xlsx", "A 30302-2025")</f>
        <v/>
      </c>
      <c r="X89">
        <f>HYPERLINK("https://klasma.github.io/Logging_2180/kartor/A 30302-2025 karta.png", "A 30302-2025")</f>
        <v/>
      </c>
      <c r="Y89">
        <f>HYPERLINK("https://klasma.github.io/Logging_2180/kartor_geotiff/A 30302-2025 georefererad karta.tif", "A 30302-2025")</f>
        <v/>
      </c>
      <c r="AA89">
        <f>HYPERLINK("https://klasma.github.io/Logging_2180/klagomål/A 30302-2025 FSC-klagomål.docx", "A 30302-2025")</f>
        <v/>
      </c>
      <c r="AB89">
        <f>HYPERLINK("https://klasma.github.io/Logging_2180/klagomålsmail/A 30302-2025 FSC-klagomål mail.docx", "A 30302-2025")</f>
        <v/>
      </c>
      <c r="AC89">
        <f>HYPERLINK("https://klasma.github.io/Logging_2180/tillsyn/A 30302-2025 tillsynsbegäran.docx", "A 30302-2025")</f>
        <v/>
      </c>
      <c r="AD89">
        <f>HYPERLINK("https://klasma.github.io/Logging_2180/tillsynsmail/A 30302-2025 tillsynsbegäran mail.docx", "A 30302-2025")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46271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45241-2022 artfynd.xlsx", "A 45241-2022")</f>
        <v/>
      </c>
      <c r="X90">
        <f>HYPERLINK("https://klasma.github.io/Logging_2180/kartor/A 45241-2022 karta.png", "A 45241-2022")</f>
        <v/>
      </c>
      <c r="Y90">
        <f>HYPERLINK("https://klasma.github.io/Logging_2180/kartor_geotiff/A 45241-2022 georefererad karta.tif", "A 45241-2022")</f>
        <v/>
      </c>
      <c r="AA90">
        <f>HYPERLINK("https://klasma.github.io/Logging_2180/klagomål/A 45241-2022 FSC-klagomål.docx", "A 45241-2022")</f>
        <v/>
      </c>
      <c r="AB90">
        <f>HYPERLINK("https://klasma.github.io/Logging_2180/klagomålsmail/A 45241-2022 FSC-klagomål mail.docx", "A 45241-2022")</f>
        <v/>
      </c>
      <c r="AC90">
        <f>HYPERLINK("https://klasma.github.io/Logging_2180/tillsyn/A 45241-2022 tillsynsbegäran.docx", "A 45241-2022")</f>
        <v/>
      </c>
      <c r="AD90">
        <f>HYPERLINK("https://klasma.github.io/Logging_2180/tillsynsmail/A 45241-2022 tillsynsbegäran mail.docx", "A 45241-2022")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46271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46271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46271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46271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46271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46271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50052-2025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46271</v>
      </c>
      <c r="F98" t="inlineStr">
        <is>
          <t>GÄVLEBORGS LÄN</t>
        </is>
      </c>
      <c r="G98" t="inlineStr">
        <is>
          <t>GÄVLE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Mosippa</t>
        </is>
      </c>
      <c r="W98">
        <f>HYPERLINK("https://klasma.github.io/Logging_2180/artfynd/A 50052-2025 artfynd.xlsx", "A 50052-2025")</f>
        <v/>
      </c>
      <c r="X98">
        <f>HYPERLINK("https://klasma.github.io/Logging_2180/kartor/A 50052-2025 karta.png", "A 50052-2025")</f>
        <v/>
      </c>
      <c r="Y98">
        <f>HYPERLINK("https://klasma.github.io/Logging_2180/kartor_geotiff/A 50052-2025 georefererad karta.tif", "A 50052-2025")</f>
        <v/>
      </c>
      <c r="AA98">
        <f>HYPERLINK("https://klasma.github.io/Logging_2180/klagomål/A 50052-2025 FSC-klagomål.docx", "A 50052-2025")</f>
        <v/>
      </c>
      <c r="AB98">
        <f>HYPERLINK("https://klasma.github.io/Logging_2180/klagomålsmail/A 50052-2025 FSC-klagomål mail.docx", "A 50052-2025")</f>
        <v/>
      </c>
      <c r="AC98">
        <f>HYPERLINK("https://klasma.github.io/Logging_2180/tillsyn/A 50052-2025 tillsynsbegäran.docx", "A 50052-2025")</f>
        <v/>
      </c>
      <c r="AD98">
        <f>HYPERLINK("https://klasma.github.io/Logging_2180/tillsynsmail/A 50052-2025 tillsynsbegäran mail.docx", "A 50052-2025")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46271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46271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17251-2026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46271</v>
      </c>
      <c r="F101" t="inlineStr">
        <is>
          <t>GÄVLEBORGS LÄN</t>
        </is>
      </c>
      <c r="G101" t="inlineStr">
        <is>
          <t>GÄVLE</t>
        </is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17251-2026 artfynd.xlsx", "A 17251-2026")</f>
        <v/>
      </c>
      <c r="X101">
        <f>HYPERLINK("https://klasma.github.io/Logging_2180/kartor/A 17251-2026 karta.png", "A 17251-2026")</f>
        <v/>
      </c>
      <c r="Y101">
        <f>HYPERLINK("https://klasma.github.io/Logging_2180/kartor_geotiff/A 17251-2026 georefererad karta.tif", "A 17251-2026")</f>
        <v/>
      </c>
      <c r="AA101">
        <f>HYPERLINK("https://klasma.github.io/Logging_2180/klagomål/A 17251-2026 FSC-klagomål.docx", "A 17251-2026")</f>
        <v/>
      </c>
      <c r="AB101">
        <f>HYPERLINK("https://klasma.github.io/Logging_2180/klagomålsmail/A 17251-2026 FSC-klagomål mail.docx", "A 17251-2026")</f>
        <v/>
      </c>
      <c r="AC101">
        <f>HYPERLINK("https://klasma.github.io/Logging_2180/tillsyn/A 17251-2026 tillsynsbegäran.docx", "A 17251-2026")</f>
        <v/>
      </c>
      <c r="AD101">
        <f>HYPERLINK("https://klasma.github.io/Logging_2180/tillsynsmail/A 17251-2026 tillsynsbegäran mail.docx", "A 17251-2026")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46271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46271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46271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HYPERLINK("https://klasma.github.io/Logging_2180/artfynd/A 19635-2026 artfynd.xlsx", "A 19635-2026")</f>
        <v/>
      </c>
      <c r="X104">
        <f>HYPERLINK("https://klasma.github.io/Logging_2180/kartor/A 19635-2026 karta.png", "A 19635-2026")</f>
        <v/>
      </c>
      <c r="Y104">
        <f>HYPERLINK("https://klasma.github.io/Logging_2180/kartor_geotiff/A 19635-2026 georefererad karta.tif", "A 19635-2026")</f>
        <v/>
      </c>
      <c r="AA104">
        <f>HYPERLINK("https://klasma.github.io/Logging_2180/klagomål/A 19635-2026 FSC-klagomål.docx", "A 19635-2026")</f>
        <v/>
      </c>
      <c r="AB104">
        <f>HYPERLINK("https://klasma.github.io/Logging_2180/klagomålsmail/A 19635-2026 FSC-klagomål mail.docx", "A 19635-2026")</f>
        <v/>
      </c>
      <c r="AC104">
        <f>HYPERLINK("https://klasma.github.io/Logging_2180/tillsyn/A 19635-2026 tillsynsbegäran.docx", "A 19635-2026")</f>
        <v/>
      </c>
      <c r="AD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46271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14730-2026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46271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14730-2026 artfynd.xlsx", "A 14730-2026")</f>
        <v/>
      </c>
      <c r="X106">
        <f>HYPERLINK("https://klasma.github.io/Logging_2180/kartor/A 14730-2026 karta.png", "A 14730-2026")</f>
        <v/>
      </c>
      <c r="Y106">
        <f>HYPERLINK("https://klasma.github.io/Logging_2180/kartor_geotiff/A 14730-2026 georefererad karta.tif", "A 14730-2026")</f>
        <v/>
      </c>
      <c r="AA106">
        <f>HYPERLINK("https://klasma.github.io/Logging_2180/klagomål/A 14730-2026 FSC-klagomål.docx", "A 14730-2026")</f>
        <v/>
      </c>
      <c r="AB106">
        <f>HYPERLINK("https://klasma.github.io/Logging_2180/klagomålsmail/A 14730-2026 FSC-klagomål mail.docx", "A 14730-2026")</f>
        <v/>
      </c>
      <c r="AC106">
        <f>HYPERLINK("https://klasma.github.io/Logging_2180/tillsyn/A 14730-2026 tillsynsbegäran.docx", "A 14730-2026")</f>
        <v/>
      </c>
      <c r="AD106">
        <f>HYPERLINK("https://klasma.github.io/Logging_2180/tillsynsmail/A 14730-2026 tillsynsbegäran mail.docx", "A 14730-2026")</f>
        <v/>
      </c>
      <c r="AE106">
        <f>HYPERLINK("https://klasma.github.io/Logging_2180/fåglar/A 14730-2026 prioriterade fågelarter.docx", "A 14730-2026")</f>
        <v/>
      </c>
    </row>
    <row r="107" ht="15" customHeight="1">
      <c r="A107" t="inlineStr">
        <is>
          <t>A 12381-2023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44999</v>
      </c>
      <c r="E107" s="1" t="n">
        <v>46271</v>
      </c>
      <c r="F107" t="inlineStr">
        <is>
          <t>GÄVLEBORGS LÄN</t>
        </is>
      </c>
      <c r="G107" t="inlineStr">
        <is>
          <t>GÄVLE</t>
        </is>
      </c>
      <c r="I107" t="n">
        <v>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Brunlångöra</t>
        </is>
      </c>
      <c r="W107">
        <f>HYPERLINK("https://klasma.github.io/Logging_2180/artfynd/A 12381-2023 artfynd.xlsx", "A 12381-2023")</f>
        <v/>
      </c>
      <c r="X107">
        <f>HYPERLINK("https://klasma.github.io/Logging_2180/kartor/A 12381-2023 karta.png", "A 12381-2023")</f>
        <v/>
      </c>
      <c r="Y107">
        <f>HYPERLINK("https://klasma.github.io/Logging_2180/kartor_geotiff/A 12381-2023 georefererad karta.tif", "A 12381-2023")</f>
        <v/>
      </c>
      <c r="AA107">
        <f>HYPERLINK("https://klasma.github.io/Logging_2180/klagomål/A 12381-2023 FSC-klagomål.docx", "A 12381-2023")</f>
        <v/>
      </c>
      <c r="AB107">
        <f>HYPERLINK("https://klasma.github.io/Logging_2180/klagomålsmail/A 12381-2023 FSC-klagomål mail.docx", "A 12381-2023")</f>
        <v/>
      </c>
      <c r="AC107">
        <f>HYPERLINK("https://klasma.github.io/Logging_2180/tillsyn/A 12381-2023 tillsynsbegäran.docx", "A 12381-2023")</f>
        <v/>
      </c>
      <c r="AD107">
        <f>HYPERLINK("https://klasma.github.io/Logging_2180/tillsynsmail/A 12381-2023 tillsynsbegäran mail.docx", "A 12381-2023")</f>
        <v/>
      </c>
    </row>
    <row r="108" ht="15" customHeight="1">
      <c r="A108" t="inlineStr">
        <is>
          <t>A 14714-2026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46271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14714-2026 artfynd.xlsx", "A 14714-2026")</f>
        <v/>
      </c>
      <c r="X108">
        <f>HYPERLINK("https://klasma.github.io/Logging_2180/kartor/A 14714-2026 karta.png", "A 14714-2026")</f>
        <v/>
      </c>
      <c r="Y108">
        <f>HYPERLINK("https://klasma.github.io/Logging_2180/kartor_geotiff/A 14714-2026 georefererad karta.tif", "A 14714-2026")</f>
        <v/>
      </c>
      <c r="AA108">
        <f>HYPERLINK("https://klasma.github.io/Logging_2180/klagomål/A 14714-2026 FSC-klagomål.docx", "A 14714-2026")</f>
        <v/>
      </c>
      <c r="AB108">
        <f>HYPERLINK("https://klasma.github.io/Logging_2180/klagomålsmail/A 14714-2026 FSC-klagomål mail.docx", "A 14714-2026")</f>
        <v/>
      </c>
      <c r="AC108">
        <f>HYPERLINK("https://klasma.github.io/Logging_2180/tillsyn/A 14714-2026 tillsynsbegäran.docx", "A 14714-2026")</f>
        <v/>
      </c>
      <c r="AD108">
        <f>HYPERLINK("https://klasma.github.io/Logging_2180/tillsynsmail/A 14714-2026 tillsynsbegäran mail.docx", "A 14714-2026")</f>
        <v/>
      </c>
      <c r="AE108">
        <f>HYPERLINK("https://klasma.github.io/Logging_2180/fåglar/A 14714-2026 prioriterade fågelarter.docx", "A 14714-2026")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46271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46271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14711-2026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46271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Blanksvart spiklav</t>
        </is>
      </c>
      <c r="W111">
        <f>HYPERLINK("https://klasma.github.io/Logging_2180/artfynd/A 14711-2026 artfynd.xlsx", "A 14711-2026")</f>
        <v/>
      </c>
      <c r="X111">
        <f>HYPERLINK("https://klasma.github.io/Logging_2180/kartor/A 14711-2026 karta.png", "A 14711-2026")</f>
        <v/>
      </c>
      <c r="Y111">
        <f>HYPERLINK("https://klasma.github.io/Logging_2180/kartor_geotiff/A 14711-2026 georefererad karta.tif", "A 14711-2026")</f>
        <v/>
      </c>
      <c r="AA111">
        <f>HYPERLINK("https://klasma.github.io/Logging_2180/klagomål/A 14711-2026 FSC-klagomål.docx", "A 14711-2026")</f>
        <v/>
      </c>
      <c r="AB111">
        <f>HYPERLINK("https://klasma.github.io/Logging_2180/klagomålsmail/A 14711-2026 FSC-klagomål mail.docx", "A 14711-2026")</f>
        <v/>
      </c>
      <c r="AC111">
        <f>HYPERLINK("https://klasma.github.io/Logging_2180/tillsyn/A 14711-2026 tillsynsbegäran.docx", "A 14711-2026")</f>
        <v/>
      </c>
      <c r="AD111">
        <f>HYPERLINK("https://klasma.github.io/Logging_2180/tillsynsmail/A 14711-2026 tillsynsbegäran mail.docx", "A 14711-2026")</f>
        <v/>
      </c>
    </row>
    <row r="112" ht="15" customHeight="1">
      <c r="A112" t="inlineStr">
        <is>
          <t>A 10064-2025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46271</v>
      </c>
      <c r="F112" t="inlineStr">
        <is>
          <t>GÄVLEBORGS LÄN</t>
        </is>
      </c>
      <c r="G112" t="inlineStr">
        <is>
          <t>GÄVLE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HYPERLINK("https://klasma.github.io/Logging_2180/artfynd/A 10064-2025 artfynd.xlsx", "A 10064-2025")</f>
        <v/>
      </c>
      <c r="X112">
        <f>HYPERLINK("https://klasma.github.io/Logging_2180/kartor/A 10064-2025 karta.png", "A 10064-2025")</f>
        <v/>
      </c>
      <c r="Y112">
        <f>HYPERLINK("https://klasma.github.io/Logging_2180/kartor_geotiff/A 10064-2025 georefererad karta.tif", "A 10064-2025")</f>
        <v/>
      </c>
      <c r="AA112">
        <f>HYPERLINK("https://klasma.github.io/Logging_2180/klagomål/A 10064-2025 FSC-klagomål.docx", "A 10064-2025")</f>
        <v/>
      </c>
      <c r="AB112">
        <f>HYPERLINK("https://klasma.github.io/Logging_2180/klagomålsmail/A 10064-2025 FSC-klagomål mail.docx", "A 10064-2025")</f>
        <v/>
      </c>
      <c r="AC112">
        <f>HYPERLINK("https://klasma.github.io/Logging_2180/tillsyn/A 10064-2025 tillsynsbegäran.docx", "A 10064-2025")</f>
        <v/>
      </c>
      <c r="AD112">
        <f>HYPERLINK("https://klasma.github.io/Logging_2180/tillsynsmail/A 10064-2025 tillsynsbegäran mail.docx", "A 10064-2025")</f>
        <v/>
      </c>
    </row>
    <row r="113" ht="15" customHeight="1">
      <c r="A113" t="inlineStr">
        <is>
          <t>A 20734-2026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46271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20734-2026 artfynd.xlsx", "A 20734-2026")</f>
        <v/>
      </c>
      <c r="X113">
        <f>HYPERLINK("https://klasma.github.io/Logging_2180/kartor/A 20734-2026 karta.png", "A 20734-2026")</f>
        <v/>
      </c>
      <c r="Y113">
        <f>HYPERLINK("https://klasma.github.io/Logging_2180/kartor_geotiff/A 20734-2026 georefererad karta.tif", "A 20734-2026")</f>
        <v/>
      </c>
      <c r="AA113">
        <f>HYPERLINK("https://klasma.github.io/Logging_2180/klagomål/A 20734-2026 FSC-klagomål.docx", "A 20734-2026")</f>
        <v/>
      </c>
      <c r="AB113">
        <f>HYPERLINK("https://klasma.github.io/Logging_2180/klagomålsmail/A 20734-2026 FSC-klagomål mail.docx", "A 20734-2026")</f>
        <v/>
      </c>
      <c r="AC113">
        <f>HYPERLINK("https://klasma.github.io/Logging_2180/tillsyn/A 20734-2026 tillsynsbegäran.docx", "A 20734-2026")</f>
        <v/>
      </c>
      <c r="AD113">
        <f>HYPERLINK("https://klasma.github.io/Logging_2180/tillsynsmail/A 20734-2026 tillsynsbegäran mail.docx", "A 20734-2026")</f>
        <v/>
      </c>
    </row>
    <row r="114" ht="15" customHeight="1">
      <c r="A114" t="inlineStr">
        <is>
          <t>A 14703-2026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46271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14703-2026 artfynd.xlsx", "A 14703-2026")</f>
        <v/>
      </c>
      <c r="X114">
        <f>HYPERLINK("https://klasma.github.io/Logging_2180/kartor/A 14703-2026 karta.png", "A 14703-2026")</f>
        <v/>
      </c>
      <c r="Y114">
        <f>HYPERLINK("https://klasma.github.io/Logging_2180/kartor_geotiff/A 14703-2026 georefererad karta.tif", "A 14703-2026")</f>
        <v/>
      </c>
      <c r="AA114">
        <f>HYPERLINK("https://klasma.github.io/Logging_2180/klagomål/A 14703-2026 FSC-klagomål.docx", "A 14703-2026")</f>
        <v/>
      </c>
      <c r="AB114">
        <f>HYPERLINK("https://klasma.github.io/Logging_2180/klagomålsmail/A 14703-2026 FSC-klagomål mail.docx", "A 14703-2026")</f>
        <v/>
      </c>
      <c r="AC114">
        <f>HYPERLINK("https://klasma.github.io/Logging_2180/tillsyn/A 14703-2026 tillsynsbegäran.docx", "A 14703-2026")</f>
        <v/>
      </c>
      <c r="AD114">
        <f>HYPERLINK("https://klasma.github.io/Logging_2180/tillsynsmail/A 14703-2026 tillsynsbegäran mail.docx", "A 14703-2026")</f>
        <v/>
      </c>
      <c r="AE114">
        <f>HYPERLINK("https://klasma.github.io/Logging_2180/fåglar/A 14703-2026 prioriterade fågelarter.docx", "A 14703-2026")</f>
        <v/>
      </c>
    </row>
    <row r="115" ht="15" customHeight="1">
      <c r="A115" t="inlineStr">
        <is>
          <t>A 13269-2026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46271</v>
      </c>
      <c r="F115" t="inlineStr">
        <is>
          <t>GÄVLEBORGS LÄN</t>
        </is>
      </c>
      <c r="G115" t="inlineStr">
        <is>
          <t>GÄVLE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HYPERLINK("https://klasma.github.io/Logging_2180/artfynd/A 13269-2026 artfynd.xlsx", "A 13269-2026")</f>
        <v/>
      </c>
      <c r="X115">
        <f>HYPERLINK("https://klasma.github.io/Logging_2180/kartor/A 13269-2026 karta.png", "A 13269-2026")</f>
        <v/>
      </c>
      <c r="Y115">
        <f>HYPERLINK("https://klasma.github.io/Logging_2180/kartor_geotiff/A 13269-2026 georefererad karta.tif", "A 13269-2026")</f>
        <v/>
      </c>
      <c r="AA115">
        <f>HYPERLINK("https://klasma.github.io/Logging_2180/klagomål/A 13269-2026 FSC-klagomål.docx", "A 13269-2026")</f>
        <v/>
      </c>
      <c r="AB115">
        <f>HYPERLINK("https://klasma.github.io/Logging_2180/klagomålsmail/A 13269-2026 FSC-klagomål mail.docx", "A 13269-2026")</f>
        <v/>
      </c>
      <c r="AC115">
        <f>HYPERLINK("https://klasma.github.io/Logging_2180/tillsyn/A 13269-2026 tillsynsbegäran.docx", "A 13269-2026")</f>
        <v/>
      </c>
      <c r="AD115">
        <f>HYPERLINK("https://klasma.github.io/Logging_2180/tillsynsmail/A 13269-2026 tillsynsbegäran mail.docx", "A 13269-2026")</f>
        <v/>
      </c>
      <c r="AE115">
        <f>HYPERLINK("https://klasma.github.io/Logging_2180/fåglar/A 13269-2026 prioriterade fågelarter.docx", "A 13269-2026")</f>
        <v/>
      </c>
    </row>
    <row r="116" ht="15" customHeight="1">
      <c r="A116" t="inlineStr">
        <is>
          <t>A 22052-2026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46271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22052-2026 artfynd.xlsx", "A 22052-2026")</f>
        <v/>
      </c>
      <c r="X116">
        <f>HYPERLINK("https://klasma.github.io/Logging_2180/kartor/A 22052-2026 karta.png", "A 22052-2026")</f>
        <v/>
      </c>
      <c r="Y116">
        <f>HYPERLINK("https://klasma.github.io/Logging_2180/kartor_geotiff/A 22052-2026 georefererad karta.tif", "A 22052-2026")</f>
        <v/>
      </c>
      <c r="AA116">
        <f>HYPERLINK("https://klasma.github.io/Logging_2180/klagomål/A 22052-2026 FSC-klagomål.docx", "A 22052-2026")</f>
        <v/>
      </c>
      <c r="AB116">
        <f>HYPERLINK("https://klasma.github.io/Logging_2180/klagomålsmail/A 22052-2026 FSC-klagomål mail.docx", "A 22052-2026")</f>
        <v/>
      </c>
      <c r="AC116">
        <f>HYPERLINK("https://klasma.github.io/Logging_2180/tillsyn/A 22052-2026 tillsynsbegäran.docx", "A 22052-2026")</f>
        <v/>
      </c>
      <c r="AD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22892-2026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46271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22892-2026 artfynd.xlsx", "A 22892-2026")</f>
        <v/>
      </c>
      <c r="X117">
        <f>HYPERLINK("https://klasma.github.io/Logging_2180/kartor/A 22892-2026 karta.png", "A 22892-2026")</f>
        <v/>
      </c>
      <c r="Y117">
        <f>HYPERLINK("https://klasma.github.io/Logging_2180/kartor_geotiff/A 22892-2026 georefererad karta.tif", "A 22892-2026")</f>
        <v/>
      </c>
      <c r="AA117">
        <f>HYPERLINK("https://klasma.github.io/Logging_2180/klagomål/A 22892-2026 FSC-klagomål.docx", "A 22892-2026")</f>
        <v/>
      </c>
      <c r="AB117">
        <f>HYPERLINK("https://klasma.github.io/Logging_2180/klagomålsmail/A 22892-2026 FSC-klagomål mail.docx", "A 22892-2026")</f>
        <v/>
      </c>
      <c r="AC117">
        <f>HYPERLINK("https://klasma.github.io/Logging_2180/tillsyn/A 22892-2026 tillsynsbegäran.docx", "A 22892-2026")</f>
        <v/>
      </c>
      <c r="AD117">
        <f>HYPERLINK("https://klasma.github.io/Logging_2180/tillsynsmail/A 22892-2026 tillsynsbegäran mail.docx", "A 22892-2026")</f>
        <v/>
      </c>
      <c r="AE117">
        <f>HYPERLINK("https://klasma.github.io/Logging_2180/fåglar/A 22892-2026 prioriterade fågelarter.docx", "A 22892-2026")</f>
        <v/>
      </c>
    </row>
    <row r="118" ht="15" customHeight="1">
      <c r="A118" t="inlineStr">
        <is>
          <t>A 11407-2025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46271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Myskmadra</t>
        </is>
      </c>
      <c r="W118">
        <f>HYPERLINK("https://klasma.github.io/Logging_2180/artfynd/A 11407-2025 artfynd.xlsx", "A 11407-2025")</f>
        <v/>
      </c>
      <c r="X118">
        <f>HYPERLINK("https://klasma.github.io/Logging_2180/kartor/A 11407-2025 karta.png", "A 11407-2025")</f>
        <v/>
      </c>
      <c r="Y118">
        <f>HYPERLINK("https://klasma.github.io/Logging_2180/kartor_geotiff/A 11407-2025 georefererad karta.tif", "A 11407-2025")</f>
        <v/>
      </c>
      <c r="AA118">
        <f>HYPERLINK("https://klasma.github.io/Logging_2180/klagomål/A 11407-2025 FSC-klagomål.docx", "A 11407-2025")</f>
        <v/>
      </c>
      <c r="AB118">
        <f>HYPERLINK("https://klasma.github.io/Logging_2180/klagomålsmail/A 11407-2025 FSC-klagomål mail.docx", "A 11407-2025")</f>
        <v/>
      </c>
      <c r="AC118">
        <f>HYPERLINK("https://klasma.github.io/Logging_2180/tillsyn/A 11407-2025 tillsynsbegäran.docx", "A 11407-2025")</f>
        <v/>
      </c>
      <c r="AD118">
        <f>HYPERLINK("https://klasma.github.io/Logging_2180/tillsynsmail/A 11407-2025 tillsynsbegäran mail.docx", "A 11407-2025")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46271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46271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46271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18216-2024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46271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Dofttaggsvamp</t>
        </is>
      </c>
      <c r="W122">
        <f>HYPERLINK("https://klasma.github.io/Logging_2180/artfynd/A 18216-2024 artfynd.xlsx", "A 18216-2024")</f>
        <v/>
      </c>
      <c r="X122">
        <f>HYPERLINK("https://klasma.github.io/Logging_2180/kartor/A 18216-2024 karta.png", "A 18216-2024")</f>
        <v/>
      </c>
      <c r="Y122">
        <f>HYPERLINK("https://klasma.github.io/Logging_2180/kartor_geotiff/A 18216-2024 georefererad karta.tif", "A 18216-2024")</f>
        <v/>
      </c>
      <c r="AA122">
        <f>HYPERLINK("https://klasma.github.io/Logging_2180/klagomål/A 18216-2024 FSC-klagomål.docx", "A 18216-2024")</f>
        <v/>
      </c>
      <c r="AB122">
        <f>HYPERLINK("https://klasma.github.io/Logging_2180/klagomålsmail/A 18216-2024 FSC-klagomål mail.docx", "A 18216-2024")</f>
        <v/>
      </c>
      <c r="AC122">
        <f>HYPERLINK("https://klasma.github.io/Logging_2180/tillsyn/A 18216-2024 tillsynsbegäran.docx", "A 18216-2024")</f>
        <v/>
      </c>
      <c r="AD122">
        <f>HYPERLINK("https://klasma.github.io/Logging_2180/tillsynsmail/A 18216-2024 tillsynsbegäran mail.docx", "A 18216-2024")</f>
        <v/>
      </c>
    </row>
    <row r="123" ht="15" customHeight="1">
      <c r="A123" t="inlineStr">
        <is>
          <t>A 27043-2026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46271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27043-2026 artfynd.xlsx", "A 27043-2026")</f>
        <v/>
      </c>
      <c r="X123">
        <f>HYPERLINK("https://klasma.github.io/Logging_2180/kartor/A 27043-2026 karta.png", "A 27043-2026")</f>
        <v/>
      </c>
      <c r="Y123">
        <f>HYPERLINK("https://klasma.github.io/Logging_2180/kartor_geotiff/A 27043-2026 georefererad karta.tif", "A 27043-2026")</f>
        <v/>
      </c>
      <c r="AA123">
        <f>HYPERLINK("https://klasma.github.io/Logging_2180/klagomål/A 27043-2026 FSC-klagomål.docx", "A 27043-2026")</f>
        <v/>
      </c>
      <c r="AB123">
        <f>HYPERLINK("https://klasma.github.io/Logging_2180/klagomålsmail/A 27043-2026 FSC-klagomål mail.docx", "A 27043-2026")</f>
        <v/>
      </c>
      <c r="AC123">
        <f>HYPERLINK("https://klasma.github.io/Logging_2180/tillsyn/A 27043-2026 tillsynsbegäran.docx", "A 27043-2026")</f>
        <v/>
      </c>
      <c r="AD123">
        <f>HYPERLINK("https://klasma.github.io/Logging_2180/tillsynsmail/A 27043-2026 tillsynsbegäran mail.docx", "A 27043-2026")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46271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28546-2026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46197</v>
      </c>
      <c r="E125" s="1" t="n">
        <v>46271</v>
      </c>
      <c r="F125" t="inlineStr">
        <is>
          <t>GÄVLEBORGS LÄN</t>
        </is>
      </c>
      <c r="G125" t="inlineStr">
        <is>
          <t>GÄVLE</t>
        </is>
      </c>
      <c r="H125" t="inlineStr">
        <is>
          <t>BillerudKorsnäs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Fiskgjuse</t>
        </is>
      </c>
      <c r="W125">
        <f>HYPERLINK("https://klasma.github.io/Logging_2180/artfynd/A 28546-2026 artfynd.xlsx", "A 28546-2026")</f>
        <v/>
      </c>
      <c r="X125">
        <f>HYPERLINK("https://klasma.github.io/Logging_2180/kartor/A 28546-2026 karta.png", "A 28546-2026")</f>
        <v/>
      </c>
      <c r="Y125">
        <f>HYPERLINK("https://klasma.github.io/Logging_2180/kartor_geotiff/A 28546-2026 georefererad karta.tif", "A 28546-2026")</f>
        <v/>
      </c>
      <c r="AA125">
        <f>HYPERLINK("https://klasma.github.io/Logging_2180/klagomål/A 28546-2026 FSC-klagomål.docx", "A 28546-2026")</f>
        <v/>
      </c>
      <c r="AB125">
        <f>HYPERLINK("https://klasma.github.io/Logging_2180/klagomålsmail/A 28546-2026 FSC-klagomål mail.docx", "A 28546-2026")</f>
        <v/>
      </c>
      <c r="AC125">
        <f>HYPERLINK("https://klasma.github.io/Logging_2180/tillsyn/A 28546-2026 tillsynsbegäran.docx", "A 28546-2026")</f>
        <v/>
      </c>
      <c r="AD125">
        <f>HYPERLINK("https://klasma.github.io/Logging_2180/tillsynsmail/A 28546-2026 tillsynsbegäran mail.docx", "A 28546-2026")</f>
        <v/>
      </c>
      <c r="AE125">
        <f>HYPERLINK("https://klasma.github.io/Logging_2180/fåglar/A 28546-2026 prioriterade fågelarter.docx", "A 28546-2026")</f>
        <v/>
      </c>
    </row>
    <row r="126" ht="15" customHeight="1">
      <c r="A126" t="inlineStr">
        <is>
          <t>A 33832-2026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46271</v>
      </c>
      <c r="F126" t="inlineStr">
        <is>
          <t>GÄVLEBORGS LÄN</t>
        </is>
      </c>
      <c r="G126" t="inlineStr">
        <is>
          <t>GÄVLE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HYPERLINK("https://klasma.github.io/Logging_2180/artfynd/A 33832-2026 artfynd.xlsx", "A 33832-2026")</f>
        <v/>
      </c>
      <c r="X126">
        <f>HYPERLINK("https://klasma.github.io/Logging_2180/kartor/A 33832-2026 karta.png", "A 33832-2026")</f>
        <v/>
      </c>
      <c r="Y126">
        <f>HYPERLINK("https://klasma.github.io/Logging_2180/kartor_geotiff/A 33832-2026 georefererad karta.tif", "A 33832-2026")</f>
        <v/>
      </c>
      <c r="AA126">
        <f>HYPERLINK("https://klasma.github.io/Logging_2180/klagomål/A 33832-2026 FSC-klagomål.docx", "A 33832-2026")</f>
        <v/>
      </c>
      <c r="AB126">
        <f>HYPERLINK("https://klasma.github.io/Logging_2180/klagomålsmail/A 33832-2026 FSC-klagomål mail.docx", "A 33832-2026")</f>
        <v/>
      </c>
      <c r="AC126">
        <f>HYPERLINK("https://klasma.github.io/Logging_2180/tillsyn/A 33832-2026 tillsynsbegäran.docx", "A 33832-2026")</f>
        <v/>
      </c>
      <c r="AD126">
        <f>HYPERLINK("https://klasma.github.io/Logging_2180/tillsynsmail/A 33832-2026 tillsynsbegäran mail.docx", "A 33832-2026")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46271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46271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34086-2026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46271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Gullgröppa</t>
        </is>
      </c>
      <c r="W129">
        <f>HYPERLINK("https://klasma.github.io/Logging_2180/artfynd/A 34086-2026 artfynd.xlsx", "A 34086-2026")</f>
        <v/>
      </c>
      <c r="X129">
        <f>HYPERLINK("https://klasma.github.io/Logging_2180/kartor/A 34086-2026 karta.png", "A 34086-2026")</f>
        <v/>
      </c>
      <c r="Y129">
        <f>HYPERLINK("https://klasma.github.io/Logging_2180/kartor_geotiff/A 34086-2026 georefererad karta.tif", "A 34086-2026")</f>
        <v/>
      </c>
      <c r="AA129">
        <f>HYPERLINK("https://klasma.github.io/Logging_2180/klagomål/A 34086-2026 FSC-klagomål.docx", "A 34086-2026")</f>
        <v/>
      </c>
      <c r="AB129">
        <f>HYPERLINK("https://klasma.github.io/Logging_2180/klagomålsmail/A 34086-2026 FSC-klagomål mail.docx", "A 34086-2026")</f>
        <v/>
      </c>
      <c r="AC129">
        <f>HYPERLINK("https://klasma.github.io/Logging_2180/tillsyn/A 34086-2026 tillsynsbegäran.docx", "A 34086-2026")</f>
        <v/>
      </c>
      <c r="AD129">
        <f>HYPERLINK("https://klasma.github.io/Logging_2180/tillsynsmail/A 34086-2026 tillsynsbegäran mail.docx", "A 34086-2026")</f>
        <v/>
      </c>
    </row>
    <row r="130" ht="15" customHeight="1">
      <c r="A130" t="inlineStr">
        <is>
          <t>A 34589-2026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46255</v>
      </c>
      <c r="E130" s="1" t="n">
        <v>46271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15.3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Tibast</t>
        </is>
      </c>
      <c r="W130">
        <f>HYPERLINK("https://klasma.github.io/Logging_2180/artfynd/A 34589-2026 artfynd.xlsx", "A 34589-2026")</f>
        <v/>
      </c>
      <c r="X130">
        <f>HYPERLINK("https://klasma.github.io/Logging_2180/kartor/A 34589-2026 karta.png", "A 34589-2026")</f>
        <v/>
      </c>
      <c r="Y130">
        <f>HYPERLINK("https://klasma.github.io/Logging_2180/kartor_geotiff/A 34589-2026 georefererad karta.tif", "A 34589-2026")</f>
        <v/>
      </c>
      <c r="AA130">
        <f>HYPERLINK("https://klasma.github.io/Logging_2180/klagomål/A 34589-2026 FSC-klagomål.docx", "A 34589-2026")</f>
        <v/>
      </c>
      <c r="AB130">
        <f>HYPERLINK("https://klasma.github.io/Logging_2180/klagomålsmail/A 34589-2026 FSC-klagomål mail.docx", "A 34589-2026")</f>
        <v/>
      </c>
      <c r="AC130">
        <f>HYPERLINK("https://klasma.github.io/Logging_2180/tillsyn/A 34589-2026 tillsynsbegäran.docx", "A 34589-2026")</f>
        <v/>
      </c>
      <c r="AD130">
        <f>HYPERLINK("https://klasma.github.io/Logging_2180/tillsynsmail/A 34589-2026 tillsynsbegäran mail.docx", "A 34589-2026")</f>
        <v/>
      </c>
    </row>
    <row r="131" ht="15" customHeight="1">
      <c r="A131" t="inlineStr">
        <is>
          <t>A 31448-2026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46217</v>
      </c>
      <c r="E131" s="1" t="n">
        <v>46271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6.8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Mindre tåtelsmygare</t>
        </is>
      </c>
      <c r="W131">
        <f>HYPERLINK("https://klasma.github.io/Logging_2180/artfynd/A 31448-2026 artfynd.xlsx", "A 31448-2026")</f>
        <v/>
      </c>
      <c r="X131">
        <f>HYPERLINK("https://klasma.github.io/Logging_2180/kartor/A 31448-2026 karta.png", "A 31448-2026")</f>
        <v/>
      </c>
      <c r="Y131">
        <f>HYPERLINK("https://klasma.github.io/Logging_2180/kartor_geotiff/A 31448-2026 georefererad karta.tif", "A 31448-2026")</f>
        <v/>
      </c>
      <c r="AA131">
        <f>HYPERLINK("https://klasma.github.io/Logging_2180/klagomål/A 31448-2026 FSC-klagomål.docx", "A 31448-2026")</f>
        <v/>
      </c>
      <c r="AB131">
        <f>HYPERLINK("https://klasma.github.io/Logging_2180/klagomålsmail/A 31448-2026 FSC-klagomål mail.docx", "A 31448-2026")</f>
        <v/>
      </c>
      <c r="AC131">
        <f>HYPERLINK("https://klasma.github.io/Logging_2180/tillsyn/A 31448-2026 tillsynsbegäran.docx", "A 31448-2026")</f>
        <v/>
      </c>
      <c r="AD131">
        <f>HYPERLINK("https://klasma.github.io/Logging_2180/tillsynsmail/A 31448-2026 tillsynsbegäran mail.docx", "A 31448-2026")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46271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36090-2026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46267</v>
      </c>
      <c r="E133" s="1" t="n">
        <v>46271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Tvåblad</t>
        </is>
      </c>
      <c r="W133">
        <f>HYPERLINK("https://klasma.github.io/Logging_2180/artfynd/A 36090-2026 artfynd.xlsx", "A 36090-2026")</f>
        <v/>
      </c>
      <c r="X133">
        <f>HYPERLINK("https://klasma.github.io/Logging_2180/kartor/A 36090-2026 karta.png", "A 36090-2026")</f>
        <v/>
      </c>
      <c r="Y133">
        <f>HYPERLINK("https://klasma.github.io/Logging_2180/kartor_geotiff/A 36090-2026 georefererad karta.tif", "A 36090-2026")</f>
        <v/>
      </c>
      <c r="AA133">
        <f>HYPERLINK("https://klasma.github.io/Logging_2180/klagomål/A 36090-2026 FSC-klagomål.docx", "A 36090-2026")</f>
        <v/>
      </c>
      <c r="AB133">
        <f>HYPERLINK("https://klasma.github.io/Logging_2180/klagomålsmail/A 36090-2026 FSC-klagomål mail.docx", "A 36090-2026")</f>
        <v/>
      </c>
      <c r="AC133">
        <f>HYPERLINK("https://klasma.github.io/Logging_2180/tillsyn/A 36090-2026 tillsynsbegäran.docx", "A 36090-2026")</f>
        <v/>
      </c>
      <c r="AD133">
        <f>HYPERLINK("https://klasma.github.io/Logging_2180/tillsynsmail/A 36090-2026 tillsynsbegäran mail.docx", "A 36090-2026")</f>
        <v/>
      </c>
    </row>
    <row r="134" ht="15" customHeight="1">
      <c r="A134" t="inlineStr">
        <is>
          <t>A 23003-2026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46160</v>
      </c>
      <c r="E134" s="1" t="n">
        <v>46271</v>
      </c>
      <c r="F134" t="inlineStr">
        <is>
          <t>GÄVLEBORGS LÄN</t>
        </is>
      </c>
      <c r="G134" t="inlineStr">
        <is>
          <t>GÄVLE</t>
        </is>
      </c>
      <c r="I134" t="n">
        <v>12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Tjäder</t>
        </is>
      </c>
      <c r="W134">
        <f>HYPERLINK("https://klasma.github.io/Logging_2180/artfynd/A 23003-2026 artfynd.xlsx", "A 23003-2026")</f>
        <v/>
      </c>
      <c r="X134">
        <f>HYPERLINK("https://klasma.github.io/Logging_2180/kartor/A 23003-2026 karta.png", "A 23003-2026")</f>
        <v/>
      </c>
      <c r="Y134">
        <f>HYPERLINK("https://klasma.github.io/Logging_2180/kartor_geotiff/A 23003-2026 georefererad karta.tif", "A 23003-2026")</f>
        <v/>
      </c>
      <c r="AA134">
        <f>HYPERLINK("https://klasma.github.io/Logging_2180/klagomål/A 23003-2026 FSC-klagomål.docx", "A 23003-2026")</f>
        <v/>
      </c>
      <c r="AB134">
        <f>HYPERLINK("https://klasma.github.io/Logging_2180/klagomålsmail/A 23003-2026 FSC-klagomål mail.docx", "A 23003-2026")</f>
        <v/>
      </c>
      <c r="AC134">
        <f>HYPERLINK("https://klasma.github.io/Logging_2180/tillsyn/A 23003-2026 tillsynsbegäran.docx", "A 23003-2026")</f>
        <v/>
      </c>
      <c r="AD134">
        <f>HYPERLINK("https://klasma.github.io/Logging_2180/tillsynsmail/A 23003-2026 tillsynsbegäran mail.docx", "A 23003-2026")</f>
        <v/>
      </c>
      <c r="AE134">
        <f>HYPERLINK("https://klasma.github.io/Logging_2180/fåglar/A 23003-2026 prioriterade fågelarter.docx", "A 23003-2026")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46271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46271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46271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46271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46271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46271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46271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46271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46271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46271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46271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46271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46271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46271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46271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46271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46271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46271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46271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46271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46271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46271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46271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46271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46271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46271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46271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46271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46271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46271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46271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46271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46271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44599</v>
      </c>
      <c r="E168" s="1" t="n">
        <v>46271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46271</v>
      </c>
      <c r="F169" t="inlineStr">
        <is>
          <t>GÄVLEBORGS LÄN</t>
        </is>
      </c>
      <c r="G169" t="inlineStr">
        <is>
          <t>GÄVLE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46271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46271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46271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46271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46271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46271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46271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46271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46271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45014</v>
      </c>
      <c r="E179" s="1" t="n">
        <v>46271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46271</v>
      </c>
      <c r="F180" t="inlineStr">
        <is>
          <t>GÄVLEBORGS LÄN</t>
        </is>
      </c>
      <c r="G180" t="inlineStr">
        <is>
          <t>GÄVLE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46271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46271</v>
      </c>
      <c r="F182" t="inlineStr">
        <is>
          <t>GÄVLEBORGS LÄN</t>
        </is>
      </c>
      <c r="G182" t="inlineStr">
        <is>
          <t>GÄVLE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46271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46271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46271</v>
      </c>
      <c r="F185" t="inlineStr">
        <is>
          <t>GÄVLEBORGS LÄN</t>
        </is>
      </c>
      <c r="G185" t="inlineStr">
        <is>
          <t>GÄVLE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46271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44637</v>
      </c>
      <c r="E187" s="1" t="n">
        <v>46271</v>
      </c>
      <c r="F187" t="inlineStr">
        <is>
          <t>GÄVLEBORGS LÄN</t>
        </is>
      </c>
      <c r="G187" t="inlineStr">
        <is>
          <t>GÄVLE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44656</v>
      </c>
      <c r="E188" s="1" t="n">
        <v>46271</v>
      </c>
      <c r="F188" t="inlineStr">
        <is>
          <t>GÄVLEBORGS LÄN</t>
        </is>
      </c>
      <c r="G188" t="inlineStr">
        <is>
          <t>GÄVLE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46271</v>
      </c>
      <c r="F189" t="inlineStr">
        <is>
          <t>GÄVLEBORGS LÄN</t>
        </is>
      </c>
      <c r="G189" t="inlineStr">
        <is>
          <t>GÄVLE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46271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46271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46271</v>
      </c>
      <c r="F192" t="inlineStr">
        <is>
          <t>GÄVLEBORGS LÄN</t>
        </is>
      </c>
      <c r="G192" t="inlineStr">
        <is>
          <t>GÄVLE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46271</v>
      </c>
      <c r="F193" t="inlineStr">
        <is>
          <t>GÄVLEBORGS LÄN</t>
        </is>
      </c>
      <c r="G193" t="inlineStr">
        <is>
          <t>GÄVLE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46271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46271</v>
      </c>
      <c r="F195" t="inlineStr">
        <is>
          <t>GÄVLEBORGS LÄN</t>
        </is>
      </c>
      <c r="G195" t="inlineStr">
        <is>
          <t>GÄVLE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46271</v>
      </c>
      <c r="F196" t="inlineStr">
        <is>
          <t>GÄVLEBORGS LÄN</t>
        </is>
      </c>
      <c r="G196" t="inlineStr">
        <is>
          <t>GÄVLE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46271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46271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46271</v>
      </c>
      <c r="F199" t="inlineStr">
        <is>
          <t>GÄVLEBORGS LÄN</t>
        </is>
      </c>
      <c r="G199" t="inlineStr">
        <is>
          <t>GÄVLE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46271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46271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46271</v>
      </c>
      <c r="F202" t="inlineStr">
        <is>
          <t>GÄVLEBORGS LÄN</t>
        </is>
      </c>
      <c r="G202" t="inlineStr">
        <is>
          <t>GÄVLE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44942</v>
      </c>
      <c r="E203" s="1" t="n">
        <v>46271</v>
      </c>
      <c r="F203" t="inlineStr">
        <is>
          <t>GÄVLEBORGS LÄN</t>
        </is>
      </c>
      <c r="G203" t="inlineStr">
        <is>
          <t>GÄVLE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46271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46271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46271</v>
      </c>
      <c r="F206" t="inlineStr">
        <is>
          <t>GÄVLEBORGS LÄN</t>
        </is>
      </c>
      <c r="G206" t="inlineStr">
        <is>
          <t>GÄVLE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46271</v>
      </c>
      <c r="F207" t="inlineStr">
        <is>
          <t>GÄVLEBORGS LÄN</t>
        </is>
      </c>
      <c r="G207" t="inlineStr">
        <is>
          <t>GÄVLE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46271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46271</v>
      </c>
      <c r="F209" t="inlineStr">
        <is>
          <t>GÄVLEBORGS LÄN</t>
        </is>
      </c>
      <c r="G209" t="inlineStr">
        <is>
          <t>GÄVLE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46271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46271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46271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45505</v>
      </c>
      <c r="E213" s="1" t="n">
        <v>46271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46271</v>
      </c>
      <c r="F214" t="inlineStr">
        <is>
          <t>GÄVLEBORGS LÄN</t>
        </is>
      </c>
      <c r="G214" t="inlineStr">
        <is>
          <t>GÄVLE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19095-2022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44691</v>
      </c>
      <c r="E215" s="1" t="n">
        <v>46271</v>
      </c>
      <c r="F215" t="inlineStr">
        <is>
          <t>GÄVLEBORGS LÄN</t>
        </is>
      </c>
      <c r="G215" t="inlineStr">
        <is>
          <t>GÄVLE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46271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71249-2021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46271</v>
      </c>
      <c r="F217" t="inlineStr">
        <is>
          <t>GÄVLEBORGS LÄN</t>
        </is>
      </c>
      <c r="G217" t="inlineStr">
        <is>
          <t>GÄVLE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46271</v>
      </c>
      <c r="F218" t="inlineStr">
        <is>
          <t>GÄVLEBORGS LÄN</t>
        </is>
      </c>
      <c r="G218" t="inlineStr">
        <is>
          <t>GÄVLE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46019</v>
      </c>
      <c r="E219" s="1" t="n">
        <v>46271</v>
      </c>
      <c r="F219" t="inlineStr">
        <is>
          <t>GÄVLEBORGS LÄN</t>
        </is>
      </c>
      <c r="G219" t="inlineStr">
        <is>
          <t>GÄVLE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46271</v>
      </c>
      <c r="F220" t="inlineStr">
        <is>
          <t>GÄVLEBORGS LÄN</t>
        </is>
      </c>
      <c r="G220" t="inlineStr">
        <is>
          <t>GÄVLE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46271</v>
      </c>
      <c r="F221" t="inlineStr">
        <is>
          <t>GÄVLEBORGS LÄN</t>
        </is>
      </c>
      <c r="G221" t="inlineStr">
        <is>
          <t>GÄVLE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46271</v>
      </c>
      <c r="F222" t="inlineStr">
        <is>
          <t>GÄVLEBORGS LÄN</t>
        </is>
      </c>
      <c r="G222" t="inlineStr">
        <is>
          <t>GÄVLE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46019</v>
      </c>
      <c r="E223" s="1" t="n">
        <v>46271</v>
      </c>
      <c r="F223" t="inlineStr">
        <is>
          <t>GÄVLEBORGS LÄN</t>
        </is>
      </c>
      <c r="G223" t="inlineStr">
        <is>
          <t>GÄVLE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46271</v>
      </c>
      <c r="F224" t="inlineStr">
        <is>
          <t>GÄVLEBORGS LÄN</t>
        </is>
      </c>
      <c r="G224" t="inlineStr">
        <is>
          <t>GÄVLE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46271</v>
      </c>
      <c r="F225" t="inlineStr">
        <is>
          <t>GÄVLEBORGS LÄN</t>
        </is>
      </c>
      <c r="G225" t="inlineStr">
        <is>
          <t>GÄVLE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26564-2022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44739</v>
      </c>
      <c r="E226" s="1" t="n">
        <v>46271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46271</v>
      </c>
      <c r="F227" t="inlineStr">
        <is>
          <t>GÄVLEBORGS LÄN</t>
        </is>
      </c>
      <c r="G227" t="inlineStr">
        <is>
          <t>GÄVLE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46271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46271</v>
      </c>
      <c r="F229" t="inlineStr">
        <is>
          <t>GÄVLEBORGS LÄN</t>
        </is>
      </c>
      <c r="G229" t="inlineStr">
        <is>
          <t>GÄVLE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46271</v>
      </c>
      <c r="F230" t="inlineStr">
        <is>
          <t>GÄVLEBORGS LÄN</t>
        </is>
      </c>
      <c r="G230" t="inlineStr">
        <is>
          <t>GÄVLE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46022</v>
      </c>
      <c r="E231" s="1" t="n">
        <v>46271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46271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50871-2022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44867</v>
      </c>
      <c r="E233" s="1" t="n">
        <v>46271</v>
      </c>
      <c r="F233" t="inlineStr">
        <is>
          <t>GÄVLEBORGS LÄN</t>
        </is>
      </c>
      <c r="G233" t="inlineStr">
        <is>
          <t>GÄVLE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44693</v>
      </c>
      <c r="E234" s="1" t="n">
        <v>46271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46271</v>
      </c>
      <c r="F235" t="inlineStr">
        <is>
          <t>GÄVLEBORGS LÄN</t>
        </is>
      </c>
      <c r="G235" t="inlineStr">
        <is>
          <t>GÄVLE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46271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10001-2025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46271</v>
      </c>
      <c r="F237" t="inlineStr">
        <is>
          <t>GÄVLEBORGS LÄN</t>
        </is>
      </c>
      <c r="G237" t="inlineStr">
        <is>
          <t>GÄVLE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46271</v>
      </c>
      <c r="F238" t="inlineStr">
        <is>
          <t>GÄVLEBORGS LÄN</t>
        </is>
      </c>
      <c r="G238" t="inlineStr">
        <is>
          <t>GÄVLE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46271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46271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46271</v>
      </c>
      <c r="F241" t="inlineStr">
        <is>
          <t>GÄVLEBORGS LÄN</t>
        </is>
      </c>
      <c r="G241" t="inlineStr">
        <is>
          <t>GÄVLE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46271</v>
      </c>
      <c r="F242" t="inlineStr">
        <is>
          <t>GÄVLEBORGS LÄN</t>
        </is>
      </c>
      <c r="G242" t="inlineStr">
        <is>
          <t>GÄVLE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44733</v>
      </c>
      <c r="E243" s="1" t="n">
        <v>46271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46271</v>
      </c>
      <c r="F244" t="inlineStr">
        <is>
          <t>GÄVLEBORGS LÄN</t>
        </is>
      </c>
      <c r="G244" t="inlineStr">
        <is>
          <t>GÄVLE</t>
        </is>
      </c>
      <c r="I244" t="n">
        <v>13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46271</v>
      </c>
      <c r="F245" t="inlineStr">
        <is>
          <t>GÄVLEBORGS LÄN</t>
        </is>
      </c>
      <c r="G245" t="inlineStr">
        <is>
          <t>GÄVLE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46271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46271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45652</v>
      </c>
      <c r="E248" s="1" t="n">
        <v>46271</v>
      </c>
      <c r="F248" t="inlineStr">
        <is>
          <t>GÄVLEBORGS LÄN</t>
        </is>
      </c>
      <c r="G248" t="inlineStr">
        <is>
          <t>GÄVLE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46271</v>
      </c>
      <c r="F249" t="inlineStr">
        <is>
          <t>GÄVLEBORGS LÄN</t>
        </is>
      </c>
      <c r="G249" t="inlineStr">
        <is>
          <t>GÄVLE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46271</v>
      </c>
      <c r="F250" t="inlineStr">
        <is>
          <t>GÄVLEBORGS LÄN</t>
        </is>
      </c>
      <c r="G250" t="inlineStr">
        <is>
          <t>GÄVLE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46271</v>
      </c>
      <c r="F251" t="inlineStr">
        <is>
          <t>GÄVLEBORGS LÄN</t>
        </is>
      </c>
      <c r="G251" t="inlineStr">
        <is>
          <t>GÄVLE</t>
        </is>
      </c>
      <c r="H251" t="inlineStr">
        <is>
          <t>Kyrkan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45895</v>
      </c>
      <c r="E252" s="1" t="n">
        <v>46271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46271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46271</v>
      </c>
      <c r="F254" t="inlineStr">
        <is>
          <t>GÄVLEBORGS LÄN</t>
        </is>
      </c>
      <c r="G254" t="inlineStr">
        <is>
          <t>GÄVLE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45030</v>
      </c>
      <c r="E255" s="1" t="n">
        <v>46271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46271</v>
      </c>
      <c r="F256" t="inlineStr">
        <is>
          <t>GÄVLEBORGS LÄN</t>
        </is>
      </c>
      <c r="G256" t="inlineStr">
        <is>
          <t>GÄVLE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46271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46271</v>
      </c>
      <c r="F258" t="inlineStr">
        <is>
          <t>GÄVLEBORGS LÄN</t>
        </is>
      </c>
      <c r="G258" t="inlineStr">
        <is>
          <t>GÄVLE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46271</v>
      </c>
      <c r="F259" t="inlineStr">
        <is>
          <t>GÄVLEBORGS LÄN</t>
        </is>
      </c>
      <c r="G259" t="inlineStr">
        <is>
          <t>GÄVLE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30202-2025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45827</v>
      </c>
      <c r="E260" s="1" t="n">
        <v>46271</v>
      </c>
      <c r="F260" t="inlineStr">
        <is>
          <t>GÄVLEBORGS LÄN</t>
        </is>
      </c>
      <c r="G260" t="inlineStr">
        <is>
          <t>GÄVLE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46271</v>
      </c>
      <c r="F261" t="inlineStr">
        <is>
          <t>GÄVLEBORGS LÄN</t>
        </is>
      </c>
      <c r="G261" t="inlineStr">
        <is>
          <t>GÄVLE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46271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46271</v>
      </c>
      <c r="F263" t="inlineStr">
        <is>
          <t>GÄVLEBORGS LÄN</t>
        </is>
      </c>
      <c r="G263" t="inlineStr">
        <is>
          <t>GÄVLE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46271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46271</v>
      </c>
      <c r="F265" t="inlineStr">
        <is>
          <t>GÄVLEBORGS LÄN</t>
        </is>
      </c>
      <c r="G265" t="inlineStr">
        <is>
          <t>GÄVLE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46271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46271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46271</v>
      </c>
      <c r="F269" t="inlineStr">
        <is>
          <t>GÄVLEBORGS LÄN</t>
        </is>
      </c>
      <c r="G269" t="inlineStr">
        <is>
          <t>GÄVLE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46271</v>
      </c>
      <c r="F270" t="inlineStr">
        <is>
          <t>GÄVLEBORGS LÄN</t>
        </is>
      </c>
      <c r="G270" t="inlineStr">
        <is>
          <t>GÄVLE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46271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46271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30304-2025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46271</v>
      </c>
      <c r="F273" t="inlineStr">
        <is>
          <t>GÄVLEBORGS LÄN</t>
        </is>
      </c>
      <c r="G273" t="inlineStr">
        <is>
          <t>GÄVLE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46271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46271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46271</v>
      </c>
      <c r="F276" t="inlineStr">
        <is>
          <t>GÄVLEBORGS LÄN</t>
        </is>
      </c>
      <c r="G276" t="inlineStr">
        <is>
          <t>GÄVLE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45902</v>
      </c>
      <c r="E277" s="1" t="n">
        <v>46271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46271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46271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46271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46271</v>
      </c>
      <c r="F281" t="inlineStr">
        <is>
          <t>GÄVLEBORGS LÄN</t>
        </is>
      </c>
      <c r="G281" t="inlineStr">
        <is>
          <t>GÄVLE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46271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46271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46271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46271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46271</v>
      </c>
      <c r="F286" t="inlineStr">
        <is>
          <t>GÄVLEBORGS LÄN</t>
        </is>
      </c>
      <c r="G286" t="inlineStr">
        <is>
          <t>GÄVLE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45324</v>
      </c>
      <c r="E287" s="1" t="n">
        <v>46271</v>
      </c>
      <c r="F287" t="inlineStr">
        <is>
          <t>GÄVLEBORGS LÄN</t>
        </is>
      </c>
      <c r="G287" t="inlineStr">
        <is>
          <t>GÄVLE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43356-2025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46271</v>
      </c>
      <c r="F288" t="inlineStr">
        <is>
          <t>GÄVLEBORGS LÄN</t>
        </is>
      </c>
      <c r="G288" t="inlineStr">
        <is>
          <t>GÄVLE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46271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46271</v>
      </c>
      <c r="F290" t="inlineStr">
        <is>
          <t>GÄVLEBORGS LÄN</t>
        </is>
      </c>
      <c r="G290" t="inlineStr">
        <is>
          <t>GÄVLE</t>
        </is>
      </c>
      <c r="H290" t="inlineStr">
        <is>
          <t>Kyrkan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46271</v>
      </c>
      <c r="F291" t="inlineStr">
        <is>
          <t>GÄVLEBORGS LÄN</t>
        </is>
      </c>
      <c r="G291" t="inlineStr">
        <is>
          <t>GÄVLE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46271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46271</v>
      </c>
      <c r="F293" t="inlineStr">
        <is>
          <t>GÄVLEBORGS LÄN</t>
        </is>
      </c>
      <c r="G293" t="inlineStr">
        <is>
          <t>GÄVLE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46271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46271</v>
      </c>
      <c r="F295" t="inlineStr">
        <is>
          <t>GÄVLEBORGS LÄN</t>
        </is>
      </c>
      <c r="G295" t="inlineStr">
        <is>
          <t>GÄVLE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46271</v>
      </c>
      <c r="F296" t="inlineStr">
        <is>
          <t>GÄVLEBORGS LÄN</t>
        </is>
      </c>
      <c r="G296" t="inlineStr">
        <is>
          <t>GÄVLE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45850-2025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45923</v>
      </c>
      <c r="E297" s="1" t="n">
        <v>46271</v>
      </c>
      <c r="F297" t="inlineStr">
        <is>
          <t>GÄVLEBORGS LÄN</t>
        </is>
      </c>
      <c r="G297" t="inlineStr">
        <is>
          <t>GÄVLE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46271</v>
      </c>
      <c r="F298" t="inlineStr">
        <is>
          <t>GÄVLEBORGS LÄN</t>
        </is>
      </c>
      <c r="G298" t="inlineStr">
        <is>
          <t>GÄVLE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45784</v>
      </c>
      <c r="E299" s="1" t="n">
        <v>46271</v>
      </c>
      <c r="F299" t="inlineStr">
        <is>
          <t>GÄVLEBORGS LÄN</t>
        </is>
      </c>
      <c r="G299" t="inlineStr">
        <is>
          <t>GÄVLE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46271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46271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46271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46271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45845</v>
      </c>
      <c r="E304" s="1" t="n">
        <v>46271</v>
      </c>
      <c r="F304" t="inlineStr">
        <is>
          <t>GÄVLEBORGS LÄN</t>
        </is>
      </c>
      <c r="G304" t="inlineStr">
        <is>
          <t>GÄVLE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46271</v>
      </c>
      <c r="F305" t="inlineStr">
        <is>
          <t>GÄVLEBORGS LÄN</t>
        </is>
      </c>
      <c r="G305" t="inlineStr">
        <is>
          <t>GÄVLE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45463</v>
      </c>
      <c r="E306" s="1" t="n">
        <v>46271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44951</v>
      </c>
      <c r="E307" s="1" t="n">
        <v>46271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46271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46271</v>
      </c>
      <c r="F309" t="inlineStr">
        <is>
          <t>GÄVLEBORGS LÄN</t>
        </is>
      </c>
      <c r="G309" t="inlineStr">
        <is>
          <t>GÄVLE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46271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46271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46271</v>
      </c>
      <c r="F312" t="inlineStr">
        <is>
          <t>GÄVLEBORGS LÄN</t>
        </is>
      </c>
      <c r="G312" t="inlineStr">
        <is>
          <t>GÄVLE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45848</v>
      </c>
      <c r="E313" s="1" t="n">
        <v>46271</v>
      </c>
      <c r="F313" t="inlineStr">
        <is>
          <t>GÄVLEBORGS LÄN</t>
        </is>
      </c>
      <c r="G313" t="inlineStr">
        <is>
          <t>GÄVLE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46271</v>
      </c>
      <c r="F314" t="inlineStr">
        <is>
          <t>GÄVLEBORGS LÄN</t>
        </is>
      </c>
      <c r="G314" t="inlineStr">
        <is>
          <t>GÄVLE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45540</v>
      </c>
      <c r="E315" s="1" t="n">
        <v>46271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46271</v>
      </c>
      <c r="F316" t="inlineStr">
        <is>
          <t>GÄVLEBORGS LÄN</t>
        </is>
      </c>
      <c r="G316" t="inlineStr">
        <is>
          <t>GÄVLE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46271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46271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46271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46271</v>
      </c>
      <c r="F320" t="inlineStr">
        <is>
          <t>GÄVLEBORGS LÄN</t>
        </is>
      </c>
      <c r="G320" t="inlineStr">
        <is>
          <t>GÄVLE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46271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45854</v>
      </c>
      <c r="E322" s="1" t="n">
        <v>46271</v>
      </c>
      <c r="F322" t="inlineStr">
        <is>
          <t>GÄVLEBORGS LÄN</t>
        </is>
      </c>
      <c r="G322" t="inlineStr">
        <is>
          <t>GÄVLE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46271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46271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46271</v>
      </c>
      <c r="F325" t="inlineStr">
        <is>
          <t>GÄVLEBORGS LÄN</t>
        </is>
      </c>
      <c r="G325" t="inlineStr">
        <is>
          <t>GÄVLE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46271</v>
      </c>
      <c r="F326" t="inlineStr">
        <is>
          <t>GÄVLEBORGS LÄN</t>
        </is>
      </c>
      <c r="G326" t="inlineStr">
        <is>
          <t>GÄVLE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46271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46271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10352-2025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45720</v>
      </c>
      <c r="E329" s="1" t="n">
        <v>46271</v>
      </c>
      <c r="F329" t="inlineStr">
        <is>
          <t>GÄVLEBORGS LÄN</t>
        </is>
      </c>
      <c r="G329" t="inlineStr">
        <is>
          <t>GÄVLE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45862</v>
      </c>
      <c r="E330" s="1" t="n">
        <v>46271</v>
      </c>
      <c r="F330" t="inlineStr">
        <is>
          <t>GÄVLEBORGS LÄN</t>
        </is>
      </c>
      <c r="G330" t="inlineStr">
        <is>
          <t>GÄVLE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46271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45862</v>
      </c>
      <c r="E332" s="1" t="n">
        <v>46271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35919-2025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45862</v>
      </c>
      <c r="E333" s="1" t="n">
        <v>46271</v>
      </c>
      <c r="F333" t="inlineStr">
        <is>
          <t>GÄVLEBORGS LÄN</t>
        </is>
      </c>
      <c r="G333" t="inlineStr">
        <is>
          <t>GÄVLE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46271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46271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46271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46271</v>
      </c>
      <c r="F337" t="inlineStr">
        <is>
          <t>GÄVLEBORGS LÄN</t>
        </is>
      </c>
      <c r="G337" t="inlineStr">
        <is>
          <t>GÄVLE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46271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46271</v>
      </c>
      <c r="F339" t="inlineStr">
        <is>
          <t>GÄVLEBORGS LÄN</t>
        </is>
      </c>
      <c r="G339" t="inlineStr">
        <is>
          <t>GÄVLE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46271</v>
      </c>
      <c r="F340" t="inlineStr">
        <is>
          <t>GÄVLEBORGS LÄN</t>
        </is>
      </c>
      <c r="G340" t="inlineStr">
        <is>
          <t>GÄVLE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45084</v>
      </c>
      <c r="E341" s="1" t="n">
        <v>46271</v>
      </c>
      <c r="F341" t="inlineStr">
        <is>
          <t>GÄVLEBORGS LÄN</t>
        </is>
      </c>
      <c r="G341" t="inlineStr">
        <is>
          <t>GÄVLE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46271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46271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46271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46271</v>
      </c>
      <c r="F345" t="inlineStr">
        <is>
          <t>GÄVLEBORGS LÄN</t>
        </is>
      </c>
      <c r="G345" t="inlineStr">
        <is>
          <t>GÄVLE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46271</v>
      </c>
      <c r="F346" t="inlineStr">
        <is>
          <t>GÄVLEBORGS LÄN</t>
        </is>
      </c>
      <c r="G346" t="inlineStr">
        <is>
          <t>GÄVLE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46271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65879-2021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44517</v>
      </c>
      <c r="E348" s="1" t="n">
        <v>46271</v>
      </c>
      <c r="F348" t="inlineStr">
        <is>
          <t>GÄVLEBORGS LÄN</t>
        </is>
      </c>
      <c r="G348" t="inlineStr">
        <is>
          <t>GÄVLE</t>
        </is>
      </c>
      <c r="H348" t="inlineStr">
        <is>
          <t>Kyrkan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45869</v>
      </c>
      <c r="E349" s="1" t="n">
        <v>46271</v>
      </c>
      <c r="F349" t="inlineStr">
        <is>
          <t>GÄVLEBORGS LÄN</t>
        </is>
      </c>
      <c r="G349" t="inlineStr">
        <is>
          <t>GÄVLE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46271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46271</v>
      </c>
      <c r="F351" t="inlineStr">
        <is>
          <t>GÄVLEBORGS LÄN</t>
        </is>
      </c>
      <c r="G351" t="inlineStr">
        <is>
          <t>GÄVLE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46271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46271</v>
      </c>
      <c r="F353" t="inlineStr">
        <is>
          <t>GÄVLEBORGS LÄN</t>
        </is>
      </c>
      <c r="G353" t="inlineStr">
        <is>
          <t>GÄVLE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70043-2021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44533</v>
      </c>
      <c r="E354" s="1" t="n">
        <v>46271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46271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46271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46271</v>
      </c>
      <c r="F357" t="inlineStr">
        <is>
          <t>GÄVLEBORGS LÄN</t>
        </is>
      </c>
      <c r="G357" t="inlineStr">
        <is>
          <t>GÄVLE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46271</v>
      </c>
      <c r="F358" t="inlineStr">
        <is>
          <t>GÄVLEBORGS LÄN</t>
        </is>
      </c>
      <c r="G358" t="inlineStr">
        <is>
          <t>GÄVLE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45953</v>
      </c>
      <c r="E359" s="1" t="n">
        <v>46271</v>
      </c>
      <c r="F359" t="inlineStr">
        <is>
          <t>GÄVLEBORGS LÄN</t>
        </is>
      </c>
      <c r="G359" t="inlineStr">
        <is>
          <t>GÄVLE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46271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45593</v>
      </c>
      <c r="E361" s="1" t="n">
        <v>46271</v>
      </c>
      <c r="F361" t="inlineStr">
        <is>
          <t>GÄVLEBORGS LÄN</t>
        </is>
      </c>
      <c r="G361" t="inlineStr">
        <is>
          <t>GÄVLE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46271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52970-2025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45957</v>
      </c>
      <c r="E363" s="1" t="n">
        <v>46271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45468</v>
      </c>
      <c r="E364" s="1" t="n">
        <v>46271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46271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46271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46271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46271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45957</v>
      </c>
      <c r="E369" s="1" t="n">
        <v>46271</v>
      </c>
      <c r="F369" t="inlineStr">
        <is>
          <t>GÄVLEBORGS LÄN</t>
        </is>
      </c>
      <c r="G369" t="inlineStr">
        <is>
          <t>GÄVLE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46271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18162-2022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44684</v>
      </c>
      <c r="E371" s="1" t="n">
        <v>46271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46271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46271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46271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45884</v>
      </c>
      <c r="E375" s="1" t="n">
        <v>46271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46271</v>
      </c>
      <c r="F376" t="inlineStr">
        <is>
          <t>GÄVLEBORGS LÄN</t>
        </is>
      </c>
      <c r="G376" t="inlineStr">
        <is>
          <t>GÄVLE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46271</v>
      </c>
      <c r="F377" t="inlineStr">
        <is>
          <t>GÄVLEBORGS LÄN</t>
        </is>
      </c>
      <c r="G377" t="inlineStr">
        <is>
          <t>GÄVLE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46271</v>
      </c>
      <c r="F378" t="inlineStr">
        <is>
          <t>GÄVLEBORGS LÄN</t>
        </is>
      </c>
      <c r="G378" t="inlineStr">
        <is>
          <t>GÄVLE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46271</v>
      </c>
      <c r="F379" t="inlineStr">
        <is>
          <t>GÄVLEBORGS LÄN</t>
        </is>
      </c>
      <c r="G379" t="inlineStr">
        <is>
          <t>GÄVLE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46271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31062-2023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45113</v>
      </c>
      <c r="E381" s="1" t="n">
        <v>46271</v>
      </c>
      <c r="F381" t="inlineStr">
        <is>
          <t>GÄVLEBORGS LÄN</t>
        </is>
      </c>
      <c r="G381" t="inlineStr">
        <is>
          <t>GÄVLE</t>
        </is>
      </c>
      <c r="H381" t="inlineStr">
        <is>
          <t>Kommuner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26249-2022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46271</v>
      </c>
      <c r="F382" t="inlineStr">
        <is>
          <t>GÄVLEBORGS LÄN</t>
        </is>
      </c>
      <c r="G382" t="inlineStr">
        <is>
          <t>GÄVLE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46271</v>
      </c>
      <c r="F383" t="inlineStr">
        <is>
          <t>GÄVLEBORGS LÄN</t>
        </is>
      </c>
      <c r="G383" t="inlineStr">
        <is>
          <t>GÄVLE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46271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46271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46271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46271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46271</v>
      </c>
      <c r="F388" t="inlineStr">
        <is>
          <t>GÄVLEBORGS LÄN</t>
        </is>
      </c>
      <c r="G388" t="inlineStr">
        <is>
          <t>GÄVLE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46271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19555-2022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44693</v>
      </c>
      <c r="E390" s="1" t="n">
        <v>46271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46271</v>
      </c>
      <c r="F391" t="inlineStr">
        <is>
          <t>GÄVLEBORGS LÄN</t>
        </is>
      </c>
      <c r="G391" t="inlineStr">
        <is>
          <t>GÄVLE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54958-2025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46271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46271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46271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46271</v>
      </c>
      <c r="F395" t="inlineStr">
        <is>
          <t>GÄVLEBORGS LÄN</t>
        </is>
      </c>
      <c r="G395" t="inlineStr">
        <is>
          <t>GÄVLE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14553-2026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46271</v>
      </c>
      <c r="F396" t="inlineStr">
        <is>
          <t>GÄVLEBORGS LÄN</t>
        </is>
      </c>
      <c r="G396" t="inlineStr">
        <is>
          <t>GÄVLE</t>
        </is>
      </c>
      <c r="H396" t="inlineStr">
        <is>
          <t>Övriga statliga verk och myndigheter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46271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46271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46271</v>
      </c>
      <c r="F399" t="inlineStr">
        <is>
          <t>GÄVLEBORGS LÄN</t>
        </is>
      </c>
      <c r="G399" t="inlineStr">
        <is>
          <t>GÄVLE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46271</v>
      </c>
      <c r="F400" t="inlineStr">
        <is>
          <t>GÄVLEBORGS LÄN</t>
        </is>
      </c>
      <c r="G400" t="inlineStr">
        <is>
          <t>GÄVLE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45454</v>
      </c>
      <c r="E401" s="1" t="n">
        <v>46271</v>
      </c>
      <c r="F401" t="inlineStr">
        <is>
          <t>GÄVLEBORGS LÄN</t>
        </is>
      </c>
      <c r="G401" t="inlineStr">
        <is>
          <t>GÄVLE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46271</v>
      </c>
      <c r="F402" t="inlineStr">
        <is>
          <t>GÄVLEBORGS LÄN</t>
        </is>
      </c>
      <c r="G402" t="inlineStr">
        <is>
          <t>GÄVLE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45742</v>
      </c>
      <c r="E403" s="1" t="n">
        <v>46271</v>
      </c>
      <c r="F403" t="inlineStr">
        <is>
          <t>GÄVLEBORGS LÄN</t>
        </is>
      </c>
      <c r="G403" t="inlineStr">
        <is>
          <t>GÄVLE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46271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46271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46271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46271</v>
      </c>
      <c r="F407" t="inlineStr">
        <is>
          <t>GÄVLEBORGS LÄN</t>
        </is>
      </c>
      <c r="G407" t="inlineStr">
        <is>
          <t>GÄVLE</t>
        </is>
      </c>
      <c r="H407" t="inlineStr">
        <is>
          <t>Kyrkan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46271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46271</v>
      </c>
      <c r="F409" t="inlineStr">
        <is>
          <t>GÄVLEBORGS LÄN</t>
        </is>
      </c>
      <c r="G409" t="inlineStr">
        <is>
          <t>GÄVLE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46549-2021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44445</v>
      </c>
      <c r="E410" s="1" t="n">
        <v>46271</v>
      </c>
      <c r="F410" t="inlineStr">
        <is>
          <t>GÄVLEBORGS LÄN</t>
        </is>
      </c>
      <c r="G410" t="inlineStr">
        <is>
          <t>GÄVLE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46271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46271</v>
      </c>
      <c r="F412" t="inlineStr">
        <is>
          <t>GÄVLEBORGS LÄN</t>
        </is>
      </c>
      <c r="G412" t="inlineStr">
        <is>
          <t>GÄVLE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46271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46271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46271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46271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46271</v>
      </c>
      <c r="F417" t="inlineStr">
        <is>
          <t>GÄVLEBORGS LÄN</t>
        </is>
      </c>
      <c r="G417" t="inlineStr">
        <is>
          <t>GÄVLE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46271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46271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46271</v>
      </c>
      <c r="F420" t="inlineStr">
        <is>
          <t>GÄVLEBORGS LÄN</t>
        </is>
      </c>
      <c r="G420" t="inlineStr">
        <is>
          <t>GÄVLE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44735</v>
      </c>
      <c r="E421" s="1" t="n">
        <v>46271</v>
      </c>
      <c r="F421" t="inlineStr">
        <is>
          <t>GÄVLEBORGS LÄN</t>
        </is>
      </c>
      <c r="G421" t="inlineStr">
        <is>
          <t>GÄVLE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46271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46271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46271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46271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46271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44701</v>
      </c>
      <c r="E428" s="1" t="n">
        <v>46271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46271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46271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46271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32143-2024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45511</v>
      </c>
      <c r="E432" s="1" t="n">
        <v>46271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46271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46271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45586</v>
      </c>
      <c r="E435" s="1" t="n">
        <v>46271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46271</v>
      </c>
      <c r="F436" t="inlineStr">
        <is>
          <t>GÄVLEBORGS LÄN</t>
        </is>
      </c>
      <c r="G436" t="inlineStr">
        <is>
          <t>GÄVLE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46271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46271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46271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46271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18168-2022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44684</v>
      </c>
      <c r="E441" s="1" t="n">
        <v>46271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46271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46271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46271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46271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46271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46271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46271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46271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46271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46271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46271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46271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46271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46271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46271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46271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46271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46271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58925-2025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45987</v>
      </c>
      <c r="E460" s="1" t="n">
        <v>46271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46271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19730-2022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44694</v>
      </c>
      <c r="E462" s="1" t="n">
        <v>46271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45138</v>
      </c>
      <c r="E463" s="1" t="n">
        <v>46271</v>
      </c>
      <c r="F463" t="inlineStr">
        <is>
          <t>GÄVLEBORGS LÄN</t>
        </is>
      </c>
      <c r="G463" t="inlineStr">
        <is>
          <t>GÄVLE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46271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44951</v>
      </c>
      <c r="E465" s="1" t="n">
        <v>46271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44951</v>
      </c>
      <c r="E466" s="1" t="n">
        <v>46271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46079</v>
      </c>
      <c r="E467" s="1" t="n">
        <v>46271</v>
      </c>
      <c r="F467" t="inlineStr">
        <is>
          <t>GÄVLEBORGS LÄN</t>
        </is>
      </c>
      <c r="G467" t="inlineStr">
        <is>
          <t>GÄVLE</t>
        </is>
      </c>
      <c r="H467" t="inlineStr">
        <is>
          <t>Kommuner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45992</v>
      </c>
      <c r="E468" s="1" t="n">
        <v>46271</v>
      </c>
      <c r="F468" t="inlineStr">
        <is>
          <t>GÄVLEBORGS LÄN</t>
        </is>
      </c>
      <c r="G468" t="inlineStr">
        <is>
          <t>GÄVLE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46271</v>
      </c>
      <c r="F469" t="inlineStr">
        <is>
          <t>GÄVLEBORGS LÄN</t>
        </is>
      </c>
      <c r="G469" t="inlineStr">
        <is>
          <t>GÄVLE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46271</v>
      </c>
      <c r="F470" t="inlineStr">
        <is>
          <t>GÄVLEBORGS LÄN</t>
        </is>
      </c>
      <c r="G470" t="inlineStr">
        <is>
          <t>GÄVLE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46271</v>
      </c>
      <c r="F471" t="inlineStr">
        <is>
          <t>GÄVLEBORGS LÄN</t>
        </is>
      </c>
      <c r="G471" t="inlineStr">
        <is>
          <t>GÄVLE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46271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60532-2025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45995</v>
      </c>
      <c r="E473" s="1" t="n">
        <v>46271</v>
      </c>
      <c r="F473" t="inlineStr">
        <is>
          <t>GÄVLEBORGS LÄN</t>
        </is>
      </c>
      <c r="G473" t="inlineStr">
        <is>
          <t>GÄVLE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59322-2022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46271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45968</v>
      </c>
      <c r="E475" s="1" t="n">
        <v>46271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44962</v>
      </c>
      <c r="E476" s="1" t="n">
        <v>46271</v>
      </c>
      <c r="F476" t="inlineStr">
        <is>
          <t>GÄVLEBORGS LÄN</t>
        </is>
      </c>
      <c r="G476" t="inlineStr">
        <is>
          <t>GÄVLE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45660</v>
      </c>
      <c r="E477" s="1" t="n">
        <v>46271</v>
      </c>
      <c r="F477" t="inlineStr">
        <is>
          <t>GÄVLEBORGS LÄN</t>
        </is>
      </c>
      <c r="G477" t="inlineStr">
        <is>
          <t>GÄVLE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46271</v>
      </c>
      <c r="F478" t="inlineStr">
        <is>
          <t>GÄVLEBORGS LÄN</t>
        </is>
      </c>
      <c r="G478" t="inlineStr">
        <is>
          <t>GÄVLE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46271</v>
      </c>
      <c r="F479" t="inlineStr">
        <is>
          <t>GÄVLEBORGS LÄN</t>
        </is>
      </c>
      <c r="G479" t="inlineStr">
        <is>
          <t>GÄVLE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46271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46271</v>
      </c>
      <c r="F481" t="inlineStr">
        <is>
          <t>GÄVLEBORGS LÄN</t>
        </is>
      </c>
      <c r="G481" t="inlineStr">
        <is>
          <t>GÄVLE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47108-2024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45586</v>
      </c>
      <c r="E482" s="1" t="n">
        <v>46271</v>
      </c>
      <c r="F482" t="inlineStr">
        <is>
          <t>GÄVLEBORGS LÄN</t>
        </is>
      </c>
      <c r="G482" t="inlineStr">
        <is>
          <t>GÄVLE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45440</v>
      </c>
      <c r="E483" s="1" t="n">
        <v>46271</v>
      </c>
      <c r="F483" t="inlineStr">
        <is>
          <t>GÄVLEBORGS LÄN</t>
        </is>
      </c>
      <c r="G483" t="inlineStr">
        <is>
          <t>GÄVLE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47746-2023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45203</v>
      </c>
      <c r="E484" s="1" t="n">
        <v>46271</v>
      </c>
      <c r="F484" t="inlineStr">
        <is>
          <t>GÄVLEBORGS LÄN</t>
        </is>
      </c>
      <c r="G484" t="inlineStr">
        <is>
          <t>GÄVLE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46271</v>
      </c>
      <c r="F485" t="inlineStr">
        <is>
          <t>GÄVLEBORGS LÄN</t>
        </is>
      </c>
      <c r="G485" t="inlineStr">
        <is>
          <t>GÄVLE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52495-2021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44466</v>
      </c>
      <c r="E486" s="1" t="n">
        <v>46271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46271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46271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45526</v>
      </c>
      <c r="E489" s="1" t="n">
        <v>46271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46271</v>
      </c>
      <c r="F490" t="inlineStr">
        <is>
          <t>GÄVLEBORGS LÄN</t>
        </is>
      </c>
      <c r="G490" t="inlineStr">
        <is>
          <t>GÄVLE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45666</v>
      </c>
      <c r="E491" s="1" t="n">
        <v>46271</v>
      </c>
      <c r="F491" t="inlineStr">
        <is>
          <t>GÄVLEBORGS LÄN</t>
        </is>
      </c>
      <c r="G491" t="inlineStr">
        <is>
          <t>GÄVLE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46271</v>
      </c>
      <c r="F492" t="inlineStr">
        <is>
          <t>GÄVLEBORGS LÄN</t>
        </is>
      </c>
      <c r="G492" t="inlineStr">
        <is>
          <t>GÄVLE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46271</v>
      </c>
      <c r="F493" t="inlineStr">
        <is>
          <t>GÄVLEBORGS LÄN</t>
        </is>
      </c>
      <c r="G493" t="inlineStr">
        <is>
          <t>GÄVLE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46271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20689-2024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45436</v>
      </c>
      <c r="E495" s="1" t="n">
        <v>46271</v>
      </c>
      <c r="F495" t="inlineStr">
        <is>
          <t>GÄVLEBORGS LÄN</t>
        </is>
      </c>
      <c r="G495" t="inlineStr">
        <is>
          <t>GÄVLE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46271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46271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45120</v>
      </c>
      <c r="E498" s="1" t="n">
        <v>46271</v>
      </c>
      <c r="F498" t="inlineStr">
        <is>
          <t>GÄVLEBORGS LÄN</t>
        </is>
      </c>
      <c r="G498" t="inlineStr">
        <is>
          <t>GÄVLE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46271</v>
      </c>
      <c r="F499" t="inlineStr">
        <is>
          <t>GÄVLEBORGS LÄN</t>
        </is>
      </c>
      <c r="G499" t="inlineStr">
        <is>
          <t>GÄVLE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62742-2025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46271</v>
      </c>
      <c r="F500" t="inlineStr">
        <is>
          <t>GÄVLEBORGS LÄN</t>
        </is>
      </c>
      <c r="G500" t="inlineStr">
        <is>
          <t>GÄVLE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46271</v>
      </c>
      <c r="F501" t="inlineStr">
        <is>
          <t>GÄVLEBORGS LÄN</t>
        </is>
      </c>
      <c r="G501" t="inlineStr">
        <is>
          <t>GÄVLE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64868-2023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45282</v>
      </c>
      <c r="E502" s="1" t="n">
        <v>46271</v>
      </c>
      <c r="F502" t="inlineStr">
        <is>
          <t>GÄVLEBORGS LÄN</t>
        </is>
      </c>
      <c r="G502" t="inlineStr">
        <is>
          <t>GÄVLE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45672</v>
      </c>
      <c r="E503" s="1" t="n">
        <v>46271</v>
      </c>
      <c r="F503" t="inlineStr">
        <is>
          <t>GÄVLEBORGS LÄN</t>
        </is>
      </c>
      <c r="G503" t="inlineStr">
        <is>
          <t>GÄVLE</t>
        </is>
      </c>
      <c r="H503" t="inlineStr">
        <is>
          <t>Kyrkan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61016-2024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46271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45422</v>
      </c>
      <c r="E505" s="1" t="n">
        <v>46271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46271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46271</v>
      </c>
      <c r="F507" t="inlineStr">
        <is>
          <t>GÄVLEBORGS LÄN</t>
        </is>
      </c>
      <c r="G507" t="inlineStr">
        <is>
          <t>GÄVLE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46271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46271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13475-2026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46094</v>
      </c>
      <c r="E510" s="1" t="n">
        <v>46271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45058</v>
      </c>
      <c r="E511" s="1" t="n">
        <v>46271</v>
      </c>
      <c r="F511" t="inlineStr">
        <is>
          <t>GÄVLEBORGS LÄN</t>
        </is>
      </c>
      <c r="G511" t="inlineStr">
        <is>
          <t>GÄVLE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46271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46271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46271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46271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46271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46271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46271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44586</v>
      </c>
      <c r="E519" s="1" t="n">
        <v>46271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46271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46271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46271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13527-2026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46271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45658</v>
      </c>
      <c r="E524" s="1" t="n">
        <v>46271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46095</v>
      </c>
      <c r="E525" s="1" t="n">
        <v>46271</v>
      </c>
      <c r="F525" t="inlineStr">
        <is>
          <t>GÄVLEBORGS LÄN</t>
        </is>
      </c>
      <c r="G525" t="inlineStr">
        <is>
          <t>GÄVLE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66351-2021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44518</v>
      </c>
      <c r="E526" s="1" t="n">
        <v>46271</v>
      </c>
      <c r="F526" t="inlineStr">
        <is>
          <t>GÄVLEBORGS LÄN</t>
        </is>
      </c>
      <c r="G526" t="inlineStr">
        <is>
          <t>GÄVLE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46271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45084</v>
      </c>
      <c r="E528" s="1" t="n">
        <v>46271</v>
      </c>
      <c r="F528" t="inlineStr">
        <is>
          <t>GÄVLEBORGS LÄN</t>
        </is>
      </c>
      <c r="G528" t="inlineStr">
        <is>
          <t>GÄVLE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46271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46271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29929-2022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44756</v>
      </c>
      <c r="E531" s="1" t="n">
        <v>46271</v>
      </c>
      <c r="F531" t="inlineStr">
        <is>
          <t>GÄVLEBORGS LÄN</t>
        </is>
      </c>
      <c r="G531" t="inlineStr">
        <is>
          <t>GÄVLE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38673-2024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46271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46271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44936</v>
      </c>
      <c r="E534" s="1" t="n">
        <v>46271</v>
      </c>
      <c r="F534" t="inlineStr">
        <is>
          <t>GÄVLEBORGS LÄN</t>
        </is>
      </c>
      <c r="G534" t="inlineStr">
        <is>
          <t>GÄVLE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46271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46271</v>
      </c>
      <c r="F536" t="inlineStr">
        <is>
          <t>GÄVLEBORGS LÄN</t>
        </is>
      </c>
      <c r="G536" t="inlineStr">
        <is>
          <t>GÄVLE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60442-2022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44911</v>
      </c>
      <c r="E537" s="1" t="n">
        <v>46271</v>
      </c>
      <c r="F537" t="inlineStr">
        <is>
          <t>GÄVLEBORGS LÄN</t>
        </is>
      </c>
      <c r="G537" t="inlineStr">
        <is>
          <t>GÄVLE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46271</v>
      </c>
      <c r="F538" t="inlineStr">
        <is>
          <t>GÄVLEBORGS LÄN</t>
        </is>
      </c>
      <c r="G538" t="inlineStr">
        <is>
          <t>GÄVLE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61786-2024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45649</v>
      </c>
      <c r="E540" s="1" t="n">
        <v>46271</v>
      </c>
      <c r="F540" t="inlineStr">
        <is>
          <t>GÄVLEBORGS LÄN</t>
        </is>
      </c>
      <c r="G540" t="inlineStr">
        <is>
          <t>GÄVLE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46271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46271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45320</v>
      </c>
      <c r="E543" s="1" t="n">
        <v>46271</v>
      </c>
      <c r="F543" t="inlineStr">
        <is>
          <t>GÄVLEBORGS LÄN</t>
        </is>
      </c>
      <c r="G543" t="inlineStr">
        <is>
          <t>GÄVLE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15985-2026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46271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46271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46271</v>
      </c>
      <c r="F546" t="inlineStr">
        <is>
          <t>GÄVLEBORGS LÄN</t>
        </is>
      </c>
      <c r="G546" t="inlineStr">
        <is>
          <t>GÄVLE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46271</v>
      </c>
      <c r="F547" t="inlineStr">
        <is>
          <t>GÄVLEBORGS LÄN</t>
        </is>
      </c>
      <c r="G547" t="inlineStr">
        <is>
          <t>GÄVLE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44800-2024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45574</v>
      </c>
      <c r="E548" s="1" t="n">
        <v>46271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46271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46271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45312</v>
      </c>
      <c r="E551" s="1" t="n">
        <v>46271</v>
      </c>
      <c r="F551" t="inlineStr">
        <is>
          <t>GÄVLEBORGS LÄN</t>
        </is>
      </c>
      <c r="G551" t="inlineStr">
        <is>
          <t>GÄVLE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46271</v>
      </c>
      <c r="F552" t="inlineStr">
        <is>
          <t>GÄVLEBORGS LÄN</t>
        </is>
      </c>
      <c r="G552" t="inlineStr">
        <is>
          <t>GÄVLE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46271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46125</v>
      </c>
      <c r="E554" s="1" t="n">
        <v>46271</v>
      </c>
      <c r="F554" t="inlineStr">
        <is>
          <t>GÄVLEBORGS LÄN</t>
        </is>
      </c>
      <c r="G554" t="inlineStr">
        <is>
          <t>GÄVLE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46271</v>
      </c>
      <c r="F555" t="inlineStr">
        <is>
          <t>GÄVLEBORGS LÄN</t>
        </is>
      </c>
      <c r="G555" t="inlineStr">
        <is>
          <t>GÄVLE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45257</v>
      </c>
      <c r="E556" s="1" t="n">
        <v>46271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46124</v>
      </c>
      <c r="E557" s="1" t="n">
        <v>46271</v>
      </c>
      <c r="F557" t="inlineStr">
        <is>
          <t>GÄVLEBORGS LÄN</t>
        </is>
      </c>
      <c r="G557" t="inlineStr">
        <is>
          <t>GÄVLE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46124</v>
      </c>
      <c r="E558" s="1" t="n">
        <v>46271</v>
      </c>
      <c r="F558" t="inlineStr">
        <is>
          <t>GÄVLEBORGS LÄN</t>
        </is>
      </c>
      <c r="G558" t="inlineStr">
        <is>
          <t>GÄVLE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46271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46128</v>
      </c>
      <c r="E560" s="1" t="n">
        <v>46271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44651</v>
      </c>
      <c r="E561" s="1" t="n">
        <v>46271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46271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46271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46271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22.7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46271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46271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15558-2026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46271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46271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46271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36.3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45757</v>
      </c>
      <c r="E570" s="1" t="n">
        <v>46271</v>
      </c>
      <c r="F570" t="inlineStr">
        <is>
          <t>GÄVLEBORGS LÄN</t>
        </is>
      </c>
      <c r="G570" t="inlineStr">
        <is>
          <t>GÄVLE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46271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46271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46271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46271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46271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45539</v>
      </c>
      <c r="E576" s="1" t="n">
        <v>46271</v>
      </c>
      <c r="F576" t="inlineStr">
        <is>
          <t>GÄVLEBORGS LÄN</t>
        </is>
      </c>
      <c r="G576" t="inlineStr">
        <is>
          <t>GÄVLE</t>
        </is>
      </c>
      <c r="I576" t="n">
        <v>9.4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46271</v>
      </c>
      <c r="F577" t="inlineStr">
        <is>
          <t>GÄVLEBORGS LÄN</t>
        </is>
      </c>
      <c r="G577" t="inlineStr">
        <is>
          <t>GÄVLE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45660</v>
      </c>
      <c r="E578" s="1" t="n">
        <v>46271</v>
      </c>
      <c r="F578" t="inlineStr">
        <is>
          <t>GÄVLEBORGS LÄN</t>
        </is>
      </c>
      <c r="G578" t="inlineStr">
        <is>
          <t>GÄVLE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46271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46271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46271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46271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46271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46271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46271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46271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46133</v>
      </c>
      <c r="E587" s="1" t="n">
        <v>46271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46271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44000-2025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45915</v>
      </c>
      <c r="E589" s="1" t="n">
        <v>46271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46271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46271</v>
      </c>
      <c r="F591" t="inlineStr">
        <is>
          <t>GÄVLEBORGS LÄN</t>
        </is>
      </c>
      <c r="G591" t="inlineStr">
        <is>
          <t>GÄVLE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46271</v>
      </c>
      <c r="F592" t="inlineStr">
        <is>
          <t>GÄVLEBORGS LÄN</t>
        </is>
      </c>
      <c r="G592" t="inlineStr">
        <is>
          <t>GÄVLE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46271</v>
      </c>
      <c r="F593" t="inlineStr">
        <is>
          <t>GÄVLEBORGS LÄN</t>
        </is>
      </c>
      <c r="G593" t="inlineStr">
        <is>
          <t>GÄVLE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15835-2026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46271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45686</v>
      </c>
      <c r="E595" s="1" t="n">
        <v>46271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45945</v>
      </c>
      <c r="E596" s="1" t="n">
        <v>46271</v>
      </c>
      <c r="F596" t="inlineStr">
        <is>
          <t>GÄVLEBORGS LÄN</t>
        </is>
      </c>
      <c r="G596" t="inlineStr">
        <is>
          <t>GÄVLE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46271</v>
      </c>
      <c r="F597" t="inlineStr">
        <is>
          <t>GÄVLEBORGS LÄN</t>
        </is>
      </c>
      <c r="G597" t="inlineStr">
        <is>
          <t>GÄVLE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47458-2022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44853</v>
      </c>
      <c r="E598" s="1" t="n">
        <v>46271</v>
      </c>
      <c r="F598" t="inlineStr">
        <is>
          <t>GÄVLEBORGS LÄN</t>
        </is>
      </c>
      <c r="G598" t="inlineStr">
        <is>
          <t>GÄVLE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46271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44938-2022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46271</v>
      </c>
      <c r="F600" t="inlineStr">
        <is>
          <t>GÄVLEBORGS LÄN</t>
        </is>
      </c>
      <c r="G600" t="inlineStr">
        <is>
          <t>GÄVLE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26094-2025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45805</v>
      </c>
      <c r="E601" s="1" t="n">
        <v>46271</v>
      </c>
      <c r="F601" t="inlineStr">
        <is>
          <t>GÄVLEBORGS LÄN</t>
        </is>
      </c>
      <c r="G601" t="inlineStr">
        <is>
          <t>GÄVLE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13499-2026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46271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35916-2025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45862</v>
      </c>
      <c r="E603" s="1" t="n">
        <v>46271</v>
      </c>
      <c r="F603" t="inlineStr">
        <is>
          <t>GÄVLEBORGS LÄN</t>
        </is>
      </c>
      <c r="G603" t="inlineStr">
        <is>
          <t>GÄVLE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45330</v>
      </c>
      <c r="E604" s="1" t="n">
        <v>46271</v>
      </c>
      <c r="F604" t="inlineStr">
        <is>
          <t>GÄVLEBORGS LÄN</t>
        </is>
      </c>
      <c r="G604" t="inlineStr">
        <is>
          <t>GÄVLE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46271</v>
      </c>
      <c r="F605" t="inlineStr">
        <is>
          <t>GÄVLEBORGS LÄN</t>
        </is>
      </c>
      <c r="G605" t="inlineStr">
        <is>
          <t>GÄVLE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15101-2025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45744</v>
      </c>
      <c r="E606" s="1" t="n">
        <v>46271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42592-2025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45905</v>
      </c>
      <c r="E607" s="1" t="n">
        <v>46271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väst AB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45715</v>
      </c>
      <c r="E608" s="1" t="n">
        <v>46271</v>
      </c>
      <c r="F608" t="inlineStr">
        <is>
          <t>GÄVLEBORGS LÄN</t>
        </is>
      </c>
      <c r="G608" t="inlineStr">
        <is>
          <t>GÄVLE</t>
        </is>
      </c>
      <c r="H608" t="inlineStr">
        <is>
          <t>Kyrkan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46271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46271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46271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15092-2026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46271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50582-2023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45217</v>
      </c>
      <c r="E613" s="1" t="n">
        <v>46271</v>
      </c>
      <c r="F613" t="inlineStr">
        <is>
          <t>GÄVLEBORGS LÄN</t>
        </is>
      </c>
      <c r="G613" t="inlineStr">
        <is>
          <t>GÄVLE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15105-2025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45744</v>
      </c>
      <c r="E614" s="1" t="n">
        <v>46271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9235-2022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44616</v>
      </c>
      <c r="E615" s="1" t="n">
        <v>46271</v>
      </c>
      <c r="F615" t="inlineStr">
        <is>
          <t>GÄVLEBORGS LÄN</t>
        </is>
      </c>
      <c r="G615" t="inlineStr">
        <is>
          <t>GÄVLE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53082-2022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44876</v>
      </c>
      <c r="E616" s="1" t="n">
        <v>46271</v>
      </c>
      <c r="F616" t="inlineStr">
        <is>
          <t>GÄVLEBORGS LÄN</t>
        </is>
      </c>
      <c r="G616" t="inlineStr">
        <is>
          <t>GÄVLE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72734-2021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44546</v>
      </c>
      <c r="E617" s="1" t="n">
        <v>46271</v>
      </c>
      <c r="F617" t="inlineStr">
        <is>
          <t>GÄVLEBORGS LÄN</t>
        </is>
      </c>
      <c r="G617" t="inlineStr">
        <is>
          <t>GÄVLE</t>
        </is>
      </c>
      <c r="H617" t="inlineStr">
        <is>
          <t>Kommuner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46271</v>
      </c>
      <c r="F618" t="inlineStr">
        <is>
          <t>GÄVLEBORGS LÄN</t>
        </is>
      </c>
      <c r="G618" t="inlineStr">
        <is>
          <t>GÄVLE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8568-2026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46271</v>
      </c>
      <c r="F619" t="inlineStr">
        <is>
          <t>GÄVLEBORGS LÄN</t>
        </is>
      </c>
      <c r="G619" t="inlineStr">
        <is>
          <t>GÄVLE</t>
        </is>
      </c>
      <c r="I619" t="n">
        <v>9.5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46271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15275-2026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46271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53432-2021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44468</v>
      </c>
      <c r="E622" s="1" t="n">
        <v>46271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46271</v>
      </c>
      <c r="F623" t="inlineStr">
        <is>
          <t>GÄVLEBORGS LÄN</t>
        </is>
      </c>
      <c r="G623" t="inlineStr">
        <is>
          <t>GÄVLE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58445-2021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44488</v>
      </c>
      <c r="E624" s="1" t="n">
        <v>46271</v>
      </c>
      <c r="F624" t="inlineStr">
        <is>
          <t>GÄVLEBORGS LÄN</t>
        </is>
      </c>
      <c r="G624" t="inlineStr">
        <is>
          <t>GÄVLE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66493-2021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44519</v>
      </c>
      <c r="E625" s="1" t="n">
        <v>46271</v>
      </c>
      <c r="F625" t="inlineStr">
        <is>
          <t>GÄVLEBORGS LÄN</t>
        </is>
      </c>
      <c r="G625" t="inlineStr">
        <is>
          <t>GÄVLE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36512-2025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45869</v>
      </c>
      <c r="E626" s="1" t="n">
        <v>46271</v>
      </c>
      <c r="F626" t="inlineStr">
        <is>
          <t>GÄVLEBORGS LÄN</t>
        </is>
      </c>
      <c r="G626" t="inlineStr">
        <is>
          <t>GÄVLE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14355-2026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46100</v>
      </c>
      <c r="E627" s="1" t="n">
        <v>46271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46271</v>
      </c>
      <c r="F628" t="inlineStr">
        <is>
          <t>GÄVLEBORGS LÄN</t>
        </is>
      </c>
      <c r="G628" t="inlineStr">
        <is>
          <t>GÄVLE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46271</v>
      </c>
      <c r="F629" t="inlineStr">
        <is>
          <t>GÄVLEBORGS LÄN</t>
        </is>
      </c>
      <c r="G629" t="inlineStr">
        <is>
          <t>GÄVLE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6331-2022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44600</v>
      </c>
      <c r="E630" s="1" t="n">
        <v>46271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46106</v>
      </c>
      <c r="E631" s="1" t="n">
        <v>46271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45312</v>
      </c>
      <c r="E632" s="1" t="n">
        <v>46271</v>
      </c>
      <c r="F632" t="inlineStr">
        <is>
          <t>GÄVLEBORGS LÄN</t>
        </is>
      </c>
      <c r="G632" t="inlineStr">
        <is>
          <t>GÄVLE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46271</v>
      </c>
      <c r="F633" t="inlineStr">
        <is>
          <t>GÄVLEBORGS LÄN</t>
        </is>
      </c>
      <c r="G633" t="inlineStr">
        <is>
          <t>GÄVLE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46271</v>
      </c>
      <c r="F634" t="inlineStr">
        <is>
          <t>GÄVLEBORGS LÄN</t>
        </is>
      </c>
      <c r="G634" t="inlineStr">
        <is>
          <t>GÄVLE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51071-2023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45218</v>
      </c>
      <c r="E635" s="1" t="n">
        <v>46271</v>
      </c>
      <c r="F635" t="inlineStr">
        <is>
          <t>GÄVLEBORGS LÄN</t>
        </is>
      </c>
      <c r="G635" t="inlineStr">
        <is>
          <t>GÄVLE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45412</v>
      </c>
      <c r="E636" s="1" t="n">
        <v>46271</v>
      </c>
      <c r="F636" t="inlineStr">
        <is>
          <t>GÄVLEBORGS LÄN</t>
        </is>
      </c>
      <c r="G636" t="inlineStr">
        <is>
          <t>GÄVLE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10487-2026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46271</v>
      </c>
      <c r="F637" t="inlineStr">
        <is>
          <t>GÄVLEBORGS LÄN</t>
        </is>
      </c>
      <c r="G637" t="inlineStr">
        <is>
          <t>GÄVLE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16190-2026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46271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46111</v>
      </c>
      <c r="E639" s="1" t="n">
        <v>46271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46108</v>
      </c>
      <c r="E640" s="1" t="n">
        <v>46271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49401-2024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45595</v>
      </c>
      <c r="E641" s="1" t="n">
        <v>46271</v>
      </c>
      <c r="F641" t="inlineStr">
        <is>
          <t>GÄVLEBORGS LÄN</t>
        </is>
      </c>
      <c r="G641" t="inlineStr">
        <is>
          <t>GÄVLE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46539-2021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44445</v>
      </c>
      <c r="E642" s="1" t="n">
        <v>46271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20736-2026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46271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46033</v>
      </c>
      <c r="E644" s="1" t="n">
        <v>46271</v>
      </c>
      <c r="F644" t="inlineStr">
        <is>
          <t>GÄVLEBORGS LÄN</t>
        </is>
      </c>
      <c r="G644" t="inlineStr">
        <is>
          <t>GÄVLE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20785-2026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46271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64871-2023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45282</v>
      </c>
      <c r="E646" s="1" t="n">
        <v>46271</v>
      </c>
      <c r="F646" t="inlineStr">
        <is>
          <t>GÄVLEBORGS LÄN</t>
        </is>
      </c>
      <c r="G646" t="inlineStr">
        <is>
          <t>GÄVLE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64875-2023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45282</v>
      </c>
      <c r="E647" s="1" t="n">
        <v>46271</v>
      </c>
      <c r="F647" t="inlineStr">
        <is>
          <t>GÄVLEBORGS LÄN</t>
        </is>
      </c>
      <c r="G647" t="inlineStr">
        <is>
          <t>GÄVLE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64878-2023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45282</v>
      </c>
      <c r="E648" s="1" t="n">
        <v>46271</v>
      </c>
      <c r="F648" t="inlineStr">
        <is>
          <t>GÄVLEBORGS LÄN</t>
        </is>
      </c>
      <c r="G648" t="inlineStr">
        <is>
          <t>GÄVLE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45705</v>
      </c>
      <c r="E649" s="1" t="n">
        <v>46271</v>
      </c>
      <c r="F649" t="inlineStr">
        <is>
          <t>GÄVLEBORGS LÄN</t>
        </is>
      </c>
      <c r="G649" t="inlineStr">
        <is>
          <t>GÄVLE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45784</v>
      </c>
      <c r="E650" s="1" t="n">
        <v>46271</v>
      </c>
      <c r="F650" t="inlineStr">
        <is>
          <t>GÄVLEBORGS LÄN</t>
        </is>
      </c>
      <c r="G650" t="inlineStr">
        <is>
          <t>GÄVLE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20685-2026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46271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46271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46271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46271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36638-2022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46271</v>
      </c>
      <c r="F655" t="inlineStr">
        <is>
          <t>GÄVLEBORGS LÄN</t>
        </is>
      </c>
      <c r="G655" t="inlineStr">
        <is>
          <t>GÄVLE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46142</v>
      </c>
      <c r="E656" s="1" t="n">
        <v>46271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45628-2022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44845</v>
      </c>
      <c r="E657" s="1" t="n">
        <v>46271</v>
      </c>
      <c r="F657" t="inlineStr">
        <is>
          <t>GÄVLEBORGS LÄN</t>
        </is>
      </c>
      <c r="G657" t="inlineStr">
        <is>
          <t>GÄVLE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4463-2026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46271</v>
      </c>
      <c r="F658" t="inlineStr">
        <is>
          <t>GÄVLEBORGS LÄN</t>
        </is>
      </c>
      <c r="G658" t="inlineStr">
        <is>
          <t>GÄVLE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21364-2026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46271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45644</v>
      </c>
      <c r="E660" s="1" t="n">
        <v>46271</v>
      </c>
      <c r="F660" t="inlineStr">
        <is>
          <t>GÄVLEBORGS LÄN</t>
        </is>
      </c>
      <c r="G660" t="inlineStr">
        <is>
          <t>GÄVLE</t>
        </is>
      </c>
      <c r="H660" t="inlineStr">
        <is>
          <t>Kyrkan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60801-2024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45644</v>
      </c>
      <c r="E661" s="1" t="n">
        <v>46271</v>
      </c>
      <c r="F661" t="inlineStr">
        <is>
          <t>GÄVLEBORGS LÄN</t>
        </is>
      </c>
      <c r="G661" t="inlineStr">
        <is>
          <t>GÄVLE</t>
        </is>
      </c>
      <c r="H661" t="inlineStr">
        <is>
          <t>Kyrkan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21033-2026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46271</v>
      </c>
      <c r="F662" t="inlineStr">
        <is>
          <t>GÄVLEBORGS LÄN</t>
        </is>
      </c>
      <c r="G662" t="inlineStr">
        <is>
          <t>GÄVLE</t>
        </is>
      </c>
      <c r="H662" t="inlineStr">
        <is>
          <t>Kyrkan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46271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16144-2026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46271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22577-2022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44713</v>
      </c>
      <c r="E665" s="1" t="n">
        <v>46271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46271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45400</v>
      </c>
      <c r="E667" s="1" t="n">
        <v>46271</v>
      </c>
      <c r="F667" t="inlineStr">
        <is>
          <t>GÄVLEBORGS LÄN</t>
        </is>
      </c>
      <c r="G667" t="inlineStr">
        <is>
          <t>GÄVLE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46271</v>
      </c>
      <c r="F668" t="inlineStr">
        <is>
          <t>GÄVLEBORGS LÄN</t>
        </is>
      </c>
      <c r="G668" t="inlineStr">
        <is>
          <t>GÄVLE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45104</v>
      </c>
      <c r="E669" s="1" t="n">
        <v>46271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22053-2026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46153</v>
      </c>
      <c r="E670" s="1" t="n">
        <v>46271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60396-2022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44910</v>
      </c>
      <c r="E671" s="1" t="n">
        <v>46271</v>
      </c>
      <c r="F671" t="inlineStr">
        <is>
          <t>GÄVLEBORGS LÄN</t>
        </is>
      </c>
      <c r="G671" t="inlineStr">
        <is>
          <t>GÄVLE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46153</v>
      </c>
      <c r="E672" s="1" t="n">
        <v>46271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25276-2024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45462</v>
      </c>
      <c r="E673" s="1" t="n">
        <v>46271</v>
      </c>
      <c r="F673" t="inlineStr">
        <is>
          <t>GÄVLEBORGS LÄN</t>
        </is>
      </c>
      <c r="G673" t="inlineStr">
        <is>
          <t>GÄVLE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45660</v>
      </c>
      <c r="E674" s="1" t="n">
        <v>46271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45660</v>
      </c>
      <c r="E675" s="1" t="n">
        <v>46271</v>
      </c>
      <c r="F675" t="inlineStr">
        <is>
          <t>GÄVLEBORGS LÄN</t>
        </is>
      </c>
      <c r="G675" t="inlineStr">
        <is>
          <t>GÄVLE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46271</v>
      </c>
      <c r="F676" t="inlineStr">
        <is>
          <t>GÄVLEBORGS LÄN</t>
        </is>
      </c>
      <c r="G676" t="inlineStr">
        <is>
          <t>GÄVLE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46271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44741</v>
      </c>
      <c r="E678" s="1" t="n">
        <v>46271</v>
      </c>
      <c r="F678" t="inlineStr">
        <is>
          <t>GÄVLEBORGS LÄN</t>
        </is>
      </c>
      <c r="G678" t="inlineStr">
        <is>
          <t>GÄVLE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46271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46271</v>
      </c>
      <c r="F680" t="inlineStr">
        <is>
          <t>GÄVLEBORGS LÄN</t>
        </is>
      </c>
      <c r="G680" t="inlineStr">
        <is>
          <t>GÄVLE</t>
        </is>
      </c>
      <c r="H680" t="inlineStr">
        <is>
          <t>Kyrkan</t>
        </is>
      </c>
      <c r="I680" t="n">
        <v>10.1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46271</v>
      </c>
      <c r="F681" t="inlineStr">
        <is>
          <t>GÄVLEBORGS LÄN</t>
        </is>
      </c>
      <c r="G681" t="inlineStr">
        <is>
          <t>GÄVLE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46105</v>
      </c>
      <c r="E682" s="1" t="n">
        <v>46271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45350</v>
      </c>
      <c r="E683" s="1" t="n">
        <v>46271</v>
      </c>
      <c r="F683" t="inlineStr">
        <is>
          <t>GÄVLEBORGS LÄN</t>
        </is>
      </c>
      <c r="G683" t="inlineStr">
        <is>
          <t>GÄVLE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46271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61351-2021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44498</v>
      </c>
      <c r="E685" s="1" t="n">
        <v>46271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22342-2026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46271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46107</v>
      </c>
      <c r="E687" s="1" t="n">
        <v>46271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46271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53281-2024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45614</v>
      </c>
      <c r="E689" s="1" t="n">
        <v>46271</v>
      </c>
      <c r="F689" t="inlineStr">
        <is>
          <t>GÄVLEBORGS LÄN</t>
        </is>
      </c>
      <c r="G689" t="inlineStr">
        <is>
          <t>GÄVLE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45312</v>
      </c>
      <c r="E690" s="1" t="n">
        <v>46271</v>
      </c>
      <c r="F690" t="inlineStr">
        <is>
          <t>GÄVLEBORGS LÄN</t>
        </is>
      </c>
      <c r="G690" t="inlineStr">
        <is>
          <t>GÄVLE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46271</v>
      </c>
      <c r="F691" t="inlineStr">
        <is>
          <t>GÄVLEBORGS LÄN</t>
        </is>
      </c>
      <c r="G691" t="inlineStr">
        <is>
          <t>GÄVLE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15469-2026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15312-2023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45019</v>
      </c>
      <c r="E693" s="1" t="n">
        <v>46271</v>
      </c>
      <c r="F693" t="inlineStr">
        <is>
          <t>GÄVLEBORGS LÄN</t>
        </is>
      </c>
      <c r="G693" t="inlineStr">
        <is>
          <t>GÄVLE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46271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15711-2026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46271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46271</v>
      </c>
      <c r="F696" t="inlineStr">
        <is>
          <t>GÄVLEBORGS LÄN</t>
        </is>
      </c>
      <c r="G696" t="inlineStr">
        <is>
          <t>GÄVLE</t>
        </is>
      </c>
      <c r="H696" t="inlineStr">
        <is>
          <t>Kyrkan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46161</v>
      </c>
      <c r="E697" s="1" t="n">
        <v>46271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52387-2022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44874</v>
      </c>
      <c r="E698" s="1" t="n">
        <v>46271</v>
      </c>
      <c r="F698" t="inlineStr">
        <is>
          <t>GÄVLEBORGS LÄN</t>
        </is>
      </c>
      <c r="G698" t="inlineStr">
        <is>
          <t>GÄVLE</t>
        </is>
      </c>
      <c r="H698" t="inlineStr">
        <is>
          <t>Kommuner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31011-2023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45113</v>
      </c>
      <c r="E699" s="1" t="n">
        <v>46271</v>
      </c>
      <c r="F699" t="inlineStr">
        <is>
          <t>GÄVLEBORGS LÄN</t>
        </is>
      </c>
      <c r="G699" t="inlineStr">
        <is>
          <t>GÄVLE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46271</v>
      </c>
      <c r="F700" t="inlineStr">
        <is>
          <t>GÄVLEBORGS LÄN</t>
        </is>
      </c>
      <c r="G700" t="inlineStr">
        <is>
          <t>GÄVLE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23591-2026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46163</v>
      </c>
      <c r="E701" s="1" t="n">
        <v>46271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14974-2026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46271</v>
      </c>
      <c r="F702" t="inlineStr">
        <is>
          <t>GÄVLEBORGS LÄN</t>
        </is>
      </c>
      <c r="G702" t="inlineStr">
        <is>
          <t>GÄVLE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16023-2023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45026</v>
      </c>
      <c r="E703" s="1" t="n">
        <v>46271</v>
      </c>
      <c r="F703" t="inlineStr">
        <is>
          <t>GÄVLEBORGS LÄN</t>
        </is>
      </c>
      <c r="G703" t="inlineStr">
        <is>
          <t>GÄVLE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25829-2024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45467</v>
      </c>
      <c r="E704" s="1" t="n">
        <v>46271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7235-2025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45702</v>
      </c>
      <c r="E705" s="1" t="n">
        <v>46271</v>
      </c>
      <c r="F705" t="inlineStr">
        <is>
          <t>GÄVLEBORGS LÄN</t>
        </is>
      </c>
      <c r="G705" t="inlineStr">
        <is>
          <t>GÄVLE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46167</v>
      </c>
      <c r="E706" s="1" t="n">
        <v>46271</v>
      </c>
      <c r="F706" t="inlineStr">
        <is>
          <t>GÄVLEBORGS LÄN</t>
        </is>
      </c>
      <c r="G706" t="inlineStr">
        <is>
          <t>GÄVLE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71215-2021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44539</v>
      </c>
      <c r="E707" s="1" t="n">
        <v>46271</v>
      </c>
      <c r="F707" t="inlineStr">
        <is>
          <t>GÄVLEBORGS LÄN</t>
        </is>
      </c>
      <c r="G707" t="inlineStr">
        <is>
          <t>GÄVLE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61879-2024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45652</v>
      </c>
      <c r="E708" s="1" t="n">
        <v>46271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19712-2022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44694</v>
      </c>
      <c r="E709" s="1" t="n">
        <v>46271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39509-2022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44818</v>
      </c>
      <c r="E710" s="1" t="n">
        <v>46271</v>
      </c>
      <c r="F710" t="inlineStr">
        <is>
          <t>GÄVLEBORGS LÄN</t>
        </is>
      </c>
      <c r="G710" t="inlineStr">
        <is>
          <t>GÄVLE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30662-2022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44763</v>
      </c>
      <c r="E711" s="1" t="n">
        <v>46271</v>
      </c>
      <c r="F711" t="inlineStr">
        <is>
          <t>GÄVLEBORGS LÄN</t>
        </is>
      </c>
      <c r="G711" t="inlineStr">
        <is>
          <t>GÄVLE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24325-2026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46169</v>
      </c>
      <c r="E712" s="1" t="n">
        <v>46271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46271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46271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24295-2026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46271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46271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45645</v>
      </c>
      <c r="E717" s="1" t="n">
        <v>46271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46271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46271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46271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37352-2024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45540</v>
      </c>
      <c r="E721" s="1" t="n">
        <v>46271</v>
      </c>
      <c r="F721" t="inlineStr">
        <is>
          <t>GÄVLEBORGS LÄN</t>
        </is>
      </c>
      <c r="G721" t="inlineStr">
        <is>
          <t>GÄVLE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24373-2026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46271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17605-2025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45757</v>
      </c>
      <c r="E723" s="1" t="n">
        <v>46271</v>
      </c>
      <c r="F723" t="inlineStr">
        <is>
          <t>GÄVLEBORGS LÄN</t>
        </is>
      </c>
      <c r="G723" t="inlineStr">
        <is>
          <t>GÄVLE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45757</v>
      </c>
      <c r="E724" s="1" t="n">
        <v>46271</v>
      </c>
      <c r="F724" t="inlineStr">
        <is>
          <t>GÄVLEBORGS LÄN</t>
        </is>
      </c>
      <c r="G724" t="inlineStr">
        <is>
          <t>GÄVLE</t>
        </is>
      </c>
      <c r="I724" t="n">
        <v>7.6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46271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46271</v>
      </c>
      <c r="F726" t="inlineStr">
        <is>
          <t>GÄVLEBORGS LÄN</t>
        </is>
      </c>
      <c r="G726" t="inlineStr">
        <is>
          <t>GÄVLE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24810-2026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46173</v>
      </c>
      <c r="E727" s="1" t="n">
        <v>46271</v>
      </c>
      <c r="F727" t="inlineStr">
        <is>
          <t>GÄVLEBORGS LÄN</t>
        </is>
      </c>
      <c r="G727" t="inlineStr">
        <is>
          <t>GÄVLE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56487-2023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45243</v>
      </c>
      <c r="E728" s="1" t="n">
        <v>46271</v>
      </c>
      <c r="F728" t="inlineStr">
        <is>
          <t>GÄVLEBORGS LÄN</t>
        </is>
      </c>
      <c r="G728" t="inlineStr">
        <is>
          <t>GÄVLE</t>
        </is>
      </c>
      <c r="I728" t="n">
        <v>8.699999999999999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9307-2022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44616</v>
      </c>
      <c r="E729" s="1" t="n">
        <v>46271</v>
      </c>
      <c r="F729" t="inlineStr">
        <is>
          <t>GÄVLEBORGS LÄN</t>
        </is>
      </c>
      <c r="G729" t="inlineStr">
        <is>
          <t>GÄVLE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13193-2025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45735</v>
      </c>
      <c r="E730" s="1" t="n">
        <v>46271</v>
      </c>
      <c r="F730" t="inlineStr">
        <is>
          <t>GÄVLEBORGS LÄN</t>
        </is>
      </c>
      <c r="G730" t="inlineStr">
        <is>
          <t>GÄVLE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31866-2023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46271</v>
      </c>
      <c r="F731" t="inlineStr">
        <is>
          <t>GÄVLEBORGS LÄN</t>
        </is>
      </c>
      <c r="G731" t="inlineStr">
        <is>
          <t>GÄVLE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46171</v>
      </c>
      <c r="E732" s="1" t="n">
        <v>46271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21.4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46147</v>
      </c>
      <c r="E733" s="1" t="n">
        <v>46271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14807-2023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46271</v>
      </c>
      <c r="F734" t="inlineStr">
        <is>
          <t>GÄVLEBORGS LÄN</t>
        </is>
      </c>
      <c r="G734" t="inlineStr">
        <is>
          <t>GÄVLE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46176</v>
      </c>
      <c r="E735" s="1" t="n">
        <v>46271</v>
      </c>
      <c r="F735" t="inlineStr">
        <is>
          <t>GÄVLEBORGS LÄN</t>
        </is>
      </c>
      <c r="G735" t="inlineStr">
        <is>
          <t>GÄVLE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33880-2022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44790</v>
      </c>
      <c r="E736" s="1" t="n">
        <v>46271</v>
      </c>
      <c r="F736" t="inlineStr">
        <is>
          <t>GÄVLEBORGS LÄN</t>
        </is>
      </c>
      <c r="G736" t="inlineStr">
        <is>
          <t>GÄVLE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6370-2025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45699</v>
      </c>
      <c r="E737" s="1" t="n">
        <v>46271</v>
      </c>
      <c r="F737" t="inlineStr">
        <is>
          <t>GÄVLEBORGS LÄN</t>
        </is>
      </c>
      <c r="G737" t="inlineStr">
        <is>
          <t>GÄVLE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46271</v>
      </c>
      <c r="F738" t="inlineStr">
        <is>
          <t>GÄVLEBORGS LÄN</t>
        </is>
      </c>
      <c r="G738" t="inlineStr">
        <is>
          <t>GÄVLE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46800-2021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44446</v>
      </c>
      <c r="E739" s="1" t="n">
        <v>46271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11691-2024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46271</v>
      </c>
      <c r="F740" t="inlineStr">
        <is>
          <t>GÄVLEBORGS LÄN</t>
        </is>
      </c>
      <c r="G740" t="inlineStr">
        <is>
          <t>GÄVLE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62766-2022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44885</v>
      </c>
      <c r="E741" s="1" t="n">
        <v>46271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46271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46271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64873-2023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45282</v>
      </c>
      <c r="E744" s="1" t="n">
        <v>46271</v>
      </c>
      <c r="F744" t="inlineStr">
        <is>
          <t>GÄVLEBORGS LÄN</t>
        </is>
      </c>
      <c r="G744" t="inlineStr">
        <is>
          <t>GÄVLE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46271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20676-2026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46141</v>
      </c>
      <c r="E746" s="1" t="n">
        <v>46271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46271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25582-2026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46271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46271</v>
      </c>
      <c r="F749" t="inlineStr">
        <is>
          <t>GÄVLEBORGS LÄN</t>
        </is>
      </c>
      <c r="G749" t="inlineStr">
        <is>
          <t>GÄVLE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45107</v>
      </c>
      <c r="E750" s="1" t="n">
        <v>46271</v>
      </c>
      <c r="F750" t="inlineStr">
        <is>
          <t>GÄVLEBORGS LÄN</t>
        </is>
      </c>
      <c r="G750" t="inlineStr">
        <is>
          <t>GÄVLE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46177</v>
      </c>
      <c r="E751" s="1" t="n">
        <v>46271</v>
      </c>
      <c r="F751" t="inlineStr">
        <is>
          <t>GÄVLEBORGS LÄN</t>
        </is>
      </c>
      <c r="G751" t="inlineStr">
        <is>
          <t>GÄVLE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46271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26016-2026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46271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46271</v>
      </c>
      <c r="F754" t="inlineStr">
        <is>
          <t>GÄVLEBORGS LÄN</t>
        </is>
      </c>
      <c r="G754" t="inlineStr">
        <is>
          <t>GÄVLE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17088-2023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45034</v>
      </c>
      <c r="E755" s="1" t="n">
        <v>46271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7792-2023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44973</v>
      </c>
      <c r="E756" s="1" t="n">
        <v>46271</v>
      </c>
      <c r="F756" t="inlineStr">
        <is>
          <t>GÄVLEBORGS LÄN</t>
        </is>
      </c>
      <c r="G756" t="inlineStr">
        <is>
          <t>GÄVLE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45397</v>
      </c>
      <c r="E757" s="1" t="n">
        <v>46271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35761-2022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44800</v>
      </c>
      <c r="E758" s="1" t="n">
        <v>46271</v>
      </c>
      <c r="F758" t="inlineStr">
        <is>
          <t>GÄVLEBORGS LÄN</t>
        </is>
      </c>
      <c r="G758" t="inlineStr">
        <is>
          <t>GÄVLE</t>
        </is>
      </c>
      <c r="I758" t="n">
        <v>8.199999999999999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46183</v>
      </c>
      <c r="E759" s="1" t="n">
        <v>46271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26599-2026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46183</v>
      </c>
      <c r="E760" s="1" t="n">
        <v>46271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46271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46271</v>
      </c>
      <c r="F762" t="inlineStr">
        <is>
          <t>GÄVLEBORGS LÄN</t>
        </is>
      </c>
      <c r="G762" t="inlineStr">
        <is>
          <t>GÄVLE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46271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27052-2026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46271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46271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46271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46271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46271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46271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46271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27361-2026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46271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46271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27051-2026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46271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46271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27056-2026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46271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46271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46271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46188</v>
      </c>
      <c r="E778" s="1" t="n">
        <v>46271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27360-2026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46271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46271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26942-2026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46271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45266</v>
      </c>
      <c r="E782" s="1" t="n">
        <v>46271</v>
      </c>
      <c r="F782" t="inlineStr">
        <is>
          <t>GÄVLEBORGS LÄN</t>
        </is>
      </c>
      <c r="G782" t="inlineStr">
        <is>
          <t>GÄVLE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46271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46271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46271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27059-2026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46271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46271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17245-2024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45414</v>
      </c>
      <c r="E788" s="1" t="n">
        <v>46271</v>
      </c>
      <c r="F788" t="inlineStr">
        <is>
          <t>GÄVLEBORGS LÄN</t>
        </is>
      </c>
      <c r="G788" t="inlineStr">
        <is>
          <t>GÄVLE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62255-2022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44922</v>
      </c>
      <c r="E789" s="1" t="n">
        <v>46271</v>
      </c>
      <c r="F789" t="inlineStr">
        <is>
          <t>GÄVLEBORGS LÄN</t>
        </is>
      </c>
      <c r="G789" t="inlineStr">
        <is>
          <t>GÄVLE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57928-2024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45631</v>
      </c>
      <c r="E790" s="1" t="n">
        <v>46271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9422-2025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46271</v>
      </c>
      <c r="F791" t="inlineStr">
        <is>
          <t>GÄVLEBORGS LÄN</t>
        </is>
      </c>
      <c r="G791" t="inlineStr">
        <is>
          <t>GÄVLE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61843-2023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45266</v>
      </c>
      <c r="E792" s="1" t="n">
        <v>46271</v>
      </c>
      <c r="F792" t="inlineStr">
        <is>
          <t>GÄVLEBORGS LÄN</t>
        </is>
      </c>
      <c r="G792" t="inlineStr">
        <is>
          <t>GÄVLE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45660</v>
      </c>
      <c r="E793" s="1" t="n">
        <v>46271</v>
      </c>
      <c r="F793" t="inlineStr">
        <is>
          <t>GÄVLEBORGS LÄN</t>
        </is>
      </c>
      <c r="G793" t="inlineStr">
        <is>
          <t>GÄVLE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19164-2026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46132</v>
      </c>
      <c r="E794" s="1" t="n">
        <v>46271</v>
      </c>
      <c r="F794" t="inlineStr">
        <is>
          <t>GÄVLEBORGS LÄN</t>
        </is>
      </c>
      <c r="G794" t="inlineStr">
        <is>
          <t>GÄVLE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46271</v>
      </c>
      <c r="F795" t="inlineStr">
        <is>
          <t>GÄVLEBORGS LÄN</t>
        </is>
      </c>
      <c r="G795" t="inlineStr">
        <is>
          <t>GÄVLE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35440-2023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45146</v>
      </c>
      <c r="E796" s="1" t="n">
        <v>46271</v>
      </c>
      <c r="F796" t="inlineStr">
        <is>
          <t>GÄVLEBORGS LÄN</t>
        </is>
      </c>
      <c r="G796" t="inlineStr">
        <is>
          <t>GÄVLE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3662-2022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44586</v>
      </c>
      <c r="E797" s="1" t="n">
        <v>46271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45705</v>
      </c>
      <c r="E798" s="1" t="n">
        <v>46271</v>
      </c>
      <c r="F798" t="inlineStr">
        <is>
          <t>GÄVLEBORGS LÄN</t>
        </is>
      </c>
      <c r="G798" t="inlineStr">
        <is>
          <t>GÄVLE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45530</v>
      </c>
      <c r="E799" s="1" t="n">
        <v>46271</v>
      </c>
      <c r="F799" t="inlineStr">
        <is>
          <t>GÄVLEBORGS LÄN</t>
        </is>
      </c>
      <c r="G799" t="inlineStr">
        <is>
          <t>GÄVLE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44927</v>
      </c>
      <c r="E800" s="1" t="n">
        <v>46271</v>
      </c>
      <c r="F800" t="inlineStr">
        <is>
          <t>GÄVLEBORGS LÄN</t>
        </is>
      </c>
      <c r="G800" t="inlineStr">
        <is>
          <t>GÄVLE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44806-2024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45574</v>
      </c>
      <c r="E801" s="1" t="n">
        <v>46271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46271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46271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46271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28331-2026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46271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46239</v>
      </c>
      <c r="E806" s="1" t="n">
        <v>46271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52250-2024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45608</v>
      </c>
      <c r="E807" s="1" t="n">
        <v>46271</v>
      </c>
      <c r="F807" t="inlineStr">
        <is>
          <t>GÄVLEBORGS LÄN</t>
        </is>
      </c>
      <c r="G807" t="inlineStr">
        <is>
          <t>GÄVLE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30875-2022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44767</v>
      </c>
      <c r="E808" s="1" t="n">
        <v>46271</v>
      </c>
      <c r="F808" t="inlineStr">
        <is>
          <t>GÄVLEBORGS LÄN</t>
        </is>
      </c>
      <c r="G808" t="inlineStr">
        <is>
          <t>GÄVLE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60349-2022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44910</v>
      </c>
      <c r="E809" s="1" t="n">
        <v>46271</v>
      </c>
      <c r="F809" t="inlineStr">
        <is>
          <t>GÄVLEBORGS LÄN</t>
        </is>
      </c>
      <c r="G809" t="inlineStr">
        <is>
          <t>GÄVLE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41100-2024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46271</v>
      </c>
      <c r="F810" t="inlineStr">
        <is>
          <t>GÄVLEBORGS LÄN</t>
        </is>
      </c>
      <c r="G810" t="inlineStr">
        <is>
          <t>GÄVLE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46195</v>
      </c>
      <c r="E811" s="1" t="n">
        <v>46271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32436-2026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46271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46271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29494-2026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46198</v>
      </c>
      <c r="E814" s="1" t="n">
        <v>46271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29506-2026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46271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52.7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28654-2026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46271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28485-2026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46197</v>
      </c>
      <c r="E817" s="1" t="n">
        <v>46271</v>
      </c>
      <c r="F817" t="inlineStr">
        <is>
          <t>GÄVLEBORGS LÄN</t>
        </is>
      </c>
      <c r="G817" t="inlineStr">
        <is>
          <t>GÄVLE</t>
        </is>
      </c>
      <c r="H817" t="inlineStr">
        <is>
          <t>BillerudKorsnäs AB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28656-2026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46271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46271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35205-2024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46271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46271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28657-2026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46271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28658-2026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46198</v>
      </c>
      <c r="E823" s="1" t="n">
        <v>46271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16401-2025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45751</v>
      </c>
      <c r="E824" s="1" t="n">
        <v>46271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32890-2026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46244</v>
      </c>
      <c r="E825" s="1" t="n">
        <v>46271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29142-2026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46202</v>
      </c>
      <c r="E826" s="1" t="n">
        <v>46271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46202</v>
      </c>
      <c r="E827" s="1" t="n">
        <v>46271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5633-2024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45334</v>
      </c>
      <c r="E828" s="1" t="n">
        <v>46271</v>
      </c>
      <c r="F828" t="inlineStr">
        <is>
          <t>GÄVLEBORGS LÄN</t>
        </is>
      </c>
      <c r="G828" t="inlineStr">
        <is>
          <t>GÄVLE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13961-2024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45392</v>
      </c>
      <c r="E829" s="1" t="n">
        <v>46271</v>
      </c>
      <c r="F829" t="inlineStr">
        <is>
          <t>GÄVLEBORGS LÄN</t>
        </is>
      </c>
      <c r="G829" t="inlineStr">
        <is>
          <t>GÄVLE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32887-2026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46244</v>
      </c>
      <c r="E830" s="1" t="n">
        <v>46271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32888-2026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46271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25466-2023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46271</v>
      </c>
      <c r="F832" t="inlineStr">
        <is>
          <t>GÄVLEBORGS LÄN</t>
        </is>
      </c>
      <c r="G832" t="inlineStr">
        <is>
          <t>GÄVLE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7060-2022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44603</v>
      </c>
      <c r="E833" s="1" t="n">
        <v>46271</v>
      </c>
      <c r="F833" t="inlineStr">
        <is>
          <t>GÄVLEBORGS LÄN</t>
        </is>
      </c>
      <c r="G833" t="inlineStr">
        <is>
          <t>GÄVLE</t>
        </is>
      </c>
      <c r="I833" t="n">
        <v>10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41708-2023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45176</v>
      </c>
      <c r="E834" s="1" t="n">
        <v>46271</v>
      </c>
      <c r="F834" t="inlineStr">
        <is>
          <t>GÄVLEBORGS LÄN</t>
        </is>
      </c>
      <c r="G834" t="inlineStr">
        <is>
          <t>GÄVLE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45176</v>
      </c>
      <c r="E835" s="1" t="n">
        <v>46271</v>
      </c>
      <c r="F835" t="inlineStr">
        <is>
          <t>GÄVLEBORGS LÄN</t>
        </is>
      </c>
      <c r="G835" t="inlineStr">
        <is>
          <t>GÄVLE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5413-2023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44959</v>
      </c>
      <c r="E836" s="1" t="n">
        <v>46271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46246</v>
      </c>
      <c r="E837" s="1" t="n">
        <v>46271</v>
      </c>
      <c r="F837" t="inlineStr">
        <is>
          <t>GÄVLEBORGS LÄN</t>
        </is>
      </c>
      <c r="G837" t="inlineStr">
        <is>
          <t>GÄVLE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29364-2026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46203</v>
      </c>
      <c r="E838" s="1" t="n">
        <v>46271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33346-2026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46246</v>
      </c>
      <c r="E839" s="1" t="n">
        <v>46271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45685</v>
      </c>
      <c r="E840" s="1" t="n">
        <v>46271</v>
      </c>
      <c r="F840" t="inlineStr">
        <is>
          <t>GÄVLEBORGS LÄN</t>
        </is>
      </c>
      <c r="G840" t="inlineStr">
        <is>
          <t>GÄVLE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33350-2026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46246</v>
      </c>
      <c r="E841" s="1" t="n">
        <v>46271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46271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45660</v>
      </c>
      <c r="E843" s="1" t="n">
        <v>46271</v>
      </c>
      <c r="F843" t="inlineStr">
        <is>
          <t>GÄVLEBORGS LÄN</t>
        </is>
      </c>
      <c r="G843" t="inlineStr">
        <is>
          <t>GÄVLE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56138-2023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45240</v>
      </c>
      <c r="E844" s="1" t="n">
        <v>46271</v>
      </c>
      <c r="F844" t="inlineStr">
        <is>
          <t>GÄVLEBORGS LÄN</t>
        </is>
      </c>
      <c r="G844" t="inlineStr">
        <is>
          <t>GÄVLE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33231-2026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46246</v>
      </c>
      <c r="E845" s="1" t="n">
        <v>46271</v>
      </c>
      <c r="F845" t="inlineStr">
        <is>
          <t>GÄVLEBORGS LÄN</t>
        </is>
      </c>
      <c r="G845" t="inlineStr">
        <is>
          <t>GÄVLE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46246</v>
      </c>
      <c r="E846" s="1" t="n">
        <v>46271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46246</v>
      </c>
      <c r="E847" s="1" t="n">
        <v>46271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33719-2026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46271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15456-2026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46106</v>
      </c>
      <c r="E849" s="1" t="n">
        <v>46271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51758-2025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45950</v>
      </c>
      <c r="E850" s="1" t="n">
        <v>46271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33635-2024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45520</v>
      </c>
      <c r="E851" s="1" t="n">
        <v>46271</v>
      </c>
      <c r="F851" t="inlineStr">
        <is>
          <t>GÄVLEBORGS LÄN</t>
        </is>
      </c>
      <c r="G851" t="inlineStr">
        <is>
          <t>GÄVLE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46271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33586-2026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46248</v>
      </c>
      <c r="E853" s="1" t="n">
        <v>46271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25645-2023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45089</v>
      </c>
      <c r="E854" s="1" t="n">
        <v>46271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7998-2023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44973</v>
      </c>
      <c r="E855" s="1" t="n">
        <v>46271</v>
      </c>
      <c r="F855" t="inlineStr">
        <is>
          <t>GÄVLEBORGS LÄN</t>
        </is>
      </c>
      <c r="G855" t="inlineStr">
        <is>
          <t>GÄVLE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31019-2026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46206</v>
      </c>
      <c r="E856" s="1" t="n">
        <v>46271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54207-2023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45232</v>
      </c>
      <c r="E857" s="1" t="n">
        <v>46271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15935-2025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45749</v>
      </c>
      <c r="E858" s="1" t="n">
        <v>46271</v>
      </c>
      <c r="F858" t="inlineStr">
        <is>
          <t>GÄVLEBORGS LÄN</t>
        </is>
      </c>
      <c r="G858" t="inlineStr">
        <is>
          <t>GÄVLE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30324-2026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46207</v>
      </c>
      <c r="E859" s="1" t="n">
        <v>46271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22363-2026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46154</v>
      </c>
      <c r="E860" s="1" t="n">
        <v>46271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25814-2023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45090</v>
      </c>
      <c r="E861" s="1" t="n">
        <v>46271</v>
      </c>
      <c r="F861" t="inlineStr">
        <is>
          <t>GÄVLEBORGS LÄN</t>
        </is>
      </c>
      <c r="G861" t="inlineStr">
        <is>
          <t>GÄVLE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33664-2026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46248</v>
      </c>
      <c r="E862" s="1" t="n">
        <v>46271</v>
      </c>
      <c r="F862" t="inlineStr">
        <is>
          <t>GÄVLEBORGS LÄN</t>
        </is>
      </c>
      <c r="G862" t="inlineStr">
        <is>
          <t>GÄVLE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14792-2023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45014</v>
      </c>
      <c r="E863" s="1" t="n">
        <v>46271</v>
      </c>
      <c r="F863" t="inlineStr">
        <is>
          <t>GÄVLEBORGS LÄN</t>
        </is>
      </c>
      <c r="G863" t="inlineStr">
        <is>
          <t>GÄVLE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46271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45306</v>
      </c>
      <c r="E865" s="1" t="n">
        <v>46271</v>
      </c>
      <c r="F865" t="inlineStr">
        <is>
          <t>GÄVLEBORGS LÄN</t>
        </is>
      </c>
      <c r="G865" t="inlineStr">
        <is>
          <t>GÄVLE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46248</v>
      </c>
      <c r="E866" s="1" t="n">
        <v>46271</v>
      </c>
      <c r="F866" t="inlineStr">
        <is>
          <t>GÄVLEBORGS LÄN</t>
        </is>
      </c>
      <c r="G866" t="inlineStr">
        <is>
          <t>GÄVLE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33585-2026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46248</v>
      </c>
      <c r="E867" s="1" t="n">
        <v>46271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9.5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62983-2023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45272</v>
      </c>
      <c r="E868" s="1" t="n">
        <v>46271</v>
      </c>
      <c r="F868" t="inlineStr">
        <is>
          <t>GÄVLEBORGS LÄN</t>
        </is>
      </c>
      <c r="G868" t="inlineStr">
        <is>
          <t>GÄVLE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24367-2026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46169</v>
      </c>
      <c r="E869" s="1" t="n">
        <v>46271</v>
      </c>
      <c r="F869" t="inlineStr">
        <is>
          <t>GÄVLEBORGS LÄN</t>
        </is>
      </c>
      <c r="G869" t="inlineStr">
        <is>
          <t>GÄVLE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45523</v>
      </c>
      <c r="E870" s="1" t="n">
        <v>46271</v>
      </c>
      <c r="F870" t="inlineStr">
        <is>
          <t>GÄVLEBORGS LÄN</t>
        </is>
      </c>
      <c r="G870" t="inlineStr">
        <is>
          <t>GÄVLE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34033-2026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46252</v>
      </c>
      <c r="E871" s="1" t="n">
        <v>46271</v>
      </c>
      <c r="F871" t="inlineStr">
        <is>
          <t>GÄVLEBORGS LÄN</t>
        </is>
      </c>
      <c r="G871" t="inlineStr">
        <is>
          <t>GÄVLE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30600-2026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46210</v>
      </c>
      <c r="E872" s="1" t="n">
        <v>46271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46210</v>
      </c>
      <c r="E873" s="1" t="n">
        <v>46271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20621-2025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45776</v>
      </c>
      <c r="E874" s="1" t="n">
        <v>46271</v>
      </c>
      <c r="F874" t="inlineStr">
        <is>
          <t>GÄVLEBORGS LÄN</t>
        </is>
      </c>
      <c r="G874" t="inlineStr">
        <is>
          <t>GÄVLE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34415-2026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46254</v>
      </c>
      <c r="E875" s="1" t="n">
        <v>46271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34590-2026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46255</v>
      </c>
      <c r="E876" s="1" t="n">
        <v>46271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34591-2026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46255</v>
      </c>
      <c r="E877" s="1" t="n">
        <v>46271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45938-2024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45580</v>
      </c>
      <c r="E878" s="1" t="n">
        <v>46271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21431-2025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45782</v>
      </c>
      <c r="E879" s="1" t="n">
        <v>46271</v>
      </c>
      <c r="F879" t="inlineStr">
        <is>
          <t>GÄVLEBORGS LÄN</t>
        </is>
      </c>
      <c r="G879" t="inlineStr">
        <is>
          <t>GÄVLE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34593-2026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46271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34432-2026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46254</v>
      </c>
      <c r="E881" s="1" t="n">
        <v>46271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7202-2025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45702</v>
      </c>
      <c r="E882" s="1" t="n">
        <v>46271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59044-2023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45252</v>
      </c>
      <c r="E883" s="1" t="n">
        <v>46271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46213</v>
      </c>
      <c r="E884" s="1" t="n">
        <v>46271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34733-2026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46258</v>
      </c>
      <c r="E885" s="1" t="n">
        <v>46271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45322</v>
      </c>
      <c r="E886" s="1" t="n">
        <v>46271</v>
      </c>
      <c r="F886" t="inlineStr">
        <is>
          <t>GÄVLEBORGS LÄN</t>
        </is>
      </c>
      <c r="G886" t="inlineStr">
        <is>
          <t>GÄVLE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34822-2026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46258</v>
      </c>
      <c r="E887" s="1" t="n">
        <v>46271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31445-2026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46217</v>
      </c>
      <c r="E888" s="1" t="n">
        <v>46271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30948-2026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46213</v>
      </c>
      <c r="E889" s="1" t="n">
        <v>46271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7451-2025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45705</v>
      </c>
      <c r="E890" s="1" t="n">
        <v>46271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34686-2026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46258</v>
      </c>
      <c r="E891" s="1" t="n">
        <v>46271</v>
      </c>
      <c r="F891" t="inlineStr">
        <is>
          <t>GÄVLEBORGS LÄN</t>
        </is>
      </c>
      <c r="G891" t="inlineStr">
        <is>
          <t>GÄVLE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30969-2026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46213</v>
      </c>
      <c r="E892" s="1" t="n">
        <v>46271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46213</v>
      </c>
      <c r="E893" s="1" t="n">
        <v>46271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23291-2025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45791</v>
      </c>
      <c r="E894" s="1" t="n">
        <v>46271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23232-2025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45791</v>
      </c>
      <c r="E895" s="1" t="n">
        <v>46271</v>
      </c>
      <c r="F895" t="inlineStr">
        <is>
          <t>GÄVLEBORGS LÄN</t>
        </is>
      </c>
      <c r="G895" t="inlineStr">
        <is>
          <t>GÄVLE</t>
        </is>
      </c>
      <c r="I895" t="n">
        <v>10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22879-2025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45790</v>
      </c>
      <c r="E896" s="1" t="n">
        <v>46271</v>
      </c>
      <c r="F896" t="inlineStr">
        <is>
          <t>GÄVLEBORGS LÄN</t>
        </is>
      </c>
      <c r="G896" t="inlineStr">
        <is>
          <t>GÄVLE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31234-2026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46217</v>
      </c>
      <c r="E897" s="1" t="n">
        <v>46271</v>
      </c>
      <c r="F897" t="inlineStr">
        <is>
          <t>GÄVLEBORGS LÄN</t>
        </is>
      </c>
      <c r="G897" t="inlineStr">
        <is>
          <t>GÄVLE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35388-2026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46271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23324-2025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45791</v>
      </c>
      <c r="E899" s="1" t="n">
        <v>46271</v>
      </c>
      <c r="F899" t="inlineStr">
        <is>
          <t>GÄVLEBORGS LÄN</t>
        </is>
      </c>
      <c r="G899" t="inlineStr">
        <is>
          <t>GÄVLE</t>
        </is>
      </c>
      <c r="I899" t="n">
        <v>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35120-2026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46260</v>
      </c>
      <c r="E900" s="1" t="n">
        <v>46271</v>
      </c>
      <c r="F900" t="inlineStr">
        <is>
          <t>GÄVLEBORGS LÄN</t>
        </is>
      </c>
      <c r="G900" t="inlineStr">
        <is>
          <t>GÄVLE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22923-2025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45790</v>
      </c>
      <c r="E901" s="1" t="n">
        <v>46271</v>
      </c>
      <c r="F901" t="inlineStr">
        <is>
          <t>GÄVLEBORGS LÄN</t>
        </is>
      </c>
      <c r="G901" t="inlineStr">
        <is>
          <t>GÄVLE</t>
        </is>
      </c>
      <c r="I901" t="n">
        <v>20.8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35302-2026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46261</v>
      </c>
      <c r="E902" s="1" t="n">
        <v>46271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45660</v>
      </c>
      <c r="E903" s="1" t="n">
        <v>46271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35326-2026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46271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46271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35780-2026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46265</v>
      </c>
      <c r="E906" s="1" t="n">
        <v>46271</v>
      </c>
      <c r="F906" t="inlineStr">
        <is>
          <t>GÄVLEBORGS LÄN</t>
        </is>
      </c>
      <c r="G906" t="inlineStr">
        <is>
          <t>GÄVLE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24228-2025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45797</v>
      </c>
      <c r="E907" s="1" t="n">
        <v>46271</v>
      </c>
      <c r="F907" t="inlineStr">
        <is>
          <t>GÄVLEBORGS LÄN</t>
        </is>
      </c>
      <c r="G907" t="inlineStr">
        <is>
          <t>GÄVLE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55878-2024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45623</v>
      </c>
      <c r="E908" s="1" t="n">
        <v>46271</v>
      </c>
      <c r="F908" t="inlineStr">
        <is>
          <t>GÄVLEBORGS LÄN</t>
        </is>
      </c>
      <c r="G908" t="inlineStr">
        <is>
          <t>GÄVLE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35541-2026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46262</v>
      </c>
      <c r="E909" s="1" t="n">
        <v>46271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5.3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46271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35495-2026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46262</v>
      </c>
      <c r="E911" s="1" t="n">
        <v>46271</v>
      </c>
      <c r="F911" t="inlineStr">
        <is>
          <t>GÄVLEBORGS LÄN</t>
        </is>
      </c>
      <c r="G911" t="inlineStr">
        <is>
          <t>GÄVLE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35818-2026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46265</v>
      </c>
      <c r="E912" s="1" t="n">
        <v>46271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31566-2026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46223</v>
      </c>
      <c r="E913" s="1" t="n">
        <v>46271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46271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46262</v>
      </c>
      <c r="E915" s="1" t="n">
        <v>46271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46271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36132-2026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46267</v>
      </c>
      <c r="E917" s="1" t="n">
        <v>46271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36089-2026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46267</v>
      </c>
      <c r="E918" s="1" t="n">
        <v>46271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36093-2026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46267</v>
      </c>
      <c r="E919" s="1" t="n">
        <v>46271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36086-2026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46267</v>
      </c>
      <c r="E920" s="1" t="n">
        <v>46271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36512-2026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46269</v>
      </c>
      <c r="E921" s="1" t="n">
        <v>46271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36522-2026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46269</v>
      </c>
      <c r="E922" s="1" t="n">
        <v>46271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36558-2026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46269</v>
      </c>
      <c r="E923" s="1" t="n">
        <v>46271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36530-2026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46269</v>
      </c>
      <c r="E924" s="1" t="n">
        <v>46271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3425-2023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45205</v>
      </c>
      <c r="E925" s="1" t="n">
        <v>46271</v>
      </c>
      <c r="F925" t="inlineStr">
        <is>
          <t>GÄVLEBORGS LÄN</t>
        </is>
      </c>
      <c r="G925" t="inlineStr">
        <is>
          <t>GÄVLE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  <c r="Z925">
        <f>HYPERLINK("https://klasma.github.io/Logging_2180/knärot/S 3425-2023 karta knärot.png", "S 3425-2023")</f>
        <v/>
      </c>
      <c r="AA925">
        <f>HYPERLINK("https://klasma.github.io/Logging_2180/klagomål/S 3425-2023 FSC-klagomål.docx", "S 3425-2023")</f>
        <v/>
      </c>
      <c r="AB925">
        <f>HYPERLINK("https://klasma.github.io/Logging_2180/klagomålsmail/S 3425-2023 FSC-klagomål mail.docx", "S 3425-2023")</f>
        <v/>
      </c>
      <c r="AC925">
        <f>HYPERLINK("https://klasma.github.io/Logging_2180/tillsyn/S 3425-2023 tillsynsbegäran.docx", "S 3425-2023")</f>
        <v/>
      </c>
      <c r="AD925">
        <f>HYPERLINK("https://klasma.github.io/Logging_2180/tillsynsmail/S 3425-2023 tillsynsbegäran mail.docx", "S 3425-2023")</f>
        <v/>
      </c>
    </row>
    <row r="926" ht="15" customHeight="1">
      <c r="A926" t="inlineStr">
        <is>
          <t>S 889-2023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44995</v>
      </c>
      <c r="E926" s="1" t="n">
        <v>46271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13.3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886-2024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45376</v>
      </c>
      <c r="E927" s="1" t="n">
        <v>46271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2464-2024</t>
        </is>
      </c>
      <c r="B928" t="inlineStr">
        <is>
          <t>samrådsanmälan</t>
        </is>
      </c>
      <c r="C928" t="inlineStr">
        <is>
          <t>Skogsbilväg</t>
        </is>
      </c>
      <c r="D928" s="1" t="n">
        <v>45470</v>
      </c>
      <c r="E928" s="1" t="n">
        <v>46271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>
      <c r="A929" t="inlineStr">
        <is>
          <t>S 644-2026</t>
        </is>
      </c>
      <c r="B929" t="inlineStr">
        <is>
          <t>samrådsanmälan</t>
        </is>
      </c>
      <c r="C929" t="inlineStr">
        <is>
          <t>Skogsgödsling</t>
        </is>
      </c>
      <c r="D929" s="1" t="n">
        <v>46089</v>
      </c>
      <c r="E929" s="1" t="n">
        <v>46271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29.2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2026-09-06T02:05:07Z</dcterms:created>
  <dcterms:modified xmlns:dcterms="http://purl.org/dc/terms/" xmlns:xsi="http://www.w3.org/2001/XMLSchema-instance" xsi:type="dcterms:W3CDTF">2026-09-06T02:05:08Z</dcterms:modified>
</cp:coreProperties>
</file>