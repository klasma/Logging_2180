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46258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46258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46258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46258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46258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46258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46258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46258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46258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46258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46258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46258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46258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46258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46258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46258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46258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46258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46258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46258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46258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46258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56538-2022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46258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Dropptaggsvamp
Blåsippa</t>
        </is>
      </c>
      <c r="W48">
        <f>HYPERLINK("https://klasma.github.io/Logging_2180/artfynd/A 56538-2022 artfynd.xlsx", "A 56538-2022")</f>
        <v/>
      </c>
      <c r="X48">
        <f>HYPERLINK("https://klasma.github.io/Logging_2180/kartor/A 56538-2022 karta.png", "A 56538-2022")</f>
        <v/>
      </c>
      <c r="Y48">
        <f>HYPERLINK("https://klasma.github.io/Logging_2180/kartor_geotiff/A 56538-2022 georefererad karta.tif", "A 56538-2022")</f>
        <v/>
      </c>
      <c r="AA48">
        <f>HYPERLINK("https://klasma.github.io/Logging_2180/klagomål/A 56538-2022 FSC-klagomål.docx", "A 56538-2022")</f>
        <v/>
      </c>
      <c r="AB48">
        <f>HYPERLINK("https://klasma.github.io/Logging_2180/klagomålsmail/A 56538-2022 FSC-klagomål mail.docx", "A 56538-2022")</f>
        <v/>
      </c>
      <c r="AC48">
        <f>HYPERLINK("https://klasma.github.io/Logging_2180/tillsyn/A 56538-2022 tillsynsbegäran.docx", "A 56538-2022")</f>
        <v/>
      </c>
      <c r="AD48">
        <f>HYPERLINK("https://klasma.github.io/Logging_2180/tillsynsmail/A 56538-2022 tillsynsbegäran mail.docx", "A 56538-2022")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46258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46258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46258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46258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64533-2023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46258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Aspvedgnagare
Jättesvampmal</t>
        </is>
      </c>
      <c r="W53">
        <f>HYPERLINK("https://klasma.github.io/Logging_2180/artfynd/A 64533-2023 artfynd.xlsx", "A 64533-2023")</f>
        <v/>
      </c>
      <c r="X53">
        <f>HYPERLINK("https://klasma.github.io/Logging_2180/kartor/A 64533-2023 karta.png", "A 64533-2023")</f>
        <v/>
      </c>
      <c r="Y53">
        <f>HYPERLINK("https://klasma.github.io/Logging_2180/kartor_geotiff/A 64533-2023 georefererad karta.tif", "A 64533-2023")</f>
        <v/>
      </c>
      <c r="AA53">
        <f>HYPERLINK("https://klasma.github.io/Logging_2180/klagomål/A 64533-2023 FSC-klagomål.docx", "A 64533-2023")</f>
        <v/>
      </c>
      <c r="AB53">
        <f>HYPERLINK("https://klasma.github.io/Logging_2180/klagomålsmail/A 64533-2023 FSC-klagomål mail.docx", "A 64533-2023")</f>
        <v/>
      </c>
      <c r="AC53">
        <f>HYPERLINK("https://klasma.github.io/Logging_2180/tillsyn/A 64533-2023 tillsynsbegäran.docx", "A 64533-2023")</f>
        <v/>
      </c>
      <c r="AD53">
        <f>HYPERLINK("https://klasma.github.io/Logging_2180/tillsynsmail/A 64533-2023 tillsynsbegäran mail.docx", "A 64533-2023")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46258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2</v>
      </c>
      <c r="V54" s="2" t="inlineStr">
        <is>
          <t>Ullticka
Järpe</t>
        </is>
      </c>
      <c r="W54">
        <f>HYPERLINK("https://klasma.github.io/Logging_2180/artfynd/A 13727-2025 artfynd.xlsx", "A 13727-2025")</f>
        <v/>
      </c>
      <c r="X54">
        <f>HYPERLINK("https://klasma.github.io/Logging_2180/kartor/A 13727-2025 karta.png", "A 13727-2025")</f>
        <v/>
      </c>
      <c r="Y54">
        <f>HYPERLINK("https://klasma.github.io/Logging_2180/kartor_geotiff/A 13727-2025 georefererad karta.tif", "A 13727-2025")</f>
        <v/>
      </c>
      <c r="AA54">
        <f>HYPERLINK("https://klasma.github.io/Logging_2180/klagomål/A 13727-2025 FSC-klagomål.docx", "A 13727-2025")</f>
        <v/>
      </c>
      <c r="AB54">
        <f>HYPERLINK("https://klasma.github.io/Logging_2180/klagomålsmail/A 13727-2025 FSC-klagomål mail.docx", "A 13727-2025")</f>
        <v/>
      </c>
      <c r="AC54">
        <f>HYPERLINK("https://klasma.github.io/Logging_2180/tillsyn/A 13727-2025 tillsynsbegäran.docx", "A 13727-2025")</f>
        <v/>
      </c>
      <c r="AD54">
        <f>HYPERLINK("https://klasma.github.io/Logging_2180/tillsynsmail/A 13727-2025 tillsynsbegäran mail.docx", "A 13727-2025")</f>
        <v/>
      </c>
      <c r="AE54">
        <f>HYPERLINK("https://klasma.github.io/Logging_2180/fåglar/A 13727-2025 prioriterade fågelarter.docx", "A 13727-2025")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46258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6473-2024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46258</v>
      </c>
      <c r="F56" t="inlineStr">
        <is>
          <t>GÄVLEBORGS LÄN</t>
        </is>
      </c>
      <c r="G56" t="inlineStr">
        <is>
          <t>GÄVLE</t>
        </is>
      </c>
      <c r="I56" t="n">
        <v>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Nattviol</t>
        </is>
      </c>
      <c r="W56">
        <f>HYPERLINK("https://klasma.github.io/Logging_2180/artfynd/A 6473-2024 artfynd.xlsx", "A 6473-2024")</f>
        <v/>
      </c>
      <c r="X56">
        <f>HYPERLINK("https://klasma.github.io/Logging_2180/kartor/A 6473-2024 karta.png", "A 6473-2024")</f>
        <v/>
      </c>
      <c r="Y56">
        <f>HYPERLINK("https://klasma.github.io/Logging_2180/kartor_geotiff/A 6473-2024 georefererad karta.tif", "A 6473-2024")</f>
        <v/>
      </c>
      <c r="AA56">
        <f>HYPERLINK("https://klasma.github.io/Logging_2180/klagomål/A 6473-2024 FSC-klagomål.docx", "A 6473-2024")</f>
        <v/>
      </c>
      <c r="AB56">
        <f>HYPERLINK("https://klasma.github.io/Logging_2180/klagomålsmail/A 6473-2024 FSC-klagomål mail.docx", "A 6473-2024")</f>
        <v/>
      </c>
      <c r="AC56">
        <f>HYPERLINK("https://klasma.github.io/Logging_2180/tillsyn/A 6473-2024 tillsynsbegäran.docx", "A 6473-2024")</f>
        <v/>
      </c>
      <c r="AD56">
        <f>HYPERLINK("https://klasma.github.io/Logging_2180/tillsynsmail/A 6473-2024 tillsynsbegäran mail.docx", "A 6473-2024")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46258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46258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24310-2026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46169</v>
      </c>
      <c r="E59" s="1" t="n">
        <v>46258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Kattfotslav</t>
        </is>
      </c>
      <c r="W59">
        <f>HYPERLINK("https://klasma.github.io/Logging_2180/artfynd/A 24310-2026 artfynd.xlsx", "A 24310-2026")</f>
        <v/>
      </c>
      <c r="X59">
        <f>HYPERLINK("https://klasma.github.io/Logging_2180/kartor/A 24310-2026 karta.png", "A 24310-2026")</f>
        <v/>
      </c>
      <c r="Y59">
        <f>HYPERLINK("https://klasma.github.io/Logging_2180/kartor_geotiff/A 24310-2026 georefererad karta.tif", "A 24310-2026")</f>
        <v/>
      </c>
      <c r="AA59">
        <f>HYPERLINK("https://klasma.github.io/Logging_2180/klagomål/A 24310-2026 FSC-klagomål.docx", "A 24310-2026")</f>
        <v/>
      </c>
      <c r="AB59">
        <f>HYPERLINK("https://klasma.github.io/Logging_2180/klagomålsmail/A 24310-2026 FSC-klagomål mail.docx", "A 24310-2026")</f>
        <v/>
      </c>
      <c r="AC59">
        <f>HYPERLINK("https://klasma.github.io/Logging_2180/tillsyn/A 24310-2026 tillsynsbegäran.docx", "A 24310-2026")</f>
        <v/>
      </c>
      <c r="AD59">
        <f>HYPERLINK("https://klasma.github.io/Logging_2180/tillsynsmail/A 24310-2026 tillsynsbegäran mail.docx", "A 24310-2026")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46258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24915-2026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46258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Höstlåsbräken
Månlåsbräken</t>
        </is>
      </c>
      <c r="W61">
        <f>HYPERLINK("https://klasma.github.io/Logging_2180/artfynd/A 24915-2026 artfynd.xlsx", "A 24915-2026")</f>
        <v/>
      </c>
      <c r="X61">
        <f>HYPERLINK("https://klasma.github.io/Logging_2180/kartor/A 24915-2026 karta.png", "A 24915-2026")</f>
        <v/>
      </c>
      <c r="Y61">
        <f>HYPERLINK("https://klasma.github.io/Logging_2180/kartor_geotiff/A 24915-2026 georefererad karta.tif", "A 24915-2026")</f>
        <v/>
      </c>
      <c r="AA61">
        <f>HYPERLINK("https://klasma.github.io/Logging_2180/klagomål/A 24915-2026 FSC-klagomål.docx", "A 24915-2026")</f>
        <v/>
      </c>
      <c r="AB61">
        <f>HYPERLINK("https://klasma.github.io/Logging_2180/klagomålsmail/A 24915-2026 FSC-klagomål mail.docx", "A 24915-2026")</f>
        <v/>
      </c>
      <c r="AC61">
        <f>HYPERLINK("https://klasma.github.io/Logging_2180/tillsyn/A 24915-2026 tillsynsbegäran.docx", "A 24915-2026")</f>
        <v/>
      </c>
      <c r="AD61">
        <f>HYPERLINK("https://klasma.github.io/Logging_2180/tillsynsmail/A 24915-2026 tillsynsbegäran mail.docx", "A 24915-2026")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46258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Höstlåsbräken
Månlåsbräken</t>
        </is>
      </c>
      <c r="W62">
        <f>HYPERLINK("https://klasma.github.io/Logging_2180/artfynd/A 27045-2026 artfynd.xlsx", "A 27045-2026")</f>
        <v/>
      </c>
      <c r="X62">
        <f>HYPERLINK("https://klasma.github.io/Logging_2180/kartor/A 27045-2026 karta.png", "A 27045-2026")</f>
        <v/>
      </c>
      <c r="Y62">
        <f>HYPERLINK("https://klasma.github.io/Logging_2180/kartor_geotiff/A 27045-2026 georefererad karta.tif", "A 27045-2026")</f>
        <v/>
      </c>
      <c r="AA62">
        <f>HYPERLINK("https://klasma.github.io/Logging_2180/klagomål/A 27045-2026 FSC-klagomål.docx", "A 27045-2026")</f>
        <v/>
      </c>
      <c r="AB62">
        <f>HYPERLINK("https://klasma.github.io/Logging_2180/klagomålsmail/A 27045-2026 FSC-klagomål mail.docx", "A 27045-2026")</f>
        <v/>
      </c>
      <c r="AC62">
        <f>HYPERLINK("https://klasma.github.io/Logging_2180/tillsyn/A 27045-2026 tillsynsbegäran.docx", "A 27045-2026")</f>
        <v/>
      </c>
      <c r="AD62">
        <f>HYPERLINK("https://klasma.github.io/Logging_2180/tillsynsmail/A 27045-2026 tillsynsbegäran mail.docx", "A 27045-2026")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27054-2026 artfynd.xlsx", "A 27054-2026")</f>
        <v/>
      </c>
      <c r="X63">
        <f>HYPERLINK("https://klasma.github.io/Logging_2180/kartor/A 27054-2026 karta.png", "A 27054-2026")</f>
        <v/>
      </c>
      <c r="Y63">
        <f>HYPERLINK("https://klasma.github.io/Logging_2180/kartor_geotiff/A 27054-2026 georefererad karta.tif", "A 27054-2026")</f>
        <v/>
      </c>
      <c r="AA63">
        <f>HYPERLINK("https://klasma.github.io/Logging_2180/klagomål/A 27054-2026 FSC-klagomål.docx", "A 27054-2026")</f>
        <v/>
      </c>
      <c r="AB63">
        <f>HYPERLINK("https://klasma.github.io/Logging_2180/klagomålsmail/A 27054-2026 FSC-klagomål mail.docx", "A 27054-2026")</f>
        <v/>
      </c>
      <c r="AC63">
        <f>HYPERLINK("https://klasma.github.io/Logging_2180/tillsyn/A 27054-2026 tillsynsbegäran.docx", "A 27054-2026")</f>
        <v/>
      </c>
      <c r="AD63">
        <f>HYPERLINK("https://klasma.github.io/Logging_2180/tillsynsmail/A 27054-2026 tillsynsbegäran mail.docx", "A 27054-2026")</f>
        <v/>
      </c>
    </row>
    <row r="64" ht="15" customHeight="1">
      <c r="A64" t="inlineStr">
        <is>
          <t>A 13487-2026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Pärluggla
Sparvuggla</t>
        </is>
      </c>
      <c r="W64">
        <f>HYPERLINK("https://klasma.github.io/Logging_2180/artfynd/A 13487-2026 artfynd.xlsx", "A 13487-2026")</f>
        <v/>
      </c>
      <c r="X64">
        <f>HYPERLINK("https://klasma.github.io/Logging_2180/kartor/A 13487-2026 karta.png", "A 13487-2026")</f>
        <v/>
      </c>
      <c r="Y64">
        <f>HYPERLINK("https://klasma.github.io/Logging_2180/kartor_geotiff/A 13487-2026 georefererad karta.tif", "A 13487-2026")</f>
        <v/>
      </c>
      <c r="AA64">
        <f>HYPERLINK("https://klasma.github.io/Logging_2180/klagomål/A 13487-2026 FSC-klagomål.docx", "A 13487-2026")</f>
        <v/>
      </c>
      <c r="AB64">
        <f>HYPERLINK("https://klasma.github.io/Logging_2180/klagomålsmail/A 13487-2026 FSC-klagomål mail.docx", "A 13487-2026")</f>
        <v/>
      </c>
      <c r="AC64">
        <f>HYPERLINK("https://klasma.github.io/Logging_2180/tillsyn/A 13487-2026 tillsynsbegäran.docx", "A 13487-2026")</f>
        <v/>
      </c>
      <c r="AD64">
        <f>HYPERLINK("https://klasma.github.io/Logging_2180/tillsynsmail/A 13487-2026 tillsynsbegäran mail.docx", "A 13487-2026")</f>
        <v/>
      </c>
      <c r="AE64">
        <f>HYPERLINK("https://klasma.github.io/Logging_2180/fåglar/A 13487-2026 prioriterade fågelarter.docx", "A 13487-2026")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46258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46258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46258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34434-2026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46258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Grönsångare
Vätteros</t>
        </is>
      </c>
      <c r="W69">
        <f>HYPERLINK("https://klasma.github.io/Logging_2180/artfynd/A 34434-2026 artfynd.xlsx", "A 34434-2026")</f>
        <v/>
      </c>
      <c r="X69">
        <f>HYPERLINK("https://klasma.github.io/Logging_2180/kartor/A 34434-2026 karta.png", "A 34434-2026")</f>
        <v/>
      </c>
      <c r="Y69">
        <f>HYPERLINK("https://klasma.github.io/Logging_2180/kartor_geotiff/A 34434-2026 georefererad karta.tif", "A 34434-2026")</f>
        <v/>
      </c>
      <c r="AA69">
        <f>HYPERLINK("https://klasma.github.io/Logging_2180/klagomål/A 34434-2026 FSC-klagomål.docx", "A 34434-2026")</f>
        <v/>
      </c>
      <c r="AB69">
        <f>HYPERLINK("https://klasma.github.io/Logging_2180/klagomålsmail/A 34434-2026 FSC-klagomål mail.docx", "A 34434-2026")</f>
        <v/>
      </c>
      <c r="AC69">
        <f>HYPERLINK("https://klasma.github.io/Logging_2180/tillsyn/A 34434-2026 tillsynsbegäran.docx", "A 34434-2026")</f>
        <v/>
      </c>
      <c r="AD69">
        <f>HYPERLINK("https://klasma.github.io/Logging_2180/tillsynsmail/A 34434-2026 tillsynsbegäran mail.docx", "A 34434-2026")</f>
        <v/>
      </c>
      <c r="AE69">
        <f>HYPERLINK("https://klasma.github.io/Logging_2180/fåglar/A 34434-2026 prioriterade fågelarter.docx", "A 34434-2026")</f>
        <v/>
      </c>
    </row>
    <row r="70" ht="15" customHeight="1">
      <c r="A70" t="inlineStr">
        <is>
          <t>A 14701-2026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46101</v>
      </c>
      <c r="E70" s="1" t="n">
        <v>46258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Tjäder
Fläcknycklar</t>
        </is>
      </c>
      <c r="W70">
        <f>HYPERLINK("https://klasma.github.io/Logging_2180/artfynd/A 14701-2026 artfynd.xlsx", "A 14701-2026")</f>
        <v/>
      </c>
      <c r="X70">
        <f>HYPERLINK("https://klasma.github.io/Logging_2180/kartor/A 14701-2026 karta.png", "A 14701-2026")</f>
        <v/>
      </c>
      <c r="Y70">
        <f>HYPERLINK("https://klasma.github.io/Logging_2180/kartor_geotiff/A 14701-2026 georefererad karta.tif", "A 14701-2026")</f>
        <v/>
      </c>
      <c r="AA70">
        <f>HYPERLINK("https://klasma.github.io/Logging_2180/klagomål/A 14701-2026 FSC-klagomål.docx", "A 14701-2026")</f>
        <v/>
      </c>
      <c r="AB70">
        <f>HYPERLINK("https://klasma.github.io/Logging_2180/klagomålsmail/A 14701-2026 FSC-klagomål mail.docx", "A 14701-2026")</f>
        <v/>
      </c>
      <c r="AC70">
        <f>HYPERLINK("https://klasma.github.io/Logging_2180/tillsyn/A 14701-2026 tillsynsbegäran.docx", "A 14701-2026")</f>
        <v/>
      </c>
      <c r="AD70">
        <f>HYPERLINK("https://klasma.github.io/Logging_2180/tillsynsmail/A 14701-2026 tillsynsbegäran mail.docx", "A 14701-2026")</f>
        <v/>
      </c>
      <c r="AE70">
        <f>HYPERLINK("https://klasma.github.io/Logging_2180/fåglar/A 14701-2026 prioriterade fågelarter.docx", "A 14701-2026")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46258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22149-2026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46258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Vedtrappmossa
Rödgul trumpetsvamp</t>
        </is>
      </c>
      <c r="W72">
        <f>HYPERLINK("https://klasma.github.io/Logging_2180/artfynd/A 22149-2026 artfynd.xlsx", "A 22149-2026")</f>
        <v/>
      </c>
      <c r="X72">
        <f>HYPERLINK("https://klasma.github.io/Logging_2180/kartor/A 22149-2026 karta.png", "A 22149-2026")</f>
        <v/>
      </c>
      <c r="Y72">
        <f>HYPERLINK("https://klasma.github.io/Logging_2180/kartor_geotiff/A 22149-2026 georefererad karta.tif", "A 22149-2026")</f>
        <v/>
      </c>
      <c r="AA72">
        <f>HYPERLINK("https://klasma.github.io/Logging_2180/klagomål/A 22149-2026 FSC-klagomål.docx", "A 22149-2026")</f>
        <v/>
      </c>
      <c r="AB72">
        <f>HYPERLINK("https://klasma.github.io/Logging_2180/klagomålsmail/A 22149-2026 FSC-klagomål mail.docx", "A 22149-2026")</f>
        <v/>
      </c>
      <c r="AC72">
        <f>HYPERLINK("https://klasma.github.io/Logging_2180/tillsyn/A 22149-2026 tillsynsbegäran.docx", "A 22149-2026")</f>
        <v/>
      </c>
      <c r="AD72">
        <f>HYPERLINK("https://klasma.github.io/Logging_2180/tillsynsmail/A 22149-2026 tillsynsbegäran mail.docx", "A 22149-2026")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46258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23257-2026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46258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42.1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Havsörn</t>
        </is>
      </c>
      <c r="W74">
        <f>HYPERLINK("https://klasma.github.io/Logging_2180/artfynd/A 23257-2026 artfynd.xlsx", "A 23257-2026")</f>
        <v/>
      </c>
      <c r="X74">
        <f>HYPERLINK("https://klasma.github.io/Logging_2180/kartor/A 23257-2026 karta.png", "A 23257-2026")</f>
        <v/>
      </c>
      <c r="Y74">
        <f>HYPERLINK("https://klasma.github.io/Logging_2180/kartor_geotiff/A 23257-2026 georefererad karta.tif", "A 23257-2026")</f>
        <v/>
      </c>
      <c r="AA74">
        <f>HYPERLINK("https://klasma.github.io/Logging_2180/klagomål/A 23257-2026 FSC-klagomål.docx", "A 23257-2026")</f>
        <v/>
      </c>
      <c r="AB74">
        <f>HYPERLINK("https://klasma.github.io/Logging_2180/klagomålsmail/A 23257-2026 FSC-klagomål mail.docx", "A 23257-2026")</f>
        <v/>
      </c>
      <c r="AC74">
        <f>HYPERLINK("https://klasma.github.io/Logging_2180/tillsyn/A 23257-2026 tillsynsbegäran.docx", "A 23257-2026")</f>
        <v/>
      </c>
      <c r="AD74">
        <f>HYPERLINK("https://klasma.github.io/Logging_2180/tillsynsmail/A 23257-2026 tillsynsbegäran mail.docx", "A 23257-2026")</f>
        <v/>
      </c>
      <c r="AE74">
        <f>HYPERLINK("https://klasma.github.io/Logging_2180/fåglar/A 23257-2026 prioriterade fågelarter.docx", "A 23257-2026")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46258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46258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46258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47642-2024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46258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8.199999999999999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HYPERLINK("https://klasma.github.io/Logging_2180/artfynd/A 47642-2024 artfynd.xlsx", "A 47642-2024")</f>
        <v/>
      </c>
      <c r="X78">
        <f>HYPERLINK("https://klasma.github.io/Logging_2180/kartor/A 47642-2024 karta.png", "A 47642-2024")</f>
        <v/>
      </c>
      <c r="Y78">
        <f>HYPERLINK("https://klasma.github.io/Logging_2180/kartor_geotiff/A 47642-2024 georefererad karta.tif", "A 47642-2024")</f>
        <v/>
      </c>
      <c r="AA78">
        <f>HYPERLINK("https://klasma.github.io/Logging_2180/klagomål/A 47642-2024 FSC-klagomål.docx", "A 47642-2024")</f>
        <v/>
      </c>
      <c r="AB78">
        <f>HYPERLINK("https://klasma.github.io/Logging_2180/klagomålsmail/A 47642-2024 FSC-klagomål mail.docx", "A 47642-2024")</f>
        <v/>
      </c>
      <c r="AC78">
        <f>HYPERLINK("https://klasma.github.io/Logging_2180/tillsyn/A 47642-2024 tillsynsbegäran.docx", "A 47642-2024")</f>
        <v/>
      </c>
      <c r="AD78">
        <f>HYPERLINK("https://klasma.github.io/Logging_2180/tillsynsmail/A 47642-2024 tillsynsbegäran mail.docx", "A 47642-2024")</f>
        <v/>
      </c>
      <c r="AE78">
        <f>HYPERLINK("https://klasma.github.io/Logging_2180/fåglar/A 47642-2024 prioriterade fågelarter.docx", "A 47642-2024")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46258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1</v>
      </c>
      <c r="V79" s="2" t="inlineStr">
        <is>
          <t>Skogsklocka</t>
        </is>
      </c>
      <c r="W79">
        <f>HYPERLINK("https://klasma.github.io/Logging_2180/artfynd/A 12338-2025 artfynd.xlsx", "A 12338-2025")</f>
        <v/>
      </c>
      <c r="X79">
        <f>HYPERLINK("https://klasma.github.io/Logging_2180/kartor/A 12338-2025 karta.png", "A 12338-2025")</f>
        <v/>
      </c>
      <c r="Y79">
        <f>HYPERLINK("https://klasma.github.io/Logging_2180/kartor_geotiff/A 12338-2025 georefererad karta.tif", "A 12338-2025")</f>
        <v/>
      </c>
      <c r="AA79">
        <f>HYPERLINK("https://klasma.github.io/Logging_2180/klagomål/A 12338-2025 FSC-klagomål.docx", "A 12338-2025")</f>
        <v/>
      </c>
      <c r="AB79">
        <f>HYPERLINK("https://klasma.github.io/Logging_2180/klagomålsmail/A 12338-2025 FSC-klagomål mail.docx", "A 12338-2025")</f>
        <v/>
      </c>
      <c r="AC79">
        <f>HYPERLINK("https://klasma.github.io/Logging_2180/tillsyn/A 12338-2025 tillsynsbegäran.docx", "A 12338-2025")</f>
        <v/>
      </c>
      <c r="AD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46258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46258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46258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46258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35225-2024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46258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Blåsippa</t>
        </is>
      </c>
      <c r="W84">
        <f>HYPERLINK("https://klasma.github.io/Logging_2180/artfynd/A 35225-2024 artfynd.xlsx", "A 35225-2024")</f>
        <v/>
      </c>
      <c r="X84">
        <f>HYPERLINK("https://klasma.github.io/Logging_2180/kartor/A 35225-2024 karta.png", "A 35225-2024")</f>
        <v/>
      </c>
      <c r="Y84">
        <f>HYPERLINK("https://klasma.github.io/Logging_2180/kartor_geotiff/A 35225-2024 georefererad karta.tif", "A 35225-2024")</f>
        <v/>
      </c>
      <c r="AA84">
        <f>HYPERLINK("https://klasma.github.io/Logging_2180/klagomål/A 35225-2024 FSC-klagomål.docx", "A 35225-2024")</f>
        <v/>
      </c>
      <c r="AB84">
        <f>HYPERLINK("https://klasma.github.io/Logging_2180/klagomålsmail/A 35225-2024 FSC-klagomål mail.docx", "A 35225-2024")</f>
        <v/>
      </c>
      <c r="AC84">
        <f>HYPERLINK("https://klasma.github.io/Logging_2180/tillsyn/A 35225-2024 tillsynsbegäran.docx", "A 35225-2024")</f>
        <v/>
      </c>
      <c r="AD84">
        <f>HYPERLINK("https://klasma.github.io/Logging_2180/tillsynsmail/A 35225-2024 tillsynsbegäran mail.docx", "A 35225-2024")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46258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33812-2022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44790</v>
      </c>
      <c r="E86" s="1" t="n">
        <v>46258</v>
      </c>
      <c r="F86" t="inlineStr">
        <is>
          <t>GÄVLEBORGS LÄN</t>
        </is>
      </c>
      <c r="G86" t="inlineStr">
        <is>
          <t>GÄVLE</t>
        </is>
      </c>
      <c r="I86" t="n">
        <v>2.1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HYPERLINK("https://klasma.github.io/Logging_2180/artfynd/A 33812-2022 artfynd.xlsx", "A 33812-2022")</f>
        <v/>
      </c>
      <c r="X86">
        <f>HYPERLINK("https://klasma.github.io/Logging_2180/kartor/A 33812-2022 karta.png", "A 33812-2022")</f>
        <v/>
      </c>
      <c r="Y86">
        <f>HYPERLINK("https://klasma.github.io/Logging_2180/kartor_geotiff/A 33812-2022 georefererad karta.tif", "A 33812-2022")</f>
        <v/>
      </c>
      <c r="AA86">
        <f>HYPERLINK("https://klasma.github.io/Logging_2180/klagomål/A 33812-2022 FSC-klagomål.docx", "A 33812-2022")</f>
        <v/>
      </c>
      <c r="AB86">
        <f>HYPERLINK("https://klasma.github.io/Logging_2180/klagomålsmail/A 33812-2022 FSC-klagomål mail.docx", "A 33812-2022")</f>
        <v/>
      </c>
      <c r="AC86">
        <f>HYPERLINK("https://klasma.github.io/Logging_2180/tillsyn/A 33812-2022 tillsynsbegäran.docx", "A 33812-2022")</f>
        <v/>
      </c>
      <c r="AD86">
        <f>HYPERLINK("https://klasma.github.io/Logging_2180/tillsynsmail/A 33812-2022 tillsynsbegäran mail.docx", "A 33812-2022")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46258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61056-2024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46258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5.3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Myggblomster</t>
        </is>
      </c>
      <c r="W88">
        <f>HYPERLINK("https://klasma.github.io/Logging_2180/artfynd/A 61056-2024 artfynd.xlsx", "A 61056-2024")</f>
        <v/>
      </c>
      <c r="X88">
        <f>HYPERLINK("https://klasma.github.io/Logging_2180/kartor/A 61056-2024 karta.png", "A 61056-2024")</f>
        <v/>
      </c>
      <c r="Y88">
        <f>HYPERLINK("https://klasma.github.io/Logging_2180/kartor_geotiff/A 61056-2024 georefererad karta.tif", "A 61056-2024")</f>
        <v/>
      </c>
      <c r="AA88">
        <f>HYPERLINK("https://klasma.github.io/Logging_2180/klagomål/A 61056-2024 FSC-klagomål.docx", "A 61056-2024")</f>
        <v/>
      </c>
      <c r="AB88">
        <f>HYPERLINK("https://klasma.github.io/Logging_2180/klagomålsmail/A 61056-2024 FSC-klagomål mail.docx", "A 61056-2024")</f>
        <v/>
      </c>
      <c r="AC88">
        <f>HYPERLINK("https://klasma.github.io/Logging_2180/tillsyn/A 61056-2024 tillsynsbegäran.docx", "A 61056-2024")</f>
        <v/>
      </c>
      <c r="AD88">
        <f>HYPERLINK("https://klasma.github.io/Logging_2180/tillsynsmail/A 61056-2024 tillsynsbegäran mail.docx", "A 61056-2024")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46258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46258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46258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46258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51508-2024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46258</v>
      </c>
      <c r="F93" t="inlineStr">
        <is>
          <t>GÄVLEBORGS LÄN</t>
        </is>
      </c>
      <c r="G93" t="inlineStr">
        <is>
          <t>GÄVLE</t>
        </is>
      </c>
      <c r="I93" t="n">
        <v>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HYPERLINK("https://klasma.github.io/Logging_2180/artfynd/A 51508-2024 artfynd.xlsx", "A 51508-2024")</f>
        <v/>
      </c>
      <c r="X93">
        <f>HYPERLINK("https://klasma.github.io/Logging_2180/kartor/A 51508-2024 karta.png", "A 51508-2024")</f>
        <v/>
      </c>
      <c r="Y93">
        <f>HYPERLINK("https://klasma.github.io/Logging_2180/kartor_geotiff/A 51508-2024 georefererad karta.tif", "A 51508-2024")</f>
        <v/>
      </c>
      <c r="AA93">
        <f>HYPERLINK("https://klasma.github.io/Logging_2180/klagomål/A 51508-2024 FSC-klagomål.docx", "A 51508-2024")</f>
        <v/>
      </c>
      <c r="AB93">
        <f>HYPERLINK("https://klasma.github.io/Logging_2180/klagomålsmail/A 51508-2024 FSC-klagomål mail.docx", "A 51508-2024")</f>
        <v/>
      </c>
      <c r="AC93">
        <f>HYPERLINK("https://klasma.github.io/Logging_2180/tillsyn/A 51508-2024 tillsynsbegäran.docx", "A 51508-2024")</f>
        <v/>
      </c>
      <c r="AD93">
        <f>HYPERLINK("https://klasma.github.io/Logging_2180/tillsynsmail/A 51508-2024 tillsynsbegäran mail.docx", "A 51508-2024")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HYPERLINK("https://klasma.github.io/Logging_2180/artfynd/A 54252-2025 artfynd.xlsx", "A 54252-2025")</f>
        <v/>
      </c>
      <c r="X94">
        <f>HYPERLINK("https://klasma.github.io/Logging_2180/kartor/A 54252-2025 karta.png", "A 54252-2025")</f>
        <v/>
      </c>
      <c r="Y94">
        <f>HYPERLINK("https://klasma.github.io/Logging_2180/kartor_geotiff/A 54252-2025 georefererad karta.tif", "A 54252-2025")</f>
        <v/>
      </c>
      <c r="AA94">
        <f>HYPERLINK("https://klasma.github.io/Logging_2180/klagomål/A 54252-2025 FSC-klagomål.docx", "A 54252-2025")</f>
        <v/>
      </c>
      <c r="AB94">
        <f>HYPERLINK("https://klasma.github.io/Logging_2180/klagomålsmail/A 54252-2025 FSC-klagomål mail.docx", "A 54252-2025")</f>
        <v/>
      </c>
      <c r="AC94">
        <f>HYPERLINK("https://klasma.github.io/Logging_2180/tillsyn/A 54252-2025 tillsynsbegäran.docx", "A 54252-2025")</f>
        <v/>
      </c>
      <c r="AD94">
        <f>HYPERLINK("https://klasma.github.io/Logging_2180/tillsynsmail/A 54252-2025 tillsynsbegäran mail.docx", "A 54252-2025")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46258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12437-2024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46258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Mindre bastardsvärmare</t>
        </is>
      </c>
      <c r="W96">
        <f>HYPERLINK("https://klasma.github.io/Logging_2180/artfynd/A 12437-2024 artfynd.xlsx", "A 12437-2024")</f>
        <v/>
      </c>
      <c r="X96">
        <f>HYPERLINK("https://klasma.github.io/Logging_2180/kartor/A 12437-2024 karta.png", "A 12437-2024")</f>
        <v/>
      </c>
      <c r="Y96">
        <f>HYPERLINK("https://klasma.github.io/Logging_2180/kartor_geotiff/A 12437-2024 georefererad karta.tif", "A 12437-2024")</f>
        <v/>
      </c>
      <c r="AA96">
        <f>HYPERLINK("https://klasma.github.io/Logging_2180/klagomål/A 12437-2024 FSC-klagomål.docx", "A 12437-2024")</f>
        <v/>
      </c>
      <c r="AB96">
        <f>HYPERLINK("https://klasma.github.io/Logging_2180/klagomålsmail/A 12437-2024 FSC-klagomål mail.docx", "A 12437-2024")</f>
        <v/>
      </c>
      <c r="AC96">
        <f>HYPERLINK("https://klasma.github.io/Logging_2180/tillsyn/A 12437-2024 tillsynsbegäran.docx", "A 12437-2024")</f>
        <v/>
      </c>
      <c r="AD96">
        <f>HYPERLINK("https://klasma.github.io/Logging_2180/tillsynsmail/A 12437-2024 tillsynsbegäran mail.docx", "A 12437-2024")</f>
        <v/>
      </c>
    </row>
    <row r="97" ht="15" customHeight="1">
      <c r="A97" t="inlineStr">
        <is>
          <t>A 10333-2025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46258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Tjäder</t>
        </is>
      </c>
      <c r="W97">
        <f>HYPERLINK("https://klasma.github.io/Logging_2180/artfynd/A 10333-2025 artfynd.xlsx", "A 10333-2025")</f>
        <v/>
      </c>
      <c r="X97">
        <f>HYPERLINK("https://klasma.github.io/Logging_2180/kartor/A 10333-2025 karta.png", "A 10333-2025")</f>
        <v/>
      </c>
      <c r="Y97">
        <f>HYPERLINK("https://klasma.github.io/Logging_2180/kartor_geotiff/A 10333-2025 georefererad karta.tif", "A 10333-2025")</f>
        <v/>
      </c>
      <c r="AA97">
        <f>HYPERLINK("https://klasma.github.io/Logging_2180/klagomål/A 10333-2025 FSC-klagomål.docx", "A 10333-2025")</f>
        <v/>
      </c>
      <c r="AB97">
        <f>HYPERLINK("https://klasma.github.io/Logging_2180/klagomålsmail/A 10333-2025 FSC-klagomål mail.docx", "A 10333-2025")</f>
        <v/>
      </c>
      <c r="AC97">
        <f>HYPERLINK("https://klasma.github.io/Logging_2180/tillsyn/A 10333-2025 tillsynsbegäran.docx", "A 10333-2025")</f>
        <v/>
      </c>
      <c r="AD97">
        <f>HYPERLINK("https://klasma.github.io/Logging_2180/tillsynsmail/A 10333-2025 tillsynsbegäran mail.docx", "A 10333-2025")</f>
        <v/>
      </c>
      <c r="AE97">
        <f>HYPERLINK("https://klasma.github.io/Logging_2180/fåglar/A 10333-2025 prioriterade fågelarter.docx", "A 10333-2025")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46258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12381-2023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46258</v>
      </c>
      <c r="F99" t="inlineStr">
        <is>
          <t>GÄVLEBORGS LÄN</t>
        </is>
      </c>
      <c r="G99" t="inlineStr">
        <is>
          <t>GÄVLE</t>
        </is>
      </c>
      <c r="I99" t="n">
        <v>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Brunlångöra</t>
        </is>
      </c>
      <c r="W99">
        <f>HYPERLINK("https://klasma.github.io/Logging_2180/artfynd/A 12381-2023 artfynd.xlsx", "A 12381-2023")</f>
        <v/>
      </c>
      <c r="X99">
        <f>HYPERLINK("https://klasma.github.io/Logging_2180/kartor/A 12381-2023 karta.png", "A 12381-2023")</f>
        <v/>
      </c>
      <c r="Y99">
        <f>HYPERLINK("https://klasma.github.io/Logging_2180/kartor_geotiff/A 12381-2023 georefererad karta.tif", "A 12381-2023")</f>
        <v/>
      </c>
      <c r="AA99">
        <f>HYPERLINK("https://klasma.github.io/Logging_2180/klagomål/A 12381-2023 FSC-klagomål.docx", "A 12381-2023")</f>
        <v/>
      </c>
      <c r="AB99">
        <f>HYPERLINK("https://klasma.github.io/Logging_2180/klagomålsmail/A 12381-2023 FSC-klagomål mail.docx", "A 12381-2023")</f>
        <v/>
      </c>
      <c r="AC99">
        <f>HYPERLINK("https://klasma.github.io/Logging_2180/tillsyn/A 12381-2023 tillsynsbegäran.docx", "A 12381-2023")</f>
        <v/>
      </c>
      <c r="AD99">
        <f>HYPERLINK("https://klasma.github.io/Logging_2180/tillsynsmail/A 12381-2023 tillsynsbegäran mail.docx", "A 12381-2023")</f>
        <v/>
      </c>
    </row>
    <row r="100" ht="15" customHeight="1">
      <c r="A100" t="inlineStr">
        <is>
          <t>A 21282-2024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46258</v>
      </c>
      <c r="F100" t="inlineStr">
        <is>
          <t>GÄVLEBORGS LÄN</t>
        </is>
      </c>
      <c r="G100" t="inlineStr">
        <is>
          <t>GÄVLE</t>
        </is>
      </c>
      <c r="I100" t="n">
        <v>7.4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21282-2024 artfynd.xlsx", "A 21282-2024")</f>
        <v/>
      </c>
      <c r="X100">
        <f>HYPERLINK("https://klasma.github.io/Logging_2180/kartor/A 21282-2024 karta.png", "A 21282-2024")</f>
        <v/>
      </c>
      <c r="Y100">
        <f>HYPERLINK("https://klasma.github.io/Logging_2180/kartor_geotiff/A 21282-2024 georefererad karta.tif", "A 21282-2024")</f>
        <v/>
      </c>
      <c r="AA100">
        <f>HYPERLINK("https://klasma.github.io/Logging_2180/klagomål/A 21282-2024 FSC-klagomål.docx", "A 21282-2024")</f>
        <v/>
      </c>
      <c r="AB100">
        <f>HYPERLINK("https://klasma.github.io/Logging_2180/klagomålsmail/A 21282-2024 FSC-klagomål mail.docx", "A 21282-2024")</f>
        <v/>
      </c>
      <c r="AC100">
        <f>HYPERLINK("https://klasma.github.io/Logging_2180/tillsyn/A 21282-2024 tillsynsbegäran.docx", "A 21282-2024")</f>
        <v/>
      </c>
      <c r="AD100">
        <f>HYPERLINK("https://klasma.github.io/Logging_2180/tillsynsmail/A 21282-2024 tillsynsbegäran mail.docx", "A 21282-2024")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46258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57932-2024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46258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48.7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Tjäder</t>
        </is>
      </c>
      <c r="W102">
        <f>HYPERLINK("https://klasma.github.io/Logging_2180/artfynd/A 57932-2024 artfynd.xlsx", "A 57932-2024")</f>
        <v/>
      </c>
      <c r="X102">
        <f>HYPERLINK("https://klasma.github.io/Logging_2180/kartor/A 57932-2024 karta.png", "A 57932-2024")</f>
        <v/>
      </c>
      <c r="Y102">
        <f>HYPERLINK("https://klasma.github.io/Logging_2180/kartor_geotiff/A 57932-2024 georefererad karta.tif", "A 57932-2024")</f>
        <v/>
      </c>
      <c r="AA102">
        <f>HYPERLINK("https://klasma.github.io/Logging_2180/klagomål/A 57932-2024 FSC-klagomål.docx", "A 57932-2024")</f>
        <v/>
      </c>
      <c r="AB102">
        <f>HYPERLINK("https://klasma.github.io/Logging_2180/klagomålsmail/A 57932-2024 FSC-klagomål mail.docx", "A 57932-2024")</f>
        <v/>
      </c>
      <c r="AC102">
        <f>HYPERLINK("https://klasma.github.io/Logging_2180/tillsyn/A 57932-2024 tillsynsbegäran.docx", "A 57932-2024")</f>
        <v/>
      </c>
      <c r="AD102">
        <f>HYPERLINK("https://klasma.github.io/Logging_2180/tillsynsmail/A 57932-2024 tillsynsbegäran mail.docx", "A 57932-2024")</f>
        <v/>
      </c>
      <c r="AE102">
        <f>HYPERLINK("https://klasma.github.io/Logging_2180/fåglar/A 57932-2024 prioriterade fågelarter.docx", "A 57932-2024")</f>
        <v/>
      </c>
    </row>
    <row r="103" ht="15" customHeight="1">
      <c r="A103" t="inlineStr">
        <is>
          <t>A 11411-2025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46258</v>
      </c>
      <c r="F103" t="inlineStr">
        <is>
          <t>GÄVLEBORGS LÄN</t>
        </is>
      </c>
      <c r="G103" t="inlineStr">
        <is>
          <t>GÄVLE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Blåsippa</t>
        </is>
      </c>
      <c r="W103">
        <f>HYPERLINK("https://klasma.github.io/Logging_2180/artfynd/A 11411-2025 artfynd.xlsx", "A 11411-2025")</f>
        <v/>
      </c>
      <c r="X103">
        <f>HYPERLINK("https://klasma.github.io/Logging_2180/kartor/A 11411-2025 karta.png", "A 11411-2025")</f>
        <v/>
      </c>
      <c r="Y103">
        <f>HYPERLINK("https://klasma.github.io/Logging_2180/kartor_geotiff/A 11411-2025 georefererad karta.tif", "A 11411-2025")</f>
        <v/>
      </c>
      <c r="AA103">
        <f>HYPERLINK("https://klasma.github.io/Logging_2180/klagomål/A 11411-2025 FSC-klagomål.docx", "A 11411-2025")</f>
        <v/>
      </c>
      <c r="AB103">
        <f>HYPERLINK("https://klasma.github.io/Logging_2180/klagomålsmail/A 11411-2025 FSC-klagomål mail.docx", "A 11411-2025")</f>
        <v/>
      </c>
      <c r="AC103">
        <f>HYPERLINK("https://klasma.github.io/Logging_2180/tillsyn/A 11411-2025 tillsynsbegäran.docx", "A 11411-2025")</f>
        <v/>
      </c>
      <c r="AD103">
        <f>HYPERLINK("https://klasma.github.io/Logging_2180/tillsynsmail/A 11411-2025 tillsynsbegäran mail.docx", "A 11411-2025")</f>
        <v/>
      </c>
    </row>
    <row r="104" ht="15" customHeight="1">
      <c r="A104" t="inlineStr">
        <is>
          <t>A 63288-2025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46010</v>
      </c>
      <c r="E104" s="1" t="n">
        <v>46258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5.3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Scharlakansskål</t>
        </is>
      </c>
      <c r="W104">
        <f>HYPERLINK("https://klasma.github.io/Logging_2180/artfynd/A 63288-2025 artfynd.xlsx", "A 63288-2025")</f>
        <v/>
      </c>
      <c r="X104">
        <f>HYPERLINK("https://klasma.github.io/Logging_2180/kartor/A 63288-2025 karta.png", "A 63288-2025")</f>
        <v/>
      </c>
      <c r="Y104">
        <f>HYPERLINK("https://klasma.github.io/Logging_2180/kartor_geotiff/A 63288-2025 georefererad karta.tif", "A 63288-2025")</f>
        <v/>
      </c>
      <c r="AA104">
        <f>HYPERLINK("https://klasma.github.io/Logging_2180/klagomål/A 63288-2025 FSC-klagomål.docx", "A 63288-2025")</f>
        <v/>
      </c>
      <c r="AB104">
        <f>HYPERLINK("https://klasma.github.io/Logging_2180/klagomålsmail/A 63288-2025 FSC-klagomål mail.docx", "A 63288-2025")</f>
        <v/>
      </c>
      <c r="AC104">
        <f>HYPERLINK("https://klasma.github.io/Logging_2180/tillsyn/A 63288-2025 tillsynsbegäran.docx", "A 63288-2025")</f>
        <v/>
      </c>
      <c r="AD104">
        <f>HYPERLINK("https://klasma.github.io/Logging_2180/tillsynsmail/A 63288-2025 tillsynsbegäran mail.docx", "A 63288-2025")</f>
        <v/>
      </c>
    </row>
    <row r="105" ht="15" customHeight="1">
      <c r="A105" t="inlineStr">
        <is>
          <t>A 31448-2026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46258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tåtelsmygare</t>
        </is>
      </c>
      <c r="W105">
        <f>HYPERLINK("https://klasma.github.io/Logging_2180/artfynd/A 31448-2026 artfynd.xlsx", "A 31448-2026")</f>
        <v/>
      </c>
      <c r="X105">
        <f>HYPERLINK("https://klasma.github.io/Logging_2180/kartor/A 31448-2026 karta.png", "A 31448-2026")</f>
        <v/>
      </c>
      <c r="Y105">
        <f>HYPERLINK("https://klasma.github.io/Logging_2180/kartor_geotiff/A 31448-2026 georefererad karta.tif", "A 31448-2026")</f>
        <v/>
      </c>
      <c r="AA105">
        <f>HYPERLINK("https://klasma.github.io/Logging_2180/klagomål/A 31448-2026 FSC-klagomål.docx", "A 31448-2026")</f>
        <v/>
      </c>
      <c r="AB105">
        <f>HYPERLINK("https://klasma.github.io/Logging_2180/klagomålsmail/A 31448-2026 FSC-klagomål mail.docx", "A 31448-2026")</f>
        <v/>
      </c>
      <c r="AC105">
        <f>HYPERLINK("https://klasma.github.io/Logging_2180/tillsyn/A 31448-2026 tillsynsbegäran.docx", "A 31448-2026")</f>
        <v/>
      </c>
      <c r="AD105">
        <f>HYPERLINK("https://klasma.github.io/Logging_2180/tillsynsmail/A 31448-2026 tillsynsbegäran mail.docx", "A 31448-2026")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46258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11407-2025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46258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Myskmadra</t>
        </is>
      </c>
      <c r="W107">
        <f>HYPERLINK("https://klasma.github.io/Logging_2180/artfynd/A 11407-2025 artfynd.xlsx", "A 11407-2025")</f>
        <v/>
      </c>
      <c r="X107">
        <f>HYPERLINK("https://klasma.github.io/Logging_2180/kartor/A 11407-2025 karta.png", "A 11407-2025")</f>
        <v/>
      </c>
      <c r="Y107">
        <f>HYPERLINK("https://klasma.github.io/Logging_2180/kartor_geotiff/A 11407-2025 georefererad karta.tif", "A 11407-2025")</f>
        <v/>
      </c>
      <c r="AA107">
        <f>HYPERLINK("https://klasma.github.io/Logging_2180/klagomål/A 11407-2025 FSC-klagomål.docx", "A 11407-2025")</f>
        <v/>
      </c>
      <c r="AB107">
        <f>HYPERLINK("https://klasma.github.io/Logging_2180/klagomålsmail/A 11407-2025 FSC-klagomål mail.docx", "A 11407-2025")</f>
        <v/>
      </c>
      <c r="AC107">
        <f>HYPERLINK("https://klasma.github.io/Logging_2180/tillsyn/A 11407-2025 tillsynsbegäran.docx", "A 11407-2025")</f>
        <v/>
      </c>
      <c r="AD107">
        <f>HYPERLINK("https://klasma.github.io/Logging_2180/tillsynsmail/A 11407-2025 tillsynsbegäran mail.docx", "A 11407-2025")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46258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26871-2026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46258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HYPERLINK("https://klasma.github.io/Logging_2180/artfynd/A 26871-2026 artfynd.xlsx", "A 26871-2026")</f>
        <v/>
      </c>
      <c r="X109">
        <f>HYPERLINK("https://klasma.github.io/Logging_2180/kartor/A 26871-2026 karta.png", "A 26871-2026")</f>
        <v/>
      </c>
      <c r="Y109">
        <f>HYPERLINK("https://klasma.github.io/Logging_2180/kartor_geotiff/A 26871-2026 georefererad karta.tif", "A 26871-2026")</f>
        <v/>
      </c>
      <c r="AA109">
        <f>HYPERLINK("https://klasma.github.io/Logging_2180/klagomål/A 26871-2026 FSC-klagomål.docx", "A 26871-2026")</f>
        <v/>
      </c>
      <c r="AB109">
        <f>HYPERLINK("https://klasma.github.io/Logging_2180/klagomålsmail/A 26871-2026 FSC-klagomål mail.docx", "A 26871-2026")</f>
        <v/>
      </c>
      <c r="AC109">
        <f>HYPERLINK("https://klasma.github.io/Logging_2180/tillsyn/A 26871-2026 tillsynsbegäran.docx", "A 26871-2026")</f>
        <v/>
      </c>
      <c r="AD109">
        <f>HYPERLINK("https://klasma.github.io/Logging_2180/tillsynsmail/A 26871-2026 tillsynsbegäran mail.docx", "A 26871-2026")</f>
        <v/>
      </c>
    </row>
    <row r="110" ht="15" customHeight="1">
      <c r="A110" t="inlineStr">
        <is>
          <t>A 27058-2026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46258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27058-2026 artfynd.xlsx", "A 27058-2026")</f>
        <v/>
      </c>
      <c r="X110">
        <f>HYPERLINK("https://klasma.github.io/Logging_2180/kartor/A 27058-2026 karta.png", "A 27058-2026")</f>
        <v/>
      </c>
      <c r="Y110">
        <f>HYPERLINK("https://klasma.github.io/Logging_2180/kartor_geotiff/A 27058-2026 georefererad karta.tif", "A 27058-2026")</f>
        <v/>
      </c>
      <c r="AA110">
        <f>HYPERLINK("https://klasma.github.io/Logging_2180/klagomål/A 27058-2026 FSC-klagomål.docx", "A 27058-2026")</f>
        <v/>
      </c>
      <c r="AB110">
        <f>HYPERLINK("https://klasma.github.io/Logging_2180/klagomålsmail/A 27058-2026 FSC-klagomål mail.docx", "A 27058-2026")</f>
        <v/>
      </c>
      <c r="AC110">
        <f>HYPERLINK("https://klasma.github.io/Logging_2180/tillsyn/A 27058-2026 tillsynsbegäran.docx", "A 27058-2026")</f>
        <v/>
      </c>
      <c r="AD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46258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46258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17251-2026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46258</v>
      </c>
      <c r="F113" t="inlineStr">
        <is>
          <t>GÄVLEBORGS LÄN</t>
        </is>
      </c>
      <c r="G113" t="inlineStr">
        <is>
          <t>GÄVLE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17251-2026 artfynd.xlsx", "A 17251-2026")</f>
        <v/>
      </c>
      <c r="X113">
        <f>HYPERLINK("https://klasma.github.io/Logging_2180/kartor/A 17251-2026 karta.png", "A 17251-2026")</f>
        <v/>
      </c>
      <c r="Y113">
        <f>HYPERLINK("https://klasma.github.io/Logging_2180/kartor_geotiff/A 17251-2026 georefererad karta.tif", "A 17251-2026")</f>
        <v/>
      </c>
      <c r="AA113">
        <f>HYPERLINK("https://klasma.github.io/Logging_2180/klagomål/A 17251-2026 FSC-klagomål.docx", "A 17251-2026")</f>
        <v/>
      </c>
      <c r="AB113">
        <f>HYPERLINK("https://klasma.github.io/Logging_2180/klagomålsmail/A 17251-2026 FSC-klagomål mail.docx", "A 17251-2026")</f>
        <v/>
      </c>
      <c r="AC113">
        <f>HYPERLINK("https://klasma.github.io/Logging_2180/tillsyn/A 17251-2026 tillsynsbegäran.docx", "A 17251-2026")</f>
        <v/>
      </c>
      <c r="AD113">
        <f>HYPERLINK("https://klasma.github.io/Logging_2180/tillsynsmail/A 17251-2026 tillsynsbegäran mail.docx", "A 17251-2026")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46258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19635-2026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46258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Skinnlav</t>
        </is>
      </c>
      <c r="W115">
        <f>HYPERLINK("https://klasma.github.io/Logging_2180/artfynd/A 19635-2026 artfynd.xlsx", "A 19635-2026")</f>
        <v/>
      </c>
      <c r="X115">
        <f>HYPERLINK("https://klasma.github.io/Logging_2180/kartor/A 19635-2026 karta.png", "A 19635-2026")</f>
        <v/>
      </c>
      <c r="Y115">
        <f>HYPERLINK("https://klasma.github.io/Logging_2180/kartor_geotiff/A 19635-2026 georefererad karta.tif", "A 19635-2026")</f>
        <v/>
      </c>
      <c r="AA115">
        <f>HYPERLINK("https://klasma.github.io/Logging_2180/klagomål/A 19635-2026 FSC-klagomål.docx", "A 19635-2026")</f>
        <v/>
      </c>
      <c r="AB115">
        <f>HYPERLINK("https://klasma.github.io/Logging_2180/klagomålsmail/A 19635-2026 FSC-klagomål mail.docx", "A 19635-2026")</f>
        <v/>
      </c>
      <c r="AC115">
        <f>HYPERLINK("https://klasma.github.io/Logging_2180/tillsyn/A 19635-2026 tillsynsbegäran.docx", "A 19635-2026")</f>
        <v/>
      </c>
      <c r="AD115">
        <f>HYPERLINK("https://klasma.github.io/Logging_2180/tillsynsmail/A 19635-2026 tillsynsbegäran mail.docx", "A 19635-2026")</f>
        <v/>
      </c>
    </row>
    <row r="116" ht="15" customHeight="1">
      <c r="A116" t="inlineStr">
        <is>
          <t>A 18216-2024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46258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Dofttaggsvamp</t>
        </is>
      </c>
      <c r="W116">
        <f>HYPERLINK("https://klasma.github.io/Logging_2180/artfynd/A 18216-2024 artfynd.xlsx", "A 18216-2024")</f>
        <v/>
      </c>
      <c r="X116">
        <f>HYPERLINK("https://klasma.github.io/Logging_2180/kartor/A 18216-2024 karta.png", "A 18216-2024")</f>
        <v/>
      </c>
      <c r="Y116">
        <f>HYPERLINK("https://klasma.github.io/Logging_2180/kartor_geotiff/A 18216-2024 georefererad karta.tif", "A 18216-2024")</f>
        <v/>
      </c>
      <c r="AA116">
        <f>HYPERLINK("https://klasma.github.io/Logging_2180/klagomål/A 18216-2024 FSC-klagomål.docx", "A 18216-2024")</f>
        <v/>
      </c>
      <c r="AB116">
        <f>HYPERLINK("https://klasma.github.io/Logging_2180/klagomålsmail/A 18216-2024 FSC-klagomål mail.docx", "A 18216-2024")</f>
        <v/>
      </c>
      <c r="AC116">
        <f>HYPERLINK("https://klasma.github.io/Logging_2180/tillsyn/A 18216-2024 tillsynsbegäran.docx", "A 18216-2024")</f>
        <v/>
      </c>
      <c r="AD116">
        <f>HYPERLINK("https://klasma.github.io/Logging_2180/tillsynsmail/A 18216-2024 tillsynsbegäran mail.docx", "A 18216-2024")</f>
        <v/>
      </c>
    </row>
    <row r="117" ht="15" customHeight="1">
      <c r="A117" t="inlineStr">
        <is>
          <t>A 13396-2026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46258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Fläcknycklar</t>
        </is>
      </c>
      <c r="W117">
        <f>HYPERLINK("https://klasma.github.io/Logging_2180/artfynd/A 13396-2026 artfynd.xlsx", "A 13396-2026")</f>
        <v/>
      </c>
      <c r="X117">
        <f>HYPERLINK("https://klasma.github.io/Logging_2180/kartor/A 13396-2026 karta.png", "A 13396-2026")</f>
        <v/>
      </c>
      <c r="Y117">
        <f>HYPERLINK("https://klasma.github.io/Logging_2180/kartor_geotiff/A 13396-2026 georefererad karta.tif", "A 13396-2026")</f>
        <v/>
      </c>
      <c r="AA117">
        <f>HYPERLINK("https://klasma.github.io/Logging_2180/klagomål/A 13396-2026 FSC-klagomål.docx", "A 13396-2026")</f>
        <v/>
      </c>
      <c r="AB117">
        <f>HYPERLINK("https://klasma.github.io/Logging_2180/klagomålsmail/A 13396-2026 FSC-klagomål mail.docx", "A 13396-2026")</f>
        <v/>
      </c>
      <c r="AC117">
        <f>HYPERLINK("https://klasma.github.io/Logging_2180/tillsyn/A 13396-2026 tillsynsbegäran.docx", "A 13396-2026")</f>
        <v/>
      </c>
      <c r="AD117">
        <f>HYPERLINK("https://klasma.github.io/Logging_2180/tillsynsmail/A 13396-2026 tillsynsbegäran mail.docx", "A 13396-2026")</f>
        <v/>
      </c>
    </row>
    <row r="118" ht="15" customHeight="1">
      <c r="A118" t="inlineStr">
        <is>
          <t>A 33832-2026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46258</v>
      </c>
      <c r="F118" t="inlineStr">
        <is>
          <t>GÄVLEBORGS LÄN</t>
        </is>
      </c>
      <c r="G118" t="inlineStr">
        <is>
          <t>GÄVLE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HYPERLINK("https://klasma.github.io/Logging_2180/artfynd/A 33832-2026 artfynd.xlsx", "A 33832-2026")</f>
        <v/>
      </c>
      <c r="X118">
        <f>HYPERLINK("https://klasma.github.io/Logging_2180/kartor/A 33832-2026 karta.png", "A 33832-2026")</f>
        <v/>
      </c>
      <c r="Y118">
        <f>HYPERLINK("https://klasma.github.io/Logging_2180/kartor_geotiff/A 33832-2026 georefererad karta.tif", "A 33832-2026")</f>
        <v/>
      </c>
      <c r="AA118">
        <f>HYPERLINK("https://klasma.github.io/Logging_2180/klagomål/A 33832-2026 FSC-klagomål.docx", "A 33832-2026")</f>
        <v/>
      </c>
      <c r="AB118">
        <f>HYPERLINK("https://klasma.github.io/Logging_2180/klagomålsmail/A 33832-2026 FSC-klagomål mail.docx", "A 33832-2026")</f>
        <v/>
      </c>
      <c r="AC118">
        <f>HYPERLINK("https://klasma.github.io/Logging_2180/tillsyn/A 33832-2026 tillsynsbegäran.docx", "A 33832-2026")</f>
        <v/>
      </c>
      <c r="AD118">
        <f>HYPERLINK("https://klasma.github.io/Logging_2180/tillsynsmail/A 33832-2026 tillsynsbegäran mail.docx", "A 33832-2026")</f>
        <v/>
      </c>
    </row>
    <row r="119" ht="15" customHeight="1">
      <c r="A119" t="inlineStr">
        <is>
          <t>A 14730-2026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46258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14730-2026 artfynd.xlsx", "A 14730-2026")</f>
        <v/>
      </c>
      <c r="X119">
        <f>HYPERLINK("https://klasma.github.io/Logging_2180/kartor/A 14730-2026 karta.png", "A 14730-2026")</f>
        <v/>
      </c>
      <c r="Y119">
        <f>HYPERLINK("https://klasma.github.io/Logging_2180/kartor_geotiff/A 14730-2026 georefererad karta.tif", "A 14730-2026")</f>
        <v/>
      </c>
      <c r="AA119">
        <f>HYPERLINK("https://klasma.github.io/Logging_2180/klagomål/A 14730-2026 FSC-klagomål.docx", "A 14730-2026")</f>
        <v/>
      </c>
      <c r="AB119">
        <f>HYPERLINK("https://klasma.github.io/Logging_2180/klagomålsmail/A 14730-2026 FSC-klagomål mail.docx", "A 14730-2026")</f>
        <v/>
      </c>
      <c r="AC119">
        <f>HYPERLINK("https://klasma.github.io/Logging_2180/tillsyn/A 14730-2026 tillsynsbegäran.docx", "A 14730-2026")</f>
        <v/>
      </c>
      <c r="AD119">
        <f>HYPERLINK("https://klasma.github.io/Logging_2180/tillsynsmail/A 14730-2026 tillsynsbegäran mail.docx", "A 14730-2026")</f>
        <v/>
      </c>
      <c r="AE119">
        <f>HYPERLINK("https://klasma.github.io/Logging_2180/fåglar/A 14730-2026 prioriterade fågelarter.docx", "A 14730-2026")</f>
        <v/>
      </c>
    </row>
    <row r="120" ht="15" customHeight="1">
      <c r="A120" t="inlineStr">
        <is>
          <t>A 37927-2022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46258</v>
      </c>
      <c r="F120" t="inlineStr">
        <is>
          <t>GÄVLEBORGS LÄN</t>
        </is>
      </c>
      <c r="G120" t="inlineStr">
        <is>
          <t>GÄVLE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10</v>
      </c>
      <c r="U120" t="n">
        <v>10</v>
      </c>
      <c r="V120" s="2" t="inlineStr">
        <is>
          <t>Knärot</t>
        </is>
      </c>
      <c r="W120">
        <f>HYPERLINK("https://klasma.github.io/Logging_2180/artfynd/A 37927-2022 artfynd.xlsx", "A 37927-2022")</f>
        <v/>
      </c>
      <c r="X120">
        <f>HYPERLINK("https://klasma.github.io/Logging_2180/kartor/A 37927-2022 karta.png", "A 37927-2022")</f>
        <v/>
      </c>
      <c r="Y120">
        <f>HYPERLINK("https://klasma.github.io/Logging_2180/kartor_geotiff/A 37927-2022 georefererad karta.tif", "A 37927-2022")</f>
        <v/>
      </c>
      <c r="Z120">
        <f>HYPERLINK("https://klasma.github.io/Logging_2180/knärot/A 37927-2022 karta knärot.png", "A 37927-2022")</f>
        <v/>
      </c>
      <c r="AA120">
        <f>HYPERLINK("https://klasma.github.io/Logging_2180/klagomål/A 37927-2022 FSC-klagomål.docx", "A 37927-2022")</f>
        <v/>
      </c>
      <c r="AB120">
        <f>HYPERLINK("https://klasma.github.io/Logging_2180/klagomålsmail/A 37927-2022 FSC-klagomål mail.docx", "A 37927-2022")</f>
        <v/>
      </c>
      <c r="AC120">
        <f>HYPERLINK("https://klasma.github.io/Logging_2180/tillsyn/A 37927-2022 tillsynsbegäran.docx", "A 37927-2022")</f>
        <v/>
      </c>
      <c r="AD120">
        <f>HYPERLINK("https://klasma.github.io/Logging_2180/tillsynsmail/A 37927-2022 tillsynsbegäran mail.docx", "A 37927-2022")</f>
        <v/>
      </c>
    </row>
    <row r="121" ht="15" customHeight="1">
      <c r="A121" t="inlineStr">
        <is>
          <t>A 14714-2026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46258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Tjäder</t>
        </is>
      </c>
      <c r="W121">
        <f>HYPERLINK("https://klasma.github.io/Logging_2180/artfynd/A 14714-2026 artfynd.xlsx", "A 14714-2026")</f>
        <v/>
      </c>
      <c r="X121">
        <f>HYPERLINK("https://klasma.github.io/Logging_2180/kartor/A 14714-2026 karta.png", "A 14714-2026")</f>
        <v/>
      </c>
      <c r="Y121">
        <f>HYPERLINK("https://klasma.github.io/Logging_2180/kartor_geotiff/A 14714-2026 georefererad karta.tif", "A 14714-2026")</f>
        <v/>
      </c>
      <c r="AA121">
        <f>HYPERLINK("https://klasma.github.io/Logging_2180/klagomål/A 14714-2026 FSC-klagomål.docx", "A 14714-2026")</f>
        <v/>
      </c>
      <c r="AB121">
        <f>HYPERLINK("https://klasma.github.io/Logging_2180/klagomålsmail/A 14714-2026 FSC-klagomål mail.docx", "A 14714-2026")</f>
        <v/>
      </c>
      <c r="AC121">
        <f>HYPERLINK("https://klasma.github.io/Logging_2180/tillsyn/A 14714-2026 tillsynsbegäran.docx", "A 14714-2026")</f>
        <v/>
      </c>
      <c r="AD121">
        <f>HYPERLINK("https://klasma.github.io/Logging_2180/tillsynsmail/A 14714-2026 tillsynsbegäran mail.docx", "A 14714-2026")</f>
        <v/>
      </c>
      <c r="AE121">
        <f>HYPERLINK("https://klasma.github.io/Logging_2180/fåglar/A 14714-2026 prioriterade fågelarter.docx", "A 14714-2026")</f>
        <v/>
      </c>
    </row>
    <row r="122" ht="15" customHeight="1">
      <c r="A122" t="inlineStr">
        <is>
          <t>A 34086-2026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46252</v>
      </c>
      <c r="E122" s="1" t="n">
        <v>46258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6.1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Gullgröppa</t>
        </is>
      </c>
      <c r="W122">
        <f>HYPERLINK("https://klasma.github.io/Logging_2180/artfynd/A 34086-2026 artfynd.xlsx", "A 34086-2026")</f>
        <v/>
      </c>
      <c r="X122">
        <f>HYPERLINK("https://klasma.github.io/Logging_2180/kartor/A 34086-2026 karta.png", "A 34086-2026")</f>
        <v/>
      </c>
      <c r="Y122">
        <f>HYPERLINK("https://klasma.github.io/Logging_2180/kartor_geotiff/A 34086-2026 georefererad karta.tif", "A 34086-2026")</f>
        <v/>
      </c>
      <c r="AA122">
        <f>HYPERLINK("https://klasma.github.io/Logging_2180/klagomål/A 34086-2026 FSC-klagomål.docx", "A 34086-2026")</f>
        <v/>
      </c>
      <c r="AB122">
        <f>HYPERLINK("https://klasma.github.io/Logging_2180/klagomålsmail/A 34086-2026 FSC-klagomål mail.docx", "A 34086-2026")</f>
        <v/>
      </c>
      <c r="AC122">
        <f>HYPERLINK("https://klasma.github.io/Logging_2180/tillsyn/A 34086-2026 tillsynsbegäran.docx", "A 34086-2026")</f>
        <v/>
      </c>
      <c r="AD122">
        <f>HYPERLINK("https://klasma.github.io/Logging_2180/tillsynsmail/A 34086-2026 tillsynsbegäran mail.docx", "A 34086-2026")</f>
        <v/>
      </c>
    </row>
    <row r="123" ht="15" customHeight="1">
      <c r="A123" t="inlineStr">
        <is>
          <t>A 14711-2026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46258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Blanksvart spiklav</t>
        </is>
      </c>
      <c r="W123">
        <f>HYPERLINK("https://klasma.github.io/Logging_2180/artfynd/A 14711-2026 artfynd.xlsx", "A 14711-2026")</f>
        <v/>
      </c>
      <c r="X123">
        <f>HYPERLINK("https://klasma.github.io/Logging_2180/kartor/A 14711-2026 karta.png", "A 14711-2026")</f>
        <v/>
      </c>
      <c r="Y123">
        <f>HYPERLINK("https://klasma.github.io/Logging_2180/kartor_geotiff/A 14711-2026 georefererad karta.tif", "A 14711-2026")</f>
        <v/>
      </c>
      <c r="AA123">
        <f>HYPERLINK("https://klasma.github.io/Logging_2180/klagomål/A 14711-2026 FSC-klagomål.docx", "A 14711-2026")</f>
        <v/>
      </c>
      <c r="AB123">
        <f>HYPERLINK("https://klasma.github.io/Logging_2180/klagomålsmail/A 14711-2026 FSC-klagomål mail.docx", "A 14711-2026")</f>
        <v/>
      </c>
      <c r="AC123">
        <f>HYPERLINK("https://klasma.github.io/Logging_2180/tillsyn/A 14711-2026 tillsynsbegäran.docx", "A 14711-2026")</f>
        <v/>
      </c>
      <c r="AD123">
        <f>HYPERLINK("https://klasma.github.io/Logging_2180/tillsynsmail/A 14711-2026 tillsynsbegäran mail.docx", "A 14711-2026")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46258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10064-2025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46258</v>
      </c>
      <c r="F125" t="inlineStr">
        <is>
          <t>GÄVLEBORGS LÄN</t>
        </is>
      </c>
      <c r="G125" t="inlineStr">
        <is>
          <t>GÄVLE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HYPERLINK("https://klasma.github.io/Logging_2180/artfynd/A 10064-2025 artfynd.xlsx", "A 10064-2025")</f>
        <v/>
      </c>
      <c r="X125">
        <f>HYPERLINK("https://klasma.github.io/Logging_2180/kartor/A 10064-2025 karta.png", "A 10064-2025")</f>
        <v/>
      </c>
      <c r="Y125">
        <f>HYPERLINK("https://klasma.github.io/Logging_2180/kartor_geotiff/A 10064-2025 georefererad karta.tif", "A 10064-2025")</f>
        <v/>
      </c>
      <c r="AA125">
        <f>HYPERLINK("https://klasma.github.io/Logging_2180/klagomål/A 10064-2025 FSC-klagomål.docx", "A 10064-2025")</f>
        <v/>
      </c>
      <c r="AB125">
        <f>HYPERLINK("https://klasma.github.io/Logging_2180/klagomålsmail/A 10064-2025 FSC-klagomål mail.docx", "A 10064-2025")</f>
        <v/>
      </c>
      <c r="AC125">
        <f>HYPERLINK("https://klasma.github.io/Logging_2180/tillsyn/A 10064-2025 tillsynsbegäran.docx", "A 10064-2025")</f>
        <v/>
      </c>
      <c r="AD125">
        <f>HYPERLINK("https://klasma.github.io/Logging_2180/tillsynsmail/A 10064-2025 tillsynsbegäran mail.docx", "A 10064-2025")</f>
        <v/>
      </c>
    </row>
    <row r="126" ht="15" customHeight="1">
      <c r="A126" t="inlineStr">
        <is>
          <t>A 20734-2026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46258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HYPERLINK("https://klasma.github.io/Logging_2180/artfynd/A 20734-2026 artfynd.xlsx", "A 20734-2026")</f>
        <v/>
      </c>
      <c r="X126">
        <f>HYPERLINK("https://klasma.github.io/Logging_2180/kartor/A 20734-2026 karta.png", "A 20734-2026")</f>
        <v/>
      </c>
      <c r="Y126">
        <f>HYPERLINK("https://klasma.github.io/Logging_2180/kartor_geotiff/A 20734-2026 georefererad karta.tif", "A 20734-2026")</f>
        <v/>
      </c>
      <c r="AA126">
        <f>HYPERLINK("https://klasma.github.io/Logging_2180/klagomål/A 20734-2026 FSC-klagomål.docx", "A 20734-2026")</f>
        <v/>
      </c>
      <c r="AB126">
        <f>HYPERLINK("https://klasma.github.io/Logging_2180/klagomålsmail/A 20734-2026 FSC-klagomål mail.docx", "A 20734-2026")</f>
        <v/>
      </c>
      <c r="AC126">
        <f>HYPERLINK("https://klasma.github.io/Logging_2180/tillsyn/A 20734-2026 tillsynsbegäran.docx", "A 20734-2026")</f>
        <v/>
      </c>
      <c r="AD126">
        <f>HYPERLINK("https://klasma.github.io/Logging_2180/tillsynsmail/A 20734-2026 tillsynsbegäran mail.docx", "A 20734-2026")</f>
        <v/>
      </c>
    </row>
    <row r="127" ht="15" customHeight="1">
      <c r="A127" t="inlineStr">
        <is>
          <t>A 14703-2026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46258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HYPERLINK("https://klasma.github.io/Logging_2180/artfynd/A 14703-2026 artfynd.xlsx", "A 14703-2026")</f>
        <v/>
      </c>
      <c r="X127">
        <f>HYPERLINK("https://klasma.github.io/Logging_2180/kartor/A 14703-2026 karta.png", "A 14703-2026")</f>
        <v/>
      </c>
      <c r="Y127">
        <f>HYPERLINK("https://klasma.github.io/Logging_2180/kartor_geotiff/A 14703-2026 georefererad karta.tif", "A 14703-2026")</f>
        <v/>
      </c>
      <c r="AA127">
        <f>HYPERLINK("https://klasma.github.io/Logging_2180/klagomål/A 14703-2026 FSC-klagomål.docx", "A 14703-2026")</f>
        <v/>
      </c>
      <c r="AB127">
        <f>HYPERLINK("https://klasma.github.io/Logging_2180/klagomålsmail/A 14703-2026 FSC-klagomål mail.docx", "A 14703-2026")</f>
        <v/>
      </c>
      <c r="AC127">
        <f>HYPERLINK("https://klasma.github.io/Logging_2180/tillsyn/A 14703-2026 tillsynsbegäran.docx", "A 14703-2026")</f>
        <v/>
      </c>
      <c r="AD127">
        <f>HYPERLINK("https://klasma.github.io/Logging_2180/tillsynsmail/A 14703-2026 tillsynsbegäran mail.docx", "A 14703-2026")</f>
        <v/>
      </c>
      <c r="AE127">
        <f>HYPERLINK("https://klasma.github.io/Logging_2180/fåglar/A 14703-2026 prioriterade fågelarter.docx", "A 14703-2026")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46258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46258</v>
      </c>
      <c r="F129" t="inlineStr">
        <is>
          <t>GÄVLEBORGS LÄN</t>
        </is>
      </c>
      <c r="G129" t="inlineStr">
        <is>
          <t>GÄVLE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Havsörn</t>
        </is>
      </c>
      <c r="W129">
        <f>HYPERLINK("https://klasma.github.io/Logging_2180/artfynd/A 13269-2026 artfynd.xlsx", "A 13269-2026")</f>
        <v/>
      </c>
      <c r="X129">
        <f>HYPERLINK("https://klasma.github.io/Logging_2180/kartor/A 13269-2026 karta.png", "A 13269-2026")</f>
        <v/>
      </c>
      <c r="Y129">
        <f>HYPERLINK("https://klasma.github.io/Logging_2180/kartor_geotiff/A 13269-2026 georefererad karta.tif", "A 13269-2026")</f>
        <v/>
      </c>
      <c r="AA129">
        <f>HYPERLINK("https://klasma.github.io/Logging_2180/klagomål/A 13269-2026 FSC-klagomål.docx", "A 13269-2026")</f>
        <v/>
      </c>
      <c r="AB129">
        <f>HYPERLINK("https://klasma.github.io/Logging_2180/klagomålsmail/A 13269-2026 FSC-klagomål mail.docx", "A 13269-2026")</f>
        <v/>
      </c>
      <c r="AC129">
        <f>HYPERLINK("https://klasma.github.io/Logging_2180/tillsyn/A 13269-2026 tillsynsbegäran.docx", "A 13269-2026")</f>
        <v/>
      </c>
      <c r="AD129">
        <f>HYPERLINK("https://klasma.github.io/Logging_2180/tillsynsmail/A 13269-2026 tillsynsbegäran mail.docx", "A 13269-2026")</f>
        <v/>
      </c>
      <c r="AE129">
        <f>HYPERLINK("https://klasma.github.io/Logging_2180/fåglar/A 13269-2026 prioriterade fågelarter.docx", "A 13269-2026")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46258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A 22052-2026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46258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HYPERLINK("https://klasma.github.io/Logging_2180/artfynd/A 22052-2026 artfynd.xlsx", "A 22052-2026")</f>
        <v/>
      </c>
      <c r="X131">
        <f>HYPERLINK("https://klasma.github.io/Logging_2180/kartor/A 22052-2026 karta.png", "A 22052-2026")</f>
        <v/>
      </c>
      <c r="Y131">
        <f>HYPERLINK("https://klasma.github.io/Logging_2180/kartor_geotiff/A 22052-2026 georefererad karta.tif", "A 22052-2026")</f>
        <v/>
      </c>
      <c r="AA131">
        <f>HYPERLINK("https://klasma.github.io/Logging_2180/klagomål/A 22052-2026 FSC-klagomål.docx", "A 22052-2026")</f>
        <v/>
      </c>
      <c r="AB131">
        <f>HYPERLINK("https://klasma.github.io/Logging_2180/klagomålsmail/A 22052-2026 FSC-klagomål mail.docx", "A 22052-2026")</f>
        <v/>
      </c>
      <c r="AC131">
        <f>HYPERLINK("https://klasma.github.io/Logging_2180/tillsyn/A 22052-2026 tillsynsbegäran.docx", "A 22052-2026")</f>
        <v/>
      </c>
      <c r="AD131">
        <f>HYPERLINK("https://klasma.github.io/Logging_2180/tillsynsmail/A 22052-2026 tillsynsbegäran mail.docx", "A 22052-2026")</f>
        <v/>
      </c>
    </row>
    <row r="132" ht="15" customHeight="1">
      <c r="A132" t="inlineStr">
        <is>
          <t>A 22892-2026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46157</v>
      </c>
      <c r="E132" s="1" t="n">
        <v>46258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HYPERLINK("https://klasma.github.io/Logging_2180/artfynd/A 22892-2026 artfynd.xlsx", "A 22892-2026")</f>
        <v/>
      </c>
      <c r="X132">
        <f>HYPERLINK("https://klasma.github.io/Logging_2180/kartor/A 22892-2026 karta.png", "A 22892-2026")</f>
        <v/>
      </c>
      <c r="Y132">
        <f>HYPERLINK("https://klasma.github.io/Logging_2180/kartor_geotiff/A 22892-2026 georefererad karta.tif", "A 22892-2026")</f>
        <v/>
      </c>
      <c r="AA132">
        <f>HYPERLINK("https://klasma.github.io/Logging_2180/klagomål/A 22892-2026 FSC-klagomål.docx", "A 22892-2026")</f>
        <v/>
      </c>
      <c r="AB132">
        <f>HYPERLINK("https://klasma.github.io/Logging_2180/klagomålsmail/A 22892-2026 FSC-klagomål mail.docx", "A 22892-2026")</f>
        <v/>
      </c>
      <c r="AC132">
        <f>HYPERLINK("https://klasma.github.io/Logging_2180/tillsyn/A 22892-2026 tillsynsbegäran.docx", "A 22892-2026")</f>
        <v/>
      </c>
      <c r="AD132">
        <f>HYPERLINK("https://klasma.github.io/Logging_2180/tillsynsmail/A 22892-2026 tillsynsbegäran mail.docx", "A 22892-2026")</f>
        <v/>
      </c>
      <c r="AE132">
        <f>HYPERLINK("https://klasma.github.io/Logging_2180/fåglar/A 22892-2026 prioriterade fågelarter.docx", "A 22892-2026")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46258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46258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46258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46258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46258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46258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46258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44775</v>
      </c>
      <c r="E140" s="1" t="n">
        <v>46258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46258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46258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46258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46258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46258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46258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46258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46258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46258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46258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46258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46258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46258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46258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46258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44654-2021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44437</v>
      </c>
      <c r="E156" s="1" t="n">
        <v>46258</v>
      </c>
      <c r="F156" t="inlineStr">
        <is>
          <t>GÄVLEBORGS LÄN</t>
        </is>
      </c>
      <c r="G156" t="inlineStr">
        <is>
          <t>GÄVLE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46258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46258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46258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46258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46258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46258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46258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46258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46258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46258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46258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46258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46258</v>
      </c>
      <c r="F169" t="inlineStr">
        <is>
          <t>GÄVLEBORGS LÄN</t>
        </is>
      </c>
      <c r="G169" t="inlineStr">
        <is>
          <t>GÄVLE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44448</v>
      </c>
      <c r="E170" s="1" t="n">
        <v>46258</v>
      </c>
      <c r="F170" t="inlineStr">
        <is>
          <t>GÄVLEBORGS LÄN</t>
        </is>
      </c>
      <c r="G170" t="inlineStr">
        <is>
          <t>GÄVLE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46258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45468</v>
      </c>
      <c r="E172" s="1" t="n">
        <v>46258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46258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46258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26564-2022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44739</v>
      </c>
      <c r="E175" s="1" t="n">
        <v>46258</v>
      </c>
      <c r="F175" t="inlineStr">
        <is>
          <t>GÄVLEBORGS LÄN</t>
        </is>
      </c>
      <c r="G175" t="inlineStr">
        <is>
          <t>GÄVLE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46258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46258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öst AB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46258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46258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46258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46258</v>
      </c>
      <c r="F181" t="inlineStr">
        <is>
          <t>GÄVLEBORGS LÄN</t>
        </is>
      </c>
      <c r="G181" t="inlineStr">
        <is>
          <t>GÄVLE</t>
        </is>
      </c>
      <c r="H181" t="inlineStr">
        <is>
          <t>Kommuner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44735</v>
      </c>
      <c r="E182" s="1" t="n">
        <v>46258</v>
      </c>
      <c r="F182" t="inlineStr">
        <is>
          <t>GÄVLEBORGS LÄN</t>
        </is>
      </c>
      <c r="G182" t="inlineStr">
        <is>
          <t>GÄVLE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45223</v>
      </c>
      <c r="E183" s="1" t="n">
        <v>46258</v>
      </c>
      <c r="F183" t="inlineStr">
        <is>
          <t>GÄVLEBORGS LÄN</t>
        </is>
      </c>
      <c r="G183" t="inlineStr">
        <is>
          <t>GÄVLE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46258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46258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46258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46258</v>
      </c>
      <c r="F187" t="inlineStr">
        <is>
          <t>GÄVLEBORGS LÄN</t>
        </is>
      </c>
      <c r="G187" t="inlineStr">
        <is>
          <t>GÄVLE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59515-2021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44491</v>
      </c>
      <c r="E188" s="1" t="n">
        <v>46258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27611-2025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46258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46258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46258</v>
      </c>
      <c r="F191" t="inlineStr">
        <is>
          <t>GÄVLEBORGS LÄN</t>
        </is>
      </c>
      <c r="G191" t="inlineStr">
        <is>
          <t>GÄVLE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44693</v>
      </c>
      <c r="E192" s="1" t="n">
        <v>46258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45401</v>
      </c>
      <c r="E193" s="1" t="n">
        <v>46258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46258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46258</v>
      </c>
      <c r="F195" t="inlineStr">
        <is>
          <t>GÄVLEBORGS LÄN</t>
        </is>
      </c>
      <c r="G195" t="inlineStr">
        <is>
          <t>GÄVLE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46258</v>
      </c>
      <c r="F196" t="inlineStr">
        <is>
          <t>GÄVLEBORGS LÄN</t>
        </is>
      </c>
      <c r="G196" t="inlineStr">
        <is>
          <t>GÄVLE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46258</v>
      </c>
      <c r="F197" t="inlineStr">
        <is>
          <t>GÄVLEBORGS LÄN</t>
        </is>
      </c>
      <c r="G197" t="inlineStr">
        <is>
          <t>GÄVLE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46258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45454</v>
      </c>
      <c r="E199" s="1" t="n">
        <v>46258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46258</v>
      </c>
      <c r="F200" t="inlineStr">
        <is>
          <t>GÄVLEBORGS LÄN</t>
        </is>
      </c>
      <c r="G200" t="inlineStr">
        <is>
          <t>GÄVLE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46258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46258</v>
      </c>
      <c r="F202" t="inlineStr">
        <is>
          <t>GÄVLEBORGS LÄN</t>
        </is>
      </c>
      <c r="G202" t="inlineStr">
        <is>
          <t>GÄVLE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44445</v>
      </c>
      <c r="E203" s="1" t="n">
        <v>46258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46258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46258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45895</v>
      </c>
      <c r="E206" s="1" t="n">
        <v>46258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45014</v>
      </c>
      <c r="E207" s="1" t="n">
        <v>46258</v>
      </c>
      <c r="F207" t="inlineStr">
        <is>
          <t>GÄVLEBORGS LÄN</t>
        </is>
      </c>
      <c r="G207" t="inlineStr">
        <is>
          <t>GÄVLE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46258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46258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46258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46258</v>
      </c>
      <c r="F211" t="inlineStr">
        <is>
          <t>GÄVLEBORGS LÄN</t>
        </is>
      </c>
      <c r="G211" t="inlineStr">
        <is>
          <t>GÄVLE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46258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44735</v>
      </c>
      <c r="E213" s="1" t="n">
        <v>46258</v>
      </c>
      <c r="F213" t="inlineStr">
        <is>
          <t>GÄVLEBORGS LÄN</t>
        </is>
      </c>
      <c r="G213" t="inlineStr">
        <is>
          <t>GÄVLE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46258</v>
      </c>
      <c r="F214" t="inlineStr">
        <is>
          <t>GÄVLEBORGS LÄN</t>
        </is>
      </c>
      <c r="G214" t="inlineStr">
        <is>
          <t>GÄVLE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46258</v>
      </c>
      <c r="F215" t="inlineStr">
        <is>
          <t>GÄVLEBORGS LÄN</t>
        </is>
      </c>
      <c r="G215" t="inlineStr">
        <is>
          <t>GÄVLE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44701</v>
      </c>
      <c r="E216" s="1" t="n">
        <v>46258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46258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46258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46258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46258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46258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46258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46258</v>
      </c>
      <c r="F223" t="inlineStr">
        <is>
          <t>GÄVLEBORGS LÄN</t>
        </is>
      </c>
      <c r="G223" t="inlineStr">
        <is>
          <t>GÄVLE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46258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46258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46258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46258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45040</v>
      </c>
      <c r="E228" s="1" t="n">
        <v>46258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45660</v>
      </c>
      <c r="E229" s="1" t="n">
        <v>46258</v>
      </c>
      <c r="F229" t="inlineStr">
        <is>
          <t>GÄVLEBORGS LÄN</t>
        </is>
      </c>
      <c r="G229" t="inlineStr">
        <is>
          <t>GÄVLE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46258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46258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46258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46258</v>
      </c>
      <c r="F233" t="inlineStr">
        <is>
          <t>GÄVLEBORGS LÄN</t>
        </is>
      </c>
      <c r="G233" t="inlineStr">
        <is>
          <t>GÄVLE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44684</v>
      </c>
      <c r="E234" s="1" t="n">
        <v>46258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46258</v>
      </c>
      <c r="F235" t="inlineStr">
        <is>
          <t>GÄVLEBORGS LÄN</t>
        </is>
      </c>
      <c r="G235" t="inlineStr">
        <is>
          <t>GÄVLE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46258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46258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46258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46258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44656</v>
      </c>
      <c r="E240" s="1" t="n">
        <v>46258</v>
      </c>
      <c r="F240" t="inlineStr">
        <is>
          <t>GÄVLEBORGS LÄN</t>
        </is>
      </c>
      <c r="G240" t="inlineStr">
        <is>
          <t>GÄVLE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46258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46258</v>
      </c>
      <c r="F242" t="inlineStr">
        <is>
          <t>GÄVLEBORGS LÄN</t>
        </is>
      </c>
      <c r="G242" t="inlineStr">
        <is>
          <t>GÄVLE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45827</v>
      </c>
      <c r="E243" s="1" t="n">
        <v>46258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46258</v>
      </c>
      <c r="F244" t="inlineStr">
        <is>
          <t>GÄVLEBORGS LÄN</t>
        </is>
      </c>
      <c r="G244" t="inlineStr">
        <is>
          <t>GÄVLE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46258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46258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46258</v>
      </c>
      <c r="F247" t="inlineStr">
        <is>
          <t>GÄVLEBORGS LÄN</t>
        </is>
      </c>
      <c r="G247" t="inlineStr">
        <is>
          <t>GÄVLE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45908</v>
      </c>
      <c r="E248" s="1" t="n">
        <v>46258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46258</v>
      </c>
      <c r="F249" t="inlineStr">
        <is>
          <t>GÄVLEBORGS LÄN</t>
        </is>
      </c>
      <c r="G249" t="inlineStr">
        <is>
          <t>GÄVLE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44694</v>
      </c>
      <c r="E250" s="1" t="n">
        <v>46258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46258</v>
      </c>
      <c r="F251" t="inlineStr">
        <is>
          <t>GÄVLEBORGS LÄN</t>
        </is>
      </c>
      <c r="G251" t="inlineStr">
        <is>
          <t>GÄVLE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46258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46258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46258</v>
      </c>
      <c r="F254" t="inlineStr">
        <is>
          <t>GÄVLEBORGS LÄN</t>
        </is>
      </c>
      <c r="G254" t="inlineStr">
        <is>
          <t>GÄVLE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46258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46258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46258</v>
      </c>
      <c r="F257" t="inlineStr">
        <is>
          <t>GÄVLEBORGS LÄN</t>
        </is>
      </c>
      <c r="G257" t="inlineStr">
        <is>
          <t>GÄVLE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46258</v>
      </c>
      <c r="F258" t="inlineStr">
        <is>
          <t>GÄVLEBORGS LÄN</t>
        </is>
      </c>
      <c r="G258" t="inlineStr">
        <is>
          <t>GÄVLE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46258</v>
      </c>
      <c r="F259" t="inlineStr">
        <is>
          <t>GÄVLEBORGS LÄN</t>
        </is>
      </c>
      <c r="G259" t="inlineStr">
        <is>
          <t>GÄVLE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45158</v>
      </c>
      <c r="E260" s="1" t="n">
        <v>46258</v>
      </c>
      <c r="F260" t="inlineStr">
        <is>
          <t>GÄVLEBORGS LÄN</t>
        </is>
      </c>
      <c r="G260" t="inlineStr">
        <is>
          <t>GÄVLE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45158</v>
      </c>
      <c r="E261" s="1" t="n">
        <v>46258</v>
      </c>
      <c r="F261" t="inlineStr">
        <is>
          <t>GÄVLEBORGS LÄN</t>
        </is>
      </c>
      <c r="G261" t="inlineStr">
        <is>
          <t>GÄVLE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46258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46258</v>
      </c>
      <c r="F263" t="inlineStr">
        <is>
          <t>GÄVLEBORGS LÄN</t>
        </is>
      </c>
      <c r="G263" t="inlineStr">
        <is>
          <t>GÄVLE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44708</v>
      </c>
      <c r="E264" s="1" t="n">
        <v>46258</v>
      </c>
      <c r="F264" t="inlineStr">
        <is>
          <t>GÄVLEBORGS LÄN</t>
        </is>
      </c>
      <c r="G264" t="inlineStr">
        <is>
          <t>GÄVLE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46258</v>
      </c>
      <c r="F265" t="inlineStr">
        <is>
          <t>GÄVLEBORGS LÄN</t>
        </is>
      </c>
      <c r="G265" t="inlineStr">
        <is>
          <t>GÄVLE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46258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44962</v>
      </c>
      <c r="E267" s="1" t="n">
        <v>46258</v>
      </c>
      <c r="F267" t="inlineStr">
        <is>
          <t>GÄVLEBORGS LÄN</t>
        </is>
      </c>
      <c r="G267" t="inlineStr">
        <is>
          <t>GÄVLE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45660</v>
      </c>
      <c r="E268" s="1" t="n">
        <v>46258</v>
      </c>
      <c r="F268" t="inlineStr">
        <is>
          <t>GÄVLEBORGS LÄN</t>
        </is>
      </c>
      <c r="G268" t="inlineStr">
        <is>
          <t>GÄVLE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45850-2025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45923</v>
      </c>
      <c r="E269" s="1" t="n">
        <v>46258</v>
      </c>
      <c r="F269" t="inlineStr">
        <is>
          <t>GÄVLEBORGS LÄN</t>
        </is>
      </c>
      <c r="G269" t="inlineStr">
        <is>
          <t>GÄVLE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46258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46258</v>
      </c>
      <c r="F271" t="inlineStr">
        <is>
          <t>GÄVLEBORGS LÄN</t>
        </is>
      </c>
      <c r="G271" t="inlineStr">
        <is>
          <t>GÄVLE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46258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46258</v>
      </c>
      <c r="F273" t="inlineStr">
        <is>
          <t>GÄVLEBORGS LÄN</t>
        </is>
      </c>
      <c r="G273" t="inlineStr">
        <is>
          <t>GÄVLE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46258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46258</v>
      </c>
      <c r="F275" t="inlineStr">
        <is>
          <t>GÄVLEBORGS LÄN</t>
        </is>
      </c>
      <c r="G275" t="inlineStr">
        <is>
          <t>GÄVLE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46258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47746-2023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45203</v>
      </c>
      <c r="E277" s="1" t="n">
        <v>46258</v>
      </c>
      <c r="F277" t="inlineStr">
        <is>
          <t>GÄVLEBORGS LÄN</t>
        </is>
      </c>
      <c r="G277" t="inlineStr">
        <is>
          <t>GÄVLE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46258</v>
      </c>
      <c r="F278" t="inlineStr">
        <is>
          <t>GÄVLEBORGS LÄN</t>
        </is>
      </c>
      <c r="G278" t="inlineStr">
        <is>
          <t>GÄVLE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46258</v>
      </c>
      <c r="F279" t="inlineStr">
        <is>
          <t>GÄVLEBORGS LÄN</t>
        </is>
      </c>
      <c r="G279" t="inlineStr">
        <is>
          <t>GÄVLE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44466</v>
      </c>
      <c r="E280" s="1" t="n">
        <v>46258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46258</v>
      </c>
      <c r="F281" t="inlineStr">
        <is>
          <t>GÄVLEBORGS LÄN</t>
        </is>
      </c>
      <c r="G281" t="inlineStr">
        <is>
          <t>GÄVLE</t>
        </is>
      </c>
      <c r="H281" t="inlineStr">
        <is>
          <t>Kyrkan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46258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46258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46258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46258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20689-2024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45436</v>
      </c>
      <c r="E286" s="1" t="n">
        <v>46258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46258</v>
      </c>
      <c r="F287" t="inlineStr">
        <is>
          <t>GÄVLEBORGS LÄN</t>
        </is>
      </c>
      <c r="G287" t="inlineStr">
        <is>
          <t>GÄVLE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46258</v>
      </c>
      <c r="F288" t="inlineStr">
        <is>
          <t>GÄVLEBORGS LÄN</t>
        </is>
      </c>
      <c r="G288" t="inlineStr">
        <is>
          <t>GÄVLE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45120</v>
      </c>
      <c r="E289" s="1" t="n">
        <v>46258</v>
      </c>
      <c r="F289" t="inlineStr">
        <is>
          <t>GÄVLEBORGS LÄN</t>
        </is>
      </c>
      <c r="G289" t="inlineStr">
        <is>
          <t>GÄVLE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46258</v>
      </c>
      <c r="F290" t="inlineStr">
        <is>
          <t>GÄVLEBORGS LÄN</t>
        </is>
      </c>
      <c r="G290" t="inlineStr">
        <is>
          <t>GÄVLE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46258</v>
      </c>
      <c r="F291" t="inlineStr">
        <is>
          <t>GÄVLEBORGS LÄN</t>
        </is>
      </c>
      <c r="G291" t="inlineStr">
        <is>
          <t>GÄVLE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45278-2022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44840</v>
      </c>
      <c r="E292" s="1" t="n">
        <v>46258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46258</v>
      </c>
      <c r="F293" t="inlineStr">
        <is>
          <t>GÄVLEBORGS LÄN</t>
        </is>
      </c>
      <c r="G293" t="inlineStr">
        <is>
          <t>GÄVLE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46258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46258</v>
      </c>
      <c r="F295" t="inlineStr">
        <is>
          <t>GÄVLEBORGS LÄN</t>
        </is>
      </c>
      <c r="G295" t="inlineStr">
        <is>
          <t>GÄVLE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46258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46258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46258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48002-2025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46258</v>
      </c>
      <c r="F299" t="inlineStr">
        <is>
          <t>GÄVLEBORGS LÄN</t>
        </is>
      </c>
      <c r="G299" t="inlineStr">
        <is>
          <t>GÄVLE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46258</v>
      </c>
      <c r="F300" t="inlineStr">
        <is>
          <t>GÄVLEBORGS LÄN</t>
        </is>
      </c>
      <c r="G300" t="inlineStr">
        <is>
          <t>GÄVLE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46258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46258</v>
      </c>
      <c r="F302" t="inlineStr">
        <is>
          <t>GÄVLEBORGS LÄN</t>
        </is>
      </c>
      <c r="G302" t="inlineStr">
        <is>
          <t>GÄVLE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44942</v>
      </c>
      <c r="E303" s="1" t="n">
        <v>46258</v>
      </c>
      <c r="F303" t="inlineStr">
        <is>
          <t>GÄVLEBORGS LÄN</t>
        </is>
      </c>
      <c r="G303" t="inlineStr">
        <is>
          <t>GÄVLE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64868-2023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45282</v>
      </c>
      <c r="E304" s="1" t="n">
        <v>46258</v>
      </c>
      <c r="F304" t="inlineStr">
        <is>
          <t>GÄVLEBORGS LÄN</t>
        </is>
      </c>
      <c r="G304" t="inlineStr">
        <is>
          <t>GÄVLE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46258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46258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46258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45916</v>
      </c>
      <c r="E309" s="1" t="n">
        <v>46258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46258</v>
      </c>
      <c r="F310" t="inlineStr">
        <is>
          <t>GÄVLEBORGS LÄN</t>
        </is>
      </c>
      <c r="G310" t="inlineStr">
        <is>
          <t>GÄVLE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46258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45422</v>
      </c>
      <c r="E312" s="1" t="n">
        <v>46258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46258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46258</v>
      </c>
      <c r="F314" t="inlineStr">
        <is>
          <t>GÄVLEBORGS LÄN</t>
        </is>
      </c>
      <c r="G314" t="inlineStr">
        <is>
          <t>GÄVLE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46258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46258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19095-2022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44691</v>
      </c>
      <c r="E317" s="1" t="n">
        <v>46258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46258</v>
      </c>
      <c r="F318" t="inlineStr">
        <is>
          <t>GÄVLEBORGS LÄN</t>
        </is>
      </c>
      <c r="G318" t="inlineStr">
        <is>
          <t>GÄVLE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50345-2025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45944</v>
      </c>
      <c r="E319" s="1" t="n">
        <v>46258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45944</v>
      </c>
      <c r="E320" s="1" t="n">
        <v>46258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44586</v>
      </c>
      <c r="E321" s="1" t="n">
        <v>46258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46258</v>
      </c>
      <c r="F322" t="inlineStr">
        <is>
          <t>GÄVLEBORGS LÄN</t>
        </is>
      </c>
      <c r="G322" t="inlineStr">
        <is>
          <t>GÄVLE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46258</v>
      </c>
      <c r="F323" t="inlineStr">
        <is>
          <t>GÄVLEBORGS LÄN</t>
        </is>
      </c>
      <c r="G323" t="inlineStr">
        <is>
          <t>GÄVLE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66351-2021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46258</v>
      </c>
      <c r="F324" t="inlineStr">
        <is>
          <t>GÄVLEBORGS LÄN</t>
        </is>
      </c>
      <c r="G324" t="inlineStr">
        <is>
          <t>GÄVLE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46258</v>
      </c>
      <c r="F325" t="inlineStr">
        <is>
          <t>GÄVLEBORGS LÄN</t>
        </is>
      </c>
      <c r="G325" t="inlineStr">
        <is>
          <t>GÄVLE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45324</v>
      </c>
      <c r="E326" s="1" t="n">
        <v>46258</v>
      </c>
      <c r="F326" t="inlineStr">
        <is>
          <t>GÄVLEBORGS LÄN</t>
        </is>
      </c>
      <c r="G326" t="inlineStr">
        <is>
          <t>GÄVLE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46258</v>
      </c>
      <c r="F327" t="inlineStr">
        <is>
          <t>GÄVLEBORGS LÄN</t>
        </is>
      </c>
      <c r="G327" t="inlineStr">
        <is>
          <t>GÄVLE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46258</v>
      </c>
      <c r="F328" t="inlineStr">
        <is>
          <t>GÄVLEBORGS LÄN</t>
        </is>
      </c>
      <c r="G328" t="inlineStr">
        <is>
          <t>GÄVLE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46258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46258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46258</v>
      </c>
      <c r="F331" t="inlineStr">
        <is>
          <t>GÄVLEBORGS LÄN</t>
        </is>
      </c>
      <c r="G331" t="inlineStr">
        <is>
          <t>GÄVLE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46258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46258</v>
      </c>
      <c r="F333" t="inlineStr">
        <is>
          <t>GÄVLEBORGS LÄN</t>
        </is>
      </c>
      <c r="G333" t="inlineStr">
        <is>
          <t>GÄVLE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45117</v>
      </c>
      <c r="E334" s="1" t="n">
        <v>46258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52970-2025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45957</v>
      </c>
      <c r="E335" s="1" t="n">
        <v>46258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44756</v>
      </c>
      <c r="E336" s="1" t="n">
        <v>46258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44756</v>
      </c>
      <c r="E337" s="1" t="n">
        <v>46258</v>
      </c>
      <c r="F337" t="inlineStr">
        <is>
          <t>GÄVLEBORGS LÄN</t>
        </is>
      </c>
      <c r="G337" t="inlineStr">
        <is>
          <t>GÄVLE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46258</v>
      </c>
      <c r="F338" t="inlineStr">
        <is>
          <t>GÄVLEBORGS LÄN</t>
        </is>
      </c>
      <c r="G338" t="inlineStr">
        <is>
          <t>GÄVLE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46258</v>
      </c>
      <c r="F339" t="inlineStr">
        <is>
          <t>GÄVLEBORGS LÄN</t>
        </is>
      </c>
      <c r="G339" t="inlineStr">
        <is>
          <t>GÄVLE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46258</v>
      </c>
      <c r="F340" t="inlineStr">
        <is>
          <t>GÄVLEBORGS LÄN</t>
        </is>
      </c>
      <c r="G340" t="inlineStr">
        <is>
          <t>GÄVLE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61786-2024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45649</v>
      </c>
      <c r="E341" s="1" t="n">
        <v>46258</v>
      </c>
      <c r="F341" t="inlineStr">
        <is>
          <t>GÄVLEBORGS LÄN</t>
        </is>
      </c>
      <c r="G341" t="inlineStr">
        <is>
          <t>GÄVLE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46258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46258</v>
      </c>
      <c r="F343" t="inlineStr">
        <is>
          <t>GÄVLEBORGS LÄN</t>
        </is>
      </c>
      <c r="G343" t="inlineStr">
        <is>
          <t>GÄVLE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46258</v>
      </c>
      <c r="F344" t="inlineStr">
        <is>
          <t>GÄVLEBORGS LÄN</t>
        </is>
      </c>
      <c r="G344" t="inlineStr">
        <is>
          <t>GÄVLE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46258</v>
      </c>
      <c r="F345" t="inlineStr">
        <is>
          <t>GÄVLEBORGS LÄN</t>
        </is>
      </c>
      <c r="G345" t="inlineStr">
        <is>
          <t>GÄVLE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45784</v>
      </c>
      <c r="E346" s="1" t="n">
        <v>46258</v>
      </c>
      <c r="F346" t="inlineStr">
        <is>
          <t>GÄVLEBORGS LÄN</t>
        </is>
      </c>
      <c r="G346" t="inlineStr">
        <is>
          <t>GÄVLE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46258</v>
      </c>
      <c r="F347" t="inlineStr">
        <is>
          <t>GÄVLEBORGS LÄN</t>
        </is>
      </c>
      <c r="G347" t="inlineStr">
        <is>
          <t>GÄVLE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71249-2021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44539</v>
      </c>
      <c r="E348" s="1" t="n">
        <v>46258</v>
      </c>
      <c r="F348" t="inlineStr">
        <is>
          <t>GÄVLEBORGS LÄN</t>
        </is>
      </c>
      <c r="G348" t="inlineStr">
        <is>
          <t>GÄVLE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46258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46258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46258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46258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46258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46258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45967</v>
      </c>
      <c r="E355" s="1" t="n">
        <v>46258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46258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46258</v>
      </c>
      <c r="F357" t="inlineStr">
        <is>
          <t>GÄVLEBORGS LÄN</t>
        </is>
      </c>
      <c r="G357" t="inlineStr">
        <is>
          <t>GÄVLE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46258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46258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50871-2022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44867</v>
      </c>
      <c r="E360" s="1" t="n">
        <v>46258</v>
      </c>
      <c r="F360" t="inlineStr">
        <is>
          <t>GÄVLEBORGS LÄN</t>
        </is>
      </c>
      <c r="G360" t="inlineStr">
        <is>
          <t>GÄVLE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46258</v>
      </c>
      <c r="F361" t="inlineStr">
        <is>
          <t>GÄVLEBORGS LÄN</t>
        </is>
      </c>
      <c r="G361" t="inlineStr">
        <is>
          <t>GÄVLE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44693</v>
      </c>
      <c r="E362" s="1" t="n">
        <v>46258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46258</v>
      </c>
      <c r="F363" t="inlineStr">
        <is>
          <t>GÄVLEBORGS LÄN</t>
        </is>
      </c>
      <c r="G363" t="inlineStr">
        <is>
          <t>GÄVLE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46258</v>
      </c>
      <c r="F364" t="inlineStr">
        <is>
          <t>GÄVLEBORGS LÄN</t>
        </is>
      </c>
      <c r="G364" t="inlineStr">
        <is>
          <t>GÄVLE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46258</v>
      </c>
      <c r="F365" t="inlineStr">
        <is>
          <t>GÄVLEBORGS LÄN</t>
        </is>
      </c>
      <c r="G365" t="inlineStr">
        <is>
          <t>GÄVLE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46258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46258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46258</v>
      </c>
      <c r="F368" t="inlineStr">
        <is>
          <t>GÄVLEBORGS LÄN</t>
        </is>
      </c>
      <c r="G368" t="inlineStr">
        <is>
          <t>GÄVLE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46258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46258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46258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46258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46258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46258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45312</v>
      </c>
      <c r="E376" s="1" t="n">
        <v>46258</v>
      </c>
      <c r="F376" t="inlineStr">
        <is>
          <t>GÄVLEBORGS LÄN</t>
        </is>
      </c>
      <c r="G376" t="inlineStr">
        <is>
          <t>GÄVLE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46258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46258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46258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45540</v>
      </c>
      <c r="E381" s="1" t="n">
        <v>46258</v>
      </c>
      <c r="F381" t="inlineStr">
        <is>
          <t>GÄVLEBORGS LÄN</t>
        </is>
      </c>
      <c r="G381" t="inlineStr">
        <is>
          <t>GÄVLE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46258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46258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46258</v>
      </c>
      <c r="F385" t="inlineStr">
        <is>
          <t>GÄVLEBORGS LÄN</t>
        </is>
      </c>
      <c r="G385" t="inlineStr">
        <is>
          <t>GÄVLE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44733</v>
      </c>
      <c r="E386" s="1" t="n">
        <v>46258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46258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46258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46258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46258</v>
      </c>
      <c r="F390" t="inlineStr">
        <is>
          <t>GÄVLEBORGS LÄN</t>
        </is>
      </c>
      <c r="G390" t="inlineStr">
        <is>
          <t>GÄVLE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46258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46258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45652</v>
      </c>
      <c r="E393" s="1" t="n">
        <v>46258</v>
      </c>
      <c r="F393" t="inlineStr">
        <is>
          <t>GÄVLEBORGS LÄN</t>
        </is>
      </c>
      <c r="G393" t="inlineStr">
        <is>
          <t>GÄVLE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46258</v>
      </c>
      <c r="F394" t="inlineStr">
        <is>
          <t>GÄVLEBORGS LÄN</t>
        </is>
      </c>
      <c r="G394" t="inlineStr">
        <is>
          <t>GÄVLE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46258</v>
      </c>
      <c r="F395" t="inlineStr">
        <is>
          <t>GÄVLEBORGS LÄN</t>
        </is>
      </c>
      <c r="G395" t="inlineStr">
        <is>
          <t>GÄVLE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46258</v>
      </c>
      <c r="F396" t="inlineStr">
        <is>
          <t>GÄVLEBORGS LÄN</t>
        </is>
      </c>
      <c r="G396" t="inlineStr">
        <is>
          <t>GÄVLE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46258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22.7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44988</v>
      </c>
      <c r="E398" s="1" t="n">
        <v>46258</v>
      </c>
      <c r="F398" t="inlineStr">
        <is>
          <t>GÄVLEBORGS LÄN</t>
        </is>
      </c>
      <c r="G398" t="inlineStr">
        <is>
          <t>GÄVLE</t>
        </is>
      </c>
      <c r="H398" t="inlineStr">
        <is>
          <t>Kyrkan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46258</v>
      </c>
      <c r="F399" t="inlineStr">
        <is>
          <t>GÄVLEBORGS LÄN</t>
        </is>
      </c>
      <c r="G399" t="inlineStr">
        <is>
          <t>GÄVLE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45757</v>
      </c>
      <c r="E400" s="1" t="n">
        <v>46258</v>
      </c>
      <c r="F400" t="inlineStr">
        <is>
          <t>GÄVLEBORGS LÄN</t>
        </is>
      </c>
      <c r="G400" t="inlineStr">
        <is>
          <t>GÄVLE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45030</v>
      </c>
      <c r="E401" s="1" t="n">
        <v>46258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46258</v>
      </c>
      <c r="F402" t="inlineStr">
        <is>
          <t>GÄVLEBORGS LÄN</t>
        </is>
      </c>
      <c r="G402" t="inlineStr">
        <is>
          <t>GÄVLE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46258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46258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45660</v>
      </c>
      <c r="E405" s="1" t="n">
        <v>46258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46258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46258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46258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45410-2025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46258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45922</v>
      </c>
      <c r="E410" s="1" t="n">
        <v>46258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43742-2025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46258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46258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46258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46258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46258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45987</v>
      </c>
      <c r="E419" s="1" t="n">
        <v>46258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46258</v>
      </c>
      <c r="F420" t="inlineStr">
        <is>
          <t>GÄVLEBORGS LÄN</t>
        </is>
      </c>
      <c r="G420" t="inlineStr">
        <is>
          <t>GÄVLE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43764-2025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46258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46258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45673</v>
      </c>
      <c r="E423" s="1" t="n">
        <v>46258</v>
      </c>
      <c r="F423" t="inlineStr">
        <is>
          <t>GÄVLEBORGS LÄN</t>
        </is>
      </c>
      <c r="G423" t="inlineStr">
        <is>
          <t>GÄVLE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45673</v>
      </c>
      <c r="E424" s="1" t="n">
        <v>46258</v>
      </c>
      <c r="F424" t="inlineStr">
        <is>
          <t>GÄVLEBORGS LÄN</t>
        </is>
      </c>
      <c r="G424" t="inlineStr">
        <is>
          <t>GÄVLE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46258</v>
      </c>
      <c r="F425" t="inlineStr">
        <is>
          <t>GÄVLEBORGS LÄN</t>
        </is>
      </c>
      <c r="G425" t="inlineStr">
        <is>
          <t>GÄVLE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45468</v>
      </c>
      <c r="E426" s="1" t="n">
        <v>46258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46258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46258</v>
      </c>
      <c r="F428" t="inlineStr">
        <is>
          <t>GÄVLEBORGS LÄN</t>
        </is>
      </c>
      <c r="G428" t="inlineStr">
        <is>
          <t>GÄVLE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46258</v>
      </c>
      <c r="F429" t="inlineStr">
        <is>
          <t>GÄVLEBORGS LÄN</t>
        </is>
      </c>
      <c r="G429" t="inlineStr">
        <is>
          <t>GÄVLE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46258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46258</v>
      </c>
      <c r="F431" t="inlineStr">
        <is>
          <t>GÄVLEBORGS LÄN</t>
        </is>
      </c>
      <c r="G431" t="inlineStr">
        <is>
          <t>GÄVLE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46258</v>
      </c>
      <c r="F432" t="inlineStr">
        <is>
          <t>GÄVLEBORGS LÄN</t>
        </is>
      </c>
      <c r="G432" t="inlineStr">
        <is>
          <t>GÄVLE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46258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46258</v>
      </c>
      <c r="F434" t="inlineStr">
        <is>
          <t>GÄVLEBORGS LÄN</t>
        </is>
      </c>
      <c r="G434" t="inlineStr">
        <is>
          <t>GÄVLE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46258</v>
      </c>
      <c r="F435" t="inlineStr">
        <is>
          <t>GÄVLEBORGS LÄN</t>
        </is>
      </c>
      <c r="G435" t="inlineStr">
        <is>
          <t>GÄVLE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46258</v>
      </c>
      <c r="F436" t="inlineStr">
        <is>
          <t>GÄVLEBORGS LÄN</t>
        </is>
      </c>
      <c r="G436" t="inlineStr">
        <is>
          <t>GÄVLE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46258</v>
      </c>
      <c r="F437" t="inlineStr">
        <is>
          <t>GÄVLEBORGS LÄN</t>
        </is>
      </c>
      <c r="G437" t="inlineStr">
        <is>
          <t>GÄVLE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45324</v>
      </c>
      <c r="E438" s="1" t="n">
        <v>46258</v>
      </c>
      <c r="F438" t="inlineStr">
        <is>
          <t>GÄVLEBORGS LÄN</t>
        </is>
      </c>
      <c r="G438" t="inlineStr">
        <is>
          <t>GÄVLE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46258</v>
      </c>
      <c r="F439" t="inlineStr">
        <is>
          <t>GÄVLEBORGS LÄN</t>
        </is>
      </c>
      <c r="G439" t="inlineStr">
        <is>
          <t>GÄVLE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46258</v>
      </c>
      <c r="F440" t="inlineStr">
        <is>
          <t>GÄVLEBORGS LÄN</t>
        </is>
      </c>
      <c r="G440" t="inlineStr">
        <is>
          <t>GÄVLE</t>
        </is>
      </c>
      <c r="H440" t="inlineStr">
        <is>
          <t>Kyrkan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44938-2022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44841</v>
      </c>
      <c r="E441" s="1" t="n">
        <v>46258</v>
      </c>
      <c r="F441" t="inlineStr">
        <is>
          <t>GÄVLEBORGS LÄN</t>
        </is>
      </c>
      <c r="G441" t="inlineStr">
        <is>
          <t>GÄVLE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45261</v>
      </c>
      <c r="E443" s="1" t="n">
        <v>46258</v>
      </c>
      <c r="F443" t="inlineStr">
        <is>
          <t>GÄVLEBORGS LÄN</t>
        </is>
      </c>
      <c r="G443" t="inlineStr">
        <is>
          <t>GÄVLE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46258</v>
      </c>
      <c r="F444" t="inlineStr">
        <is>
          <t>GÄVLEBORGS LÄN</t>
        </is>
      </c>
      <c r="G444" t="inlineStr">
        <is>
          <t>GÄVLE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46258</v>
      </c>
      <c r="F445" t="inlineStr">
        <is>
          <t>GÄVLEBORGS LÄN</t>
        </is>
      </c>
      <c r="G445" t="inlineStr">
        <is>
          <t>GÄVLE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46258</v>
      </c>
      <c r="F446" t="inlineStr">
        <is>
          <t>GÄVLEBORGS LÄN</t>
        </is>
      </c>
      <c r="G446" t="inlineStr">
        <is>
          <t>GÄVLE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46258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9.300000000000001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46258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61880-2025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46003</v>
      </c>
      <c r="E449" s="1" t="n">
        <v>46258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46258</v>
      </c>
      <c r="F450" t="inlineStr">
        <is>
          <t>GÄVLEBORGS LÄN</t>
        </is>
      </c>
      <c r="G450" t="inlineStr">
        <is>
          <t>GÄVLE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61648-2025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46258</v>
      </c>
      <c r="F451" t="inlineStr">
        <is>
          <t>GÄVLEBORGS LÄN</t>
        </is>
      </c>
      <c r="G451" t="inlineStr">
        <is>
          <t>GÄVLE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61651-2025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46258</v>
      </c>
      <c r="F452" t="inlineStr">
        <is>
          <t>GÄVLEBORGS LÄN</t>
        </is>
      </c>
      <c r="G452" t="inlineStr">
        <is>
          <t>GÄVLE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46258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17062-2023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45034</v>
      </c>
      <c r="E454" s="1" t="n">
        <v>46258</v>
      </c>
      <c r="F454" t="inlineStr">
        <is>
          <t>GÄVLEBORGS LÄN</t>
        </is>
      </c>
      <c r="G454" t="inlineStr">
        <is>
          <t>GÄVLE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46258</v>
      </c>
      <c r="F455" t="inlineStr">
        <is>
          <t>GÄVLEBORGS LÄN</t>
        </is>
      </c>
      <c r="G455" t="inlineStr">
        <is>
          <t>GÄVLE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44616</v>
      </c>
      <c r="E456" s="1" t="n">
        <v>46258</v>
      </c>
      <c r="F456" t="inlineStr">
        <is>
          <t>GÄVLEBORGS LÄN</t>
        </is>
      </c>
      <c r="G456" t="inlineStr">
        <is>
          <t>GÄVLE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46258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46258</v>
      </c>
      <c r="F458" t="inlineStr">
        <is>
          <t>GÄVLEBORGS LÄN</t>
        </is>
      </c>
      <c r="G458" t="inlineStr">
        <is>
          <t>GÄVLE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46258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46258</v>
      </c>
      <c r="F460" t="inlineStr">
        <is>
          <t>GÄVLEBORGS LÄN</t>
        </is>
      </c>
      <c r="G460" t="inlineStr">
        <is>
          <t>GÄVLE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72734-2021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44546</v>
      </c>
      <c r="E461" s="1" t="n">
        <v>46258</v>
      </c>
      <c r="F461" t="inlineStr">
        <is>
          <t>GÄVLEBORGS LÄN</t>
        </is>
      </c>
      <c r="G461" t="inlineStr">
        <is>
          <t>GÄVLE</t>
        </is>
      </c>
      <c r="H461" t="inlineStr">
        <is>
          <t>Kommuner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45862</v>
      </c>
      <c r="E462" s="1" t="n">
        <v>46258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45862</v>
      </c>
      <c r="E463" s="1" t="n">
        <v>46258</v>
      </c>
      <c r="F463" t="inlineStr">
        <is>
          <t>GÄVLEBORGS LÄN</t>
        </is>
      </c>
      <c r="G463" t="inlineStr">
        <is>
          <t>GÄVLE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46258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46258</v>
      </c>
      <c r="F465" t="inlineStr">
        <is>
          <t>GÄVLEBORGS LÄN</t>
        </is>
      </c>
      <c r="G465" t="inlineStr">
        <is>
          <t>GÄVLE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53432-2021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46258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45420</v>
      </c>
      <c r="E467" s="1" t="n">
        <v>46258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45866</v>
      </c>
      <c r="E468" s="1" t="n">
        <v>46258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45867</v>
      </c>
      <c r="E469" s="1" t="n">
        <v>46258</v>
      </c>
      <c r="F469" t="inlineStr">
        <is>
          <t>GÄVLEBORGS LÄN</t>
        </is>
      </c>
      <c r="G469" t="inlineStr">
        <is>
          <t>GÄVLE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58445-2021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44488</v>
      </c>
      <c r="E470" s="1" t="n">
        <v>46258</v>
      </c>
      <c r="F470" t="inlineStr">
        <is>
          <t>GÄVLEBORGS LÄN</t>
        </is>
      </c>
      <c r="G470" t="inlineStr">
        <is>
          <t>GÄVLE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46258</v>
      </c>
      <c r="F471" t="inlineStr">
        <is>
          <t>GÄVLEBORGS LÄN</t>
        </is>
      </c>
      <c r="G471" t="inlineStr">
        <is>
          <t>GÄVLE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66493-2021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44519</v>
      </c>
      <c r="E472" s="1" t="n">
        <v>46258</v>
      </c>
      <c r="F472" t="inlineStr">
        <is>
          <t>GÄVLEBORGS LÄN</t>
        </is>
      </c>
      <c r="G472" t="inlineStr">
        <is>
          <t>GÄVLE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46258</v>
      </c>
      <c r="F473" t="inlineStr">
        <is>
          <t>GÄVLEBORGS LÄN</t>
        </is>
      </c>
      <c r="G473" t="inlineStr">
        <is>
          <t>GÄVLE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45869</v>
      </c>
      <c r="E474" s="1" t="n">
        <v>46258</v>
      </c>
      <c r="F474" t="inlineStr">
        <is>
          <t>GÄVLEBORGS LÄN</t>
        </is>
      </c>
      <c r="G474" t="inlineStr">
        <is>
          <t>GÄVLE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46019</v>
      </c>
      <c r="E475" s="1" t="n">
        <v>46258</v>
      </c>
      <c r="F475" t="inlineStr">
        <is>
          <t>GÄVLEBORGS LÄN</t>
        </is>
      </c>
      <c r="G475" t="inlineStr">
        <is>
          <t>GÄVLE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45967</v>
      </c>
      <c r="E476" s="1" t="n">
        <v>46258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46258</v>
      </c>
      <c r="F477" t="inlineStr">
        <is>
          <t>GÄVLEBORGS LÄN</t>
        </is>
      </c>
      <c r="G477" t="inlineStr">
        <is>
          <t>GÄVLE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46258</v>
      </c>
      <c r="F478" t="inlineStr">
        <is>
          <t>GÄVLEBORGS LÄN</t>
        </is>
      </c>
      <c r="G478" t="inlineStr">
        <is>
          <t>GÄVLE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46019</v>
      </c>
      <c r="E479" s="1" t="n">
        <v>46258</v>
      </c>
      <c r="F479" t="inlineStr">
        <is>
          <t>GÄVLEBORGS LÄN</t>
        </is>
      </c>
      <c r="G479" t="inlineStr">
        <is>
          <t>GÄVLE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45908</v>
      </c>
      <c r="E480" s="1" t="n">
        <v>46258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46258</v>
      </c>
      <c r="F481" t="inlineStr">
        <is>
          <t>GÄVLEBORGS LÄN</t>
        </is>
      </c>
      <c r="G481" t="inlineStr">
        <is>
          <t>GÄVLE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46258</v>
      </c>
      <c r="F482" t="inlineStr">
        <is>
          <t>GÄVLEBORGS LÄN</t>
        </is>
      </c>
      <c r="G482" t="inlineStr">
        <is>
          <t>GÄVLE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46258</v>
      </c>
      <c r="F483" t="inlineStr">
        <is>
          <t>GÄVLEBORGS LÄN</t>
        </is>
      </c>
      <c r="G483" t="inlineStr">
        <is>
          <t>GÄVLE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45931</v>
      </c>
      <c r="E484" s="1" t="n">
        <v>46258</v>
      </c>
      <c r="F484" t="inlineStr">
        <is>
          <t>GÄVLEBORGS LÄN</t>
        </is>
      </c>
      <c r="G484" t="inlineStr">
        <is>
          <t>GÄVLE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46258</v>
      </c>
      <c r="F485" t="inlineStr">
        <is>
          <t>GÄVLEBORGS LÄN</t>
        </is>
      </c>
      <c r="G485" t="inlineStr">
        <is>
          <t>GÄVLE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64142-2025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46022</v>
      </c>
      <c r="E486" s="1" t="n">
        <v>46258</v>
      </c>
      <c r="F486" t="inlineStr">
        <is>
          <t>GÄVLEBORGS LÄN</t>
        </is>
      </c>
      <c r="G486" t="inlineStr">
        <is>
          <t>GÄVLE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45869</v>
      </c>
      <c r="E487" s="1" t="n">
        <v>46258</v>
      </c>
      <c r="F487" t="inlineStr">
        <is>
          <t>GÄVLEBORGS LÄN</t>
        </is>
      </c>
      <c r="G487" t="inlineStr">
        <is>
          <t>GÄVLE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10352-2025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45720</v>
      </c>
      <c r="E488" s="1" t="n">
        <v>46258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46258</v>
      </c>
      <c r="F489" t="inlineStr">
        <is>
          <t>GÄVLEBORGS LÄN</t>
        </is>
      </c>
      <c r="G489" t="inlineStr">
        <is>
          <t>GÄVLE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46258</v>
      </c>
      <c r="F490" t="inlineStr">
        <is>
          <t>GÄVLEBORGS LÄN</t>
        </is>
      </c>
      <c r="G490" t="inlineStr">
        <is>
          <t>GÄVLE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46258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44936</v>
      </c>
      <c r="E492" s="1" t="n">
        <v>46258</v>
      </c>
      <c r="F492" t="inlineStr">
        <is>
          <t>GÄVLEBORGS LÄN</t>
        </is>
      </c>
      <c r="G492" t="inlineStr">
        <is>
          <t>GÄVLE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46258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46258</v>
      </c>
      <c r="F494" t="inlineStr">
        <is>
          <t>GÄVLEBORGS LÄN</t>
        </is>
      </c>
      <c r="G494" t="inlineStr">
        <is>
          <t>GÄVLE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46258</v>
      </c>
      <c r="F495" t="inlineStr">
        <is>
          <t>GÄVLEBORGS LÄN</t>
        </is>
      </c>
      <c r="G495" t="inlineStr">
        <is>
          <t>GÄVLE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46258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45312</v>
      </c>
      <c r="E497" s="1" t="n">
        <v>46258</v>
      </c>
      <c r="F497" t="inlineStr">
        <is>
          <t>GÄVLEBORGS LÄN</t>
        </is>
      </c>
      <c r="G497" t="inlineStr">
        <is>
          <t>GÄVLE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45356</v>
      </c>
      <c r="E498" s="1" t="n">
        <v>46258</v>
      </c>
      <c r="F498" t="inlineStr">
        <is>
          <t>GÄVLEBORGS LÄN</t>
        </is>
      </c>
      <c r="G498" t="inlineStr">
        <is>
          <t>GÄVLE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65879-2021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44517</v>
      </c>
      <c r="E499" s="1" t="n">
        <v>46258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46258</v>
      </c>
      <c r="F500" t="inlineStr">
        <is>
          <t>GÄVLEBORGS LÄN</t>
        </is>
      </c>
      <c r="G500" t="inlineStr">
        <is>
          <t>GÄVLE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46258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46258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70043-2021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44533</v>
      </c>
      <c r="E503" s="1" t="n">
        <v>46258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46258</v>
      </c>
      <c r="F504" t="inlineStr">
        <is>
          <t>GÄVLEBORGS LÄN</t>
        </is>
      </c>
      <c r="G504" t="inlineStr">
        <is>
          <t>GÄVLE</t>
        </is>
      </c>
      <c r="I504" t="n">
        <v>9.699999999999999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46258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46258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46539-2021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44445</v>
      </c>
      <c r="E507" s="1" t="n">
        <v>46258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64871-2023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46258</v>
      </c>
      <c r="F508" t="inlineStr">
        <is>
          <t>GÄVLEBORGS LÄN</t>
        </is>
      </c>
      <c r="G508" t="inlineStr">
        <is>
          <t>GÄVLE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46258</v>
      </c>
      <c r="F509" t="inlineStr">
        <is>
          <t>GÄVLEBORGS LÄN</t>
        </is>
      </c>
      <c r="G509" t="inlineStr">
        <is>
          <t>GÄVLE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64878-2023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45282</v>
      </c>
      <c r="E510" s="1" t="n">
        <v>46258</v>
      </c>
      <c r="F510" t="inlineStr">
        <is>
          <t>GÄVLEBORGS LÄN</t>
        </is>
      </c>
      <c r="G510" t="inlineStr">
        <is>
          <t>GÄVLE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46258</v>
      </c>
      <c r="F511" t="inlineStr">
        <is>
          <t>GÄVLEBORGS LÄN</t>
        </is>
      </c>
      <c r="G511" t="inlineStr">
        <is>
          <t>GÄVLE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45593</v>
      </c>
      <c r="E512" s="1" t="n">
        <v>46258</v>
      </c>
      <c r="F512" t="inlineStr">
        <is>
          <t>GÄVLEBORGS LÄN</t>
        </is>
      </c>
      <c r="G512" t="inlineStr">
        <is>
          <t>GÄVLE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46258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46258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46258</v>
      </c>
      <c r="F515" t="inlineStr">
        <is>
          <t>GÄVLEBORGS LÄN</t>
        </is>
      </c>
      <c r="G515" t="inlineStr">
        <is>
          <t>GÄVLE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46258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46258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46258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46258</v>
      </c>
      <c r="F519" t="inlineStr">
        <is>
          <t>GÄVLEBORGS LÄN</t>
        </is>
      </c>
      <c r="G519" t="inlineStr">
        <is>
          <t>GÄVLE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46258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46258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46258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46258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46258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46258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46258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46258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46258</v>
      </c>
      <c r="F529" t="inlineStr">
        <is>
          <t>GÄVLEBORGS LÄN</t>
        </is>
      </c>
      <c r="G529" t="inlineStr">
        <is>
          <t>GÄVLE</t>
        </is>
      </c>
      <c r="H529" t="inlineStr">
        <is>
          <t>Kyrkan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45644</v>
      </c>
      <c r="E530" s="1" t="n">
        <v>46258</v>
      </c>
      <c r="F530" t="inlineStr">
        <is>
          <t>GÄVLEBORGS LÄN</t>
        </is>
      </c>
      <c r="G530" t="inlineStr">
        <is>
          <t>GÄVLE</t>
        </is>
      </c>
      <c r="H530" t="inlineStr">
        <is>
          <t>Kyrkan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46258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46258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46258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46258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46258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46258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44713</v>
      </c>
      <c r="E537" s="1" t="n">
        <v>46258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46258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46258</v>
      </c>
      <c r="F539" t="inlineStr">
        <is>
          <t>GÄVLEBORGS LÄN</t>
        </is>
      </c>
      <c r="G539" t="inlineStr">
        <is>
          <t>GÄVLE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46258</v>
      </c>
      <c r="F540" t="inlineStr">
        <is>
          <t>GÄVLEBORGS LÄN</t>
        </is>
      </c>
      <c r="G540" t="inlineStr">
        <is>
          <t>GÄVLE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46258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46173</v>
      </c>
      <c r="E542" s="1" t="n">
        <v>46258</v>
      </c>
      <c r="F542" t="inlineStr">
        <is>
          <t>GÄVLEBORGS LÄN</t>
        </is>
      </c>
      <c r="G542" t="inlineStr">
        <is>
          <t>GÄVLE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46258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46258</v>
      </c>
      <c r="F544" t="inlineStr">
        <is>
          <t>GÄVLEBORGS LÄN</t>
        </is>
      </c>
      <c r="G544" t="inlineStr">
        <is>
          <t>GÄVLE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46258</v>
      </c>
      <c r="F545" t="inlineStr">
        <is>
          <t>GÄVLEBORGS LÄN</t>
        </is>
      </c>
      <c r="G545" t="inlineStr">
        <is>
          <t>GÄVLE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46258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45104</v>
      </c>
      <c r="E547" s="1" t="n">
        <v>46258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46258</v>
      </c>
      <c r="F548" t="inlineStr">
        <is>
          <t>GÄVLEBORGS LÄN</t>
        </is>
      </c>
      <c r="G548" t="inlineStr">
        <is>
          <t>GÄVLE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46258</v>
      </c>
      <c r="F549" t="inlineStr">
        <is>
          <t>GÄVLEBORGS LÄN</t>
        </is>
      </c>
      <c r="G549" t="inlineStr">
        <is>
          <t>GÄVLE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46217</v>
      </c>
      <c r="E550" s="1" t="n">
        <v>46258</v>
      </c>
      <c r="F550" t="inlineStr">
        <is>
          <t>GÄVLEBORGS LÄN</t>
        </is>
      </c>
      <c r="G550" t="inlineStr">
        <is>
          <t>GÄVLE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46258</v>
      </c>
      <c r="F551" t="inlineStr">
        <is>
          <t>GÄVLEBORGS LÄN</t>
        </is>
      </c>
      <c r="G551" t="inlineStr">
        <is>
          <t>GÄVLE</t>
        </is>
      </c>
      <c r="H551" t="inlineStr">
        <is>
          <t>Övriga statliga verk och myndigheter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60396-2022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46258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46258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46258</v>
      </c>
      <c r="F554" t="inlineStr">
        <is>
          <t>GÄVLEBORGS LÄN</t>
        </is>
      </c>
      <c r="G554" t="inlineStr">
        <is>
          <t>GÄVLE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45660</v>
      </c>
      <c r="E555" s="1" t="n">
        <v>46258</v>
      </c>
      <c r="F555" t="inlineStr">
        <is>
          <t>GÄVLEBORGS LÄN</t>
        </is>
      </c>
      <c r="G555" t="inlineStr">
        <is>
          <t>GÄVLE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46258</v>
      </c>
      <c r="F556" t="inlineStr">
        <is>
          <t>GÄVLEBORGS LÄN</t>
        </is>
      </c>
      <c r="G556" t="inlineStr">
        <is>
          <t>GÄVLE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46258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46258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27182-2022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44741</v>
      </c>
      <c r="E559" s="1" t="n">
        <v>46258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46258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46171</v>
      </c>
      <c r="E561" s="1" t="n">
        <v>46258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21.4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46258</v>
      </c>
      <c r="F562" t="inlineStr">
        <is>
          <t>GÄVLEBORGS LÄN</t>
        </is>
      </c>
      <c r="G562" t="inlineStr">
        <is>
          <t>GÄVLE</t>
        </is>
      </c>
      <c r="H562" t="inlineStr">
        <is>
          <t>Kyrkan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46258</v>
      </c>
      <c r="F563" t="inlineStr">
        <is>
          <t>GÄVLEBORGS LÄN</t>
        </is>
      </c>
      <c r="G563" t="inlineStr">
        <is>
          <t>GÄVLE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46258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46258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46258</v>
      </c>
      <c r="F566" t="inlineStr">
        <is>
          <t>GÄVLEBORGS LÄN</t>
        </is>
      </c>
      <c r="G566" t="inlineStr">
        <is>
          <t>GÄVLE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46258</v>
      </c>
      <c r="F567" t="inlineStr">
        <is>
          <t>GÄVLEBORGS LÄN</t>
        </is>
      </c>
      <c r="G567" t="inlineStr">
        <is>
          <t>GÄVLE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46069</v>
      </c>
      <c r="E568" s="1" t="n">
        <v>46258</v>
      </c>
      <c r="F568" t="inlineStr">
        <is>
          <t>GÄVLEBORGS LÄN</t>
        </is>
      </c>
      <c r="G568" t="inlineStr">
        <is>
          <t>GÄVLE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46258</v>
      </c>
      <c r="F569" t="inlineStr">
        <is>
          <t>GÄVLEBORGS LÄN</t>
        </is>
      </c>
      <c r="G569" t="inlineStr">
        <is>
          <t>GÄVLE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25367-2026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46176</v>
      </c>
      <c r="E570" s="1" t="n">
        <v>46258</v>
      </c>
      <c r="F570" t="inlineStr">
        <is>
          <t>GÄVLEBORGS LÄN</t>
        </is>
      </c>
      <c r="G570" t="inlineStr">
        <is>
          <t>GÄVLE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61351-2021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44498</v>
      </c>
      <c r="E571" s="1" t="n">
        <v>46258</v>
      </c>
      <c r="F571" t="inlineStr">
        <is>
          <t>GÄVLEBORGS LÄN</t>
        </is>
      </c>
      <c r="G571" t="inlineStr">
        <is>
          <t>GÄVLE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46069</v>
      </c>
      <c r="E572" s="1" t="n">
        <v>46258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47143-2024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46258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25808-2026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46258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46258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45614</v>
      </c>
      <c r="E576" s="1" t="n">
        <v>46258</v>
      </c>
      <c r="F576" t="inlineStr">
        <is>
          <t>GÄVLEBORGS LÄN</t>
        </is>
      </c>
      <c r="G576" t="inlineStr">
        <is>
          <t>GÄVLE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46258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46258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46258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46258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60879-2023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46258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46258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46220</v>
      </c>
      <c r="E583" s="1" t="n">
        <v>46258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46258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15312-2023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46258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46258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25582-2026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46177</v>
      </c>
      <c r="E588" s="1" t="n">
        <v>46258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46258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46258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46258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46258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46258</v>
      </c>
      <c r="F593" t="inlineStr">
        <is>
          <t>GÄVLEBORGS LÄN</t>
        </is>
      </c>
      <c r="G593" t="inlineStr">
        <is>
          <t>GÄVLE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52387-2022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44874</v>
      </c>
      <c r="E594" s="1" t="n">
        <v>46258</v>
      </c>
      <c r="F594" t="inlineStr">
        <is>
          <t>GÄVLEBORGS LÄN</t>
        </is>
      </c>
      <c r="G594" t="inlineStr">
        <is>
          <t>GÄVLE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46258</v>
      </c>
      <c r="F595" t="inlineStr">
        <is>
          <t>GÄVLEBORGS LÄN</t>
        </is>
      </c>
      <c r="G595" t="inlineStr">
        <is>
          <t>GÄVLE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46182</v>
      </c>
      <c r="E596" s="1" t="n">
        <v>46258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46258</v>
      </c>
      <c r="F597" t="inlineStr">
        <is>
          <t>GÄVLEBORGS LÄN</t>
        </is>
      </c>
      <c r="G597" t="inlineStr">
        <is>
          <t>GÄVLE</t>
        </is>
      </c>
      <c r="H597" t="inlineStr">
        <is>
          <t>Kommuner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46258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45070</v>
      </c>
      <c r="E599" s="1" t="n">
        <v>46258</v>
      </c>
      <c r="F599" t="inlineStr">
        <is>
          <t>GÄVLEBORGS LÄN</t>
        </is>
      </c>
      <c r="G599" t="inlineStr">
        <is>
          <t>GÄVLE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16023-2023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45026</v>
      </c>
      <c r="E600" s="1" t="n">
        <v>46258</v>
      </c>
      <c r="F600" t="inlineStr">
        <is>
          <t>GÄVLEBORGS LÄN</t>
        </is>
      </c>
      <c r="G600" t="inlineStr">
        <is>
          <t>GÄVLE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46258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46223</v>
      </c>
      <c r="E602" s="1" t="n">
        <v>46258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46258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46258</v>
      </c>
      <c r="F604" t="inlineStr">
        <is>
          <t>GÄVLEBORGS LÄN</t>
        </is>
      </c>
      <c r="G604" t="inlineStr">
        <is>
          <t>GÄVLE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46258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71215-2021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44539</v>
      </c>
      <c r="E606" s="1" t="n">
        <v>46258</v>
      </c>
      <c r="F606" t="inlineStr">
        <is>
          <t>GÄVLEBORGS LÄN</t>
        </is>
      </c>
      <c r="G606" t="inlineStr">
        <is>
          <t>GÄVLE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46258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46258</v>
      </c>
      <c r="F608" t="inlineStr">
        <is>
          <t>GÄVLEBORGS LÄN</t>
        </is>
      </c>
      <c r="G608" t="inlineStr">
        <is>
          <t>GÄVLE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46258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46258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45652</v>
      </c>
      <c r="E611" s="1" t="n">
        <v>46258</v>
      </c>
      <c r="F611" t="inlineStr">
        <is>
          <t>GÄVLEBORGS LÄN</t>
        </is>
      </c>
      <c r="G611" t="inlineStr">
        <is>
          <t>GÄVLE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46258</v>
      </c>
      <c r="F612" t="inlineStr">
        <is>
          <t>GÄVLEBORGS LÄN</t>
        </is>
      </c>
      <c r="G612" t="inlineStr">
        <is>
          <t>GÄVLE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19712-2022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44694</v>
      </c>
      <c r="E613" s="1" t="n">
        <v>46258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46258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46258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39509-2022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44818</v>
      </c>
      <c r="E616" s="1" t="n">
        <v>46258</v>
      </c>
      <c r="F616" t="inlineStr">
        <is>
          <t>GÄVLEBORGS LÄN</t>
        </is>
      </c>
      <c r="G616" t="inlineStr">
        <is>
          <t>GÄVLE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46258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46258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46258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46258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12948-2026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46092</v>
      </c>
      <c r="E621" s="1" t="n">
        <v>46258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44763</v>
      </c>
      <c r="E622" s="1" t="n">
        <v>46258</v>
      </c>
      <c r="F622" t="inlineStr">
        <is>
          <t>GÄVLEBORGS LÄN</t>
        </is>
      </c>
      <c r="G622" t="inlineStr">
        <is>
          <t>GÄVLE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46258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46258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46258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46258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46258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46258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46258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27056-2026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46258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46258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46258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46258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46258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46258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46258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46258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46258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46258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46258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46258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46258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45540</v>
      </c>
      <c r="E645" s="1" t="n">
        <v>46258</v>
      </c>
      <c r="F645" t="inlineStr">
        <is>
          <t>GÄVLEBORGS LÄN</t>
        </is>
      </c>
      <c r="G645" t="inlineStr">
        <is>
          <t>GÄVLE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46258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45757</v>
      </c>
      <c r="E647" s="1" t="n">
        <v>46258</v>
      </c>
      <c r="F647" t="inlineStr">
        <is>
          <t>GÄVLEBORGS LÄN</t>
        </is>
      </c>
      <c r="G647" t="inlineStr">
        <is>
          <t>GÄVLE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17607-2025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46258</v>
      </c>
      <c r="F648" t="inlineStr">
        <is>
          <t>GÄVLEBORGS LÄN</t>
        </is>
      </c>
      <c r="G648" t="inlineStr">
        <is>
          <t>GÄVLE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46258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13503-2026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46258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46258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46258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46258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27061-2026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46258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46093</v>
      </c>
      <c r="E657" s="1" t="n">
        <v>46258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46258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46095</v>
      </c>
      <c r="E659" s="1" t="n">
        <v>46258</v>
      </c>
      <c r="F659" t="inlineStr">
        <is>
          <t>GÄVLEBORGS LÄN</t>
        </is>
      </c>
      <c r="G659" t="inlineStr">
        <is>
          <t>GÄVLE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46258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46258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56487-2023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45243</v>
      </c>
      <c r="E662" s="1" t="n">
        <v>46258</v>
      </c>
      <c r="F662" t="inlineStr">
        <is>
          <t>GÄVLEBORGS LÄN</t>
        </is>
      </c>
      <c r="G662" t="inlineStr">
        <is>
          <t>GÄVLE</t>
        </is>
      </c>
      <c r="I662" t="n">
        <v>8.699999999999999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46258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9307-2022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44616</v>
      </c>
      <c r="E664" s="1" t="n">
        <v>46258</v>
      </c>
      <c r="F664" t="inlineStr">
        <is>
          <t>GÄVLEBORGS LÄN</t>
        </is>
      </c>
      <c r="G664" t="inlineStr">
        <is>
          <t>GÄVLE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46258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46258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46258</v>
      </c>
      <c r="F667" t="inlineStr">
        <is>
          <t>GÄVLEBORGS LÄN</t>
        </is>
      </c>
      <c r="G667" t="inlineStr">
        <is>
          <t>GÄVLE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19164-2026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46132</v>
      </c>
      <c r="E668" s="1" t="n">
        <v>46258</v>
      </c>
      <c r="F668" t="inlineStr">
        <is>
          <t>GÄVLEBORGS LÄN</t>
        </is>
      </c>
      <c r="G668" t="inlineStr">
        <is>
          <t>GÄVLE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46258</v>
      </c>
      <c r="F669" t="inlineStr">
        <is>
          <t>GÄVLEBORGS LÄN</t>
        </is>
      </c>
      <c r="G669" t="inlineStr">
        <is>
          <t>GÄVLE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46258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46258</v>
      </c>
      <c r="F671" t="inlineStr">
        <is>
          <t>GÄVLEBORGS LÄN</t>
        </is>
      </c>
      <c r="G671" t="inlineStr">
        <is>
          <t>GÄVLE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14807-2023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45014</v>
      </c>
      <c r="E672" s="1" t="n">
        <v>46258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46258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46258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46258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33880-2022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44790</v>
      </c>
      <c r="E676" s="1" t="n">
        <v>46258</v>
      </c>
      <c r="F676" t="inlineStr">
        <is>
          <t>GÄVLEBORGS LÄN</t>
        </is>
      </c>
      <c r="G676" t="inlineStr">
        <is>
          <t>GÄVLE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46196</v>
      </c>
      <c r="E677" s="1" t="n">
        <v>46258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46258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45699</v>
      </c>
      <c r="E679" s="1" t="n">
        <v>46258</v>
      </c>
      <c r="F679" t="inlineStr">
        <is>
          <t>GÄVLEBORGS LÄN</t>
        </is>
      </c>
      <c r="G679" t="inlineStr">
        <is>
          <t>GÄVLE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46258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46800-2021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44446</v>
      </c>
      <c r="E681" s="1" t="n">
        <v>46258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46258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45373</v>
      </c>
      <c r="E683" s="1" t="n">
        <v>46258</v>
      </c>
      <c r="F683" t="inlineStr">
        <is>
          <t>GÄVLEBORGS LÄN</t>
        </is>
      </c>
      <c r="G683" t="inlineStr">
        <is>
          <t>GÄVLE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46239</v>
      </c>
      <c r="E684" s="1" t="n">
        <v>46258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62766-2022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44885</v>
      </c>
      <c r="E685" s="1" t="n">
        <v>46258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46258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64873-2023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45282</v>
      </c>
      <c r="E687" s="1" t="n">
        <v>46258</v>
      </c>
      <c r="F687" t="inlineStr">
        <is>
          <t>GÄVLEBORGS LÄN</t>
        </is>
      </c>
      <c r="G687" t="inlineStr">
        <is>
          <t>GÄVLE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46258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28140-2026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46258</v>
      </c>
      <c r="F689" t="inlineStr">
        <is>
          <t>GÄVLEBORGS LÄN</t>
        </is>
      </c>
      <c r="G689" t="inlineStr">
        <is>
          <t>GÄVLE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46160</v>
      </c>
      <c r="E691" s="1" t="n">
        <v>46258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46258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29506-2026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46258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52.7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46258</v>
      </c>
      <c r="F694" t="inlineStr">
        <is>
          <t>GÄVLEBORGS LÄN</t>
        </is>
      </c>
      <c r="G694" t="inlineStr">
        <is>
          <t>GÄVLE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46258</v>
      </c>
      <c r="F695" t="inlineStr">
        <is>
          <t>GÄVLEBORGS LÄN</t>
        </is>
      </c>
      <c r="G695" t="inlineStr">
        <is>
          <t>GÄVLE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46258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46258</v>
      </c>
      <c r="F697" t="inlineStr">
        <is>
          <t>GÄVLEBORGS LÄN</t>
        </is>
      </c>
      <c r="G697" t="inlineStr">
        <is>
          <t>GÄVLE</t>
        </is>
      </c>
      <c r="H697" t="inlineStr">
        <is>
          <t>BillerudKorsnäs AB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46258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46258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46258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46258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46258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17954-2026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46125</v>
      </c>
      <c r="E704" s="1" t="n">
        <v>46258</v>
      </c>
      <c r="F704" t="inlineStr">
        <is>
          <t>GÄVLEBORGS LÄN</t>
        </is>
      </c>
      <c r="G704" t="inlineStr">
        <is>
          <t>GÄVLE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46258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46258</v>
      </c>
      <c r="F706" t="inlineStr">
        <is>
          <t>GÄVLEBORGS LÄN</t>
        </is>
      </c>
      <c r="G706" t="inlineStr">
        <is>
          <t>GÄVLE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45082</v>
      </c>
      <c r="E707" s="1" t="n">
        <v>46258</v>
      </c>
      <c r="F707" t="inlineStr">
        <is>
          <t>GÄVLEBORGS LÄN</t>
        </is>
      </c>
      <c r="G707" t="inlineStr">
        <is>
          <t>GÄVLE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46258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46258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46124</v>
      </c>
      <c r="E710" s="1" t="n">
        <v>46258</v>
      </c>
      <c r="F710" t="inlineStr">
        <is>
          <t>GÄVLEBORGS LÄN</t>
        </is>
      </c>
      <c r="G710" t="inlineStr">
        <is>
          <t>GÄVLE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46258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46124</v>
      </c>
      <c r="E712" s="1" t="n">
        <v>46258</v>
      </c>
      <c r="F712" t="inlineStr">
        <is>
          <t>GÄVLEBORGS LÄN</t>
        </is>
      </c>
      <c r="G712" t="inlineStr">
        <is>
          <t>GÄVLE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46124</v>
      </c>
      <c r="E713" s="1" t="n">
        <v>46258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46258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13046-2026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46258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46258</v>
      </c>
      <c r="F716" t="inlineStr">
        <is>
          <t>GÄVLEBORGS LÄN</t>
        </is>
      </c>
      <c r="G716" t="inlineStr">
        <is>
          <t>GÄVLE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18657-2026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46258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46258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15635-2026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46258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46258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35761-2022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44800</v>
      </c>
      <c r="E721" s="1" t="n">
        <v>46258</v>
      </c>
      <c r="F721" t="inlineStr">
        <is>
          <t>GÄVLEBORGS LÄN</t>
        </is>
      </c>
      <c r="G721" t="inlineStr">
        <is>
          <t>GÄVLE</t>
        </is>
      </c>
      <c r="I721" t="n">
        <v>8.199999999999999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46258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46258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46258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46258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13492-2026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46258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46258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46106</v>
      </c>
      <c r="E728" s="1" t="n">
        <v>46258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15634-2026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46258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46258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46258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46258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46258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46258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46258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46258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19122-2026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46258</v>
      </c>
      <c r="F737" t="inlineStr">
        <is>
          <t>GÄVLEBORGS LÄN</t>
        </is>
      </c>
      <c r="G737" t="inlineStr">
        <is>
          <t>GÄVLE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46258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46258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46258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46258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15176-2026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46258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46258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46258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46258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46134</v>
      </c>
      <c r="E747" s="1" t="n">
        <v>46258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61918-2023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45266</v>
      </c>
      <c r="E748" s="1" t="n">
        <v>46258</v>
      </c>
      <c r="F748" t="inlineStr">
        <is>
          <t>GÄVLEBORGS LÄN</t>
        </is>
      </c>
      <c r="G748" t="inlineStr">
        <is>
          <t>GÄVLE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17245-2024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45414</v>
      </c>
      <c r="E749" s="1" t="n">
        <v>46258</v>
      </c>
      <c r="F749" t="inlineStr">
        <is>
          <t>GÄVLEBORGS LÄN</t>
        </is>
      </c>
      <c r="G749" t="inlineStr">
        <is>
          <t>GÄVLE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45915</v>
      </c>
      <c r="E750" s="1" t="n">
        <v>46258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46258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46029</v>
      </c>
      <c r="E752" s="1" t="n">
        <v>46258</v>
      </c>
      <c r="F752" t="inlineStr">
        <is>
          <t>GÄVLEBORGS LÄN</t>
        </is>
      </c>
      <c r="G752" t="inlineStr">
        <is>
          <t>GÄVLE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33265-2026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46258</v>
      </c>
      <c r="F753" t="inlineStr">
        <is>
          <t>GÄVLEBORGS LÄN</t>
        </is>
      </c>
      <c r="G753" t="inlineStr">
        <is>
          <t>GÄVLE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46258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46258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62255-2022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44922</v>
      </c>
      <c r="E756" s="1" t="n">
        <v>46258</v>
      </c>
      <c r="F756" t="inlineStr">
        <is>
          <t>GÄVLEBORGS LÄN</t>
        </is>
      </c>
      <c r="G756" t="inlineStr">
        <is>
          <t>GÄVLE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46258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46258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57928-2024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46258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45715</v>
      </c>
      <c r="E761" s="1" t="n">
        <v>46258</v>
      </c>
      <c r="F761" t="inlineStr">
        <is>
          <t>GÄVLEBORGS LÄN</t>
        </is>
      </c>
      <c r="G761" t="inlineStr">
        <is>
          <t>GÄVLE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46258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45945</v>
      </c>
      <c r="E763" s="1" t="n">
        <v>46258</v>
      </c>
      <c r="F763" t="inlineStr">
        <is>
          <t>GÄVLEBORGS LÄN</t>
        </is>
      </c>
      <c r="G763" t="inlineStr">
        <is>
          <t>GÄVLE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61843-2023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45266</v>
      </c>
      <c r="E764" s="1" t="n">
        <v>46258</v>
      </c>
      <c r="F764" t="inlineStr">
        <is>
          <t>GÄVLEBORGS LÄN</t>
        </is>
      </c>
      <c r="G764" t="inlineStr">
        <is>
          <t>GÄVLE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45660</v>
      </c>
      <c r="E765" s="1" t="n">
        <v>46258</v>
      </c>
      <c r="F765" t="inlineStr">
        <is>
          <t>GÄVLEBORGS LÄN</t>
        </is>
      </c>
      <c r="G765" t="inlineStr">
        <is>
          <t>GÄVLE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33231-2026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46246</v>
      </c>
      <c r="E766" s="1" t="n">
        <v>46258</v>
      </c>
      <c r="F766" t="inlineStr">
        <is>
          <t>GÄVLEBORGS LÄN</t>
        </is>
      </c>
      <c r="G766" t="inlineStr">
        <is>
          <t>GÄVLE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46258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15801-2026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46258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46258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46251</v>
      </c>
      <c r="E770" s="1" t="n">
        <v>46258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46258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33449-2024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45519</v>
      </c>
      <c r="E772" s="1" t="n">
        <v>46258</v>
      </c>
      <c r="F772" t="inlineStr">
        <is>
          <t>GÄVLEBORGS LÄN</t>
        </is>
      </c>
      <c r="G772" t="inlineStr">
        <is>
          <t>GÄVLE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51758-2025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45950</v>
      </c>
      <c r="E773" s="1" t="n">
        <v>46258</v>
      </c>
      <c r="F773" t="inlineStr">
        <is>
          <t>GÄVLEBORGS LÄN</t>
        </is>
      </c>
      <c r="G773" t="inlineStr">
        <is>
          <t>GÄVLE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46258</v>
      </c>
      <c r="F774" t="inlineStr">
        <is>
          <t>GÄVLEBORGS LÄN</t>
        </is>
      </c>
      <c r="G774" t="inlineStr">
        <is>
          <t>GÄVLE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26094-2025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45805</v>
      </c>
      <c r="E775" s="1" t="n">
        <v>46258</v>
      </c>
      <c r="F775" t="inlineStr">
        <is>
          <t>GÄVLEBORGS LÄN</t>
        </is>
      </c>
      <c r="G775" t="inlineStr">
        <is>
          <t>GÄVLE</t>
        </is>
      </c>
      <c r="I775" t="n">
        <v>12.4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13499-2026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46258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44586</v>
      </c>
      <c r="E777" s="1" t="n">
        <v>46258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46258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7410-2025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45705</v>
      </c>
      <c r="E779" s="1" t="n">
        <v>46258</v>
      </c>
      <c r="F779" t="inlineStr">
        <is>
          <t>GÄVLEBORGS LÄN</t>
        </is>
      </c>
      <c r="G779" t="inlineStr">
        <is>
          <t>GÄVLE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45530</v>
      </c>
      <c r="E780" s="1" t="n">
        <v>46258</v>
      </c>
      <c r="F780" t="inlineStr">
        <is>
          <t>GÄVLEBORGS LÄN</t>
        </is>
      </c>
      <c r="G780" t="inlineStr">
        <is>
          <t>GÄVLE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31019-2026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46258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35916-2025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45862</v>
      </c>
      <c r="E782" s="1" t="n">
        <v>46258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44927</v>
      </c>
      <c r="E783" s="1" t="n">
        <v>46258</v>
      </c>
      <c r="F783" t="inlineStr">
        <is>
          <t>GÄVLEBORGS LÄN</t>
        </is>
      </c>
      <c r="G783" t="inlineStr">
        <is>
          <t>GÄVLE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46258</v>
      </c>
      <c r="F784" t="inlineStr">
        <is>
          <t>GÄVLEBORGS LÄN</t>
        </is>
      </c>
      <c r="G784" t="inlineStr">
        <is>
          <t>GÄVLE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46258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46207</v>
      </c>
      <c r="E787" s="1" t="n">
        <v>46258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46258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45905</v>
      </c>
      <c r="E789" s="1" t="n">
        <v>46258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33664-2026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46258</v>
      </c>
      <c r="F790" t="inlineStr">
        <is>
          <t>GÄVLEBORGS LÄN</t>
        </is>
      </c>
      <c r="G790" t="inlineStr">
        <is>
          <t>GÄVLE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9378-2025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46258</v>
      </c>
      <c r="F791" t="inlineStr">
        <is>
          <t>GÄVLEBORGS LÄN</t>
        </is>
      </c>
      <c r="G791" t="inlineStr">
        <is>
          <t>GÄVLE</t>
        </is>
      </c>
      <c r="H791" t="inlineStr">
        <is>
          <t>Kyrkan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15536-2026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46106</v>
      </c>
      <c r="E792" s="1" t="n">
        <v>46258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52250-2024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45608</v>
      </c>
      <c r="E793" s="1" t="n">
        <v>46258</v>
      </c>
      <c r="F793" t="inlineStr">
        <is>
          <t>GÄVLEBORGS LÄN</t>
        </is>
      </c>
      <c r="G793" t="inlineStr">
        <is>
          <t>GÄVLE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46258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46258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46105</v>
      </c>
      <c r="E796" s="1" t="n">
        <v>46258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30875-2022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44767</v>
      </c>
      <c r="E797" s="1" t="n">
        <v>46258</v>
      </c>
      <c r="F797" t="inlineStr">
        <is>
          <t>GÄVLEBORGS LÄN</t>
        </is>
      </c>
      <c r="G797" t="inlineStr">
        <is>
          <t>GÄVLE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33662-2026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46248</v>
      </c>
      <c r="E798" s="1" t="n">
        <v>46258</v>
      </c>
      <c r="F798" t="inlineStr">
        <is>
          <t>GÄVLEBORGS LÄN</t>
        </is>
      </c>
      <c r="G798" t="inlineStr">
        <is>
          <t>GÄVLE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46258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15105-2025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45744</v>
      </c>
      <c r="E800" s="1" t="n">
        <v>46258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60349-2022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44910</v>
      </c>
      <c r="E801" s="1" t="n">
        <v>46258</v>
      </c>
      <c r="F801" t="inlineStr">
        <is>
          <t>GÄVLEBORGS LÄN</t>
        </is>
      </c>
      <c r="G801" t="inlineStr">
        <is>
          <t>GÄVLE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41100-2024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45559</v>
      </c>
      <c r="E802" s="1" t="n">
        <v>46258</v>
      </c>
      <c r="F802" t="inlineStr">
        <is>
          <t>GÄVLEBORGS LÄN</t>
        </is>
      </c>
      <c r="G802" t="inlineStr">
        <is>
          <t>GÄVLE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46258</v>
      </c>
      <c r="F803" t="inlineStr">
        <is>
          <t>GÄVLEBORGS LÄN</t>
        </is>
      </c>
      <c r="G803" t="inlineStr">
        <is>
          <t>GÄVLE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24367-2026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46258</v>
      </c>
      <c r="F804" t="inlineStr">
        <is>
          <t>GÄVLEBORGS LÄN</t>
        </is>
      </c>
      <c r="G804" t="inlineStr">
        <is>
          <t>GÄVLE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8568-2026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46065</v>
      </c>
      <c r="E805" s="1" t="n">
        <v>46258</v>
      </c>
      <c r="F805" t="inlineStr">
        <is>
          <t>GÄVLEBORGS LÄN</t>
        </is>
      </c>
      <c r="G805" t="inlineStr">
        <is>
          <t>GÄVLE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46258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15275-2026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46258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46258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46258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46258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46258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9025-2026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46069</v>
      </c>
      <c r="E812" s="1" t="n">
        <v>46258</v>
      </c>
      <c r="F812" t="inlineStr">
        <is>
          <t>GÄVLEBORGS LÄN</t>
        </is>
      </c>
      <c r="G812" t="inlineStr">
        <is>
          <t>GÄVLE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16401-2025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45751</v>
      </c>
      <c r="E813" s="1" t="n">
        <v>46258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46258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36512-2025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45869</v>
      </c>
      <c r="E815" s="1" t="n">
        <v>46258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46258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5633-2024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45334</v>
      </c>
      <c r="E817" s="1" t="n">
        <v>46258</v>
      </c>
      <c r="F817" t="inlineStr">
        <is>
          <t>GÄVLEBORGS LÄN</t>
        </is>
      </c>
      <c r="G817" t="inlineStr">
        <is>
          <t>GÄVLE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13961-2024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45392</v>
      </c>
      <c r="E818" s="1" t="n">
        <v>46258</v>
      </c>
      <c r="F818" t="inlineStr">
        <is>
          <t>GÄVLEBORGS LÄN</t>
        </is>
      </c>
      <c r="G818" t="inlineStr">
        <is>
          <t>GÄVLE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46258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46258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46254</v>
      </c>
      <c r="E821" s="1" t="n">
        <v>46258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34590-2026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46258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46258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25466-2023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46258</v>
      </c>
      <c r="F824" t="inlineStr">
        <is>
          <t>GÄVLEBORGS LÄN</t>
        </is>
      </c>
      <c r="G824" t="inlineStr">
        <is>
          <t>GÄVLE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46258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46255</v>
      </c>
      <c r="E826" s="1" t="n">
        <v>46258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7060-2022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44603</v>
      </c>
      <c r="E827" s="1" t="n">
        <v>46258</v>
      </c>
      <c r="F827" t="inlineStr">
        <is>
          <t>GÄVLEBORGS LÄN</t>
        </is>
      </c>
      <c r="G827" t="inlineStr">
        <is>
          <t>GÄVLE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41708-2023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45176</v>
      </c>
      <c r="E828" s="1" t="n">
        <v>46258</v>
      </c>
      <c r="F828" t="inlineStr">
        <is>
          <t>GÄVLEBORGS LÄN</t>
        </is>
      </c>
      <c r="G828" t="inlineStr">
        <is>
          <t>GÄVLE</t>
        </is>
      </c>
      <c r="I828" t="n">
        <v>6.5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41712-2023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46258</v>
      </c>
      <c r="F829" t="inlineStr">
        <is>
          <t>GÄVLEBORGS LÄN</t>
        </is>
      </c>
      <c r="G829" t="inlineStr">
        <is>
          <t>GÄVLE</t>
        </is>
      </c>
      <c r="I829" t="n">
        <v>7.8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6331-2022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44600</v>
      </c>
      <c r="E830" s="1" t="n">
        <v>46258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15647-2026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46258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46258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44959</v>
      </c>
      <c r="E833" s="1" t="n">
        <v>46258</v>
      </c>
      <c r="F833" t="inlineStr">
        <is>
          <t>GÄVLEBORGS LÄN</t>
        </is>
      </c>
      <c r="G833" t="inlineStr">
        <is>
          <t>GÄVLE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20589-2026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46258</v>
      </c>
      <c r="F834" t="inlineStr">
        <is>
          <t>GÄVLEBORGS LÄN</t>
        </is>
      </c>
      <c r="G834" t="inlineStr">
        <is>
          <t>GÄVLE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46258</v>
      </c>
      <c r="F835" t="inlineStr">
        <is>
          <t>GÄVLEBORGS LÄN</t>
        </is>
      </c>
      <c r="G835" t="inlineStr">
        <is>
          <t>GÄVLE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46258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10487-2026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46077</v>
      </c>
      <c r="E837" s="1" t="n">
        <v>46258</v>
      </c>
      <c r="F837" t="inlineStr">
        <is>
          <t>GÄVLEBORGS LÄN</t>
        </is>
      </c>
      <c r="G837" t="inlineStr">
        <is>
          <t>GÄVLE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16190-2026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46111</v>
      </c>
      <c r="E838" s="1" t="n">
        <v>46258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46258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46258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45660</v>
      </c>
      <c r="E841" s="1" t="n">
        <v>46258</v>
      </c>
      <c r="F841" t="inlineStr">
        <is>
          <t>GÄVLEBORGS LÄN</t>
        </is>
      </c>
      <c r="G841" t="inlineStr">
        <is>
          <t>GÄVLE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45240</v>
      </c>
      <c r="E842" s="1" t="n">
        <v>46258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46258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46033</v>
      </c>
      <c r="E844" s="1" t="n">
        <v>46258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46258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7441-2025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45705</v>
      </c>
      <c r="E846" s="1" t="n">
        <v>46258</v>
      </c>
      <c r="F846" t="inlineStr">
        <is>
          <t>GÄVLEBORGS LÄN</t>
        </is>
      </c>
      <c r="G846" t="inlineStr">
        <is>
          <t>GÄVLE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33635-2024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46258</v>
      </c>
      <c r="F847" t="inlineStr">
        <is>
          <t>GÄVLEBORGS LÄN</t>
        </is>
      </c>
      <c r="G847" t="inlineStr">
        <is>
          <t>GÄVLE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46258</v>
      </c>
      <c r="F848" t="inlineStr">
        <is>
          <t>GÄVLEBORGS LÄN</t>
        </is>
      </c>
      <c r="G848" t="inlineStr">
        <is>
          <t>GÄVLE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21966-2025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46258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46258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46258</v>
      </c>
      <c r="F851" t="inlineStr">
        <is>
          <t>GÄVLEBORGS LÄN</t>
        </is>
      </c>
      <c r="G851" t="inlineStr">
        <is>
          <t>GÄVLE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20685-2026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46141</v>
      </c>
      <c r="E852" s="1" t="n">
        <v>46258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20735-2026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46258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54207-2023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46258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20906-2026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46142</v>
      </c>
      <c r="E855" s="1" t="n">
        <v>46258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15935-2025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45749</v>
      </c>
      <c r="E856" s="1" t="n">
        <v>46258</v>
      </c>
      <c r="F856" t="inlineStr">
        <is>
          <t>GÄVLEBORGS LÄN</t>
        </is>
      </c>
      <c r="G856" t="inlineStr">
        <is>
          <t>GÄVLE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20905-2026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46142</v>
      </c>
      <c r="E857" s="1" t="n">
        <v>46258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25814-2023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45090</v>
      </c>
      <c r="E858" s="1" t="n">
        <v>46258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4463-2026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46258</v>
      </c>
      <c r="F859" t="inlineStr">
        <is>
          <t>GÄVLEBORGS LÄN</t>
        </is>
      </c>
      <c r="G859" t="inlineStr">
        <is>
          <t>GÄVLE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46258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45014</v>
      </c>
      <c r="E861" s="1" t="n">
        <v>46258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46258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46258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46258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16144-2026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46258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1594-2024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45306</v>
      </c>
      <c r="E866" s="1" t="n">
        <v>46258</v>
      </c>
      <c r="F866" t="inlineStr">
        <is>
          <t>GÄVLEBORGS LÄN</t>
        </is>
      </c>
      <c r="G866" t="inlineStr">
        <is>
          <t>GÄVLE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22111-2026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46258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22054-2026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46153</v>
      </c>
      <c r="E868" s="1" t="n">
        <v>46258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8.5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45272</v>
      </c>
      <c r="E869" s="1" t="n">
        <v>46258</v>
      </c>
      <c r="F869" t="inlineStr">
        <is>
          <t>GÄVLEBORGS LÄN</t>
        </is>
      </c>
      <c r="G869" t="inlineStr">
        <is>
          <t>GÄVLE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46258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22053-2026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46153</v>
      </c>
      <c r="E871" s="1" t="n">
        <v>46258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22075-2026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46258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46155</v>
      </c>
      <c r="E873" s="1" t="n">
        <v>46258</v>
      </c>
      <c r="F873" t="inlineStr">
        <is>
          <t>GÄVLEBORGS LÄN</t>
        </is>
      </c>
      <c r="G873" t="inlineStr">
        <is>
          <t>GÄVLE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46119</v>
      </c>
      <c r="E874" s="1" t="n">
        <v>46258</v>
      </c>
      <c r="F874" t="inlineStr">
        <is>
          <t>GÄVLEBORGS LÄN</t>
        </is>
      </c>
      <c r="G874" t="inlineStr">
        <is>
          <t>GÄVLE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46105</v>
      </c>
      <c r="E875" s="1" t="n">
        <v>46258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46258</v>
      </c>
      <c r="F876" t="inlineStr">
        <is>
          <t>GÄVLEBORGS LÄN</t>
        </is>
      </c>
      <c r="G876" t="inlineStr">
        <is>
          <t>GÄVLE</t>
        </is>
      </c>
      <c r="H876" t="inlineStr">
        <is>
          <t>Kyrkan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22570-2026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46258</v>
      </c>
      <c r="F877" t="inlineStr">
        <is>
          <t>GÄVLEBORGS LÄN</t>
        </is>
      </c>
      <c r="G877" t="inlineStr">
        <is>
          <t>GÄVLE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22354-2026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46154</v>
      </c>
      <c r="E878" s="1" t="n">
        <v>46258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22356-2026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46154</v>
      </c>
      <c r="E879" s="1" t="n">
        <v>46258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15152-2026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46258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20621-2025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46258</v>
      </c>
      <c r="F881" t="inlineStr">
        <is>
          <t>GÄVLEBORGS LÄN</t>
        </is>
      </c>
      <c r="G881" t="inlineStr">
        <is>
          <t>GÄVLE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46258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46258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15790-2026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46107</v>
      </c>
      <c r="E884" s="1" t="n">
        <v>46258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45580</v>
      </c>
      <c r="E885" s="1" t="n">
        <v>46258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46258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45312</v>
      </c>
      <c r="E887" s="1" t="n">
        <v>46258</v>
      </c>
      <c r="F887" t="inlineStr">
        <is>
          <t>GÄVLEBORGS LÄN</t>
        </is>
      </c>
      <c r="G887" t="inlineStr">
        <is>
          <t>GÄVLE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45782</v>
      </c>
      <c r="E888" s="1" t="n">
        <v>46258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15469-2026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15167-2026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46105</v>
      </c>
      <c r="E890" s="1" t="n">
        <v>46258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15711-2026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46258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22508-2026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46258</v>
      </c>
      <c r="F892" t="inlineStr">
        <is>
          <t>GÄVLEBORGS LÄN</t>
        </is>
      </c>
      <c r="G892" t="inlineStr">
        <is>
          <t>GÄVLE</t>
        </is>
      </c>
      <c r="H892" t="inlineStr">
        <is>
          <t>Kyrkan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7202-2025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45702</v>
      </c>
      <c r="E893" s="1" t="n">
        <v>46258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23117-2026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46161</v>
      </c>
      <c r="E894" s="1" t="n">
        <v>46258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46258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45322</v>
      </c>
      <c r="E896" s="1" t="n">
        <v>46258</v>
      </c>
      <c r="F896" t="inlineStr">
        <is>
          <t>GÄVLEBORGS LÄN</t>
        </is>
      </c>
      <c r="G896" t="inlineStr">
        <is>
          <t>GÄVLE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7451-2025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46258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23591-2026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46163</v>
      </c>
      <c r="E898" s="1" t="n">
        <v>46258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14974-2026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46104</v>
      </c>
      <c r="E899" s="1" t="n">
        <v>46258</v>
      </c>
      <c r="F899" t="inlineStr">
        <is>
          <t>GÄVLEBORGS LÄN</t>
        </is>
      </c>
      <c r="G899" t="inlineStr">
        <is>
          <t>GÄVLE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23291-2025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45791</v>
      </c>
      <c r="E900" s="1" t="n">
        <v>46258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23232-2025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45791</v>
      </c>
      <c r="E901" s="1" t="n">
        <v>46258</v>
      </c>
      <c r="F901" t="inlineStr">
        <is>
          <t>GÄVLEBORGS LÄN</t>
        </is>
      </c>
      <c r="G901" t="inlineStr">
        <is>
          <t>GÄVLE</t>
        </is>
      </c>
      <c r="I901" t="n">
        <v>10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22879-2025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45790</v>
      </c>
      <c r="E902" s="1" t="n">
        <v>46258</v>
      </c>
      <c r="F902" t="inlineStr">
        <is>
          <t>GÄVLEBORGS LÄN</t>
        </is>
      </c>
      <c r="G902" t="inlineStr">
        <is>
          <t>GÄVLE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23324-2025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45791</v>
      </c>
      <c r="E903" s="1" t="n">
        <v>46258</v>
      </c>
      <c r="F903" t="inlineStr">
        <is>
          <t>GÄVLEBORGS LÄN</t>
        </is>
      </c>
      <c r="G903" t="inlineStr">
        <is>
          <t>GÄVLE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22923-2025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45790</v>
      </c>
      <c r="E904" s="1" t="n">
        <v>46258</v>
      </c>
      <c r="F904" t="inlineStr">
        <is>
          <t>GÄVLEBORGS LÄN</t>
        </is>
      </c>
      <c r="G904" t="inlineStr">
        <is>
          <t>GÄVLE</t>
        </is>
      </c>
      <c r="I904" t="n">
        <v>20.8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45660</v>
      </c>
      <c r="E905" s="1" t="n">
        <v>46258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24228-2025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45797</v>
      </c>
      <c r="E906" s="1" t="n">
        <v>46258</v>
      </c>
      <c r="F906" t="inlineStr">
        <is>
          <t>GÄVLEBORGS LÄN</t>
        </is>
      </c>
      <c r="G906" t="inlineStr">
        <is>
          <t>GÄVLE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55878-2024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45623</v>
      </c>
      <c r="E907" s="1" t="n">
        <v>46258</v>
      </c>
      <c r="F907" t="inlineStr">
        <is>
          <t>GÄVLEBORGS LÄN</t>
        </is>
      </c>
      <c r="G907" t="inlineStr">
        <is>
          <t>GÄVLE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48913-2024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46258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24225-2025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45797</v>
      </c>
      <c r="E909" s="1" t="n">
        <v>46258</v>
      </c>
      <c r="F909" t="inlineStr">
        <is>
          <t>GÄVLEBORGS LÄN</t>
        </is>
      </c>
      <c r="G909" t="inlineStr">
        <is>
          <t>GÄVLE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58373-2024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45632</v>
      </c>
      <c r="E910" s="1" t="n">
        <v>46258</v>
      </c>
      <c r="F910" t="inlineStr">
        <is>
          <t>GÄVLEBORGS LÄN</t>
        </is>
      </c>
      <c r="G910" t="inlineStr">
        <is>
          <t>GÄVLE</t>
        </is>
      </c>
      <c r="I910" t="n">
        <v>13.1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31367-2024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45505</v>
      </c>
      <c r="E911" s="1" t="n">
        <v>46258</v>
      </c>
      <c r="F911" t="inlineStr">
        <is>
          <t>GÄVLEBORGS LÄN</t>
        </is>
      </c>
      <c r="G911" t="inlineStr">
        <is>
          <t>GÄVLE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45798</v>
      </c>
      <c r="E912" s="1" t="n">
        <v>46258</v>
      </c>
      <c r="F912" t="inlineStr">
        <is>
          <t>GÄVLEBORGS LÄN</t>
        </is>
      </c>
      <c r="G912" t="inlineStr">
        <is>
          <t>GÄVLE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3425-2023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45205</v>
      </c>
      <c r="E913" s="1" t="n">
        <v>46258</v>
      </c>
      <c r="F913" t="inlineStr">
        <is>
          <t>GÄVLEBORGS LÄN</t>
        </is>
      </c>
      <c r="G913" t="inlineStr">
        <is>
          <t>GÄVLE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  <c r="Z913">
        <f>HYPERLINK("https://klasma.github.io/Logging_2180/knärot/S 3425-2023 karta knärot.png", "S 3425-2023")</f>
        <v/>
      </c>
      <c r="AA913">
        <f>HYPERLINK("https://klasma.github.io/Logging_2180/klagomål/S 3425-2023 FSC-klagomål.docx", "S 3425-2023")</f>
        <v/>
      </c>
      <c r="AB913">
        <f>HYPERLINK("https://klasma.github.io/Logging_2180/klagomålsmail/S 3425-2023 FSC-klagomål mail.docx", "S 3425-2023")</f>
        <v/>
      </c>
      <c r="AC913">
        <f>HYPERLINK("https://klasma.github.io/Logging_2180/tillsyn/S 3425-2023 tillsynsbegäran.docx", "S 3425-2023")</f>
        <v/>
      </c>
      <c r="AD913">
        <f>HYPERLINK("https://klasma.github.io/Logging_2180/tillsynsmail/S 3425-2023 tillsynsbegäran mail.docx", "S 3425-2023")</f>
        <v/>
      </c>
    </row>
    <row r="914" ht="15" customHeight="1">
      <c r="A914" t="inlineStr">
        <is>
          <t>S 889-2023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44995</v>
      </c>
      <c r="E914" s="1" t="n">
        <v>46258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886-2024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45376</v>
      </c>
      <c r="E915" s="1" t="n">
        <v>46258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2464-2024</t>
        </is>
      </c>
      <c r="B916" t="inlineStr">
        <is>
          <t>samrådsanmälan</t>
        </is>
      </c>
      <c r="C916" t="inlineStr">
        <is>
          <t>Skogsbilväg</t>
        </is>
      </c>
      <c r="D916" s="1" t="n">
        <v>45470</v>
      </c>
      <c r="E916" s="1" t="n">
        <v>46258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644-2026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46089</v>
      </c>
      <c r="E917" s="1" t="n">
        <v>46258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29.2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2026-08-24T01:48:40Z</dcterms:created>
  <dcterms:modified xmlns:dcterms="http://purl.org/dc/terms/" xmlns:xsi="http://www.w3.org/2001/XMLSchema-instance" xsi:type="dcterms:W3CDTF">2026-08-24T01:48:41Z</dcterms:modified>
</cp:coreProperties>
</file>