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46313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46313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46313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46313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46313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46313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46313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150</v>
      </c>
      <c r="U14" t="n">
        <v>30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46313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46313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45107</v>
      </c>
      <c r="E19" s="1" t="n">
        <v>46313</v>
      </c>
      <c r="F19" t="inlineStr">
        <is>
          <t>GÄVLEBORGS LÄN</t>
        </is>
      </c>
      <c r="G19" t="inlineStr">
        <is>
          <t>GÄVLE</t>
        </is>
      </c>
      <c r="I19" t="n">
        <v>1.4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5</v>
      </c>
      <c r="V19" s="2" t="inlineStr">
        <is>
          <t>Brunlångöra
Järnsparv
Nordfladdermus
Kungsfågel
Vattenfladdermus</t>
        </is>
      </c>
      <c r="W19">
        <f>HYPERLINK("https://klasma.github.io/Logging_2180/artfynd/A 29840-2023 artfynd.xlsx", "A 29840-2023")</f>
        <v/>
      </c>
      <c r="X19">
        <f>HYPERLINK("https://klasma.github.io/Logging_2180/kartor/A 29840-2023 karta.png", "A 29840-2023")</f>
        <v/>
      </c>
      <c r="Y19">
        <f>HYPERLINK("https://klasma.github.io/Logging_2180/kartor_geotiff/A 29840-2023 georefererad karta.tif", "A 29840-2023")</f>
        <v/>
      </c>
      <c r="AA19">
        <f>HYPERLINK("https://klasma.github.io/Logging_2180/klagomål/A 29840-2023 FSC-klagomål.docx", "A 29840-2023")</f>
        <v/>
      </c>
      <c r="AB19">
        <f>HYPERLINK("https://klasma.github.io/Logging_2180/klagomålsmail/A 29840-2023 FSC-klagomål mail.docx", "A 29840-2023")</f>
        <v/>
      </c>
      <c r="AC19">
        <f>HYPERLINK("https://klasma.github.io/Logging_2180/tillsyn/A 29840-2023 tillsynsbegäran.docx", "A 29840-2023")</f>
        <v/>
      </c>
      <c r="AD19">
        <f>HYPERLINK("https://klasma.github.io/Logging_2180/tillsynsmail/A 29840-2023 tillsynsbegäran mail.docx", "A 29840-2023")</f>
        <v/>
      </c>
      <c r="AE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46313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46313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46313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46313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46313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46313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46313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46313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38344-2026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46282</v>
      </c>
      <c r="E32" s="1" t="n">
        <v>46313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3.9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38344-2026 artfynd.xlsx", "A 38344-2026")</f>
        <v/>
      </c>
      <c r="X32">
        <f>HYPERLINK("https://klasma.github.io/Logging_2180/kartor/A 38344-2026 karta.png", "A 38344-2026")</f>
        <v/>
      </c>
      <c r="Y32">
        <f>HYPERLINK("https://klasma.github.io/Logging_2180/kartor_geotiff/A 38344-2026 georefererad karta.tif", "A 38344-2026")</f>
        <v/>
      </c>
      <c r="AA32">
        <f>HYPERLINK("https://klasma.github.io/Logging_2180/klagomål/A 38344-2026 FSC-klagomål.docx", "A 38344-2026")</f>
        <v/>
      </c>
      <c r="AB32">
        <f>HYPERLINK("https://klasma.github.io/Logging_2180/klagomålsmail/A 38344-2026 FSC-klagomål mail.docx", "A 38344-2026")</f>
        <v/>
      </c>
      <c r="AC32">
        <f>HYPERLINK("https://klasma.github.io/Logging_2180/tillsyn/A 38344-2026 tillsynsbegäran.docx", "A 38344-2026")</f>
        <v/>
      </c>
      <c r="AD32">
        <f>HYPERLINK("https://klasma.github.io/Logging_2180/tillsynsmail/A 38344-2026 tillsynsbegäran mail.docx", "A 38344-2026")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46313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46313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46313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46313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46313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46313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46313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46313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46313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46313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46313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46313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29626-2025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46313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22.2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Brunklöver
Höstlåsbräken
Mattlummer</t>
        </is>
      </c>
      <c r="W47">
        <f>HYPERLINK("https://klasma.github.io/Logging_2180/artfynd/A 29626-2025 artfynd.xlsx", "A 29626-2025")</f>
        <v/>
      </c>
      <c r="X47">
        <f>HYPERLINK("https://klasma.github.io/Logging_2180/kartor/A 29626-2025 karta.png", "A 29626-2025")</f>
        <v/>
      </c>
      <c r="Y47">
        <f>HYPERLINK("https://klasma.github.io/Logging_2180/kartor_geotiff/A 29626-2025 georefererad karta.tif", "A 29626-2025")</f>
        <v/>
      </c>
      <c r="AA47">
        <f>HYPERLINK("https://klasma.github.io/Logging_2180/klagomål/A 29626-2025 FSC-klagomål.docx", "A 29626-2025")</f>
        <v/>
      </c>
      <c r="AB47">
        <f>HYPERLINK("https://klasma.github.io/Logging_2180/klagomålsmail/A 29626-2025 FSC-klagomål mail.docx", "A 29626-2025")</f>
        <v/>
      </c>
      <c r="AC47">
        <f>HYPERLINK("https://klasma.github.io/Logging_2180/tillsyn/A 29626-2025 tillsynsbegäran.docx", "A 29626-2025")</f>
        <v/>
      </c>
      <c r="AD47">
        <f>HYPERLINK("https://klasma.github.io/Logging_2180/tillsynsmail/A 29626-2025 tillsynsbegäran mail.docx", "A 29626-2025")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46313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46313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46313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46313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46313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46313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46313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46313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46313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46313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46313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46313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46313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50049-2025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46313</v>
      </c>
      <c r="F62" t="inlineStr">
        <is>
          <t>GÄVLEBORGS LÄN</t>
        </is>
      </c>
      <c r="G62" t="inlineStr">
        <is>
          <t>GÄVLE</t>
        </is>
      </c>
      <c r="H62" t="inlineStr">
        <is>
          <t>Kyrkan</t>
        </is>
      </c>
      <c r="I62" t="n">
        <v>10.3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Vårärt
Blåsippa</t>
        </is>
      </c>
      <c r="W62">
        <f>HYPERLINK("https://klasma.github.io/Logging_2180/artfynd/A 50049-2025 artfynd.xlsx", "A 50049-2025")</f>
        <v/>
      </c>
      <c r="X62">
        <f>HYPERLINK("https://klasma.github.io/Logging_2180/kartor/A 50049-2025 karta.png", "A 50049-2025")</f>
        <v/>
      </c>
      <c r="Y62">
        <f>HYPERLINK("https://klasma.github.io/Logging_2180/kartor_geotiff/A 50049-2025 georefererad karta.tif", "A 50049-2025")</f>
        <v/>
      </c>
      <c r="AA62">
        <f>HYPERLINK("https://klasma.github.io/Logging_2180/klagomål/A 50049-2025 FSC-klagomål.docx", "A 50049-2025")</f>
        <v/>
      </c>
      <c r="AB62">
        <f>HYPERLINK("https://klasma.github.io/Logging_2180/klagomålsmail/A 50049-2025 FSC-klagomål mail.docx", "A 50049-2025")</f>
        <v/>
      </c>
      <c r="AC62">
        <f>HYPERLINK("https://klasma.github.io/Logging_2180/tillsyn/A 50049-2025 tillsynsbegäran.docx", "A 50049-2025")</f>
        <v/>
      </c>
      <c r="AD62">
        <f>HYPERLINK("https://klasma.github.io/Logging_2180/tillsynsmail/A 50049-2025 tillsynsbegäran mail.docx", "A 50049-2025")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46313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60202-2025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46313</v>
      </c>
      <c r="F64" t="inlineStr">
        <is>
          <t>GÄVLEBORGS LÄN</t>
        </is>
      </c>
      <c r="G64" t="inlineStr">
        <is>
          <t>GÄVLE</t>
        </is>
      </c>
      <c r="I64" t="n">
        <v>4.3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Spillkråka</t>
        </is>
      </c>
      <c r="W64">
        <f>HYPERLINK("https://klasma.github.io/Logging_2180/artfynd/A 60202-2025 artfynd.xlsx", "A 60202-2025")</f>
        <v/>
      </c>
      <c r="X64">
        <f>HYPERLINK("https://klasma.github.io/Logging_2180/kartor/A 60202-2025 karta.png", "A 60202-2025")</f>
        <v/>
      </c>
      <c r="Y64">
        <f>HYPERLINK("https://klasma.github.io/Logging_2180/kartor_geotiff/A 60202-2025 georefererad karta.tif", "A 60202-2025")</f>
        <v/>
      </c>
      <c r="AA64">
        <f>HYPERLINK("https://klasma.github.io/Logging_2180/klagomål/A 60202-2025 FSC-klagomål.docx", "A 60202-2025")</f>
        <v/>
      </c>
      <c r="AB64">
        <f>HYPERLINK("https://klasma.github.io/Logging_2180/klagomålsmail/A 60202-2025 FSC-klagomål mail.docx", "A 60202-2025")</f>
        <v/>
      </c>
      <c r="AC64">
        <f>HYPERLINK("https://klasma.github.io/Logging_2180/tillsyn/A 60202-2025 tillsynsbegäran.docx", "A 60202-2025")</f>
        <v/>
      </c>
      <c r="AD64">
        <f>HYPERLINK("https://klasma.github.io/Logging_2180/tillsynsmail/A 60202-2025 tillsynsbegäran mail.docx", "A 60202-2025")</f>
        <v/>
      </c>
      <c r="AE64">
        <f>HYPERLINK("https://klasma.github.io/Logging_2180/fåglar/A 60202-2025 prioriterade fågelarter.docx", "A 60202-2025")</f>
        <v/>
      </c>
    </row>
    <row r="65" ht="15" customHeight="1">
      <c r="A65" t="inlineStr">
        <is>
          <t>A 6473-2024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46313</v>
      </c>
      <c r="F65" t="inlineStr">
        <is>
          <t>GÄVLEBORGS LÄN</t>
        </is>
      </c>
      <c r="G65" t="inlineStr">
        <is>
          <t>GÄVLE</t>
        </is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Tibast
Nattviol</t>
        </is>
      </c>
      <c r="W65">
        <f>HYPERLINK("https://klasma.github.io/Logging_2180/artfynd/A 6473-2024 artfynd.xlsx", "A 6473-2024")</f>
        <v/>
      </c>
      <c r="X65">
        <f>HYPERLINK("https://klasma.github.io/Logging_2180/kartor/A 6473-2024 karta.png", "A 6473-2024")</f>
        <v/>
      </c>
      <c r="Y65">
        <f>HYPERLINK("https://klasma.github.io/Logging_2180/kartor_geotiff/A 6473-2024 georefererad karta.tif", "A 6473-2024")</f>
        <v/>
      </c>
      <c r="AA65">
        <f>HYPERLINK("https://klasma.github.io/Logging_2180/klagomål/A 6473-2024 FSC-klagomål.docx", "A 6473-2024")</f>
        <v/>
      </c>
      <c r="AB65">
        <f>HYPERLINK("https://klasma.github.io/Logging_2180/klagomålsmail/A 6473-2024 FSC-klagomål mail.docx", "A 6473-2024")</f>
        <v/>
      </c>
      <c r="AC65">
        <f>HYPERLINK("https://klasma.github.io/Logging_2180/tillsyn/A 6473-2024 tillsynsbegäran.docx", "A 6473-2024")</f>
        <v/>
      </c>
      <c r="AD65">
        <f>HYPERLINK("https://klasma.github.io/Logging_2180/tillsynsmail/A 6473-2024 tillsynsbegäran mail.docx", "A 6473-2024")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46313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46313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46313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19718-2026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46313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10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Rödvingetrast
Nattskärra</t>
        </is>
      </c>
      <c r="W69">
        <f>HYPERLINK("https://klasma.github.io/Logging_2180/artfynd/A 19718-2026 artfynd.xlsx", "A 19718-2026")</f>
        <v/>
      </c>
      <c r="X69">
        <f>HYPERLINK("https://klasma.github.io/Logging_2180/kartor/A 19718-2026 karta.png", "A 19718-2026")</f>
        <v/>
      </c>
      <c r="Y69">
        <f>HYPERLINK("https://klasma.github.io/Logging_2180/kartor_geotiff/A 19718-2026 georefererad karta.tif", "A 19718-2026")</f>
        <v/>
      </c>
      <c r="AA69">
        <f>HYPERLINK("https://klasma.github.io/Logging_2180/klagomål/A 19718-2026 FSC-klagomål.docx", "A 19718-2026")</f>
        <v/>
      </c>
      <c r="AB69">
        <f>HYPERLINK("https://klasma.github.io/Logging_2180/klagomålsmail/A 19718-2026 FSC-klagomål mail.docx", "A 19718-2026")</f>
        <v/>
      </c>
      <c r="AC69">
        <f>HYPERLINK("https://klasma.github.io/Logging_2180/tillsyn/A 19718-2026 tillsynsbegäran.docx", "A 19718-2026")</f>
        <v/>
      </c>
      <c r="AD69">
        <f>HYPERLINK("https://klasma.github.io/Logging_2180/tillsynsmail/A 19718-2026 tillsynsbegäran mail.docx", "A 19718-2026")</f>
        <v/>
      </c>
      <c r="AE69">
        <f>HYPERLINK("https://klasma.github.io/Logging_2180/fåglar/A 19718-2026 prioriterade fågelarter.docx", "A 19718-2026")</f>
        <v/>
      </c>
    </row>
    <row r="70" ht="15" customHeight="1">
      <c r="A70" t="inlineStr">
        <is>
          <t>A 38046-2026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4.3</v>
      </c>
      <c r="J70" t="n">
        <v>1</v>
      </c>
      <c r="K70" t="n">
        <v>0</v>
      </c>
      <c r="L70" t="n">
        <v>0</v>
      </c>
      <c r="M70" t="n">
        <v>2</v>
      </c>
      <c r="N70" t="n">
        <v>0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Garnlav
Knärot</t>
        </is>
      </c>
      <c r="W70">
        <f>HYPERLINK("https://klasma.github.io/Logging_2180/artfynd/A 38046-2026 artfynd.xlsx", "A 38046-2026")</f>
        <v/>
      </c>
      <c r="X70">
        <f>HYPERLINK("https://klasma.github.io/Logging_2180/kartor/A 38046-2026 karta.png", "A 38046-2026")</f>
        <v/>
      </c>
      <c r="Y70">
        <f>HYPERLINK("https://klasma.github.io/Logging_2180/kartor_geotiff/A 38046-2026 georefererad karta.tif", "A 38046-2026")</f>
        <v/>
      </c>
      <c r="Z70">
        <f>HYPERLINK("https://klasma.github.io/Logging_2180/knärot/A 38046-2026 karta knärot.png", "A 38046-2026")</f>
        <v/>
      </c>
      <c r="AA70">
        <f>HYPERLINK("https://klasma.github.io/Logging_2180/klagomål/A 38046-2026 FSC-klagomål.docx", "A 38046-2026")</f>
        <v/>
      </c>
      <c r="AB70">
        <f>HYPERLINK("https://klasma.github.io/Logging_2180/klagomålsmail/A 38046-2026 FSC-klagomål mail.docx", "A 38046-2026")</f>
        <v/>
      </c>
      <c r="AC70">
        <f>HYPERLINK("https://klasma.github.io/Logging_2180/tillsyn/A 38046-2026 tillsynsbegäran.docx", "A 38046-2026")</f>
        <v/>
      </c>
      <c r="AD70">
        <f>HYPERLINK("https://klasma.github.io/Logging_2180/tillsynsmail/A 38046-2026 tillsynsbegäran mail.docx", "A 38046-2026")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46313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35989-2024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46313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3.1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Jättesvampmal</t>
        </is>
      </c>
      <c r="W72">
        <f>HYPERLINK("https://klasma.github.io/Logging_2180/artfynd/A 35989-2024 artfynd.xlsx", "A 35989-2024")</f>
        <v/>
      </c>
      <c r="X72">
        <f>HYPERLINK("https://klasma.github.io/Logging_2180/kartor/A 35989-2024 karta.png", "A 35989-2024")</f>
        <v/>
      </c>
      <c r="Y72">
        <f>HYPERLINK("https://klasma.github.io/Logging_2180/kartor_geotiff/A 35989-2024 georefererad karta.tif", "A 35989-2024")</f>
        <v/>
      </c>
      <c r="Z72">
        <f>HYPERLINK("https://klasma.github.io/Logging_2180/knärot/A 35989-2024 karta knärot.png", "A 35989-2024")</f>
        <v/>
      </c>
      <c r="AA72">
        <f>HYPERLINK("https://klasma.github.io/Logging_2180/klagomål/A 35989-2024 FSC-klagomål.docx", "A 35989-2024")</f>
        <v/>
      </c>
      <c r="AB72">
        <f>HYPERLINK("https://klasma.github.io/Logging_2180/klagomålsmail/A 35989-2024 FSC-klagomål mail.docx", "A 35989-2024")</f>
        <v/>
      </c>
      <c r="AC72">
        <f>HYPERLINK("https://klasma.github.io/Logging_2180/tillsyn/A 35989-2024 tillsynsbegäran.docx", "A 35989-2024")</f>
        <v/>
      </c>
      <c r="AD72">
        <f>HYPERLINK("https://klasma.github.io/Logging_2180/tillsynsmail/A 35989-2024 tillsynsbegäran mail.docx", "A 35989-2024")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46313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46313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127</v>
      </c>
      <c r="U74" t="n">
        <v>6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46313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A 23447-2025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46313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Kopparödla
Fläcknycklar</t>
        </is>
      </c>
      <c r="W76">
        <f>HYPERLINK("https://klasma.github.io/Logging_2180/artfynd/A 23447-2025 artfynd.xlsx", "A 23447-2025")</f>
        <v/>
      </c>
      <c r="X76">
        <f>HYPERLINK("https://klasma.github.io/Logging_2180/kartor/A 23447-2025 karta.png", "A 23447-2025")</f>
        <v/>
      </c>
      <c r="Y76">
        <f>HYPERLINK("https://klasma.github.io/Logging_2180/kartor_geotiff/A 23447-2025 georefererad karta.tif", "A 23447-2025")</f>
        <v/>
      </c>
      <c r="AA76">
        <f>HYPERLINK("https://klasma.github.io/Logging_2180/klagomål/A 23447-2025 FSC-klagomål.docx", "A 23447-2025")</f>
        <v/>
      </c>
      <c r="AB76">
        <f>HYPERLINK("https://klasma.github.io/Logging_2180/klagomålsmail/A 23447-2025 FSC-klagomål mail.docx", "A 23447-2025")</f>
        <v/>
      </c>
      <c r="AC76">
        <f>HYPERLINK("https://klasma.github.io/Logging_2180/tillsyn/A 23447-2025 tillsynsbegäran.docx", "A 23447-2025")</f>
        <v/>
      </c>
      <c r="AD76">
        <f>HYPERLINK("https://klasma.github.io/Logging_2180/tillsynsmail/A 23447-2025 tillsynsbegäran mail.docx", "A 23447-2025")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46313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46313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46313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46313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46313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46313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46313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46313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46313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46313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45241-2022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46313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22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HYPERLINK("https://klasma.github.io/Logging_2180/artfynd/A 45241-2022 artfynd.xlsx", "A 45241-2022")</f>
        <v/>
      </c>
      <c r="X87">
        <f>HYPERLINK("https://klasma.github.io/Logging_2180/kartor/A 45241-2022 karta.png", "A 45241-2022")</f>
        <v/>
      </c>
      <c r="Y87">
        <f>HYPERLINK("https://klasma.github.io/Logging_2180/kartor_geotiff/A 45241-2022 georefererad karta.tif", "A 45241-2022")</f>
        <v/>
      </c>
      <c r="AA87">
        <f>HYPERLINK("https://klasma.github.io/Logging_2180/klagomål/A 45241-2022 FSC-klagomål.docx", "A 45241-2022")</f>
        <v/>
      </c>
      <c r="AB87">
        <f>HYPERLINK("https://klasma.github.io/Logging_2180/klagomålsmail/A 45241-2022 FSC-klagomål mail.docx", "A 45241-2022")</f>
        <v/>
      </c>
      <c r="AC87">
        <f>HYPERLINK("https://klasma.github.io/Logging_2180/tillsyn/A 45241-2022 tillsynsbegäran.docx", "A 45241-2022")</f>
        <v/>
      </c>
      <c r="AD87">
        <f>HYPERLINK("https://klasma.github.io/Logging_2180/tillsynsmail/A 45241-2022 tillsynsbegäran mail.docx", "A 45241-2022")</f>
        <v/>
      </c>
    </row>
    <row r="88" ht="15" customHeight="1">
      <c r="A88" t="inlineStr">
        <is>
          <t>A 14730-2026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46101</v>
      </c>
      <c r="E88" s="1" t="n">
        <v>46313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8.199999999999999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HYPERLINK("https://klasma.github.io/Logging_2180/artfynd/A 14730-2026 artfynd.xlsx", "A 14730-2026")</f>
        <v/>
      </c>
      <c r="X88">
        <f>HYPERLINK("https://klasma.github.io/Logging_2180/kartor/A 14730-2026 karta.png", "A 14730-2026")</f>
        <v/>
      </c>
      <c r="Y88">
        <f>HYPERLINK("https://klasma.github.io/Logging_2180/kartor_geotiff/A 14730-2026 georefererad karta.tif", "A 14730-2026")</f>
        <v/>
      </c>
      <c r="AA88">
        <f>HYPERLINK("https://klasma.github.io/Logging_2180/klagomål/A 14730-2026 FSC-klagomål.docx", "A 14730-2026")</f>
        <v/>
      </c>
      <c r="AB88">
        <f>HYPERLINK("https://klasma.github.io/Logging_2180/klagomålsmail/A 14730-2026 FSC-klagomål mail.docx", "A 14730-2026")</f>
        <v/>
      </c>
      <c r="AC88">
        <f>HYPERLINK("https://klasma.github.io/Logging_2180/tillsyn/A 14730-2026 tillsynsbegäran.docx", "A 14730-2026")</f>
        <v/>
      </c>
      <c r="AD88">
        <f>HYPERLINK("https://klasma.github.io/Logging_2180/tillsynsmail/A 14730-2026 tillsynsbegäran mail.docx", "A 14730-2026")</f>
        <v/>
      </c>
      <c r="AE88">
        <f>HYPERLINK("https://klasma.github.io/Logging_2180/fåglar/A 14730-2026 prioriterade fågelarter.docx", "A 14730-2026")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46313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46313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14711-2026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46313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spiklav</t>
        </is>
      </c>
      <c r="W91">
        <f>HYPERLINK("https://klasma.github.io/Logging_2180/artfynd/A 14711-2026 artfynd.xlsx", "A 14711-2026")</f>
        <v/>
      </c>
      <c r="X91">
        <f>HYPERLINK("https://klasma.github.io/Logging_2180/kartor/A 14711-2026 karta.png", "A 14711-2026")</f>
        <v/>
      </c>
      <c r="Y91">
        <f>HYPERLINK("https://klasma.github.io/Logging_2180/kartor_geotiff/A 14711-2026 georefererad karta.tif", "A 14711-2026")</f>
        <v/>
      </c>
      <c r="AA91">
        <f>HYPERLINK("https://klasma.github.io/Logging_2180/klagomål/A 14711-2026 FSC-klagomål.docx", "A 14711-2026")</f>
        <v/>
      </c>
      <c r="AB91">
        <f>HYPERLINK("https://klasma.github.io/Logging_2180/klagomålsmail/A 14711-2026 FSC-klagomål mail.docx", "A 14711-2026")</f>
        <v/>
      </c>
      <c r="AC91">
        <f>HYPERLINK("https://klasma.github.io/Logging_2180/tillsyn/A 14711-2026 tillsynsbegäran.docx", "A 14711-2026")</f>
        <v/>
      </c>
      <c r="AD91">
        <f>HYPERLINK("https://klasma.github.io/Logging_2180/tillsynsmail/A 14711-2026 tillsynsbegäran mail.docx", "A 14711-2026")</f>
        <v/>
      </c>
    </row>
    <row r="92" ht="15" customHeight="1">
      <c r="A92" t="inlineStr">
        <is>
          <t>A 10064-2025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46313</v>
      </c>
      <c r="F92" t="inlineStr">
        <is>
          <t>GÄVLEBORGS LÄN</t>
        </is>
      </c>
      <c r="G92" t="inlineStr">
        <is>
          <t>GÄVLE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HYPERLINK("https://klasma.github.io/Logging_2180/artfynd/A 10064-2025 artfynd.xlsx", "A 10064-2025")</f>
        <v/>
      </c>
      <c r="X92">
        <f>HYPERLINK("https://klasma.github.io/Logging_2180/kartor/A 10064-2025 karta.png", "A 10064-2025")</f>
        <v/>
      </c>
      <c r="Y92">
        <f>HYPERLINK("https://klasma.github.io/Logging_2180/kartor_geotiff/A 10064-2025 georefererad karta.tif", "A 10064-2025")</f>
        <v/>
      </c>
      <c r="AA92">
        <f>HYPERLINK("https://klasma.github.io/Logging_2180/klagomål/A 10064-2025 FSC-klagomål.docx", "A 10064-2025")</f>
        <v/>
      </c>
      <c r="AB92">
        <f>HYPERLINK("https://klasma.github.io/Logging_2180/klagomålsmail/A 10064-2025 FSC-klagomål mail.docx", "A 10064-2025")</f>
        <v/>
      </c>
      <c r="AC92">
        <f>HYPERLINK("https://klasma.github.io/Logging_2180/tillsyn/A 10064-2025 tillsynsbegäran.docx", "A 10064-2025")</f>
        <v/>
      </c>
      <c r="AD92">
        <f>HYPERLINK("https://klasma.github.io/Logging_2180/tillsynsmail/A 10064-2025 tillsynsbegäran mail.docx", "A 10064-2025")</f>
        <v/>
      </c>
    </row>
    <row r="93" ht="15" customHeight="1">
      <c r="A93" t="inlineStr">
        <is>
          <t>A 20734-2026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46313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20734-2026 artfynd.xlsx", "A 20734-2026")</f>
        <v/>
      </c>
      <c r="X93">
        <f>HYPERLINK("https://klasma.github.io/Logging_2180/kartor/A 20734-2026 karta.png", "A 20734-2026")</f>
        <v/>
      </c>
      <c r="Y93">
        <f>HYPERLINK("https://klasma.github.io/Logging_2180/kartor_geotiff/A 20734-2026 georefererad karta.tif", "A 20734-2026")</f>
        <v/>
      </c>
      <c r="AA93">
        <f>HYPERLINK("https://klasma.github.io/Logging_2180/klagomål/A 20734-2026 FSC-klagomål.docx", "A 20734-2026")</f>
        <v/>
      </c>
      <c r="AB93">
        <f>HYPERLINK("https://klasma.github.io/Logging_2180/klagomålsmail/A 20734-2026 FSC-klagomål mail.docx", "A 20734-2026")</f>
        <v/>
      </c>
      <c r="AC93">
        <f>HYPERLINK("https://klasma.github.io/Logging_2180/tillsyn/A 20734-2026 tillsynsbegäran.docx", "A 20734-2026")</f>
        <v/>
      </c>
      <c r="AD93">
        <f>HYPERLINK("https://klasma.github.io/Logging_2180/tillsynsmail/A 20734-2026 tillsynsbegäran mail.docx", "A 20734-2026")</f>
        <v/>
      </c>
    </row>
    <row r="94" ht="15" customHeight="1">
      <c r="A94" t="inlineStr">
        <is>
          <t>A 14703-2026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46313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HYPERLINK("https://klasma.github.io/Logging_2180/artfynd/A 14703-2026 artfynd.xlsx", "A 14703-2026")</f>
        <v/>
      </c>
      <c r="X94">
        <f>HYPERLINK("https://klasma.github.io/Logging_2180/kartor/A 14703-2026 karta.png", "A 14703-2026")</f>
        <v/>
      </c>
      <c r="Y94">
        <f>HYPERLINK("https://klasma.github.io/Logging_2180/kartor_geotiff/A 14703-2026 georefererad karta.tif", "A 14703-2026")</f>
        <v/>
      </c>
      <c r="AA94">
        <f>HYPERLINK("https://klasma.github.io/Logging_2180/klagomål/A 14703-2026 FSC-klagomål.docx", "A 14703-2026")</f>
        <v/>
      </c>
      <c r="AB94">
        <f>HYPERLINK("https://klasma.github.io/Logging_2180/klagomålsmail/A 14703-2026 FSC-klagomål mail.docx", "A 14703-2026")</f>
        <v/>
      </c>
      <c r="AC94">
        <f>HYPERLINK("https://klasma.github.io/Logging_2180/tillsyn/A 14703-2026 tillsynsbegäran.docx", "A 14703-2026")</f>
        <v/>
      </c>
      <c r="AD94">
        <f>HYPERLINK("https://klasma.github.io/Logging_2180/tillsynsmail/A 14703-2026 tillsynsbegäran mail.docx", "A 14703-2026")</f>
        <v/>
      </c>
      <c r="AE94">
        <f>HYPERLINK("https://klasma.github.io/Logging_2180/fåglar/A 14703-2026 prioriterade fågelarter.docx", "A 14703-2026")</f>
        <v/>
      </c>
    </row>
    <row r="95" ht="15" customHeight="1">
      <c r="A95" t="inlineStr">
        <is>
          <t>A 28875-2025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46313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43.3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HYPERLINK("https://klasma.github.io/Logging_2180/artfynd/A 28875-2025 artfynd.xlsx", "A 28875-2025")</f>
        <v/>
      </c>
      <c r="X95">
        <f>HYPERLINK("https://klasma.github.io/Logging_2180/kartor/A 28875-2025 karta.png", "A 28875-2025")</f>
        <v/>
      </c>
      <c r="Y95">
        <f>HYPERLINK("https://klasma.github.io/Logging_2180/kartor_geotiff/A 28875-2025 georefererad karta.tif", "A 28875-2025")</f>
        <v/>
      </c>
      <c r="AA95">
        <f>HYPERLINK("https://klasma.github.io/Logging_2180/klagomål/A 28875-2025 FSC-klagomål.docx", "A 28875-2025")</f>
        <v/>
      </c>
      <c r="AB95">
        <f>HYPERLINK("https://klasma.github.io/Logging_2180/klagomålsmail/A 28875-2025 FSC-klagomål mail.docx", "A 28875-2025")</f>
        <v/>
      </c>
      <c r="AC95">
        <f>HYPERLINK("https://klasma.github.io/Logging_2180/tillsyn/A 28875-2025 tillsynsbegäran.docx", "A 28875-2025")</f>
        <v/>
      </c>
      <c r="AD95">
        <f>HYPERLINK("https://klasma.github.io/Logging_2180/tillsynsmail/A 28875-2025 tillsynsbegäran mail.docx", "A 28875-2025")</f>
        <v/>
      </c>
    </row>
    <row r="96" ht="15" customHeight="1">
      <c r="A96" t="inlineStr">
        <is>
          <t>A 22052-2026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46313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Gullpudra</t>
        </is>
      </c>
      <c r="W96">
        <f>HYPERLINK("https://klasma.github.io/Logging_2180/artfynd/A 22052-2026 artfynd.xlsx", "A 22052-2026")</f>
        <v/>
      </c>
      <c r="X96">
        <f>HYPERLINK("https://klasma.github.io/Logging_2180/kartor/A 22052-2026 karta.png", "A 22052-2026")</f>
        <v/>
      </c>
      <c r="Y96">
        <f>HYPERLINK("https://klasma.github.io/Logging_2180/kartor_geotiff/A 22052-2026 georefererad karta.tif", "A 22052-2026")</f>
        <v/>
      </c>
      <c r="AA96">
        <f>HYPERLINK("https://klasma.github.io/Logging_2180/klagomål/A 22052-2026 FSC-klagomål.docx", "A 22052-2026")</f>
        <v/>
      </c>
      <c r="AB96">
        <f>HYPERLINK("https://klasma.github.io/Logging_2180/klagomålsmail/A 22052-2026 FSC-klagomål mail.docx", "A 22052-2026")</f>
        <v/>
      </c>
      <c r="AC96">
        <f>HYPERLINK("https://klasma.github.io/Logging_2180/tillsyn/A 22052-2026 tillsynsbegäran.docx", "A 22052-2026")</f>
        <v/>
      </c>
      <c r="AD96">
        <f>HYPERLINK("https://klasma.github.io/Logging_2180/tillsynsmail/A 22052-2026 tillsynsbegäran mail.docx", "A 22052-2026")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46313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63036-2023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46313</v>
      </c>
      <c r="F98" t="inlineStr">
        <is>
          <t>GÄVLEBORGS LÄN</t>
        </is>
      </c>
      <c r="G98" t="inlineStr">
        <is>
          <t>GÄVLE</t>
        </is>
      </c>
      <c r="I98" t="n">
        <v>12.7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Kattfotslav</t>
        </is>
      </c>
      <c r="W98">
        <f>HYPERLINK("https://klasma.github.io/Logging_2180/artfynd/A 63036-2023 artfynd.xlsx", "A 63036-2023")</f>
        <v/>
      </c>
      <c r="X98">
        <f>HYPERLINK("https://klasma.github.io/Logging_2180/kartor/A 63036-2023 karta.png", "A 63036-2023")</f>
        <v/>
      </c>
      <c r="Y98">
        <f>HYPERLINK("https://klasma.github.io/Logging_2180/kartor_geotiff/A 63036-2023 georefererad karta.tif", "A 63036-2023")</f>
        <v/>
      </c>
      <c r="AA98">
        <f>HYPERLINK("https://klasma.github.io/Logging_2180/klagomål/A 63036-2023 FSC-klagomål.docx", "A 63036-2023")</f>
        <v/>
      </c>
      <c r="AB98">
        <f>HYPERLINK("https://klasma.github.io/Logging_2180/klagomålsmail/A 63036-2023 FSC-klagomål mail.docx", "A 63036-2023")</f>
        <v/>
      </c>
      <c r="AC98">
        <f>HYPERLINK("https://klasma.github.io/Logging_2180/tillsyn/A 63036-2023 tillsynsbegäran.docx", "A 63036-2023")</f>
        <v/>
      </c>
      <c r="AD98">
        <f>HYPERLINK("https://klasma.github.io/Logging_2180/tillsynsmail/A 63036-2023 tillsynsbegäran mail.docx", "A 63036-2023")</f>
        <v/>
      </c>
    </row>
    <row r="99" ht="15" customHeight="1">
      <c r="A99" t="inlineStr">
        <is>
          <t>A 22892-2026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46157</v>
      </c>
      <c r="E99" s="1" t="n">
        <v>46313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22892-2026 artfynd.xlsx", "A 22892-2026")</f>
        <v/>
      </c>
      <c r="X99">
        <f>HYPERLINK("https://klasma.github.io/Logging_2180/kartor/A 22892-2026 karta.png", "A 22892-2026")</f>
        <v/>
      </c>
      <c r="Y99">
        <f>HYPERLINK("https://klasma.github.io/Logging_2180/kartor_geotiff/A 22892-2026 georefererad karta.tif", "A 22892-2026")</f>
        <v/>
      </c>
      <c r="AA99">
        <f>HYPERLINK("https://klasma.github.io/Logging_2180/klagomål/A 22892-2026 FSC-klagomål.docx", "A 22892-2026")</f>
        <v/>
      </c>
      <c r="AB99">
        <f>HYPERLINK("https://klasma.github.io/Logging_2180/klagomålsmail/A 22892-2026 FSC-klagomål mail.docx", "A 22892-2026")</f>
        <v/>
      </c>
      <c r="AC99">
        <f>HYPERLINK("https://klasma.github.io/Logging_2180/tillsyn/A 22892-2026 tillsynsbegäran.docx", "A 22892-2026")</f>
        <v/>
      </c>
      <c r="AD99">
        <f>HYPERLINK("https://klasma.github.io/Logging_2180/tillsynsmail/A 22892-2026 tillsynsbegäran mail.docx", "A 22892-2026")</f>
        <v/>
      </c>
      <c r="AE99">
        <f>HYPERLINK("https://klasma.github.io/Logging_2180/fåglar/A 22892-2026 prioriterade fågelarter.docx", "A 22892-2026")</f>
        <v/>
      </c>
    </row>
    <row r="100" ht="15" customHeight="1">
      <c r="A100" t="inlineStr">
        <is>
          <t>A 54963-2025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46313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HYPERLINK("https://klasma.github.io/Logging_2180/artfynd/A 54963-2025 artfynd.xlsx", "A 54963-2025")</f>
        <v/>
      </c>
      <c r="X100">
        <f>HYPERLINK("https://klasma.github.io/Logging_2180/kartor/A 54963-2025 karta.png", "A 54963-2025")</f>
        <v/>
      </c>
      <c r="Y100">
        <f>HYPERLINK("https://klasma.github.io/Logging_2180/kartor_geotiff/A 54963-2025 georefererad karta.tif", "A 54963-2025")</f>
        <v/>
      </c>
      <c r="AA100">
        <f>HYPERLINK("https://klasma.github.io/Logging_2180/klagomål/A 54963-2025 FSC-klagomål.docx", "A 54963-2025")</f>
        <v/>
      </c>
      <c r="AB100">
        <f>HYPERLINK("https://klasma.github.io/Logging_2180/klagomålsmail/A 54963-2025 FSC-klagomål mail.docx", "A 54963-2025")</f>
        <v/>
      </c>
      <c r="AC100">
        <f>HYPERLINK("https://klasma.github.io/Logging_2180/tillsyn/A 54963-2025 tillsynsbegäran.docx", "A 54963-2025")</f>
        <v/>
      </c>
      <c r="AD100">
        <f>HYPERLINK("https://klasma.github.io/Logging_2180/tillsynsmail/A 54963-2025 tillsynsbegäran mail.docx", "A 54963-2025")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46313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46313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12437-2024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46313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HYPERLINK("https://klasma.github.io/Logging_2180/artfynd/A 12437-2024 artfynd.xlsx", "A 12437-2024")</f>
        <v/>
      </c>
      <c r="X103">
        <f>HYPERLINK("https://klasma.github.io/Logging_2180/kartor/A 12437-2024 karta.png", "A 12437-2024")</f>
        <v/>
      </c>
      <c r="Y103">
        <f>HYPERLINK("https://klasma.github.io/Logging_2180/kartor_geotiff/A 12437-2024 georefererad karta.tif", "A 12437-2024")</f>
        <v/>
      </c>
      <c r="AA103">
        <f>HYPERLINK("https://klasma.github.io/Logging_2180/klagomål/A 12437-2024 FSC-klagomål.docx", "A 12437-2024")</f>
        <v/>
      </c>
      <c r="AB103">
        <f>HYPERLINK("https://klasma.github.io/Logging_2180/klagomålsmail/A 12437-2024 FSC-klagomål mail.docx", "A 12437-2024")</f>
        <v/>
      </c>
      <c r="AC103">
        <f>HYPERLINK("https://klasma.github.io/Logging_2180/tillsyn/A 12437-2024 tillsynsbegäran.docx", "A 12437-2024")</f>
        <v/>
      </c>
      <c r="AD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46313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12381-2023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46313</v>
      </c>
      <c r="F105" t="inlineStr">
        <is>
          <t>GÄVLEBORGS LÄN</t>
        </is>
      </c>
      <c r="G105" t="inlineStr">
        <is>
          <t>GÄVLE</t>
        </is>
      </c>
      <c r="I105" t="n">
        <v>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Brunlångöra</t>
        </is>
      </c>
      <c r="W105">
        <f>HYPERLINK("https://klasma.github.io/Logging_2180/artfynd/A 12381-2023 artfynd.xlsx", "A 12381-2023")</f>
        <v/>
      </c>
      <c r="X105">
        <f>HYPERLINK("https://klasma.github.io/Logging_2180/kartor/A 12381-2023 karta.png", "A 12381-2023")</f>
        <v/>
      </c>
      <c r="Y105">
        <f>HYPERLINK("https://klasma.github.io/Logging_2180/kartor_geotiff/A 12381-2023 georefererad karta.tif", "A 12381-2023")</f>
        <v/>
      </c>
      <c r="AA105">
        <f>HYPERLINK("https://klasma.github.io/Logging_2180/klagomål/A 12381-2023 FSC-klagomål.docx", "A 12381-2023")</f>
        <v/>
      </c>
      <c r="AB105">
        <f>HYPERLINK("https://klasma.github.io/Logging_2180/klagomålsmail/A 12381-2023 FSC-klagomål mail.docx", "A 12381-2023")</f>
        <v/>
      </c>
      <c r="AC105">
        <f>HYPERLINK("https://klasma.github.io/Logging_2180/tillsyn/A 12381-2023 tillsynsbegäran.docx", "A 12381-2023")</f>
        <v/>
      </c>
      <c r="AD105">
        <f>HYPERLINK("https://klasma.github.io/Logging_2180/tillsynsmail/A 12381-2023 tillsynsbegäran mail.docx", "A 12381-2023")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46313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46313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HYPERLINK("https://klasma.github.io/Logging_2180/artfynd/A 57932-2024 artfynd.xlsx", "A 57932-2024")</f>
        <v/>
      </c>
      <c r="X107">
        <f>HYPERLINK("https://klasma.github.io/Logging_2180/kartor/A 57932-2024 karta.png", "A 57932-2024")</f>
        <v/>
      </c>
      <c r="Y107">
        <f>HYPERLINK("https://klasma.github.io/Logging_2180/kartor_geotiff/A 57932-2024 georefererad karta.tif", "A 57932-2024")</f>
        <v/>
      </c>
      <c r="AA107">
        <f>HYPERLINK("https://klasma.github.io/Logging_2180/klagomål/A 57932-2024 FSC-klagomål.docx", "A 57932-2024")</f>
        <v/>
      </c>
      <c r="AB107">
        <f>HYPERLINK("https://klasma.github.io/Logging_2180/klagomålsmail/A 57932-2024 FSC-klagomål mail.docx", "A 57932-2024")</f>
        <v/>
      </c>
      <c r="AC107">
        <f>HYPERLINK("https://klasma.github.io/Logging_2180/tillsyn/A 57932-2024 tillsynsbegäran.docx", "A 57932-2024")</f>
        <v/>
      </c>
      <c r="AD107">
        <f>HYPERLINK("https://klasma.github.io/Logging_2180/tillsynsmail/A 57932-2024 tillsynsbegäran mail.docx", "A 57932-2024")</f>
        <v/>
      </c>
      <c r="AE107">
        <f>HYPERLINK("https://klasma.github.io/Logging_2180/fåglar/A 57932-2024 prioriterade fågelarter.docx", "A 57932-2024")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46313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27058-2026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46313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Gullpudra</t>
        </is>
      </c>
      <c r="W109">
        <f>HYPERLINK("https://klasma.github.io/Logging_2180/artfynd/A 27058-2026 artfynd.xlsx", "A 27058-2026")</f>
        <v/>
      </c>
      <c r="X109">
        <f>HYPERLINK("https://klasma.github.io/Logging_2180/kartor/A 27058-2026 karta.png", "A 27058-2026")</f>
        <v/>
      </c>
      <c r="Y109">
        <f>HYPERLINK("https://klasma.github.io/Logging_2180/kartor_geotiff/A 27058-2026 georefererad karta.tif", "A 27058-2026")</f>
        <v/>
      </c>
      <c r="AA109">
        <f>HYPERLINK("https://klasma.github.io/Logging_2180/klagomål/A 27058-2026 FSC-klagomål.docx", "A 27058-2026")</f>
        <v/>
      </c>
      <c r="AB109">
        <f>HYPERLINK("https://klasma.github.io/Logging_2180/klagomålsmail/A 27058-2026 FSC-klagomål mail.docx", "A 27058-2026")</f>
        <v/>
      </c>
      <c r="AC109">
        <f>HYPERLINK("https://klasma.github.io/Logging_2180/tillsyn/A 27058-2026 tillsynsbegäran.docx", "A 27058-2026")</f>
        <v/>
      </c>
      <c r="AD109">
        <f>HYPERLINK("https://klasma.github.io/Logging_2180/tillsynsmail/A 27058-2026 tillsynsbegäran mail.docx", "A 27058-2026")</f>
        <v/>
      </c>
    </row>
    <row r="110" ht="15" customHeight="1">
      <c r="A110" t="inlineStr">
        <is>
          <t>A 27043-2026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46313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27043-2026 artfynd.xlsx", "A 27043-2026")</f>
        <v/>
      </c>
      <c r="X110">
        <f>HYPERLINK("https://klasma.github.io/Logging_2180/kartor/A 27043-2026 karta.png", "A 27043-2026")</f>
        <v/>
      </c>
      <c r="Y110">
        <f>HYPERLINK("https://klasma.github.io/Logging_2180/kartor_geotiff/A 27043-2026 georefererad karta.tif", "A 27043-2026")</f>
        <v/>
      </c>
      <c r="AA110">
        <f>HYPERLINK("https://klasma.github.io/Logging_2180/klagomål/A 27043-2026 FSC-klagomål.docx", "A 27043-2026")</f>
        <v/>
      </c>
      <c r="AB110">
        <f>HYPERLINK("https://klasma.github.io/Logging_2180/klagomålsmail/A 27043-2026 FSC-klagomål mail.docx", "A 27043-2026")</f>
        <v/>
      </c>
      <c r="AC110">
        <f>HYPERLINK("https://klasma.github.io/Logging_2180/tillsyn/A 27043-2026 tillsynsbegäran.docx", "A 27043-2026")</f>
        <v/>
      </c>
      <c r="AD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50052-2025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46313</v>
      </c>
      <c r="F111" t="inlineStr">
        <is>
          <t>GÄVLEBORGS LÄN</t>
        </is>
      </c>
      <c r="G111" t="inlineStr">
        <is>
          <t>GÄVLE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Mosippa</t>
        </is>
      </c>
      <c r="W111">
        <f>HYPERLINK("https://klasma.github.io/Logging_2180/artfynd/A 50052-2025 artfynd.xlsx", "A 50052-2025")</f>
        <v/>
      </c>
      <c r="X111">
        <f>HYPERLINK("https://klasma.github.io/Logging_2180/kartor/A 50052-2025 karta.png", "A 50052-2025")</f>
        <v/>
      </c>
      <c r="Y111">
        <f>HYPERLINK("https://klasma.github.io/Logging_2180/kartor_geotiff/A 50052-2025 georefererad karta.tif", "A 50052-2025")</f>
        <v/>
      </c>
      <c r="AA111">
        <f>HYPERLINK("https://klasma.github.io/Logging_2180/klagomål/A 50052-2025 FSC-klagomål.docx", "A 50052-2025")</f>
        <v/>
      </c>
      <c r="AB111">
        <f>HYPERLINK("https://klasma.github.io/Logging_2180/klagomålsmail/A 50052-2025 FSC-klagomål mail.docx", "A 50052-2025")</f>
        <v/>
      </c>
      <c r="AC111">
        <f>HYPERLINK("https://klasma.github.io/Logging_2180/tillsyn/A 50052-2025 tillsynsbegäran.docx", "A 50052-2025")</f>
        <v/>
      </c>
      <c r="AD111">
        <f>HYPERLINK("https://klasma.github.io/Logging_2180/tillsynsmail/A 50052-2025 tillsynsbegäran mail.docx", "A 50052-2025")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46313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28546-2026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46313</v>
      </c>
      <c r="F113" t="inlineStr">
        <is>
          <t>GÄVLEBORGS LÄN</t>
        </is>
      </c>
      <c r="G113" t="inlineStr">
        <is>
          <t>GÄVLE</t>
        </is>
      </c>
      <c r="H113" t="inlineStr">
        <is>
          <t>BillerudKorsnäs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Fiskgjuse</t>
        </is>
      </c>
      <c r="W113">
        <f>HYPERLINK("https://klasma.github.io/Logging_2180/artfynd/A 28546-2026 artfynd.xlsx", "A 28546-2026")</f>
        <v/>
      </c>
      <c r="X113">
        <f>HYPERLINK("https://klasma.github.io/Logging_2180/kartor/A 28546-2026 karta.png", "A 28546-2026")</f>
        <v/>
      </c>
      <c r="Y113">
        <f>HYPERLINK("https://klasma.github.io/Logging_2180/kartor_geotiff/A 28546-2026 georefererad karta.tif", "A 28546-2026")</f>
        <v/>
      </c>
      <c r="AA113">
        <f>HYPERLINK("https://klasma.github.io/Logging_2180/klagomål/A 28546-2026 FSC-klagomål.docx", "A 28546-2026")</f>
        <v/>
      </c>
      <c r="AB113">
        <f>HYPERLINK("https://klasma.github.io/Logging_2180/klagomålsmail/A 28546-2026 FSC-klagomål mail.docx", "A 28546-2026")</f>
        <v/>
      </c>
      <c r="AC113">
        <f>HYPERLINK("https://klasma.github.io/Logging_2180/tillsyn/A 28546-2026 tillsynsbegäran.docx", "A 28546-2026")</f>
        <v/>
      </c>
      <c r="AD113">
        <f>HYPERLINK("https://klasma.github.io/Logging_2180/tillsynsmail/A 28546-2026 tillsynsbegäran mail.docx", "A 28546-2026")</f>
        <v/>
      </c>
      <c r="AE113">
        <f>HYPERLINK("https://klasma.github.io/Logging_2180/fåglar/A 28546-2026 prioriterade fågelarter.docx", "A 28546-2026")</f>
        <v/>
      </c>
    </row>
    <row r="114" ht="15" customHeight="1">
      <c r="A114" t="inlineStr">
        <is>
          <t>A 13396-2026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46313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Fläcknycklar</t>
        </is>
      </c>
      <c r="W114">
        <f>HYPERLINK("https://klasma.github.io/Logging_2180/artfynd/A 13396-2026 artfynd.xlsx", "A 13396-2026")</f>
        <v/>
      </c>
      <c r="X114">
        <f>HYPERLINK("https://klasma.github.io/Logging_2180/kartor/A 13396-2026 karta.png", "A 13396-2026")</f>
        <v/>
      </c>
      <c r="Y114">
        <f>HYPERLINK("https://klasma.github.io/Logging_2180/kartor_geotiff/A 13396-2026 georefererad karta.tif", "A 13396-2026")</f>
        <v/>
      </c>
      <c r="AA114">
        <f>HYPERLINK("https://klasma.github.io/Logging_2180/klagomål/A 13396-2026 FSC-klagomål.docx", "A 13396-2026")</f>
        <v/>
      </c>
      <c r="AB114">
        <f>HYPERLINK("https://klasma.github.io/Logging_2180/klagomålsmail/A 13396-2026 FSC-klagomål mail.docx", "A 13396-2026")</f>
        <v/>
      </c>
      <c r="AC114">
        <f>HYPERLINK("https://klasma.github.io/Logging_2180/tillsyn/A 13396-2026 tillsynsbegäran.docx", "A 13396-2026")</f>
        <v/>
      </c>
      <c r="AD114">
        <f>HYPERLINK("https://klasma.github.io/Logging_2180/tillsynsmail/A 13396-2026 tillsynsbegäran mail.docx", "A 13396-2026")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46313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37220-2026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46274</v>
      </c>
      <c r="E116" s="1" t="n">
        <v>46313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Revlummer</t>
        </is>
      </c>
      <c r="W116">
        <f>HYPERLINK("https://klasma.github.io/Logging_2180/artfynd/A 37220-2026 artfynd.xlsx", "A 37220-2026")</f>
        <v/>
      </c>
      <c r="X116">
        <f>HYPERLINK("https://klasma.github.io/Logging_2180/kartor/A 37220-2026 karta.png", "A 37220-2026")</f>
        <v/>
      </c>
      <c r="Y116">
        <f>HYPERLINK("https://klasma.github.io/Logging_2180/kartor_geotiff/A 37220-2026 georefererad karta.tif", "A 37220-2026")</f>
        <v/>
      </c>
      <c r="AA116">
        <f>HYPERLINK("https://klasma.github.io/Logging_2180/klagomål/A 37220-2026 FSC-klagomål.docx", "A 37220-2026")</f>
        <v/>
      </c>
      <c r="AB116">
        <f>HYPERLINK("https://klasma.github.io/Logging_2180/klagomålsmail/A 37220-2026 FSC-klagomål mail.docx", "A 37220-2026")</f>
        <v/>
      </c>
      <c r="AC116">
        <f>HYPERLINK("https://klasma.github.io/Logging_2180/tillsyn/A 37220-2026 tillsynsbegäran.docx", "A 37220-2026")</f>
        <v/>
      </c>
      <c r="AD116">
        <f>HYPERLINK("https://klasma.github.io/Logging_2180/tillsynsmail/A 37220-2026 tillsynsbegäran mail.docx", "A 37220-2026")</f>
        <v/>
      </c>
    </row>
    <row r="117" ht="15" customHeight="1">
      <c r="A117" t="inlineStr">
        <is>
          <t>A 38571-2026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46283</v>
      </c>
      <c r="E117" s="1" t="n">
        <v>46313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Platt spretmossa</t>
        </is>
      </c>
      <c r="W117">
        <f>HYPERLINK("https://klasma.github.io/Logging_2180/artfynd/A 38571-2026 artfynd.xlsx", "A 38571-2026")</f>
        <v/>
      </c>
      <c r="X117">
        <f>HYPERLINK("https://klasma.github.io/Logging_2180/kartor/A 38571-2026 karta.png", "A 38571-2026")</f>
        <v/>
      </c>
      <c r="Y117">
        <f>HYPERLINK("https://klasma.github.io/Logging_2180/kartor_geotiff/A 38571-2026 georefererad karta.tif", "A 38571-2026")</f>
        <v/>
      </c>
      <c r="AA117">
        <f>HYPERLINK("https://klasma.github.io/Logging_2180/klagomål/A 38571-2026 FSC-klagomål.docx", "A 38571-2026")</f>
        <v/>
      </c>
      <c r="AB117">
        <f>HYPERLINK("https://klasma.github.io/Logging_2180/klagomålsmail/A 38571-2026 FSC-klagomål mail.docx", "A 38571-2026")</f>
        <v/>
      </c>
      <c r="AC117">
        <f>HYPERLINK("https://klasma.github.io/Logging_2180/tillsyn/A 38571-2026 tillsynsbegäran.docx", "A 38571-2026")</f>
        <v/>
      </c>
      <c r="AD117">
        <f>HYPERLINK("https://klasma.github.io/Logging_2180/tillsynsmail/A 38571-2026 tillsynsbegäran mail.docx", "A 38571-2026")</f>
        <v/>
      </c>
    </row>
    <row r="118" ht="15" customHeight="1">
      <c r="A118" t="inlineStr">
        <is>
          <t>A 38300-2026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46282</v>
      </c>
      <c r="E118" s="1" t="n">
        <v>46313</v>
      </c>
      <c r="F118" t="inlineStr">
        <is>
          <t>GÄVLEBORGS LÄN</t>
        </is>
      </c>
      <c r="G118" t="inlineStr">
        <is>
          <t>GÄVLE</t>
        </is>
      </c>
      <c r="I118" t="n">
        <v>3.7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HYPERLINK("https://klasma.github.io/Logging_2180/artfynd/A 38300-2026 artfynd.xlsx", "A 38300-2026")</f>
        <v/>
      </c>
      <c r="X118">
        <f>HYPERLINK("https://klasma.github.io/Logging_2180/kartor/A 38300-2026 karta.png", "A 38300-2026")</f>
        <v/>
      </c>
      <c r="Y118">
        <f>HYPERLINK("https://klasma.github.io/Logging_2180/kartor_geotiff/A 38300-2026 georefererad karta.tif", "A 38300-2026")</f>
        <v/>
      </c>
      <c r="AA118">
        <f>HYPERLINK("https://klasma.github.io/Logging_2180/klagomål/A 38300-2026 FSC-klagomål.docx", "A 38300-2026")</f>
        <v/>
      </c>
      <c r="AB118">
        <f>HYPERLINK("https://klasma.github.io/Logging_2180/klagomålsmail/A 38300-2026 FSC-klagomål mail.docx", "A 38300-2026")</f>
        <v/>
      </c>
      <c r="AC118">
        <f>HYPERLINK("https://klasma.github.io/Logging_2180/tillsyn/A 38300-2026 tillsynsbegäran.docx", "A 38300-2026")</f>
        <v/>
      </c>
      <c r="AD118">
        <f>HYPERLINK("https://klasma.github.io/Logging_2180/tillsynsmail/A 38300-2026 tillsynsbegäran mail.docx", "A 38300-2026")</f>
        <v/>
      </c>
      <c r="AE118">
        <f>HYPERLINK("https://klasma.github.io/Logging_2180/fåglar/A 38300-2026 prioriterade fågelarter.docx", "A 38300-2026")</f>
        <v/>
      </c>
    </row>
    <row r="119" ht="15" customHeight="1">
      <c r="A119" t="inlineStr">
        <is>
          <t>A 26871-2026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46313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HYPERLINK("https://klasma.github.io/Logging_2180/artfynd/A 26871-2026 artfynd.xlsx", "A 26871-2026")</f>
        <v/>
      </c>
      <c r="X119">
        <f>HYPERLINK("https://klasma.github.io/Logging_2180/kartor/A 26871-2026 karta.png", "A 26871-2026")</f>
        <v/>
      </c>
      <c r="Y119">
        <f>HYPERLINK("https://klasma.github.io/Logging_2180/kartor_geotiff/A 26871-2026 georefererad karta.tif", "A 26871-2026")</f>
        <v/>
      </c>
      <c r="AA119">
        <f>HYPERLINK("https://klasma.github.io/Logging_2180/klagomål/A 26871-2026 FSC-klagomål.docx", "A 26871-2026")</f>
        <v/>
      </c>
      <c r="AB119">
        <f>HYPERLINK("https://klasma.github.io/Logging_2180/klagomålsmail/A 26871-2026 FSC-klagomål mail.docx", "A 26871-2026")</f>
        <v/>
      </c>
      <c r="AC119">
        <f>HYPERLINK("https://klasma.github.io/Logging_2180/tillsyn/A 26871-2026 tillsynsbegäran.docx", "A 26871-2026")</f>
        <v/>
      </c>
      <c r="AD119">
        <f>HYPERLINK("https://klasma.github.io/Logging_2180/tillsynsmail/A 26871-2026 tillsynsbegäran mail.docx", "A 26871-2026")</f>
        <v/>
      </c>
    </row>
    <row r="120" ht="15" customHeight="1">
      <c r="A120" t="inlineStr">
        <is>
          <t>A 37927-2022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46313</v>
      </c>
      <c r="F120" t="inlineStr">
        <is>
          <t>GÄVLEBORGS LÄN</t>
        </is>
      </c>
      <c r="G120" t="inlineStr">
        <is>
          <t>GÄVLE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10</v>
      </c>
      <c r="U120" t="n">
        <v>10</v>
      </c>
      <c r="V120" s="2" t="inlineStr">
        <is>
          <t>Knärot</t>
        </is>
      </c>
      <c r="W120">
        <f>HYPERLINK("https://klasma.github.io/Logging_2180/artfynd/A 37927-2022 artfynd.xlsx", "A 37927-2022")</f>
        <v/>
      </c>
      <c r="X120">
        <f>HYPERLINK("https://klasma.github.io/Logging_2180/kartor/A 37927-2022 karta.png", "A 37927-2022")</f>
        <v/>
      </c>
      <c r="Y120">
        <f>HYPERLINK("https://klasma.github.io/Logging_2180/kartor_geotiff/A 37927-2022 georefererad karta.tif", "A 37927-2022")</f>
        <v/>
      </c>
      <c r="Z120">
        <f>HYPERLINK("https://klasma.github.io/Logging_2180/knärot/A 37927-2022 karta knärot.png", "A 37927-2022")</f>
        <v/>
      </c>
      <c r="AA120">
        <f>HYPERLINK("https://klasma.github.io/Logging_2180/klagomål/A 37927-2022 FSC-klagomål.docx", "A 37927-2022")</f>
        <v/>
      </c>
      <c r="AB120">
        <f>HYPERLINK("https://klasma.github.io/Logging_2180/klagomålsmail/A 37927-2022 FSC-klagomål mail.docx", "A 37927-2022")</f>
        <v/>
      </c>
      <c r="AC120">
        <f>HYPERLINK("https://klasma.github.io/Logging_2180/tillsyn/A 37927-2022 tillsynsbegäran.docx", "A 37927-2022")</f>
        <v/>
      </c>
      <c r="AD120">
        <f>HYPERLINK("https://klasma.github.io/Logging_2180/tillsynsmail/A 37927-2022 tillsynsbegäran mail.docx", "A 37927-2022")</f>
        <v/>
      </c>
    </row>
    <row r="121" ht="15" customHeight="1">
      <c r="A121" t="inlineStr">
        <is>
          <t>A 39065-2026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46287</v>
      </c>
      <c r="E121" s="1" t="n">
        <v>46313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Vedskivlav</t>
        </is>
      </c>
      <c r="W121">
        <f>HYPERLINK("https://klasma.github.io/Logging_2180/artfynd/A 39065-2026 artfynd.xlsx", "A 39065-2026")</f>
        <v/>
      </c>
      <c r="X121">
        <f>HYPERLINK("https://klasma.github.io/Logging_2180/kartor/A 39065-2026 karta.png", "A 39065-2026")</f>
        <v/>
      </c>
      <c r="Y121">
        <f>HYPERLINK("https://klasma.github.io/Logging_2180/kartor_geotiff/A 39065-2026 georefererad karta.tif", "A 39065-2026")</f>
        <v/>
      </c>
      <c r="AA121">
        <f>HYPERLINK("https://klasma.github.io/Logging_2180/klagomål/A 39065-2026 FSC-klagomål.docx", "A 39065-2026")</f>
        <v/>
      </c>
      <c r="AB121">
        <f>HYPERLINK("https://klasma.github.io/Logging_2180/klagomålsmail/A 39065-2026 FSC-klagomål mail.docx", "A 39065-2026")</f>
        <v/>
      </c>
      <c r="AC121">
        <f>HYPERLINK("https://klasma.github.io/Logging_2180/tillsyn/A 39065-2026 tillsynsbegäran.docx", "A 39065-2026")</f>
        <v/>
      </c>
      <c r="AD121">
        <f>HYPERLINK("https://klasma.github.io/Logging_2180/tillsynsmail/A 39065-2026 tillsynsbegäran mail.docx", "A 39065-2026")</f>
        <v/>
      </c>
    </row>
    <row r="122" ht="15" customHeight="1">
      <c r="A122" t="inlineStr">
        <is>
          <t>A 39719-2026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46290</v>
      </c>
      <c r="E122" s="1" t="n">
        <v>46313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8.300000000000001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Plattlummer</t>
        </is>
      </c>
      <c r="W122">
        <f>HYPERLINK("https://klasma.github.io/Logging_2180/artfynd/A 39719-2026 artfynd.xlsx", "A 39719-2026")</f>
        <v/>
      </c>
      <c r="X122">
        <f>HYPERLINK("https://klasma.github.io/Logging_2180/kartor/A 39719-2026 karta.png", "A 39719-2026")</f>
        <v/>
      </c>
      <c r="Y122">
        <f>HYPERLINK("https://klasma.github.io/Logging_2180/kartor_geotiff/A 39719-2026 georefererad karta.tif", "A 39719-2026")</f>
        <v/>
      </c>
      <c r="AA122">
        <f>HYPERLINK("https://klasma.github.io/Logging_2180/klagomål/A 39719-2026 FSC-klagomål.docx", "A 39719-2026")</f>
        <v/>
      </c>
      <c r="AB122">
        <f>HYPERLINK("https://klasma.github.io/Logging_2180/klagomålsmail/A 39719-2026 FSC-klagomål mail.docx", "A 39719-2026")</f>
        <v/>
      </c>
      <c r="AC122">
        <f>HYPERLINK("https://klasma.github.io/Logging_2180/tillsyn/A 39719-2026 tillsynsbegäran.docx", "A 39719-2026")</f>
        <v/>
      </c>
      <c r="AD122">
        <f>HYPERLINK("https://klasma.github.io/Logging_2180/tillsynsmail/A 39719-2026 tillsynsbegäran mail.docx", "A 39719-2026")</f>
        <v/>
      </c>
    </row>
    <row r="123" ht="15" customHeight="1">
      <c r="A123" t="inlineStr">
        <is>
          <t>A 39763-2026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46313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HYPERLINK("https://klasma.github.io/Logging_2180/artfynd/A 39763-2026 artfynd.xlsx", "A 39763-2026")</f>
        <v/>
      </c>
      <c r="X123">
        <f>HYPERLINK("https://klasma.github.io/Logging_2180/kartor/A 39763-2026 karta.png", "A 39763-2026")</f>
        <v/>
      </c>
      <c r="Y123">
        <f>HYPERLINK("https://klasma.github.io/Logging_2180/kartor_geotiff/A 39763-2026 georefererad karta.tif", "A 39763-2026")</f>
        <v/>
      </c>
      <c r="AA123">
        <f>HYPERLINK("https://klasma.github.io/Logging_2180/klagomål/A 39763-2026 FSC-klagomål.docx", "A 39763-2026")</f>
        <v/>
      </c>
      <c r="AB123">
        <f>HYPERLINK("https://klasma.github.io/Logging_2180/klagomålsmail/A 39763-2026 FSC-klagomål mail.docx", "A 39763-2026")</f>
        <v/>
      </c>
      <c r="AC123">
        <f>HYPERLINK("https://klasma.github.io/Logging_2180/tillsyn/A 39763-2026 tillsynsbegäran.docx", "A 39763-2026")</f>
        <v/>
      </c>
      <c r="AD123">
        <f>HYPERLINK("https://klasma.github.io/Logging_2180/tillsynsmail/A 39763-2026 tillsynsbegäran mail.docx", "A 39763-2026")</f>
        <v/>
      </c>
    </row>
    <row r="124" ht="15" customHeight="1">
      <c r="A124" t="inlineStr">
        <is>
          <t>A 34086-2026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46252</v>
      </c>
      <c r="E124" s="1" t="n">
        <v>46313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6.1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Gullgröppa</t>
        </is>
      </c>
      <c r="W124">
        <f>HYPERLINK("https://klasma.github.io/Logging_2180/artfynd/A 34086-2026 artfynd.xlsx", "A 34086-2026")</f>
        <v/>
      </c>
      <c r="X124">
        <f>HYPERLINK("https://klasma.github.io/Logging_2180/kartor/A 34086-2026 karta.png", "A 34086-2026")</f>
        <v/>
      </c>
      <c r="Y124">
        <f>HYPERLINK("https://klasma.github.io/Logging_2180/kartor_geotiff/A 34086-2026 georefererad karta.tif", "A 34086-2026")</f>
        <v/>
      </c>
      <c r="AA124">
        <f>HYPERLINK("https://klasma.github.io/Logging_2180/klagomål/A 34086-2026 FSC-klagomål.docx", "A 34086-2026")</f>
        <v/>
      </c>
      <c r="AB124">
        <f>HYPERLINK("https://klasma.github.io/Logging_2180/klagomålsmail/A 34086-2026 FSC-klagomål mail.docx", "A 34086-2026")</f>
        <v/>
      </c>
      <c r="AC124">
        <f>HYPERLINK("https://klasma.github.io/Logging_2180/tillsyn/A 34086-2026 tillsynsbegäran.docx", "A 34086-2026")</f>
        <v/>
      </c>
      <c r="AD124">
        <f>HYPERLINK("https://klasma.github.io/Logging_2180/tillsynsmail/A 34086-2026 tillsynsbegäran mail.docx", "A 34086-2026")</f>
        <v/>
      </c>
    </row>
    <row r="125" ht="15" customHeight="1">
      <c r="A125" t="inlineStr">
        <is>
          <t>A 40279-2026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46294</v>
      </c>
      <c r="E125" s="1" t="n">
        <v>46313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Myggblomster</t>
        </is>
      </c>
      <c r="W125">
        <f>HYPERLINK("https://klasma.github.io/Logging_2180/artfynd/A 40279-2026 artfynd.xlsx", "A 40279-2026")</f>
        <v/>
      </c>
      <c r="X125">
        <f>HYPERLINK("https://klasma.github.io/Logging_2180/kartor/A 40279-2026 karta.png", "A 40279-2026")</f>
        <v/>
      </c>
      <c r="Y125">
        <f>HYPERLINK("https://klasma.github.io/Logging_2180/kartor_geotiff/A 40279-2026 georefererad karta.tif", "A 40279-2026")</f>
        <v/>
      </c>
      <c r="AA125">
        <f>HYPERLINK("https://klasma.github.io/Logging_2180/klagomål/A 40279-2026 FSC-klagomål.docx", "A 40279-2026")</f>
        <v/>
      </c>
      <c r="AB125">
        <f>HYPERLINK("https://klasma.github.io/Logging_2180/klagomålsmail/A 40279-2026 FSC-klagomål mail.docx", "A 40279-2026")</f>
        <v/>
      </c>
      <c r="AC125">
        <f>HYPERLINK("https://klasma.github.io/Logging_2180/tillsyn/A 40279-2026 tillsynsbegäran.docx", "A 40279-2026")</f>
        <v/>
      </c>
      <c r="AD125">
        <f>HYPERLINK("https://klasma.github.io/Logging_2180/tillsynsmail/A 40279-2026 tillsynsbegäran mail.docx", "A 40279-2026")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46313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46313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46313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17251-2026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46313</v>
      </c>
      <c r="F129" t="inlineStr">
        <is>
          <t>GÄVLEBORGS LÄN</t>
        </is>
      </c>
      <c r="G129" t="inlineStr">
        <is>
          <t>GÄVLE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HYPERLINK("https://klasma.github.io/Logging_2180/artfynd/A 17251-2026 artfynd.xlsx", "A 17251-2026")</f>
        <v/>
      </c>
      <c r="X129">
        <f>HYPERLINK("https://klasma.github.io/Logging_2180/kartor/A 17251-2026 karta.png", "A 17251-2026")</f>
        <v/>
      </c>
      <c r="Y129">
        <f>HYPERLINK("https://klasma.github.io/Logging_2180/kartor_geotiff/A 17251-2026 georefererad karta.tif", "A 17251-2026")</f>
        <v/>
      </c>
      <c r="AA129">
        <f>HYPERLINK("https://klasma.github.io/Logging_2180/klagomål/A 17251-2026 FSC-klagomål.docx", "A 17251-2026")</f>
        <v/>
      </c>
      <c r="AB129">
        <f>HYPERLINK("https://klasma.github.io/Logging_2180/klagomålsmail/A 17251-2026 FSC-klagomål mail.docx", "A 17251-2026")</f>
        <v/>
      </c>
      <c r="AC129">
        <f>HYPERLINK("https://klasma.github.io/Logging_2180/tillsyn/A 17251-2026 tillsynsbegäran.docx", "A 17251-2026")</f>
        <v/>
      </c>
      <c r="AD129">
        <f>HYPERLINK("https://klasma.github.io/Logging_2180/tillsynsmail/A 17251-2026 tillsynsbegäran mail.docx", "A 17251-2026")</f>
        <v/>
      </c>
    </row>
    <row r="130" ht="15" customHeight="1">
      <c r="A130" t="inlineStr">
        <is>
          <t>A 18216-2024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46313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Dofttaggsvamp</t>
        </is>
      </c>
      <c r="W130">
        <f>HYPERLINK("https://klasma.github.io/Logging_2180/artfynd/A 18216-2024 artfynd.xlsx", "A 18216-2024")</f>
        <v/>
      </c>
      <c r="X130">
        <f>HYPERLINK("https://klasma.github.io/Logging_2180/kartor/A 18216-2024 karta.png", "A 18216-2024")</f>
        <v/>
      </c>
      <c r="Y130">
        <f>HYPERLINK("https://klasma.github.io/Logging_2180/kartor_geotiff/A 18216-2024 georefererad karta.tif", "A 18216-2024")</f>
        <v/>
      </c>
      <c r="AA130">
        <f>HYPERLINK("https://klasma.github.io/Logging_2180/klagomål/A 18216-2024 FSC-klagomål.docx", "A 18216-2024")</f>
        <v/>
      </c>
      <c r="AB130">
        <f>HYPERLINK("https://klasma.github.io/Logging_2180/klagomålsmail/A 18216-2024 FSC-klagomål mail.docx", "A 18216-2024")</f>
        <v/>
      </c>
      <c r="AC130">
        <f>HYPERLINK("https://klasma.github.io/Logging_2180/tillsyn/A 18216-2024 tillsynsbegäran.docx", "A 18216-2024")</f>
        <v/>
      </c>
      <c r="AD130">
        <f>HYPERLINK("https://klasma.github.io/Logging_2180/tillsynsmail/A 18216-2024 tillsynsbegäran mail.docx", "A 18216-2024")</f>
        <v/>
      </c>
    </row>
    <row r="131" ht="15" customHeight="1">
      <c r="A131" t="inlineStr">
        <is>
          <t>A 34589-2026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46313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15.3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HYPERLINK("https://klasma.github.io/Logging_2180/artfynd/A 34589-2026 artfynd.xlsx", "A 34589-2026")</f>
        <v/>
      </c>
      <c r="X131">
        <f>HYPERLINK("https://klasma.github.io/Logging_2180/kartor/A 34589-2026 karta.png", "A 34589-2026")</f>
        <v/>
      </c>
      <c r="Y131">
        <f>HYPERLINK("https://klasma.github.io/Logging_2180/kartor_geotiff/A 34589-2026 georefererad karta.tif", "A 34589-2026")</f>
        <v/>
      </c>
      <c r="AA131">
        <f>HYPERLINK("https://klasma.github.io/Logging_2180/klagomål/A 34589-2026 FSC-klagomål.docx", "A 34589-2026")</f>
        <v/>
      </c>
      <c r="AB131">
        <f>HYPERLINK("https://klasma.github.io/Logging_2180/klagomålsmail/A 34589-2026 FSC-klagomål mail.docx", "A 34589-2026")</f>
        <v/>
      </c>
      <c r="AC131">
        <f>HYPERLINK("https://klasma.github.io/Logging_2180/tillsyn/A 34589-2026 tillsynsbegäran.docx", "A 34589-2026")</f>
        <v/>
      </c>
      <c r="AD131">
        <f>HYPERLINK("https://klasma.github.io/Logging_2180/tillsynsmail/A 34589-2026 tillsynsbegäran mail.docx", "A 34589-2026")</f>
        <v/>
      </c>
    </row>
    <row r="132" ht="15" customHeight="1">
      <c r="A132" t="inlineStr">
        <is>
          <t>A 13269-2026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46313</v>
      </c>
      <c r="F132" t="inlineStr">
        <is>
          <t>GÄVLEBORGS LÄN</t>
        </is>
      </c>
      <c r="G132" t="inlineStr">
        <is>
          <t>GÄVLE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HYPERLINK("https://klasma.github.io/Logging_2180/artfynd/A 13269-2026 artfynd.xlsx", "A 13269-2026")</f>
        <v/>
      </c>
      <c r="X132">
        <f>HYPERLINK("https://klasma.github.io/Logging_2180/kartor/A 13269-2026 karta.png", "A 13269-2026")</f>
        <v/>
      </c>
      <c r="Y132">
        <f>HYPERLINK("https://klasma.github.io/Logging_2180/kartor_geotiff/A 13269-2026 georefererad karta.tif", "A 13269-2026")</f>
        <v/>
      </c>
      <c r="AA132">
        <f>HYPERLINK("https://klasma.github.io/Logging_2180/klagomål/A 13269-2026 FSC-klagomål.docx", "A 13269-2026")</f>
        <v/>
      </c>
      <c r="AB132">
        <f>HYPERLINK("https://klasma.github.io/Logging_2180/klagomålsmail/A 13269-2026 FSC-klagomål mail.docx", "A 13269-2026")</f>
        <v/>
      </c>
      <c r="AC132">
        <f>HYPERLINK("https://klasma.github.io/Logging_2180/tillsyn/A 13269-2026 tillsynsbegäran.docx", "A 13269-2026")</f>
        <v/>
      </c>
      <c r="AD132">
        <f>HYPERLINK("https://klasma.github.io/Logging_2180/tillsynsmail/A 13269-2026 tillsynsbegäran mail.docx", "A 13269-2026")</f>
        <v/>
      </c>
      <c r="AE132">
        <f>HYPERLINK("https://klasma.github.io/Logging_2180/fåglar/A 13269-2026 prioriterade fågelarter.docx", "A 13269-2026")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46313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A 19635-2026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46313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Skinnlav</t>
        </is>
      </c>
      <c r="W134">
        <f>HYPERLINK("https://klasma.github.io/Logging_2180/artfynd/A 19635-2026 artfynd.xlsx", "A 19635-2026")</f>
        <v/>
      </c>
      <c r="X134">
        <f>HYPERLINK("https://klasma.github.io/Logging_2180/kartor/A 19635-2026 karta.png", "A 19635-2026")</f>
        <v/>
      </c>
      <c r="Y134">
        <f>HYPERLINK("https://klasma.github.io/Logging_2180/kartor_geotiff/A 19635-2026 georefererad karta.tif", "A 19635-2026")</f>
        <v/>
      </c>
      <c r="AA134">
        <f>HYPERLINK("https://klasma.github.io/Logging_2180/klagomål/A 19635-2026 FSC-klagomål.docx", "A 19635-2026")</f>
        <v/>
      </c>
      <c r="AB134">
        <f>HYPERLINK("https://klasma.github.io/Logging_2180/klagomålsmail/A 19635-2026 FSC-klagomål mail.docx", "A 19635-2026")</f>
        <v/>
      </c>
      <c r="AC134">
        <f>HYPERLINK("https://klasma.github.io/Logging_2180/tillsyn/A 19635-2026 tillsynsbegäran.docx", "A 19635-2026")</f>
        <v/>
      </c>
      <c r="AD134">
        <f>HYPERLINK("https://klasma.github.io/Logging_2180/tillsynsmail/A 19635-2026 tillsynsbegäran mail.docx", "A 19635-2026")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46313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A 26094-2025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46313</v>
      </c>
      <c r="F136" t="inlineStr">
        <is>
          <t>GÄVLEBORGS LÄN</t>
        </is>
      </c>
      <c r="G136" t="inlineStr">
        <is>
          <t>GÄVLE</t>
        </is>
      </c>
      <c r="I136" t="n">
        <v>12.4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Gråsiska</t>
        </is>
      </c>
      <c r="W136">
        <f>HYPERLINK("https://klasma.github.io/Logging_2180/artfynd/A 26094-2025 artfynd.xlsx", "A 26094-2025")</f>
        <v/>
      </c>
      <c r="X136">
        <f>HYPERLINK("https://klasma.github.io/Logging_2180/kartor/A 26094-2025 karta.png", "A 26094-2025")</f>
        <v/>
      </c>
      <c r="Y136">
        <f>HYPERLINK("https://klasma.github.io/Logging_2180/kartor_geotiff/A 26094-2025 georefererad karta.tif", "A 26094-2025")</f>
        <v/>
      </c>
      <c r="AA136">
        <f>HYPERLINK("https://klasma.github.io/Logging_2180/klagomål/A 26094-2025 FSC-klagomål.docx", "A 26094-2025")</f>
        <v/>
      </c>
      <c r="AB136">
        <f>HYPERLINK("https://klasma.github.io/Logging_2180/klagomålsmail/A 26094-2025 FSC-klagomål mail.docx", "A 26094-2025")</f>
        <v/>
      </c>
      <c r="AC136">
        <f>HYPERLINK("https://klasma.github.io/Logging_2180/tillsyn/A 26094-2025 tillsynsbegäran.docx", "A 26094-2025")</f>
        <v/>
      </c>
      <c r="AD136">
        <f>HYPERLINK("https://klasma.github.io/Logging_2180/tillsynsmail/A 26094-2025 tillsynsbegäran mail.docx", "A 26094-2025")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35830-2026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46313</v>
      </c>
      <c r="F138" t="inlineStr">
        <is>
          <t>GÄVLEBORGS LÄN</t>
        </is>
      </c>
      <c r="G138" t="inlineStr">
        <is>
          <t>GÄVLE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Bredgentiana</t>
        </is>
      </c>
      <c r="W138">
        <f>HYPERLINK("https://klasma.github.io/Logging_2180/artfynd/A 35830-2026 artfynd.xlsx", "A 35830-2026")</f>
        <v/>
      </c>
      <c r="X138">
        <f>HYPERLINK("https://klasma.github.io/Logging_2180/kartor/A 35830-2026 karta.png", "A 35830-2026")</f>
        <v/>
      </c>
      <c r="Y138">
        <f>HYPERLINK("https://klasma.github.io/Logging_2180/kartor_geotiff/A 35830-2026 georefererad karta.tif", "A 35830-2026")</f>
        <v/>
      </c>
      <c r="AA138">
        <f>HYPERLINK("https://klasma.github.io/Logging_2180/klagomål/A 35830-2026 FSC-klagomål.docx", "A 35830-2026")</f>
        <v/>
      </c>
      <c r="AB138">
        <f>HYPERLINK("https://klasma.github.io/Logging_2180/klagomålsmail/A 35830-2026 FSC-klagomål mail.docx", "A 35830-2026")</f>
        <v/>
      </c>
      <c r="AC138">
        <f>HYPERLINK("https://klasma.github.io/Logging_2180/tillsyn/A 35830-2026 tillsynsbegäran.docx", "A 35830-2026")</f>
        <v/>
      </c>
      <c r="AD138">
        <f>HYPERLINK("https://klasma.github.io/Logging_2180/tillsynsmail/A 35830-2026 tillsynsbegäran mail.docx", "A 35830-2026")</f>
        <v/>
      </c>
    </row>
    <row r="139" ht="15" customHeight="1">
      <c r="A139" t="inlineStr">
        <is>
          <t>A 47642-2024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46313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8.199999999999999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Orre</t>
        </is>
      </c>
      <c r="W139">
        <f>HYPERLINK("https://klasma.github.io/Logging_2180/artfynd/A 47642-2024 artfynd.xlsx", "A 47642-2024")</f>
        <v/>
      </c>
      <c r="X139">
        <f>HYPERLINK("https://klasma.github.io/Logging_2180/kartor/A 47642-2024 karta.png", "A 47642-2024")</f>
        <v/>
      </c>
      <c r="Y139">
        <f>HYPERLINK("https://klasma.github.io/Logging_2180/kartor_geotiff/A 47642-2024 georefererad karta.tif", "A 47642-2024")</f>
        <v/>
      </c>
      <c r="AA139">
        <f>HYPERLINK("https://klasma.github.io/Logging_2180/klagomål/A 47642-2024 FSC-klagomål.docx", "A 47642-2024")</f>
        <v/>
      </c>
      <c r="AB139">
        <f>HYPERLINK("https://klasma.github.io/Logging_2180/klagomålsmail/A 47642-2024 FSC-klagomål mail.docx", "A 47642-2024")</f>
        <v/>
      </c>
      <c r="AC139">
        <f>HYPERLINK("https://klasma.github.io/Logging_2180/tillsyn/A 47642-2024 tillsynsbegäran.docx", "A 47642-2024")</f>
        <v/>
      </c>
      <c r="AD139">
        <f>HYPERLINK("https://klasma.github.io/Logging_2180/tillsynsmail/A 47642-2024 tillsynsbegäran mail.docx", "A 47642-2024")</f>
        <v/>
      </c>
      <c r="AE139">
        <f>HYPERLINK("https://klasma.github.io/Logging_2180/fåglar/A 47642-2024 prioriterade fågelarter.docx", "A 47642-2024")</f>
        <v/>
      </c>
    </row>
    <row r="140" ht="15" customHeight="1">
      <c r="A140" t="inlineStr">
        <is>
          <t>A 12338-2025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46313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6.8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1</v>
      </c>
      <c r="V140" s="2" t="inlineStr">
        <is>
          <t>Skogsklocka</t>
        </is>
      </c>
      <c r="W140">
        <f>HYPERLINK("https://klasma.github.io/Logging_2180/artfynd/A 12338-2025 artfynd.xlsx", "A 12338-2025")</f>
        <v/>
      </c>
      <c r="X140">
        <f>HYPERLINK("https://klasma.github.io/Logging_2180/kartor/A 12338-2025 karta.png", "A 12338-2025")</f>
        <v/>
      </c>
      <c r="Y140">
        <f>HYPERLINK("https://klasma.github.io/Logging_2180/kartor_geotiff/A 12338-2025 georefererad karta.tif", "A 12338-2025")</f>
        <v/>
      </c>
      <c r="AA140">
        <f>HYPERLINK("https://klasma.github.io/Logging_2180/klagomål/A 12338-2025 FSC-klagomål.docx", "A 12338-2025")</f>
        <v/>
      </c>
      <c r="AB140">
        <f>HYPERLINK("https://klasma.github.io/Logging_2180/klagomålsmail/A 12338-2025 FSC-klagomål mail.docx", "A 12338-2025")</f>
        <v/>
      </c>
      <c r="AC140">
        <f>HYPERLINK("https://klasma.github.io/Logging_2180/tillsyn/A 12338-2025 tillsynsbegäran.docx", "A 12338-2025")</f>
        <v/>
      </c>
      <c r="AD140">
        <f>HYPERLINK("https://klasma.github.io/Logging_2180/tillsynsmail/A 12338-2025 tillsynsbegäran mail.docx", "A 12338-2025")</f>
        <v/>
      </c>
    </row>
    <row r="141" ht="15" customHeight="1">
      <c r="A141" t="inlineStr">
        <is>
          <t>A 43068-2026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46311</v>
      </c>
      <c r="E141" s="1" t="n">
        <v>46313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5.9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HYPERLINK("https://klasma.github.io/Logging_2180/artfynd/A 43068-2026 artfynd.xlsx", "A 43068-2026")</f>
        <v/>
      </c>
      <c r="X141">
        <f>HYPERLINK("https://klasma.github.io/Logging_2180/kartor/A 43068-2026 karta.png", "A 43068-2026")</f>
        <v/>
      </c>
      <c r="Y141">
        <f>HYPERLINK("https://klasma.github.io/Logging_2180/kartor_geotiff/A 43068-2026 georefererad karta.tif", "A 43068-2026")</f>
        <v/>
      </c>
      <c r="AA141">
        <f>HYPERLINK("https://klasma.github.io/Logging_2180/klagomål/A 43068-2026 FSC-klagomål.docx", "A 43068-2026")</f>
        <v/>
      </c>
      <c r="AB141">
        <f>HYPERLINK("https://klasma.github.io/Logging_2180/klagomålsmail/A 43068-2026 FSC-klagomål mail.docx", "A 43068-2026")</f>
        <v/>
      </c>
      <c r="AC141">
        <f>HYPERLINK("https://klasma.github.io/Logging_2180/tillsyn/A 43068-2026 tillsynsbegäran.docx", "A 43068-2026")</f>
        <v/>
      </c>
      <c r="AD141">
        <f>HYPERLINK("https://klasma.github.io/Logging_2180/tillsynsmail/A 43068-2026 tillsynsbegäran mail.docx", "A 43068-2026")</f>
        <v/>
      </c>
      <c r="AE141">
        <f>HYPERLINK("https://klasma.github.io/Logging_2180/fåglar/A 43068-2026 prioriterade fågelarter.docx", "A 43068-2026")</f>
        <v/>
      </c>
    </row>
    <row r="142" ht="15" customHeight="1">
      <c r="A142" t="inlineStr">
        <is>
          <t>A 36090-2026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46267</v>
      </c>
      <c r="E142" s="1" t="n">
        <v>46313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2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Tvåblad</t>
        </is>
      </c>
      <c r="W142">
        <f>HYPERLINK("https://klasma.github.io/Logging_2180/artfynd/A 36090-2026 artfynd.xlsx", "A 36090-2026")</f>
        <v/>
      </c>
      <c r="X142">
        <f>HYPERLINK("https://klasma.github.io/Logging_2180/kartor/A 36090-2026 karta.png", "A 36090-2026")</f>
        <v/>
      </c>
      <c r="Y142">
        <f>HYPERLINK("https://klasma.github.io/Logging_2180/kartor_geotiff/A 36090-2026 georefererad karta.tif", "A 36090-2026")</f>
        <v/>
      </c>
      <c r="AA142">
        <f>HYPERLINK("https://klasma.github.io/Logging_2180/klagomål/A 36090-2026 FSC-klagomål.docx", "A 36090-2026")</f>
        <v/>
      </c>
      <c r="AB142">
        <f>HYPERLINK("https://klasma.github.io/Logging_2180/klagomålsmail/A 36090-2026 FSC-klagomål mail.docx", "A 36090-2026")</f>
        <v/>
      </c>
      <c r="AC142">
        <f>HYPERLINK("https://klasma.github.io/Logging_2180/tillsyn/A 36090-2026 tillsynsbegäran.docx", "A 36090-2026")</f>
        <v/>
      </c>
      <c r="AD142">
        <f>HYPERLINK("https://klasma.github.io/Logging_2180/tillsynsmail/A 36090-2026 tillsynsbegäran mail.docx", "A 36090-2026")</f>
        <v/>
      </c>
    </row>
    <row r="143" ht="15" customHeight="1">
      <c r="A143" t="inlineStr">
        <is>
          <t>A 30302-2025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46313</v>
      </c>
      <c r="F143" t="inlineStr">
        <is>
          <t>GÄVLEBORGS LÄN</t>
        </is>
      </c>
      <c r="G143" t="inlineStr">
        <is>
          <t>GÄVLE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Fläcknycklar</t>
        </is>
      </c>
      <c r="W143">
        <f>HYPERLINK("https://klasma.github.io/Logging_2180/artfynd/A 30302-2025 artfynd.xlsx", "A 30302-2025")</f>
        <v/>
      </c>
      <c r="X143">
        <f>HYPERLINK("https://klasma.github.io/Logging_2180/kartor/A 30302-2025 karta.png", "A 30302-2025")</f>
        <v/>
      </c>
      <c r="Y143">
        <f>HYPERLINK("https://klasma.github.io/Logging_2180/kartor_geotiff/A 30302-2025 georefererad karta.tif", "A 30302-2025")</f>
        <v/>
      </c>
      <c r="AA143">
        <f>HYPERLINK("https://klasma.github.io/Logging_2180/klagomål/A 30302-2025 FSC-klagomål.docx", "A 30302-2025")</f>
        <v/>
      </c>
      <c r="AB143">
        <f>HYPERLINK("https://klasma.github.io/Logging_2180/klagomålsmail/A 30302-2025 FSC-klagomål mail.docx", "A 30302-2025")</f>
        <v/>
      </c>
      <c r="AC143">
        <f>HYPERLINK("https://klasma.github.io/Logging_2180/tillsyn/A 30302-2025 tillsynsbegäran.docx", "A 30302-2025")</f>
        <v/>
      </c>
      <c r="AD143">
        <f>HYPERLINK("https://klasma.github.io/Logging_2180/tillsynsmail/A 30302-2025 tillsynsbegäran mail.docx", "A 30302-2025")</f>
        <v/>
      </c>
    </row>
    <row r="144" ht="15" customHeight="1">
      <c r="A144" t="inlineStr">
        <is>
          <t>A 11411-2025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46313</v>
      </c>
      <c r="F144" t="inlineStr">
        <is>
          <t>GÄVLEBORGS LÄN</t>
        </is>
      </c>
      <c r="G144" t="inlineStr">
        <is>
          <t>GÄVLE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Blåsippa</t>
        </is>
      </c>
      <c r="W144">
        <f>HYPERLINK("https://klasma.github.io/Logging_2180/artfynd/A 11411-2025 artfynd.xlsx", "A 11411-2025")</f>
        <v/>
      </c>
      <c r="X144">
        <f>HYPERLINK("https://klasma.github.io/Logging_2180/kartor/A 11411-2025 karta.png", "A 11411-2025")</f>
        <v/>
      </c>
      <c r="Y144">
        <f>HYPERLINK("https://klasma.github.io/Logging_2180/kartor_geotiff/A 11411-2025 georefererad karta.tif", "A 11411-2025")</f>
        <v/>
      </c>
      <c r="AA144">
        <f>HYPERLINK("https://klasma.github.io/Logging_2180/klagomål/A 11411-2025 FSC-klagomål.docx", "A 11411-2025")</f>
        <v/>
      </c>
      <c r="AB144">
        <f>HYPERLINK("https://klasma.github.io/Logging_2180/klagomålsmail/A 11411-2025 FSC-klagomål mail.docx", "A 11411-2025")</f>
        <v/>
      </c>
      <c r="AC144">
        <f>HYPERLINK("https://klasma.github.io/Logging_2180/tillsyn/A 11411-2025 tillsynsbegäran.docx", "A 11411-2025")</f>
        <v/>
      </c>
      <c r="AD144">
        <f>HYPERLINK("https://klasma.github.io/Logging_2180/tillsynsmail/A 11411-2025 tillsynsbegäran mail.docx", "A 11411-2025")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46313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46313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46313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20</v>
      </c>
      <c r="U147" t="n">
        <v>7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46313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46313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46313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46313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46313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46313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46313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46313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46313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46313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46313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46313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46313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46313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46313</v>
      </c>
      <c r="F162" t="inlineStr">
        <is>
          <t>GÄVLEBORGS LÄN</t>
        </is>
      </c>
      <c r="G162" t="inlineStr">
        <is>
          <t>GÄVLE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46313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46313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46313</v>
      </c>
      <c r="F165" t="inlineStr">
        <is>
          <t>GÄVLEBORGS LÄN</t>
        </is>
      </c>
      <c r="G165" t="inlineStr">
        <is>
          <t>GÄVLE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46313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46313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46313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46313</v>
      </c>
      <c r="F169" t="inlineStr">
        <is>
          <t>GÄVLEBORGS LÄN</t>
        </is>
      </c>
      <c r="G169" t="inlineStr">
        <is>
          <t>GÄVLE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44788</v>
      </c>
      <c r="E170" s="1" t="n">
        <v>46313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46313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46313</v>
      </c>
      <c r="F172" t="inlineStr">
        <is>
          <t>GÄVLEBORGS LÄN</t>
        </is>
      </c>
      <c r="G172" t="inlineStr">
        <is>
          <t>GÄVLE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46313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46313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46313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46313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46313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46313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46313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46313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46313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59515-2021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44491</v>
      </c>
      <c r="E182" s="1" t="n">
        <v>46313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46313</v>
      </c>
      <c r="F183" t="inlineStr">
        <is>
          <t>GÄVLEBORGS LÄN</t>
        </is>
      </c>
      <c r="G183" t="inlineStr">
        <is>
          <t>GÄVLE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46313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46313</v>
      </c>
      <c r="F185" t="inlineStr">
        <is>
          <t>GÄVLEBORGS LÄN</t>
        </is>
      </c>
      <c r="G185" t="inlineStr">
        <is>
          <t>GÄVLE</t>
        </is>
      </c>
      <c r="H185" t="inlineStr">
        <is>
          <t>Kyrkan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45014</v>
      </c>
      <c r="E186" s="1" t="n">
        <v>46313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46313</v>
      </c>
      <c r="F187" t="inlineStr">
        <is>
          <t>GÄVLEBORGS LÄN</t>
        </is>
      </c>
      <c r="G187" t="inlineStr">
        <is>
          <t>GÄVLE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46313</v>
      </c>
      <c r="F188" t="inlineStr">
        <is>
          <t>GÄVLEBORGS LÄN</t>
        </is>
      </c>
      <c r="G188" t="inlineStr">
        <is>
          <t>GÄVLE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46313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46313</v>
      </c>
      <c r="F190" t="inlineStr">
        <is>
          <t>GÄVLEBORGS LÄN</t>
        </is>
      </c>
      <c r="G190" t="inlineStr">
        <is>
          <t>GÄVLE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44637</v>
      </c>
      <c r="E191" s="1" t="n">
        <v>46313</v>
      </c>
      <c r="F191" t="inlineStr">
        <is>
          <t>GÄVLEBORGS LÄN</t>
        </is>
      </c>
      <c r="G191" t="inlineStr">
        <is>
          <t>GÄVLE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46313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45660</v>
      </c>
      <c r="E193" s="1" t="n">
        <v>46313</v>
      </c>
      <c r="F193" t="inlineStr">
        <is>
          <t>GÄVLEBORGS LÄN</t>
        </is>
      </c>
      <c r="G193" t="inlineStr">
        <is>
          <t>GÄVLE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44656</v>
      </c>
      <c r="E194" s="1" t="n">
        <v>46313</v>
      </c>
      <c r="F194" t="inlineStr">
        <is>
          <t>GÄVLEBORGS LÄN</t>
        </is>
      </c>
      <c r="G194" t="inlineStr">
        <is>
          <t>GÄVLE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46313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46313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46313</v>
      </c>
      <c r="F197" t="inlineStr">
        <is>
          <t>GÄVLEBORGS LÄN</t>
        </is>
      </c>
      <c r="G197" t="inlineStr">
        <is>
          <t>GÄVLE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46313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46313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46313</v>
      </c>
      <c r="F200" t="inlineStr">
        <is>
          <t>GÄVLEBORGS LÄN</t>
        </is>
      </c>
      <c r="G200" t="inlineStr">
        <is>
          <t>GÄVLE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46313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46313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44708</v>
      </c>
      <c r="E203" s="1" t="n">
        <v>46313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46313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46313</v>
      </c>
      <c r="F205" t="inlineStr">
        <is>
          <t>GÄVLEBORGS LÄN</t>
        </is>
      </c>
      <c r="G205" t="inlineStr">
        <is>
          <t>GÄVLE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46313</v>
      </c>
      <c r="F206" t="inlineStr">
        <is>
          <t>GÄVLEBORGS LÄN</t>
        </is>
      </c>
      <c r="G206" t="inlineStr">
        <is>
          <t>GÄVLE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46313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44942</v>
      </c>
      <c r="E208" s="1" t="n">
        <v>46313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19095-2022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44691</v>
      </c>
      <c r="E209" s="1" t="n">
        <v>46313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46313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46313</v>
      </c>
      <c r="F211" t="inlineStr">
        <is>
          <t>GÄVLEBORGS LÄN</t>
        </is>
      </c>
      <c r="G211" t="inlineStr">
        <is>
          <t>GÄVLE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46313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46313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44756</v>
      </c>
      <c r="E214" s="1" t="n">
        <v>46313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46313</v>
      </c>
      <c r="F215" t="inlineStr">
        <is>
          <t>GÄVLEBORGS LÄN</t>
        </is>
      </c>
      <c r="G215" t="inlineStr">
        <is>
          <t>GÄVLE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46313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71249-2021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46313</v>
      </c>
      <c r="F217" t="inlineStr">
        <is>
          <t>GÄVLEBORGS LÄN</t>
        </is>
      </c>
      <c r="G217" t="inlineStr">
        <is>
          <t>GÄVLE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44693</v>
      </c>
      <c r="E218" s="1" t="n">
        <v>46313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50871-2022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44867</v>
      </c>
      <c r="E219" s="1" t="n">
        <v>46313</v>
      </c>
      <c r="F219" t="inlineStr">
        <is>
          <t>GÄVLEBORGS LÄN</t>
        </is>
      </c>
      <c r="G219" t="inlineStr">
        <is>
          <t>GÄVLE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46313</v>
      </c>
      <c r="F220" t="inlineStr">
        <is>
          <t>GÄVLEBORGS LÄN</t>
        </is>
      </c>
      <c r="G220" t="inlineStr">
        <is>
          <t>GÄVLE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46313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46313</v>
      </c>
      <c r="F222" t="inlineStr">
        <is>
          <t>GÄVLEBORGS LÄN</t>
        </is>
      </c>
      <c r="G222" t="inlineStr">
        <is>
          <t>GÄVLE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46313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46313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46313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46313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46313</v>
      </c>
      <c r="F227" t="inlineStr">
        <is>
          <t>GÄVLEBORGS LÄN</t>
        </is>
      </c>
      <c r="G227" t="inlineStr">
        <is>
          <t>GÄVLE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46313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46313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46313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45468</v>
      </c>
      <c r="E231" s="1" t="n">
        <v>46313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45530</v>
      </c>
      <c r="E232" s="1" t="n">
        <v>46313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46313</v>
      </c>
      <c r="F233" t="inlineStr">
        <is>
          <t>GÄVLEBORGS LÄN</t>
        </is>
      </c>
      <c r="G233" t="inlineStr">
        <is>
          <t>GÄVLE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46313</v>
      </c>
      <c r="F234" t="inlineStr">
        <is>
          <t>GÄVLEBORGS LÄN</t>
        </is>
      </c>
      <c r="G234" t="inlineStr">
        <is>
          <t>GÄVLE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46313</v>
      </c>
      <c r="F235" t="inlineStr">
        <is>
          <t>GÄVLEBORGS LÄN</t>
        </is>
      </c>
      <c r="G235" t="inlineStr">
        <is>
          <t>GÄVLE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46313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46313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45034</v>
      </c>
      <c r="E238" s="1" t="n">
        <v>46313</v>
      </c>
      <c r="F238" t="inlineStr">
        <is>
          <t>GÄVLEBORGS LÄN</t>
        </is>
      </c>
      <c r="G238" t="inlineStr">
        <is>
          <t>GÄVLE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46313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46313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46313</v>
      </c>
      <c r="F241" t="inlineStr">
        <is>
          <t>GÄVLEBORGS LÄN</t>
        </is>
      </c>
      <c r="G241" t="inlineStr">
        <is>
          <t>GÄVLE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46313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10352-2025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45720</v>
      </c>
      <c r="E243" s="1" t="n">
        <v>46313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46313</v>
      </c>
      <c r="F244" t="inlineStr">
        <is>
          <t>GÄVLEBORGS LÄN</t>
        </is>
      </c>
      <c r="G244" t="inlineStr">
        <is>
          <t>GÄVLE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46313</v>
      </c>
      <c r="F245" t="inlineStr">
        <is>
          <t>GÄVLEBORGS LÄN</t>
        </is>
      </c>
      <c r="G245" t="inlineStr">
        <is>
          <t>GÄVLE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70043-2021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44533</v>
      </c>
      <c r="E246" s="1" t="n">
        <v>46313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46313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65879-2021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46313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46313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46313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46313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46313</v>
      </c>
      <c r="F252" t="inlineStr">
        <is>
          <t>GÄVLEBORGS LÄN</t>
        </is>
      </c>
      <c r="G252" t="inlineStr">
        <is>
          <t>GÄVLE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46313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46313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46313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45526</v>
      </c>
      <c r="E256" s="1" t="n">
        <v>46313</v>
      </c>
      <c r="F256" t="inlineStr">
        <is>
          <t>GÄVLEBORGS LÄN</t>
        </is>
      </c>
      <c r="G256" t="inlineStr">
        <is>
          <t>GÄVLE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46313</v>
      </c>
      <c r="F257" t="inlineStr">
        <is>
          <t>GÄVLEBORGS LÄN</t>
        </is>
      </c>
      <c r="G257" t="inlineStr">
        <is>
          <t>GÄVLE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46313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22.4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46313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46313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46313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46313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46313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45245</v>
      </c>
      <c r="E264" s="1" t="n">
        <v>46313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46070</v>
      </c>
      <c r="E265" s="1" t="n">
        <v>46313</v>
      </c>
      <c r="F265" t="inlineStr">
        <is>
          <t>GÄVLEBORGS LÄN</t>
        </is>
      </c>
      <c r="G265" t="inlineStr">
        <is>
          <t>GÄVLE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46065</v>
      </c>
      <c r="E266" s="1" t="n">
        <v>46313</v>
      </c>
      <c r="F266" t="inlineStr">
        <is>
          <t>GÄVLEBORGS LÄN</t>
        </is>
      </c>
      <c r="G266" t="inlineStr">
        <is>
          <t>GÄVLE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44684</v>
      </c>
      <c r="E267" s="1" t="n">
        <v>46313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46313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46313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15.2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46313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46313</v>
      </c>
      <c r="F271" t="inlineStr">
        <is>
          <t>GÄVLEBORGS LÄN</t>
        </is>
      </c>
      <c r="G271" t="inlineStr">
        <is>
          <t>GÄVLE</t>
        </is>
      </c>
      <c r="I271" t="n">
        <v>12.7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46313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46313</v>
      </c>
      <c r="F273" t="inlineStr">
        <is>
          <t>GÄVLEBORGS LÄN</t>
        </is>
      </c>
      <c r="G273" t="inlineStr">
        <is>
          <t>GÄVLE</t>
        </is>
      </c>
      <c r="H273" t="inlineStr">
        <is>
          <t>Kyrkan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40297-2025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45895</v>
      </c>
      <c r="E274" s="1" t="n">
        <v>46313</v>
      </c>
      <c r="F274" t="inlineStr">
        <is>
          <t>GÄVLEBORGS LÄN</t>
        </is>
      </c>
      <c r="G274" t="inlineStr">
        <is>
          <t>GÄVLE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46313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46313</v>
      </c>
      <c r="F276" t="inlineStr">
        <is>
          <t>GÄVLEBORGS LÄN</t>
        </is>
      </c>
      <c r="G276" t="inlineStr">
        <is>
          <t>GÄVLE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46313</v>
      </c>
      <c r="F277" t="inlineStr">
        <is>
          <t>GÄVLEBORGS LÄN</t>
        </is>
      </c>
      <c r="G277" t="inlineStr">
        <is>
          <t>GÄVLE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31062-2023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45113</v>
      </c>
      <c r="E278" s="1" t="n">
        <v>46313</v>
      </c>
      <c r="F278" t="inlineStr">
        <is>
          <t>GÄVLEBORGS LÄN</t>
        </is>
      </c>
      <c r="G278" t="inlineStr">
        <is>
          <t>GÄVLE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46313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45869</v>
      </c>
      <c r="E280" s="1" t="n">
        <v>46313</v>
      </c>
      <c r="F280" t="inlineStr">
        <is>
          <t>GÄVLEBORGS LÄN</t>
        </is>
      </c>
      <c r="G280" t="inlineStr">
        <is>
          <t>GÄVLE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46313</v>
      </c>
      <c r="F281" t="inlineStr">
        <is>
          <t>GÄVLEBORGS LÄN</t>
        </is>
      </c>
      <c r="G281" t="inlineStr">
        <is>
          <t>GÄVLE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44735</v>
      </c>
      <c r="E282" s="1" t="n">
        <v>46313</v>
      </c>
      <c r="F282" t="inlineStr">
        <is>
          <t>GÄVLEBORGS LÄN</t>
        </is>
      </c>
      <c r="G282" t="inlineStr">
        <is>
          <t>GÄVLE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46313</v>
      </c>
      <c r="F283" t="inlineStr">
        <is>
          <t>GÄVLEBORGS LÄN</t>
        </is>
      </c>
      <c r="G283" t="inlineStr">
        <is>
          <t>GÄVLE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46313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46313</v>
      </c>
      <c r="F285" t="inlineStr">
        <is>
          <t>GÄVLEBORGS LÄN</t>
        </is>
      </c>
      <c r="G285" t="inlineStr">
        <is>
          <t>GÄVLE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46313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46313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44600</v>
      </c>
      <c r="E288" s="1" t="n">
        <v>46313</v>
      </c>
      <c r="F288" t="inlineStr">
        <is>
          <t>GÄVLEBORGS LÄN</t>
        </is>
      </c>
      <c r="G288" t="inlineStr">
        <is>
          <t>GÄVLE</t>
        </is>
      </c>
      <c r="H288" t="inlineStr">
        <is>
          <t>Kyrkan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46313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46313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46313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46313</v>
      </c>
      <c r="F292" t="inlineStr">
        <is>
          <t>GÄVLEBORGS LÄN</t>
        </is>
      </c>
      <c r="G292" t="inlineStr">
        <is>
          <t>GÄVLE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46313</v>
      </c>
      <c r="F293" t="inlineStr">
        <is>
          <t>GÄVLEBORGS LÄN</t>
        </is>
      </c>
      <c r="G293" t="inlineStr">
        <is>
          <t>GÄVLE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46313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46313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46077</v>
      </c>
      <c r="E296" s="1" t="n">
        <v>46313</v>
      </c>
      <c r="F296" t="inlineStr">
        <is>
          <t>GÄVLEBORGS LÄN</t>
        </is>
      </c>
      <c r="G296" t="inlineStr">
        <is>
          <t>GÄVLE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46313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46313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46313</v>
      </c>
      <c r="F299" t="inlineStr">
        <is>
          <t>GÄVLEBORGS LÄN</t>
        </is>
      </c>
      <c r="G299" t="inlineStr">
        <is>
          <t>GÄVLE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46313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46313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46313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46313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46313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46313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46033</v>
      </c>
      <c r="E306" s="1" t="n">
        <v>46313</v>
      </c>
      <c r="F306" t="inlineStr">
        <is>
          <t>GÄVLEBORGS LÄN</t>
        </is>
      </c>
      <c r="G306" t="inlineStr">
        <is>
          <t>GÄVLE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46313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46313</v>
      </c>
      <c r="F308" t="inlineStr">
        <is>
          <t>GÄVLEBORGS LÄN</t>
        </is>
      </c>
      <c r="G308" t="inlineStr">
        <is>
          <t>GÄVLE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46313</v>
      </c>
      <c r="F309" t="inlineStr">
        <is>
          <t>GÄVLEBORGS LÄN</t>
        </is>
      </c>
      <c r="G309" t="inlineStr">
        <is>
          <t>GÄVLE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46313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46313</v>
      </c>
      <c r="F311" t="inlineStr">
        <is>
          <t>GÄVLEBORGS LÄN</t>
        </is>
      </c>
      <c r="G311" t="inlineStr">
        <is>
          <t>GÄVLE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45705</v>
      </c>
      <c r="E312" s="1" t="n">
        <v>46313</v>
      </c>
      <c r="F312" t="inlineStr">
        <is>
          <t>GÄVLEBORGS LÄN</t>
        </is>
      </c>
      <c r="G312" t="inlineStr">
        <is>
          <t>GÄVLE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46313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46313</v>
      </c>
      <c r="F314" t="inlineStr">
        <is>
          <t>GÄVLEBORGS LÄN</t>
        </is>
      </c>
      <c r="G314" t="inlineStr">
        <is>
          <t>GÄVLE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44585</v>
      </c>
      <c r="E315" s="1" t="n">
        <v>46313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46313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46313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46313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43087-2025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45909</v>
      </c>
      <c r="E319" s="1" t="n">
        <v>46313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46313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46313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46313</v>
      </c>
      <c r="F322" t="inlineStr">
        <is>
          <t>GÄVLEBORGS LÄN</t>
        </is>
      </c>
      <c r="G322" t="inlineStr">
        <is>
          <t>GÄVLE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46313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46313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44735</v>
      </c>
      <c r="E325" s="1" t="n">
        <v>46313</v>
      </c>
      <c r="F325" t="inlineStr">
        <is>
          <t>GÄVLEBORGS LÄN</t>
        </is>
      </c>
      <c r="G325" t="inlineStr">
        <is>
          <t>GÄVLE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46313</v>
      </c>
      <c r="F326" t="inlineStr">
        <is>
          <t>GÄVLEBORGS LÄN</t>
        </is>
      </c>
      <c r="G326" t="inlineStr">
        <is>
          <t>GÄVLE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20999-2022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44701</v>
      </c>
      <c r="E327" s="1" t="n">
        <v>46313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26.3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45511</v>
      </c>
      <c r="E328" s="1" t="n">
        <v>46313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46313</v>
      </c>
      <c r="F329" t="inlineStr">
        <is>
          <t>GÄVLEBORGS LÄN</t>
        </is>
      </c>
      <c r="G329" t="inlineStr">
        <is>
          <t>GÄVLE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46313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46147</v>
      </c>
      <c r="E331" s="1" t="n">
        <v>46313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46313</v>
      </c>
      <c r="F332" t="inlineStr">
        <is>
          <t>GÄVLEBORGS LÄN</t>
        </is>
      </c>
      <c r="G332" t="inlineStr">
        <is>
          <t>GÄVLE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45850-2025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45923</v>
      </c>
      <c r="E333" s="1" t="n">
        <v>46313</v>
      </c>
      <c r="F333" t="inlineStr">
        <is>
          <t>GÄVLEBORGS LÄN</t>
        </is>
      </c>
      <c r="G333" t="inlineStr">
        <is>
          <t>GÄVLE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45896</v>
      </c>
      <c r="E334" s="1" t="n">
        <v>46313</v>
      </c>
      <c r="F334" t="inlineStr">
        <is>
          <t>GÄVLEBORGS LÄN</t>
        </is>
      </c>
      <c r="G334" t="inlineStr">
        <is>
          <t>GÄVLE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46313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46313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46313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46313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44684</v>
      </c>
      <c r="E340" s="1" t="n">
        <v>46313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46313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46313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46313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46313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46313</v>
      </c>
      <c r="F345" t="inlineStr">
        <is>
          <t>GÄVLEBORGS LÄN</t>
        </is>
      </c>
      <c r="G345" t="inlineStr">
        <is>
          <t>GÄVLE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46313</v>
      </c>
      <c r="F346" t="inlineStr">
        <is>
          <t>GÄVLEBORGS LÄN</t>
        </is>
      </c>
      <c r="G346" t="inlineStr">
        <is>
          <t>GÄVLE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46313</v>
      </c>
      <c r="F347" t="inlineStr">
        <is>
          <t>GÄVLEBORGS LÄN</t>
        </is>
      </c>
      <c r="G347" t="inlineStr">
        <is>
          <t>GÄVLE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46313</v>
      </c>
      <c r="F348" t="inlineStr">
        <is>
          <t>GÄVLEBORGS LÄN</t>
        </is>
      </c>
      <c r="G348" t="inlineStr">
        <is>
          <t>GÄVLE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46313</v>
      </c>
      <c r="F349" t="inlineStr">
        <is>
          <t>GÄVLEBORGS LÄN</t>
        </is>
      </c>
      <c r="G349" t="inlineStr">
        <is>
          <t>GÄVLE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45932</v>
      </c>
      <c r="E350" s="1" t="n">
        <v>46313</v>
      </c>
      <c r="F350" t="inlineStr">
        <is>
          <t>GÄVLEBORGS LÄN</t>
        </is>
      </c>
      <c r="G350" t="inlineStr">
        <is>
          <t>GÄVLE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46313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45933</v>
      </c>
      <c r="E352" s="1" t="n">
        <v>46313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46313</v>
      </c>
      <c r="F353" t="inlineStr">
        <is>
          <t>GÄVLEBORGS LÄN</t>
        </is>
      </c>
      <c r="G353" t="inlineStr">
        <is>
          <t>GÄVLE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46313</v>
      </c>
      <c r="F354" t="inlineStr">
        <is>
          <t>GÄVLEBORGS LÄN</t>
        </is>
      </c>
      <c r="G354" t="inlineStr">
        <is>
          <t>GÄVLE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46313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45138</v>
      </c>
      <c r="E356" s="1" t="n">
        <v>46313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46313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44951</v>
      </c>
      <c r="E358" s="1" t="n">
        <v>46313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46313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46313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46313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46313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46313</v>
      </c>
      <c r="F363" t="inlineStr">
        <is>
          <t>GÄVLEBORGS LÄN</t>
        </is>
      </c>
      <c r="G363" t="inlineStr">
        <is>
          <t>GÄVLE</t>
        </is>
      </c>
      <c r="H363" t="inlineStr">
        <is>
          <t>Kyrkan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45916</v>
      </c>
      <c r="E364" s="1" t="n">
        <v>46313</v>
      </c>
      <c r="F364" t="inlineStr">
        <is>
          <t>GÄVLEBORGS LÄN</t>
        </is>
      </c>
      <c r="G364" t="inlineStr">
        <is>
          <t>GÄVLE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46313</v>
      </c>
      <c r="F365" t="inlineStr">
        <is>
          <t>GÄVLEBORGS LÄN</t>
        </is>
      </c>
      <c r="G365" t="inlineStr">
        <is>
          <t>GÄVLE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46313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46313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44962</v>
      </c>
      <c r="E368" s="1" t="n">
        <v>46313</v>
      </c>
      <c r="F368" t="inlineStr">
        <is>
          <t>GÄVLEBORGS LÄN</t>
        </is>
      </c>
      <c r="G368" t="inlineStr">
        <is>
          <t>GÄVLE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45660</v>
      </c>
      <c r="E369" s="1" t="n">
        <v>46313</v>
      </c>
      <c r="F369" t="inlineStr">
        <is>
          <t>GÄVLEBORGS LÄN</t>
        </is>
      </c>
      <c r="G369" t="inlineStr">
        <is>
          <t>GÄVLE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46313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46313</v>
      </c>
      <c r="F371" t="inlineStr">
        <is>
          <t>GÄVLEBORGS LÄN</t>
        </is>
      </c>
      <c r="G371" t="inlineStr">
        <is>
          <t>GÄVLE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46313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46313</v>
      </c>
      <c r="F373" t="inlineStr">
        <is>
          <t>GÄVLEBORGS LÄN</t>
        </is>
      </c>
      <c r="G373" t="inlineStr">
        <is>
          <t>GÄVLE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46313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46313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46313</v>
      </c>
      <c r="F376" t="inlineStr">
        <is>
          <t>GÄVLEBORGS LÄN</t>
        </is>
      </c>
      <c r="G376" t="inlineStr">
        <is>
          <t>GÄVLE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46313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47108-2024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46313</v>
      </c>
      <c r="F378" t="inlineStr">
        <is>
          <t>GÄVLEBORGS LÄN</t>
        </is>
      </c>
      <c r="G378" t="inlineStr">
        <is>
          <t>GÄVLE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45440</v>
      </c>
      <c r="E379" s="1" t="n">
        <v>46313</v>
      </c>
      <c r="F379" t="inlineStr">
        <is>
          <t>GÄVLEBORGS LÄN</t>
        </is>
      </c>
      <c r="G379" t="inlineStr">
        <is>
          <t>GÄVLE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47746-2023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45203</v>
      </c>
      <c r="E380" s="1" t="n">
        <v>46313</v>
      </c>
      <c r="F380" t="inlineStr">
        <is>
          <t>GÄVLEBORGS LÄN</t>
        </is>
      </c>
      <c r="G380" t="inlineStr">
        <is>
          <t>GÄVLE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46313</v>
      </c>
      <c r="F381" t="inlineStr">
        <is>
          <t>GÄVLEBORGS LÄN</t>
        </is>
      </c>
      <c r="G381" t="inlineStr">
        <is>
          <t>GÄVLE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34668-2024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46313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46313</v>
      </c>
      <c r="F383" t="inlineStr">
        <is>
          <t>GÄVLEBORGS LÄN</t>
        </is>
      </c>
      <c r="G383" t="inlineStr">
        <is>
          <t>GÄVLE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46313</v>
      </c>
      <c r="F384" t="inlineStr">
        <is>
          <t>GÄVLEBORGS LÄN</t>
        </is>
      </c>
      <c r="G384" t="inlineStr">
        <is>
          <t>GÄVLE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45952</v>
      </c>
      <c r="E385" s="1" t="n">
        <v>46313</v>
      </c>
      <c r="F385" t="inlineStr">
        <is>
          <t>GÄVLEBORGS LÄN</t>
        </is>
      </c>
      <c r="G385" t="inlineStr">
        <is>
          <t>GÄVLE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46313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20689-2024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45436</v>
      </c>
      <c r="E387" s="1" t="n">
        <v>46313</v>
      </c>
      <c r="F387" t="inlineStr">
        <is>
          <t>GÄVLEBORGS LÄN</t>
        </is>
      </c>
      <c r="G387" t="inlineStr">
        <is>
          <t>GÄVLE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46313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52970-2025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45957</v>
      </c>
      <c r="E389" s="1" t="n">
        <v>46313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46313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45120</v>
      </c>
      <c r="E391" s="1" t="n">
        <v>46313</v>
      </c>
      <c r="F391" t="inlineStr">
        <is>
          <t>GÄVLEBORGS LÄN</t>
        </is>
      </c>
      <c r="G391" t="inlineStr">
        <is>
          <t>GÄVLE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46154</v>
      </c>
      <c r="E392" s="1" t="n">
        <v>46313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45957</v>
      </c>
      <c r="E393" s="1" t="n">
        <v>46313</v>
      </c>
      <c r="F393" t="inlineStr">
        <is>
          <t>GÄVLEBORGS LÄN</t>
        </is>
      </c>
      <c r="G393" t="inlineStr">
        <is>
          <t>GÄVLE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46313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46313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45312</v>
      </c>
      <c r="E396" s="1" t="n">
        <v>46313</v>
      </c>
      <c r="F396" t="inlineStr">
        <is>
          <t>GÄVLEBORGS LÄN</t>
        </is>
      </c>
      <c r="G396" t="inlineStr">
        <is>
          <t>GÄVLE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53541-2025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46313</v>
      </c>
      <c r="F397" t="inlineStr">
        <is>
          <t>GÄVLEBORGS LÄN</t>
        </is>
      </c>
      <c r="G397" t="inlineStr">
        <is>
          <t>GÄVLE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46313</v>
      </c>
      <c r="F398" t="inlineStr">
        <is>
          <t>GÄVLEBORGS LÄN</t>
        </is>
      </c>
      <c r="G398" t="inlineStr">
        <is>
          <t>GÄVLE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45964</v>
      </c>
      <c r="E399" s="1" t="n">
        <v>46313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46313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64868-2023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45282</v>
      </c>
      <c r="E401" s="1" t="n">
        <v>46313</v>
      </c>
      <c r="F401" t="inlineStr">
        <is>
          <t>GÄVLEBORGS LÄN</t>
        </is>
      </c>
      <c r="G401" t="inlineStr">
        <is>
          <t>GÄVLE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46313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46313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45672</v>
      </c>
      <c r="E404" s="1" t="n">
        <v>46313</v>
      </c>
      <c r="F404" t="inlineStr">
        <is>
          <t>GÄVLEBORGS LÄN</t>
        </is>
      </c>
      <c r="G404" t="inlineStr">
        <is>
          <t>GÄVLE</t>
        </is>
      </c>
      <c r="H404" t="inlineStr">
        <is>
          <t>Kyrkan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46313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46313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46313</v>
      </c>
      <c r="F407" t="inlineStr">
        <is>
          <t>GÄVLEBORGS LÄN</t>
        </is>
      </c>
      <c r="G407" t="inlineStr">
        <is>
          <t>GÄVLE</t>
        </is>
      </c>
      <c r="H407" t="inlineStr">
        <is>
          <t>Kyrkan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46313</v>
      </c>
      <c r="F408" t="inlineStr">
        <is>
          <t>GÄVLEBORGS LÄN</t>
        </is>
      </c>
      <c r="G408" t="inlineStr">
        <is>
          <t>GÄVLE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45971</v>
      </c>
      <c r="E409" s="1" t="n">
        <v>46313</v>
      </c>
      <c r="F409" t="inlineStr">
        <is>
          <t>GÄVLEBORGS LÄN</t>
        </is>
      </c>
      <c r="G409" t="inlineStr">
        <is>
          <t>GÄVLE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46313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45422</v>
      </c>
      <c r="E411" s="1" t="n">
        <v>46313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46313</v>
      </c>
      <c r="F412" t="inlineStr">
        <is>
          <t>GÄVLEBORGS LÄN</t>
        </is>
      </c>
      <c r="G412" t="inlineStr">
        <is>
          <t>GÄVLE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46313</v>
      </c>
      <c r="F413" t="inlineStr">
        <is>
          <t>GÄVLEBORGS LÄN</t>
        </is>
      </c>
      <c r="G413" t="inlineStr">
        <is>
          <t>GÄVLE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46313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23591-2026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46163</v>
      </c>
      <c r="E415" s="1" t="n">
        <v>46313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46313</v>
      </c>
      <c r="F416" t="inlineStr">
        <is>
          <t>GÄVLEBORGS LÄN</t>
        </is>
      </c>
      <c r="G416" t="inlineStr">
        <is>
          <t>GÄVLE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46313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46313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46313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46313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44586</v>
      </c>
      <c r="E421" s="1" t="n">
        <v>46313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46313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46313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46313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46313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46313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46313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46313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46313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46313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45658</v>
      </c>
      <c r="E431" s="1" t="n">
        <v>46313</v>
      </c>
      <c r="F431" t="inlineStr">
        <is>
          <t>GÄVLEBORGS LÄN</t>
        </is>
      </c>
      <c r="G431" t="inlineStr">
        <is>
          <t>GÄVLE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66351-2021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44518</v>
      </c>
      <c r="E432" s="1" t="n">
        <v>46313</v>
      </c>
      <c r="F432" t="inlineStr">
        <is>
          <t>GÄVLEBORGS LÄN</t>
        </is>
      </c>
      <c r="G432" t="inlineStr">
        <is>
          <t>GÄVLE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46313</v>
      </c>
      <c r="F433" t="inlineStr">
        <is>
          <t>GÄVLEBORGS LÄN</t>
        </is>
      </c>
      <c r="G433" t="inlineStr">
        <is>
          <t>GÄVLE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46313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46313</v>
      </c>
      <c r="F435" t="inlineStr">
        <is>
          <t>GÄVLEBORGS LÄN</t>
        </is>
      </c>
      <c r="G435" t="inlineStr">
        <is>
          <t>GÄVLE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46313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23956-2026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46313</v>
      </c>
      <c r="F437" t="inlineStr">
        <is>
          <t>GÄVLEBORGS LÄN</t>
        </is>
      </c>
      <c r="G437" t="inlineStr">
        <is>
          <t>GÄVLE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44936</v>
      </c>
      <c r="E438" s="1" t="n">
        <v>46313</v>
      </c>
      <c r="F438" t="inlineStr">
        <is>
          <t>GÄVLEBORGS LÄN</t>
        </is>
      </c>
      <c r="G438" t="inlineStr">
        <is>
          <t>GÄVLE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44911</v>
      </c>
      <c r="E439" s="1" t="n">
        <v>46313</v>
      </c>
      <c r="F439" t="inlineStr">
        <is>
          <t>GÄVLEBORGS LÄN</t>
        </is>
      </c>
      <c r="G439" t="inlineStr">
        <is>
          <t>GÄVLE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45600</v>
      </c>
      <c r="E440" s="1" t="n">
        <v>46313</v>
      </c>
      <c r="F440" t="inlineStr">
        <is>
          <t>GÄVLEBORGS LÄN</t>
        </is>
      </c>
      <c r="G440" t="inlineStr">
        <is>
          <t>GÄVLE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61786-2024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45649</v>
      </c>
      <c r="E441" s="1" t="n">
        <v>46313</v>
      </c>
      <c r="F441" t="inlineStr">
        <is>
          <t>GÄVLEBORGS LÄN</t>
        </is>
      </c>
      <c r="G441" t="inlineStr">
        <is>
          <t>GÄVLE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45912</v>
      </c>
      <c r="E442" s="1" t="n">
        <v>46313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46313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46313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46313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46313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46313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46313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46313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46313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46313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46313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46313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46313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46313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46313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46313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45320</v>
      </c>
      <c r="E458" s="1" t="n">
        <v>46313</v>
      </c>
      <c r="F458" t="inlineStr">
        <is>
          <t>GÄVLEBORGS LÄN</t>
        </is>
      </c>
      <c r="G458" t="inlineStr">
        <is>
          <t>GÄVLE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46313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46313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46313</v>
      </c>
      <c r="F461" t="inlineStr">
        <is>
          <t>GÄVLEBORGS LÄN</t>
        </is>
      </c>
      <c r="G461" t="inlineStr">
        <is>
          <t>GÄVLE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46313</v>
      </c>
      <c r="F462" t="inlineStr">
        <is>
          <t>GÄVLEBORGS LÄN</t>
        </is>
      </c>
      <c r="G462" t="inlineStr">
        <is>
          <t>GÄVLE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46313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46313</v>
      </c>
      <c r="F464" t="inlineStr">
        <is>
          <t>GÄVLEBORGS LÄN</t>
        </is>
      </c>
      <c r="G464" t="inlineStr">
        <is>
          <t>GÄVLE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46313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46313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45994</v>
      </c>
      <c r="E467" s="1" t="n">
        <v>46313</v>
      </c>
      <c r="F467" t="inlineStr">
        <is>
          <t>GÄVLEBORGS LÄN</t>
        </is>
      </c>
      <c r="G467" t="inlineStr">
        <is>
          <t>GÄVLE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60364-2025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45995</v>
      </c>
      <c r="E468" s="1" t="n">
        <v>46313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46169</v>
      </c>
      <c r="E469" s="1" t="n">
        <v>46313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60532-2025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45995</v>
      </c>
      <c r="E470" s="1" t="n">
        <v>46313</v>
      </c>
      <c r="F470" t="inlineStr">
        <is>
          <t>GÄVLEBORGS LÄN</t>
        </is>
      </c>
      <c r="G470" t="inlineStr">
        <is>
          <t>GÄVLE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46313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55217-2025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45968</v>
      </c>
      <c r="E472" s="1" t="n">
        <v>46313</v>
      </c>
      <c r="F472" t="inlineStr">
        <is>
          <t>GÄVLEBORGS LÄN</t>
        </is>
      </c>
      <c r="G472" t="inlineStr">
        <is>
          <t>GÄVLE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32255-2023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46313</v>
      </c>
      <c r="F473" t="inlineStr">
        <is>
          <t>GÄVLEBORGS LÄN</t>
        </is>
      </c>
      <c r="G473" t="inlineStr">
        <is>
          <t>GÄVLE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45995</v>
      </c>
      <c r="E474" s="1" t="n">
        <v>46313</v>
      </c>
      <c r="F474" t="inlineStr">
        <is>
          <t>GÄVLEBORGS LÄN</t>
        </is>
      </c>
      <c r="G474" t="inlineStr">
        <is>
          <t>GÄVLE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46313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46313</v>
      </c>
      <c r="F476" t="inlineStr">
        <is>
          <t>GÄVLEBORGS LÄN</t>
        </is>
      </c>
      <c r="G476" t="inlineStr">
        <is>
          <t>GÄVLE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44800-2024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46313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46313</v>
      </c>
      <c r="F478" t="inlineStr">
        <is>
          <t>GÄVLEBORGS LÄN</t>
        </is>
      </c>
      <c r="G478" t="inlineStr">
        <is>
          <t>GÄVLE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45312</v>
      </c>
      <c r="E479" s="1" t="n">
        <v>46313</v>
      </c>
      <c r="F479" t="inlineStr">
        <is>
          <t>GÄVLEBORGS LÄN</t>
        </is>
      </c>
      <c r="G479" t="inlineStr">
        <is>
          <t>GÄVLE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46313</v>
      </c>
      <c r="F480" t="inlineStr">
        <is>
          <t>GÄVLEBORGS LÄN</t>
        </is>
      </c>
      <c r="G480" t="inlineStr">
        <is>
          <t>GÄVLE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46002</v>
      </c>
      <c r="E481" s="1" t="n">
        <v>46313</v>
      </c>
      <c r="F481" t="inlineStr">
        <is>
          <t>GÄVLEBORGS LÄN</t>
        </is>
      </c>
      <c r="G481" t="inlineStr">
        <is>
          <t>GÄVLE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46313</v>
      </c>
      <c r="F482" t="inlineStr">
        <is>
          <t>GÄVLEBORGS LÄN</t>
        </is>
      </c>
      <c r="G482" t="inlineStr">
        <is>
          <t>GÄVLE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46002</v>
      </c>
      <c r="E483" s="1" t="n">
        <v>46313</v>
      </c>
      <c r="F483" t="inlineStr">
        <is>
          <t>GÄVLEBORGS LÄN</t>
        </is>
      </c>
      <c r="G483" t="inlineStr">
        <is>
          <t>GÄVLE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46313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46173</v>
      </c>
      <c r="E485" s="1" t="n">
        <v>46313</v>
      </c>
      <c r="F485" t="inlineStr">
        <is>
          <t>GÄVLEBORGS LÄN</t>
        </is>
      </c>
      <c r="G485" t="inlineStr">
        <is>
          <t>GÄVLE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46313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14173-2022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46313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46313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22.7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46008</v>
      </c>
      <c r="E489" s="1" t="n">
        <v>46313</v>
      </c>
      <c r="F489" t="inlineStr">
        <is>
          <t>GÄVLEBORGS LÄN</t>
        </is>
      </c>
      <c r="G489" t="inlineStr">
        <is>
          <t>GÄVLE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46313</v>
      </c>
      <c r="F490" t="inlineStr">
        <is>
          <t>GÄVLEBORGS LÄN</t>
        </is>
      </c>
      <c r="G490" t="inlineStr">
        <is>
          <t>GÄVLE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45539</v>
      </c>
      <c r="E491" s="1" t="n">
        <v>46313</v>
      </c>
      <c r="F491" t="inlineStr">
        <is>
          <t>GÄVLEBORGS LÄN</t>
        </is>
      </c>
      <c r="G491" t="inlineStr">
        <is>
          <t>GÄVLE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46313</v>
      </c>
      <c r="F492" t="inlineStr">
        <is>
          <t>GÄVLEBORGS LÄN</t>
        </is>
      </c>
      <c r="G492" t="inlineStr">
        <is>
          <t>GÄVLE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45855</v>
      </c>
      <c r="E493" s="1" t="n">
        <v>46313</v>
      </c>
      <c r="F493" t="inlineStr">
        <is>
          <t>GÄVLEBORGS LÄN</t>
        </is>
      </c>
      <c r="G493" t="inlineStr">
        <is>
          <t>GÄVLE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63801-2025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46019</v>
      </c>
      <c r="E494" s="1" t="n">
        <v>46313</v>
      </c>
      <c r="F494" t="inlineStr">
        <is>
          <t>GÄVLEBORGS LÄN</t>
        </is>
      </c>
      <c r="G494" t="inlineStr">
        <is>
          <t>GÄVLE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54953-2025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45967</v>
      </c>
      <c r="E495" s="1" t="n">
        <v>46313</v>
      </c>
      <c r="F495" t="inlineStr">
        <is>
          <t>GÄVLEBORGS LÄN</t>
        </is>
      </c>
      <c r="G495" t="inlineStr">
        <is>
          <t>GÄVLE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46313</v>
      </c>
      <c r="F496" t="inlineStr">
        <is>
          <t>GÄVLEBORGS LÄN</t>
        </is>
      </c>
      <c r="G496" t="inlineStr">
        <is>
          <t>GÄVLE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47981-2025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46313</v>
      </c>
      <c r="F497" t="inlineStr">
        <is>
          <t>GÄVLEBORGS LÄN</t>
        </is>
      </c>
      <c r="G497" t="inlineStr">
        <is>
          <t>GÄVLE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46019</v>
      </c>
      <c r="E498" s="1" t="n">
        <v>46313</v>
      </c>
      <c r="F498" t="inlineStr">
        <is>
          <t>GÄVLEBORGS LÄN</t>
        </is>
      </c>
      <c r="G498" t="inlineStr">
        <is>
          <t>GÄVLE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42788-2025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46313</v>
      </c>
      <c r="F499" t="inlineStr">
        <is>
          <t>GÄVLEBORGS LÄN</t>
        </is>
      </c>
      <c r="G499" t="inlineStr">
        <is>
          <t>GÄVLE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46313</v>
      </c>
      <c r="F500" t="inlineStr">
        <is>
          <t>GÄVLEBORGS LÄN</t>
        </is>
      </c>
      <c r="G500" t="inlineStr">
        <is>
          <t>GÄVLE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48864-2025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45937</v>
      </c>
      <c r="E501" s="1" t="n">
        <v>46313</v>
      </c>
      <c r="F501" t="inlineStr">
        <is>
          <t>GÄVLEBORGS LÄN</t>
        </is>
      </c>
      <c r="G501" t="inlineStr">
        <is>
          <t>GÄVLE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45908</v>
      </c>
      <c r="E502" s="1" t="n">
        <v>46313</v>
      </c>
      <c r="F502" t="inlineStr">
        <is>
          <t>GÄVLEBORGS LÄN</t>
        </is>
      </c>
      <c r="G502" t="inlineStr">
        <is>
          <t>GÄVLE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47694-2025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46313</v>
      </c>
      <c r="F503" t="inlineStr">
        <is>
          <t>GÄVLEBORGS LÄN</t>
        </is>
      </c>
      <c r="G503" t="inlineStr">
        <is>
          <t>GÄVLE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45932</v>
      </c>
      <c r="E504" s="1" t="n">
        <v>46313</v>
      </c>
      <c r="F504" t="inlineStr">
        <is>
          <t>GÄVLEBORGS LÄN</t>
        </is>
      </c>
      <c r="G504" t="inlineStr">
        <is>
          <t>GÄVLE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46022</v>
      </c>
      <c r="E505" s="1" t="n">
        <v>46313</v>
      </c>
      <c r="F505" t="inlineStr">
        <is>
          <t>GÄVLEBORGS LÄN</t>
        </is>
      </c>
      <c r="G505" t="inlineStr">
        <is>
          <t>GÄVLE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46313</v>
      </c>
      <c r="F506" t="inlineStr">
        <is>
          <t>GÄVLEBORGS LÄN</t>
        </is>
      </c>
      <c r="G506" t="inlineStr">
        <is>
          <t>GÄVLE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45673</v>
      </c>
      <c r="E507" s="1" t="n">
        <v>46313</v>
      </c>
      <c r="F507" t="inlineStr">
        <is>
          <t>GÄVLEBORGS LÄN</t>
        </is>
      </c>
      <c r="G507" t="inlineStr">
        <is>
          <t>GÄVLE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46313</v>
      </c>
      <c r="F508" t="inlineStr">
        <is>
          <t>GÄVLEBORGS LÄN</t>
        </is>
      </c>
      <c r="G508" t="inlineStr">
        <is>
          <t>GÄVLE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46313</v>
      </c>
      <c r="F509" t="inlineStr">
        <is>
          <t>GÄVLEBORGS LÄN</t>
        </is>
      </c>
      <c r="G509" t="inlineStr">
        <is>
          <t>GÄVLE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46313</v>
      </c>
      <c r="F510" t="inlineStr">
        <is>
          <t>GÄVLEBORGS LÄN</t>
        </is>
      </c>
      <c r="G510" t="inlineStr">
        <is>
          <t>GÄVLE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46313</v>
      </c>
      <c r="F511" t="inlineStr">
        <is>
          <t>GÄVLEBORGS LÄN</t>
        </is>
      </c>
      <c r="G511" t="inlineStr">
        <is>
          <t>GÄVLE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47458-2022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44853</v>
      </c>
      <c r="E512" s="1" t="n">
        <v>46313</v>
      </c>
      <c r="F512" t="inlineStr">
        <is>
          <t>GÄVLEBORGS LÄN</t>
        </is>
      </c>
      <c r="G512" t="inlineStr">
        <is>
          <t>GÄVLE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46313</v>
      </c>
      <c r="F513" t="inlineStr">
        <is>
          <t>GÄVLEBORGS LÄN</t>
        </is>
      </c>
      <c r="G513" t="inlineStr">
        <is>
          <t>GÄVLE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46313</v>
      </c>
      <c r="F514" t="inlineStr">
        <is>
          <t>GÄVLEBORGS LÄN</t>
        </is>
      </c>
      <c r="G514" t="inlineStr">
        <is>
          <t>GÄVLE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46313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44841</v>
      </c>
      <c r="E516" s="1" t="n">
        <v>46313</v>
      </c>
      <c r="F516" t="inlineStr">
        <is>
          <t>GÄVLEBORGS LÄN</t>
        </is>
      </c>
      <c r="G516" t="inlineStr">
        <is>
          <t>GÄVLE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46313</v>
      </c>
      <c r="F517" t="inlineStr">
        <is>
          <t>GÄVLEBORGS LÄN</t>
        </is>
      </c>
      <c r="G517" t="inlineStr">
        <is>
          <t>GÄVLE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46313</v>
      </c>
      <c r="F518" t="inlineStr">
        <is>
          <t>GÄVLEBORGS LÄN</t>
        </is>
      </c>
      <c r="G518" t="inlineStr">
        <is>
          <t>GÄVLE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45330</v>
      </c>
      <c r="E519" s="1" t="n">
        <v>46313</v>
      </c>
      <c r="F519" t="inlineStr">
        <is>
          <t>GÄVLEBORGS LÄN</t>
        </is>
      </c>
      <c r="G519" t="inlineStr">
        <is>
          <t>GÄVLE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46313</v>
      </c>
      <c r="F520" t="inlineStr">
        <is>
          <t>GÄVLEBORGS LÄN</t>
        </is>
      </c>
      <c r="G520" t="inlineStr">
        <is>
          <t>GÄVLE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46313</v>
      </c>
      <c r="F521" t="inlineStr">
        <is>
          <t>GÄVLEBORGS LÄN</t>
        </is>
      </c>
      <c r="G521" t="inlineStr">
        <is>
          <t>GÄVLE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46313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46313</v>
      </c>
      <c r="F523" t="inlineStr">
        <is>
          <t>GÄVLEBORGS LÄN</t>
        </is>
      </c>
      <c r="G523" t="inlineStr">
        <is>
          <t>GÄVLE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45217</v>
      </c>
      <c r="E524" s="1" t="n">
        <v>46313</v>
      </c>
      <c r="F524" t="inlineStr">
        <is>
          <t>GÄVLEBORGS LÄN</t>
        </is>
      </c>
      <c r="G524" t="inlineStr">
        <is>
          <t>GÄVLE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9235-2022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44616</v>
      </c>
      <c r="E525" s="1" t="n">
        <v>46313</v>
      </c>
      <c r="F525" t="inlineStr">
        <is>
          <t>GÄVLEBORGS LÄN</t>
        </is>
      </c>
      <c r="G525" t="inlineStr">
        <is>
          <t>GÄVLE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46313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53082-2022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44876</v>
      </c>
      <c r="E527" s="1" t="n">
        <v>46313</v>
      </c>
      <c r="F527" t="inlineStr">
        <is>
          <t>GÄVLEBORGS LÄN</t>
        </is>
      </c>
      <c r="G527" t="inlineStr">
        <is>
          <t>GÄVLE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46313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46313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72734-2021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44546</v>
      </c>
      <c r="E530" s="1" t="n">
        <v>46313</v>
      </c>
      <c r="F530" t="inlineStr">
        <is>
          <t>GÄVLEBORGS LÄN</t>
        </is>
      </c>
      <c r="G530" t="inlineStr">
        <is>
          <t>GÄVLE</t>
        </is>
      </c>
      <c r="H530" t="inlineStr">
        <is>
          <t>Kommuner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46313</v>
      </c>
      <c r="F531" t="inlineStr">
        <is>
          <t>GÄVLEBORGS LÄN</t>
        </is>
      </c>
      <c r="G531" t="inlineStr">
        <is>
          <t>GÄVLE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46313</v>
      </c>
      <c r="F532" t="inlineStr">
        <is>
          <t>GÄVLEBORGS LÄN</t>
        </is>
      </c>
      <c r="G532" t="inlineStr">
        <is>
          <t>GÄVLE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46313</v>
      </c>
      <c r="F533" t="inlineStr">
        <is>
          <t>GÄVLEBORGS LÄN</t>
        </is>
      </c>
      <c r="G533" t="inlineStr">
        <is>
          <t>GÄVLE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46313</v>
      </c>
      <c r="F534" t="inlineStr">
        <is>
          <t>GÄVLEBORGS LÄN</t>
        </is>
      </c>
      <c r="G534" t="inlineStr">
        <is>
          <t>GÄVLE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46313</v>
      </c>
      <c r="F535" t="inlineStr">
        <is>
          <t>GÄVLEBORGS LÄN</t>
        </is>
      </c>
      <c r="G535" t="inlineStr">
        <is>
          <t>GÄVLE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46313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46313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46313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46313</v>
      </c>
      <c r="F539" t="inlineStr">
        <is>
          <t>GÄVLEBORGS LÄN</t>
        </is>
      </c>
      <c r="G539" t="inlineStr">
        <is>
          <t>GÄVLE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58445-2021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46313</v>
      </c>
      <c r="F540" t="inlineStr">
        <is>
          <t>GÄVLEBORGS LÄN</t>
        </is>
      </c>
      <c r="G540" t="inlineStr">
        <is>
          <t>GÄVLE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46183</v>
      </c>
      <c r="E541" s="1" t="n">
        <v>46313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26658-2026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46313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46313</v>
      </c>
      <c r="F543" t="inlineStr">
        <is>
          <t>GÄVLEBORGS LÄN</t>
        </is>
      </c>
      <c r="G543" t="inlineStr">
        <is>
          <t>GÄVLE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66493-2021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44519</v>
      </c>
      <c r="E544" s="1" t="n">
        <v>46313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46313</v>
      </c>
      <c r="F545" t="inlineStr">
        <is>
          <t>GÄVLEBORGS LÄN</t>
        </is>
      </c>
      <c r="G545" t="inlineStr">
        <is>
          <t>GÄVLE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46313</v>
      </c>
      <c r="F546" t="inlineStr">
        <is>
          <t>GÄVLEBORGS LÄN</t>
        </is>
      </c>
      <c r="G546" t="inlineStr">
        <is>
          <t>GÄVLE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46313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46313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46313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27053-2026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46313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46313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46313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46071</v>
      </c>
      <c r="E553" s="1" t="n">
        <v>46313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46313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46313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46313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27361-2026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46313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46313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46313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46313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46313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46313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46313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46313</v>
      </c>
      <c r="F564" t="inlineStr">
        <is>
          <t>GÄVLEBORGS LÄN</t>
        </is>
      </c>
      <c r="G564" t="inlineStr">
        <is>
          <t>GÄVLE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46313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44936</v>
      </c>
      <c r="E566" s="1" t="n">
        <v>46313</v>
      </c>
      <c r="F566" t="inlineStr">
        <is>
          <t>GÄVLEBORGS LÄN</t>
        </is>
      </c>
      <c r="G566" t="inlineStr">
        <is>
          <t>GÄVLE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46077</v>
      </c>
      <c r="E567" s="1" t="n">
        <v>46313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46313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46313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46313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26942-2026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46313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46313</v>
      </c>
      <c r="F572" t="inlineStr">
        <is>
          <t>GÄVLEBORGS LÄN</t>
        </is>
      </c>
      <c r="G572" t="inlineStr">
        <is>
          <t>GÄVLE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45312</v>
      </c>
      <c r="E573" s="1" t="n">
        <v>46313</v>
      </c>
      <c r="F573" t="inlineStr">
        <is>
          <t>GÄVLEBORGS LÄN</t>
        </is>
      </c>
      <c r="G573" t="inlineStr">
        <is>
          <t>GÄVLE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46313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46313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46313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45218</v>
      </c>
      <c r="E577" s="1" t="n">
        <v>46313</v>
      </c>
      <c r="F577" t="inlineStr">
        <is>
          <t>GÄVLEBORGS LÄN</t>
        </is>
      </c>
      <c r="G577" t="inlineStr">
        <is>
          <t>GÄVLE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46313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17113-2024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45412</v>
      </c>
      <c r="E579" s="1" t="n">
        <v>46313</v>
      </c>
      <c r="F579" t="inlineStr">
        <is>
          <t>GÄVLEBORGS LÄN</t>
        </is>
      </c>
      <c r="G579" t="inlineStr">
        <is>
          <t>GÄVLE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46313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12015-2026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46085</v>
      </c>
      <c r="E581" s="1" t="n">
        <v>46313</v>
      </c>
      <c r="F581" t="inlineStr">
        <is>
          <t>GÄVLEBORGS LÄN</t>
        </is>
      </c>
      <c r="G581" t="inlineStr">
        <is>
          <t>GÄVLE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46313</v>
      </c>
      <c r="F582" t="inlineStr">
        <is>
          <t>GÄVLEBORGS LÄN</t>
        </is>
      </c>
      <c r="G582" t="inlineStr">
        <is>
          <t>GÄVLE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46313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64871-2023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45282</v>
      </c>
      <c r="E584" s="1" t="n">
        <v>46313</v>
      </c>
      <c r="F584" t="inlineStr">
        <is>
          <t>GÄVLEBORGS LÄN</t>
        </is>
      </c>
      <c r="G584" t="inlineStr">
        <is>
          <t>GÄVLE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64875-2023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45282</v>
      </c>
      <c r="E585" s="1" t="n">
        <v>46313</v>
      </c>
      <c r="F585" t="inlineStr">
        <is>
          <t>GÄVLEBORGS LÄN</t>
        </is>
      </c>
      <c r="G585" t="inlineStr">
        <is>
          <t>GÄVLE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64878-2023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45282</v>
      </c>
      <c r="E586" s="1" t="n">
        <v>46313</v>
      </c>
      <c r="F586" t="inlineStr">
        <is>
          <t>GÄVLEBORGS LÄN</t>
        </is>
      </c>
      <c r="G586" t="inlineStr">
        <is>
          <t>GÄVLE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46313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46313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46313</v>
      </c>
      <c r="F589" t="inlineStr">
        <is>
          <t>GÄVLEBORGS LÄN</t>
        </is>
      </c>
      <c r="G589" t="inlineStr">
        <is>
          <t>GÄVLE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46313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46313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46313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46313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13329-2026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46313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46094</v>
      </c>
      <c r="E595" s="1" t="n">
        <v>46313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46313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13503-2026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46313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46313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46313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46095</v>
      </c>
      <c r="E600" s="1" t="n">
        <v>46313</v>
      </c>
      <c r="F600" t="inlineStr">
        <is>
          <t>GÄVLEBORGS LÄN</t>
        </is>
      </c>
      <c r="G600" t="inlineStr">
        <is>
          <t>GÄVLE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46313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46313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46313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46313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46313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36638-2022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44804</v>
      </c>
      <c r="E606" s="1" t="n">
        <v>46313</v>
      </c>
      <c r="F606" t="inlineStr">
        <is>
          <t>GÄVLEBORGS LÄN</t>
        </is>
      </c>
      <c r="G606" t="inlineStr">
        <is>
          <t>GÄVLE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44845</v>
      </c>
      <c r="E607" s="1" t="n">
        <v>46313</v>
      </c>
      <c r="F607" t="inlineStr">
        <is>
          <t>GÄVLEBORGS LÄN</t>
        </is>
      </c>
      <c r="G607" t="inlineStr">
        <is>
          <t>GÄVLE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46313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46313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46313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46313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46313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15046-2026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46313</v>
      </c>
      <c r="F613" t="inlineStr">
        <is>
          <t>GÄVLEBORGS LÄN</t>
        </is>
      </c>
      <c r="G613" t="inlineStr">
        <is>
          <t>GÄVLE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60792-2024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46313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60801-2024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45644</v>
      </c>
      <c r="E615" s="1" t="n">
        <v>46313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46313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46313</v>
      </c>
      <c r="F617" t="inlineStr">
        <is>
          <t>GÄVLEBORGS LÄN</t>
        </is>
      </c>
      <c r="G617" t="inlineStr">
        <is>
          <t>GÄVLE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15535-2026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46313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46105</v>
      </c>
      <c r="E619" s="1" t="n">
        <v>46313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44713</v>
      </c>
      <c r="E620" s="1" t="n">
        <v>46313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57168-2023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46313</v>
      </c>
      <c r="F621" t="inlineStr">
        <is>
          <t>GÄVLEBORGS LÄN</t>
        </is>
      </c>
      <c r="G621" t="inlineStr">
        <is>
          <t>GÄVLE</t>
        </is>
      </c>
      <c r="H621" t="inlineStr">
        <is>
          <t>Kyrkan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22968-2026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46313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15207-2024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45400</v>
      </c>
      <c r="E623" s="1" t="n">
        <v>46313</v>
      </c>
      <c r="F623" t="inlineStr">
        <is>
          <t>GÄVLEBORGS LÄN</t>
        </is>
      </c>
      <c r="G623" t="inlineStr">
        <is>
          <t>GÄVLE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46313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46313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52.7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46198</v>
      </c>
      <c r="E626" s="1" t="n">
        <v>46313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15985-2026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46108</v>
      </c>
      <c r="E627" s="1" t="n">
        <v>46313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46313</v>
      </c>
      <c r="F628" t="inlineStr">
        <is>
          <t>GÄVLEBORGS LÄN</t>
        </is>
      </c>
      <c r="G628" t="inlineStr">
        <is>
          <t>GÄVLE</t>
        </is>
      </c>
      <c r="H628" t="inlineStr">
        <is>
          <t>BillerudKorsnäs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46313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46313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16430-2026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46313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46313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46313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46313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60396-2022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44910</v>
      </c>
      <c r="E635" s="1" t="n">
        <v>46313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46313</v>
      </c>
      <c r="F636" t="inlineStr">
        <is>
          <t>GÄVLEBORGS LÄN</t>
        </is>
      </c>
      <c r="G636" t="inlineStr">
        <is>
          <t>GÄVLE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46313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45462</v>
      </c>
      <c r="E638" s="1" t="n">
        <v>46313</v>
      </c>
      <c r="F638" t="inlineStr">
        <is>
          <t>GÄVLEBORGS LÄN</t>
        </is>
      </c>
      <c r="G638" t="inlineStr">
        <is>
          <t>GÄVLE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45660</v>
      </c>
      <c r="E639" s="1" t="n">
        <v>46313</v>
      </c>
      <c r="F639" t="inlineStr">
        <is>
          <t>GÄVLEBORGS LÄN</t>
        </is>
      </c>
      <c r="G639" t="inlineStr">
        <is>
          <t>GÄVLE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46313</v>
      </c>
      <c r="F640" t="inlineStr">
        <is>
          <t>GÄVLEBORGS LÄN</t>
        </is>
      </c>
      <c r="G640" t="inlineStr">
        <is>
          <t>GÄVLE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46202</v>
      </c>
      <c r="E641" s="1" t="n">
        <v>46313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46122</v>
      </c>
      <c r="E642" s="1" t="n">
        <v>46313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44741</v>
      </c>
      <c r="E643" s="1" t="n">
        <v>46313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10488-2026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46313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18173-2026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46125</v>
      </c>
      <c r="E645" s="1" t="n">
        <v>46313</v>
      </c>
      <c r="F645" t="inlineStr">
        <is>
          <t>GÄVLEBORGS LÄN</t>
        </is>
      </c>
      <c r="G645" t="inlineStr">
        <is>
          <t>GÄVLE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18175-2026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46313</v>
      </c>
      <c r="F646" t="inlineStr">
        <is>
          <t>GÄVLEBORGS LÄN</t>
        </is>
      </c>
      <c r="G646" t="inlineStr">
        <is>
          <t>GÄVLE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46313</v>
      </c>
      <c r="F647" t="inlineStr">
        <is>
          <t>GÄVLEBORGS LÄN</t>
        </is>
      </c>
      <c r="G647" t="inlineStr">
        <is>
          <t>GÄVLE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46124</v>
      </c>
      <c r="E648" s="1" t="n">
        <v>46313</v>
      </c>
      <c r="F648" t="inlineStr">
        <is>
          <t>GÄVLEBORGS LÄN</t>
        </is>
      </c>
      <c r="G648" t="inlineStr">
        <is>
          <t>GÄVLE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46124</v>
      </c>
      <c r="E649" s="1" t="n">
        <v>46313</v>
      </c>
      <c r="F649" t="inlineStr">
        <is>
          <t>GÄVLEBORGS LÄN</t>
        </is>
      </c>
      <c r="G649" t="inlineStr">
        <is>
          <t>GÄVLE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46313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46313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8031-2024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46313</v>
      </c>
      <c r="F652" t="inlineStr">
        <is>
          <t>GÄVLEBORGS LÄN</t>
        </is>
      </c>
      <c r="G652" t="inlineStr">
        <is>
          <t>GÄVLE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46313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61351-2021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44498</v>
      </c>
      <c r="E654" s="1" t="n">
        <v>46313</v>
      </c>
      <c r="F654" t="inlineStr">
        <is>
          <t>GÄVLEBORGS LÄN</t>
        </is>
      </c>
      <c r="G654" t="inlineStr">
        <is>
          <t>GÄVLE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46128</v>
      </c>
      <c r="E655" s="1" t="n">
        <v>46313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13492-2026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46313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46313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15568-2026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46313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46313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36.3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46313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46132</v>
      </c>
      <c r="E661" s="1" t="n">
        <v>46313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45614</v>
      </c>
      <c r="E662" s="1" t="n">
        <v>46313</v>
      </c>
      <c r="F662" t="inlineStr">
        <is>
          <t>GÄVLEBORGS LÄN</t>
        </is>
      </c>
      <c r="G662" t="inlineStr">
        <is>
          <t>GÄVLE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46132</v>
      </c>
      <c r="E663" s="1" t="n">
        <v>46313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46313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46313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60879-2023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45261</v>
      </c>
      <c r="E666" s="1" t="n">
        <v>46313</v>
      </c>
      <c r="F666" t="inlineStr">
        <is>
          <t>GÄVLEBORGS LÄN</t>
        </is>
      </c>
      <c r="G666" t="inlineStr">
        <is>
          <t>GÄVLE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46132</v>
      </c>
      <c r="E667" s="1" t="n">
        <v>46313</v>
      </c>
      <c r="F667" t="inlineStr">
        <is>
          <t>GÄVLEBORGS LÄN</t>
        </is>
      </c>
      <c r="G667" t="inlineStr">
        <is>
          <t>GÄVLE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19714-2026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46313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46313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46313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46313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46313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46313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46313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46313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46313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46313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15312-2023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45019</v>
      </c>
      <c r="E678" s="1" t="n">
        <v>46313</v>
      </c>
      <c r="F678" t="inlineStr">
        <is>
          <t>GÄVLEBORGS LÄN</t>
        </is>
      </c>
      <c r="G678" t="inlineStr">
        <is>
          <t>GÄVLE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46313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7.2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45915</v>
      </c>
      <c r="E680" s="1" t="n">
        <v>46313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15324-2026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46313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46313</v>
      </c>
      <c r="F682" t="inlineStr">
        <is>
          <t>GÄVLEBORGS LÄN</t>
        </is>
      </c>
      <c r="G682" t="inlineStr">
        <is>
          <t>GÄVLE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52387-2022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44874</v>
      </c>
      <c r="E683" s="1" t="n">
        <v>46313</v>
      </c>
      <c r="F683" t="inlineStr">
        <is>
          <t>GÄVLEBORGS LÄN</t>
        </is>
      </c>
      <c r="G683" t="inlineStr">
        <is>
          <t>GÄVLE</t>
        </is>
      </c>
      <c r="H683" t="inlineStr">
        <is>
          <t>Kommuner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31011-2023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45113</v>
      </c>
      <c r="E684" s="1" t="n">
        <v>46313</v>
      </c>
      <c r="F684" t="inlineStr">
        <is>
          <t>GÄVLEBORGS LÄN</t>
        </is>
      </c>
      <c r="G684" t="inlineStr">
        <is>
          <t>GÄVLE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22466-2023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46313</v>
      </c>
      <c r="F685" t="inlineStr">
        <is>
          <t>GÄVLEBORGS LÄN</t>
        </is>
      </c>
      <c r="G685" t="inlineStr">
        <is>
          <t>GÄVLE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15456-2026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46106</v>
      </c>
      <c r="E687" s="1" t="n">
        <v>46313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51758-2025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45950</v>
      </c>
      <c r="E688" s="1" t="n">
        <v>46313</v>
      </c>
      <c r="F688" t="inlineStr">
        <is>
          <t>GÄVLEBORGS LÄN</t>
        </is>
      </c>
      <c r="G688" t="inlineStr">
        <is>
          <t>GÄVLE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4402-2025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45686</v>
      </c>
      <c r="E689" s="1" t="n">
        <v>46313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16023-2023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45026</v>
      </c>
      <c r="E690" s="1" t="n">
        <v>46313</v>
      </c>
      <c r="F690" t="inlineStr">
        <is>
          <t>GÄVLEBORGS LÄN</t>
        </is>
      </c>
      <c r="G690" t="inlineStr">
        <is>
          <t>GÄVLE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50537-2025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45945</v>
      </c>
      <c r="E691" s="1" t="n">
        <v>46313</v>
      </c>
      <c r="F691" t="inlineStr">
        <is>
          <t>GÄVLEBORGS LÄN</t>
        </is>
      </c>
      <c r="G691" t="inlineStr">
        <is>
          <t>GÄVLE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46313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46107</v>
      </c>
      <c r="E693" s="1" t="n">
        <v>46313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45467</v>
      </c>
      <c r="E694" s="1" t="n">
        <v>46313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7235-2025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45702</v>
      </c>
      <c r="E695" s="1" t="n">
        <v>46313</v>
      </c>
      <c r="F695" t="inlineStr">
        <is>
          <t>GÄVLEBORGS LÄN</t>
        </is>
      </c>
      <c r="G695" t="inlineStr">
        <is>
          <t>GÄVLE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46207</v>
      </c>
      <c r="E696" s="1" t="n">
        <v>46313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46154</v>
      </c>
      <c r="E697" s="1" t="n">
        <v>46313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71215-2021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44539</v>
      </c>
      <c r="E698" s="1" t="n">
        <v>46313</v>
      </c>
      <c r="F698" t="inlineStr">
        <is>
          <t>GÄVLEBORGS LÄN</t>
        </is>
      </c>
      <c r="G698" t="inlineStr">
        <is>
          <t>GÄVLE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45652</v>
      </c>
      <c r="E699" s="1" t="n">
        <v>46313</v>
      </c>
      <c r="F699" t="inlineStr">
        <is>
          <t>GÄVLEBORGS LÄN</t>
        </is>
      </c>
      <c r="G699" t="inlineStr">
        <is>
          <t>GÄVLE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19712-2022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46313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39509-2022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44818</v>
      </c>
      <c r="E701" s="1" t="n">
        <v>46313</v>
      </c>
      <c r="F701" t="inlineStr">
        <is>
          <t>GÄVLEBORGS LÄN</t>
        </is>
      </c>
      <c r="G701" t="inlineStr">
        <is>
          <t>GÄVLE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30662-2022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44763</v>
      </c>
      <c r="E702" s="1" t="n">
        <v>46313</v>
      </c>
      <c r="F702" t="inlineStr">
        <is>
          <t>GÄVLEBORGS LÄN</t>
        </is>
      </c>
      <c r="G702" t="inlineStr">
        <is>
          <t>GÄVLE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30601-2026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46210</v>
      </c>
      <c r="E703" s="1" t="n">
        <v>46313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45540</v>
      </c>
      <c r="E704" s="1" t="n">
        <v>46313</v>
      </c>
      <c r="F704" t="inlineStr">
        <is>
          <t>GÄVLEBORGS LÄN</t>
        </is>
      </c>
      <c r="G704" t="inlineStr">
        <is>
          <t>GÄVLE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45757</v>
      </c>
      <c r="E705" s="1" t="n">
        <v>46313</v>
      </c>
      <c r="F705" t="inlineStr">
        <is>
          <t>GÄVLEBORGS LÄN</t>
        </is>
      </c>
      <c r="G705" t="inlineStr">
        <is>
          <t>GÄVLE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17607-2025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45757</v>
      </c>
      <c r="E706" s="1" t="n">
        <v>46313</v>
      </c>
      <c r="F706" t="inlineStr">
        <is>
          <t>GÄVLEBORGS LÄN</t>
        </is>
      </c>
      <c r="G706" t="inlineStr">
        <is>
          <t>GÄVLE</t>
        </is>
      </c>
      <c r="I706" t="n">
        <v>7.6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46313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31445-2026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46217</v>
      </c>
      <c r="E708" s="1" t="n">
        <v>46313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56487-2023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45243</v>
      </c>
      <c r="E709" s="1" t="n">
        <v>46313</v>
      </c>
      <c r="F709" t="inlineStr">
        <is>
          <t>GÄVLEBORGS LÄN</t>
        </is>
      </c>
      <c r="G709" t="inlineStr">
        <is>
          <t>GÄVLE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9307-2022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44616</v>
      </c>
      <c r="E710" s="1" t="n">
        <v>46313</v>
      </c>
      <c r="F710" t="inlineStr">
        <is>
          <t>GÄVLEBORGS LÄN</t>
        </is>
      </c>
      <c r="G710" t="inlineStr">
        <is>
          <t>GÄVLE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30951-2026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46213</v>
      </c>
      <c r="E711" s="1" t="n">
        <v>46313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46313</v>
      </c>
      <c r="F712" t="inlineStr">
        <is>
          <t>GÄVLEBORGS LÄN</t>
        </is>
      </c>
      <c r="G712" t="inlineStr">
        <is>
          <t>GÄVLE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46313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31866-2023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46313</v>
      </c>
      <c r="F714" t="inlineStr">
        <is>
          <t>GÄVLEBORGS LÄN</t>
        </is>
      </c>
      <c r="G714" t="inlineStr">
        <is>
          <t>GÄVLE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31528-2026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46220</v>
      </c>
      <c r="E715" s="1" t="n">
        <v>46313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11.4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14807-2023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45014</v>
      </c>
      <c r="E716" s="1" t="n">
        <v>46313</v>
      </c>
      <c r="F716" t="inlineStr">
        <is>
          <t>GÄVLEBORGS LÄN</t>
        </is>
      </c>
      <c r="G716" t="inlineStr">
        <is>
          <t>GÄVLE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33880-2022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44790</v>
      </c>
      <c r="E717" s="1" t="n">
        <v>46313</v>
      </c>
      <c r="F717" t="inlineStr">
        <is>
          <t>GÄVLEBORGS LÄN</t>
        </is>
      </c>
      <c r="G717" t="inlineStr">
        <is>
          <t>GÄVLE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45699</v>
      </c>
      <c r="E718" s="1" t="n">
        <v>46313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36909-2026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46273</v>
      </c>
      <c r="E719" s="1" t="n">
        <v>46313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36945-2026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46273</v>
      </c>
      <c r="E720" s="1" t="n">
        <v>46313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36957-2026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46273</v>
      </c>
      <c r="E721" s="1" t="n">
        <v>46313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45373</v>
      </c>
      <c r="E722" s="1" t="n">
        <v>46313</v>
      </c>
      <c r="F722" t="inlineStr">
        <is>
          <t>GÄVLEBORGS LÄN</t>
        </is>
      </c>
      <c r="G722" t="inlineStr">
        <is>
          <t>GÄVLE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62766-2022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44885</v>
      </c>
      <c r="E723" s="1" t="n">
        <v>46313</v>
      </c>
      <c r="F723" t="inlineStr">
        <is>
          <t>GÄVLEBORGS LÄN</t>
        </is>
      </c>
      <c r="G723" t="inlineStr">
        <is>
          <t>GÄVLE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36962-2026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46273</v>
      </c>
      <c r="E724" s="1" t="n">
        <v>46313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64873-2023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45282</v>
      </c>
      <c r="E725" s="1" t="n">
        <v>46313</v>
      </c>
      <c r="F725" t="inlineStr">
        <is>
          <t>GÄVLEBORGS LÄN</t>
        </is>
      </c>
      <c r="G725" t="inlineStr">
        <is>
          <t>GÄVLE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46273</v>
      </c>
      <c r="E726" s="1" t="n">
        <v>46313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36739-2026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46272</v>
      </c>
      <c r="E727" s="1" t="n">
        <v>46313</v>
      </c>
      <c r="F727" t="inlineStr">
        <is>
          <t>GÄVLEBORGS LÄN</t>
        </is>
      </c>
      <c r="G727" t="inlineStr">
        <is>
          <t>GÄVLE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46313</v>
      </c>
      <c r="F728" t="inlineStr">
        <is>
          <t>GÄVLEBORGS LÄN</t>
        </is>
      </c>
      <c r="G728" t="inlineStr">
        <is>
          <t>GÄVLE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46273</v>
      </c>
      <c r="E729" s="1" t="n">
        <v>46313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46272</v>
      </c>
      <c r="E730" s="1" t="n">
        <v>46313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37223-2026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46274</v>
      </c>
      <c r="E731" s="1" t="n">
        <v>46313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29862-2023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45107</v>
      </c>
      <c r="E732" s="1" t="n">
        <v>46313</v>
      </c>
      <c r="F732" t="inlineStr">
        <is>
          <t>GÄVLEBORGS LÄN</t>
        </is>
      </c>
      <c r="G732" t="inlineStr">
        <is>
          <t>GÄVLE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46275</v>
      </c>
      <c r="E733" s="1" t="n">
        <v>46313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46275</v>
      </c>
      <c r="E734" s="1" t="n">
        <v>46313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19.1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46274</v>
      </c>
      <c r="E735" s="1" t="n">
        <v>46313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24478-2023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46313</v>
      </c>
      <c r="F736" t="inlineStr">
        <is>
          <t>GÄVLEBORGS LÄN</t>
        </is>
      </c>
      <c r="G736" t="inlineStr">
        <is>
          <t>GÄVLE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46313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17088-2023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45034</v>
      </c>
      <c r="E738" s="1" t="n">
        <v>46313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37611-2026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46276</v>
      </c>
      <c r="E739" s="1" t="n">
        <v>46313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44973</v>
      </c>
      <c r="E740" s="1" t="n">
        <v>46313</v>
      </c>
      <c r="F740" t="inlineStr">
        <is>
          <t>GÄVLEBORGS LÄN</t>
        </is>
      </c>
      <c r="G740" t="inlineStr">
        <is>
          <t>GÄVLE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46276</v>
      </c>
      <c r="E741" s="1" t="n">
        <v>46313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45397</v>
      </c>
      <c r="E742" s="1" t="n">
        <v>46313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35761-2022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44800</v>
      </c>
      <c r="E743" s="1" t="n">
        <v>46313</v>
      </c>
      <c r="F743" t="inlineStr">
        <is>
          <t>GÄVLEBORGS LÄN</t>
        </is>
      </c>
      <c r="G743" t="inlineStr">
        <is>
          <t>GÄVLE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46313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46279</v>
      </c>
      <c r="E745" s="1" t="n">
        <v>46313</v>
      </c>
      <c r="F745" t="inlineStr">
        <is>
          <t>GÄVLEBORGS LÄN</t>
        </is>
      </c>
      <c r="G745" t="inlineStr">
        <is>
          <t>GÄVLE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37553-2026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46276</v>
      </c>
      <c r="E746" s="1" t="n">
        <v>46313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37765-2026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46279</v>
      </c>
      <c r="E747" s="1" t="n">
        <v>46313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38012-2026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46280</v>
      </c>
      <c r="E748" s="1" t="n">
        <v>46313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46313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46313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46280</v>
      </c>
      <c r="E751" s="1" t="n">
        <v>46313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37937-2026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46280</v>
      </c>
      <c r="E752" s="1" t="n">
        <v>46313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38130-2026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46281</v>
      </c>
      <c r="E753" s="1" t="n">
        <v>46313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38049-2026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46280</v>
      </c>
      <c r="E754" s="1" t="n">
        <v>46313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37934-2026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46280</v>
      </c>
      <c r="E755" s="1" t="n">
        <v>46313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45266</v>
      </c>
      <c r="E756" s="1" t="n">
        <v>46313</v>
      </c>
      <c r="F756" t="inlineStr">
        <is>
          <t>GÄVLEBORGS LÄN</t>
        </is>
      </c>
      <c r="G756" t="inlineStr">
        <is>
          <t>GÄVLE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38144-2026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46281</v>
      </c>
      <c r="E757" s="1" t="n">
        <v>46313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17245-2024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45414</v>
      </c>
      <c r="E758" s="1" t="n">
        <v>46313</v>
      </c>
      <c r="F758" t="inlineStr">
        <is>
          <t>GÄVLEBORGS LÄN</t>
        </is>
      </c>
      <c r="G758" t="inlineStr">
        <is>
          <t>GÄVLE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46313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38331-2026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46313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62255-2022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44922</v>
      </c>
      <c r="E761" s="1" t="n">
        <v>46313</v>
      </c>
      <c r="F761" t="inlineStr">
        <is>
          <t>GÄVLEBORGS LÄN</t>
        </is>
      </c>
      <c r="G761" t="inlineStr">
        <is>
          <t>GÄVLE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46313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45631</v>
      </c>
      <c r="E763" s="1" t="n">
        <v>46313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9422-2025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45715</v>
      </c>
      <c r="E764" s="1" t="n">
        <v>46313</v>
      </c>
      <c r="F764" t="inlineStr">
        <is>
          <t>GÄVLEBORGS LÄN</t>
        </is>
      </c>
      <c r="G764" t="inlineStr">
        <is>
          <t>GÄVLE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38524-2026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46283</v>
      </c>
      <c r="E765" s="1" t="n">
        <v>46313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38336-2026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46282</v>
      </c>
      <c r="E766" s="1" t="n">
        <v>46313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61843-2023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45266</v>
      </c>
      <c r="E767" s="1" t="n">
        <v>46313</v>
      </c>
      <c r="F767" t="inlineStr">
        <is>
          <t>GÄVLEBORGS LÄN</t>
        </is>
      </c>
      <c r="G767" t="inlineStr">
        <is>
          <t>GÄVLE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46239</v>
      </c>
      <c r="E768" s="1" t="n">
        <v>46313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46313</v>
      </c>
      <c r="F769" t="inlineStr">
        <is>
          <t>GÄVLEBORGS LÄN</t>
        </is>
      </c>
      <c r="G769" t="inlineStr">
        <is>
          <t>GÄVLE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46313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46283</v>
      </c>
      <c r="E771" s="1" t="n">
        <v>46313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46313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33449-2024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46313</v>
      </c>
      <c r="F773" t="inlineStr">
        <is>
          <t>GÄVLEBORGS LÄN</t>
        </is>
      </c>
      <c r="G773" t="inlineStr">
        <is>
          <t>GÄVLE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46283</v>
      </c>
      <c r="E774" s="1" t="n">
        <v>46313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46283</v>
      </c>
      <c r="E775" s="1" t="n">
        <v>46313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35440-2023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45146</v>
      </c>
      <c r="E776" s="1" t="n">
        <v>46313</v>
      </c>
      <c r="F776" t="inlineStr">
        <is>
          <t>GÄVLEBORGS LÄN</t>
        </is>
      </c>
      <c r="G776" t="inlineStr">
        <is>
          <t>GÄVLE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46313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46313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38386-2026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46313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3662-2022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44586</v>
      </c>
      <c r="E780" s="1" t="n">
        <v>46313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45705</v>
      </c>
      <c r="E781" s="1" t="n">
        <v>46313</v>
      </c>
      <c r="F781" t="inlineStr">
        <is>
          <t>GÄVLEBORGS LÄN</t>
        </is>
      </c>
      <c r="G781" t="inlineStr">
        <is>
          <t>GÄVLE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38333-2026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46282</v>
      </c>
      <c r="E782" s="1" t="n">
        <v>46313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46282</v>
      </c>
      <c r="E783" s="1" t="n">
        <v>46313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46313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38393-2026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46282</v>
      </c>
      <c r="E785" s="1" t="n">
        <v>46313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46313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38587-2026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46283</v>
      </c>
      <c r="E787" s="1" t="n">
        <v>46313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45530</v>
      </c>
      <c r="E788" s="1" t="n">
        <v>46313</v>
      </c>
      <c r="F788" t="inlineStr">
        <is>
          <t>GÄVLEBORGS LÄN</t>
        </is>
      </c>
      <c r="G788" t="inlineStr">
        <is>
          <t>GÄVLE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38623-2026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46283</v>
      </c>
      <c r="E789" s="1" t="n">
        <v>46313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8.5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46283</v>
      </c>
      <c r="E790" s="1" t="n">
        <v>46313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38653-2026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46313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38588-2026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46313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44927</v>
      </c>
      <c r="E793" s="1" t="n">
        <v>46313</v>
      </c>
      <c r="F793" t="inlineStr">
        <is>
          <t>GÄVLEBORGS LÄN</t>
        </is>
      </c>
      <c r="G793" t="inlineStr">
        <is>
          <t>GÄVLE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38584-2026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46313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44806-2024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45574</v>
      </c>
      <c r="E795" s="1" t="n">
        <v>46313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38979-2026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46313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46313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39031-2026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46313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52250-2024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45608</v>
      </c>
      <c r="E799" s="1" t="n">
        <v>46313</v>
      </c>
      <c r="F799" t="inlineStr">
        <is>
          <t>GÄVLEBORGS LÄN</t>
        </is>
      </c>
      <c r="G799" t="inlineStr">
        <is>
          <t>GÄVLE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39227-2026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46287</v>
      </c>
      <c r="E800" s="1" t="n">
        <v>46313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30875-2022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44767</v>
      </c>
      <c r="E801" s="1" t="n">
        <v>46313</v>
      </c>
      <c r="F801" t="inlineStr">
        <is>
          <t>GÄVLEBORGS LÄN</t>
        </is>
      </c>
      <c r="G801" t="inlineStr">
        <is>
          <t>GÄVLE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39120-2026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46287</v>
      </c>
      <c r="E802" s="1" t="n">
        <v>46313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38997-2026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46313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60349-2022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44910</v>
      </c>
      <c r="E804" s="1" t="n">
        <v>46313</v>
      </c>
      <c r="F804" t="inlineStr">
        <is>
          <t>GÄVLEBORGS LÄN</t>
        </is>
      </c>
      <c r="G804" t="inlineStr">
        <is>
          <t>GÄVLE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39083-2026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46313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41100-2024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45559</v>
      </c>
      <c r="E806" s="1" t="n">
        <v>46313</v>
      </c>
      <c r="F806" t="inlineStr">
        <is>
          <t>GÄVLEBORGS LÄN</t>
        </is>
      </c>
      <c r="G806" t="inlineStr">
        <is>
          <t>GÄVLE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32888-2026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46313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46313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39021-2026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46313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46313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33231-2026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46246</v>
      </c>
      <c r="E811" s="1" t="n">
        <v>46313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16401-2025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45751</v>
      </c>
      <c r="E812" s="1" t="n">
        <v>46313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33346-2026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46313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33349-2026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46313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39684-2026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46289</v>
      </c>
      <c r="E815" s="1" t="n">
        <v>46313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46246</v>
      </c>
      <c r="E816" s="1" t="n">
        <v>46313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46246</v>
      </c>
      <c r="E817" s="1" t="n">
        <v>46313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5633-2024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45334</v>
      </c>
      <c r="E818" s="1" t="n">
        <v>46313</v>
      </c>
      <c r="F818" t="inlineStr">
        <is>
          <t>GÄVLEBORGS LÄN</t>
        </is>
      </c>
      <c r="G818" t="inlineStr">
        <is>
          <t>GÄVLE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13961-2024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45392</v>
      </c>
      <c r="E819" s="1" t="n">
        <v>46313</v>
      </c>
      <c r="F819" t="inlineStr">
        <is>
          <t>GÄVLEBORGS LÄN</t>
        </is>
      </c>
      <c r="G819" t="inlineStr">
        <is>
          <t>GÄVLE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39685-2026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46313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39534-2026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46289</v>
      </c>
      <c r="E821" s="1" t="n">
        <v>46313</v>
      </c>
      <c r="F821" t="inlineStr">
        <is>
          <t>GÄVLEBORGS LÄN</t>
        </is>
      </c>
      <c r="G821" t="inlineStr">
        <is>
          <t>GÄVLE</t>
        </is>
      </c>
      <c r="I821" t="n">
        <v>7.1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46246</v>
      </c>
      <c r="E822" s="1" t="n">
        <v>46313</v>
      </c>
      <c r="F822" t="inlineStr">
        <is>
          <t>GÄVLEBORGS LÄN</t>
        </is>
      </c>
      <c r="G822" t="inlineStr">
        <is>
          <t>GÄVLE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25466-2023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45089</v>
      </c>
      <c r="E823" s="1" t="n">
        <v>46313</v>
      </c>
      <c r="F823" t="inlineStr">
        <is>
          <t>GÄVLEBORGS LÄN</t>
        </is>
      </c>
      <c r="G823" t="inlineStr">
        <is>
          <t>GÄVLE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46313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39437-2026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46288</v>
      </c>
      <c r="E825" s="1" t="n">
        <v>46313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33662-2026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46313</v>
      </c>
      <c r="F826" t="inlineStr">
        <is>
          <t>GÄVLEBORGS LÄN</t>
        </is>
      </c>
      <c r="G826" t="inlineStr">
        <is>
          <t>GÄVLE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46313</v>
      </c>
      <c r="F827" t="inlineStr">
        <is>
          <t>GÄVLEBORGS LÄN</t>
        </is>
      </c>
      <c r="G827" t="inlineStr">
        <is>
          <t>GÄVLE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7060-2022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44603</v>
      </c>
      <c r="E828" s="1" t="n">
        <v>46313</v>
      </c>
      <c r="F828" t="inlineStr">
        <is>
          <t>GÄVLEBORGS LÄN</t>
        </is>
      </c>
      <c r="G828" t="inlineStr">
        <is>
          <t>GÄVLE</t>
        </is>
      </c>
      <c r="I828" t="n">
        <v>10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41708-2023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46313</v>
      </c>
      <c r="F829" t="inlineStr">
        <is>
          <t>GÄVLEBORGS LÄN</t>
        </is>
      </c>
      <c r="G829" t="inlineStr">
        <is>
          <t>GÄVLE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41712-2023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45176</v>
      </c>
      <c r="E830" s="1" t="n">
        <v>46313</v>
      </c>
      <c r="F830" t="inlineStr">
        <is>
          <t>GÄVLEBORGS LÄN</t>
        </is>
      </c>
      <c r="G830" t="inlineStr">
        <is>
          <t>GÄVLE</t>
        </is>
      </c>
      <c r="I830" t="n">
        <v>7.8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44959</v>
      </c>
      <c r="E831" s="1" t="n">
        <v>46313</v>
      </c>
      <c r="F831" t="inlineStr">
        <is>
          <t>GÄVLEBORGS LÄN</t>
        </is>
      </c>
      <c r="G831" t="inlineStr">
        <is>
          <t>GÄVLE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28624-2025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45819</v>
      </c>
      <c r="E832" s="1" t="n">
        <v>46313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33586-2026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46248</v>
      </c>
      <c r="E833" s="1" t="n">
        <v>46313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46313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27048-2026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46313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46313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46313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46248</v>
      </c>
      <c r="E838" s="1" t="n">
        <v>46313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39729-2026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46290</v>
      </c>
      <c r="E839" s="1" t="n">
        <v>46313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20.9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46313</v>
      </c>
      <c r="F840" t="inlineStr">
        <is>
          <t>GÄVLEBORGS LÄN</t>
        </is>
      </c>
      <c r="G840" t="inlineStr">
        <is>
          <t>GÄVLE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39766-2026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46290</v>
      </c>
      <c r="E841" s="1" t="n">
        <v>46313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45240</v>
      </c>
      <c r="E842" s="1" t="n">
        <v>46313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39805-2026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46290</v>
      </c>
      <c r="E843" s="1" t="n">
        <v>46313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39891-2026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46290</v>
      </c>
      <c r="E844" s="1" t="n">
        <v>46313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40118-2026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46313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39702-2026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46290</v>
      </c>
      <c r="E846" s="1" t="n">
        <v>46313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46313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46313</v>
      </c>
      <c r="F848" t="inlineStr">
        <is>
          <t>GÄVLEBORGS LÄN</t>
        </is>
      </c>
      <c r="G848" t="inlineStr">
        <is>
          <t>GÄVLE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33637-2024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45520</v>
      </c>
      <c r="E849" s="1" t="n">
        <v>46313</v>
      </c>
      <c r="F849" t="inlineStr">
        <is>
          <t>GÄVLEBORGS LÄN</t>
        </is>
      </c>
      <c r="G849" t="inlineStr">
        <is>
          <t>GÄVLE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46313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46313</v>
      </c>
      <c r="F851" t="inlineStr">
        <is>
          <t>GÄVLEBORGS LÄN</t>
        </is>
      </c>
      <c r="G851" t="inlineStr">
        <is>
          <t>GÄVLE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46169</v>
      </c>
      <c r="E852" s="1" t="n">
        <v>46313</v>
      </c>
      <c r="F852" t="inlineStr">
        <is>
          <t>GÄVLEBORGS LÄN</t>
        </is>
      </c>
      <c r="G852" t="inlineStr">
        <is>
          <t>GÄVLE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46295</v>
      </c>
      <c r="E853" s="1" t="n">
        <v>46313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40507-2026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46295</v>
      </c>
      <c r="E854" s="1" t="n">
        <v>46313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54207-2023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45232</v>
      </c>
      <c r="E856" s="1" t="n">
        <v>46313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15935-2025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45749</v>
      </c>
      <c r="E857" s="1" t="n">
        <v>46313</v>
      </c>
      <c r="F857" t="inlineStr">
        <is>
          <t>GÄVLEBORGS LÄN</t>
        </is>
      </c>
      <c r="G857" t="inlineStr">
        <is>
          <t>GÄVLE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40504-2026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46295</v>
      </c>
      <c r="E858" s="1" t="n">
        <v>46313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34033-2026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46252</v>
      </c>
      <c r="E859" s="1" t="n">
        <v>46313</v>
      </c>
      <c r="F859" t="inlineStr">
        <is>
          <t>GÄVLEBORGS LÄN</t>
        </is>
      </c>
      <c r="G859" t="inlineStr">
        <is>
          <t>GÄVLE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25814-2023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45090</v>
      </c>
      <c r="E860" s="1" t="n">
        <v>46313</v>
      </c>
      <c r="F860" t="inlineStr">
        <is>
          <t>GÄVLEBORGS LÄN</t>
        </is>
      </c>
      <c r="G860" t="inlineStr">
        <is>
          <t>GÄVLE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45014</v>
      </c>
      <c r="E861" s="1" t="n">
        <v>46313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12079-2025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45728</v>
      </c>
      <c r="E862" s="1" t="n">
        <v>46313</v>
      </c>
      <c r="F862" t="inlineStr">
        <is>
          <t>GÄVLEBORGS LÄN</t>
        </is>
      </c>
      <c r="G862" t="inlineStr">
        <is>
          <t>GÄVLE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45306</v>
      </c>
      <c r="E863" s="1" t="n">
        <v>46313</v>
      </c>
      <c r="F863" t="inlineStr">
        <is>
          <t>GÄVLEBORGS LÄN</t>
        </is>
      </c>
      <c r="G863" t="inlineStr">
        <is>
          <t>GÄVLE</t>
        </is>
      </c>
      <c r="I863" t="n">
        <v>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14974-2026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46104</v>
      </c>
      <c r="E864" s="1" t="n">
        <v>46313</v>
      </c>
      <c r="F864" t="inlineStr">
        <is>
          <t>GÄVLEBORGS LÄN</t>
        </is>
      </c>
      <c r="G864" t="inlineStr">
        <is>
          <t>GÄVLE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23117-2026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46313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40375-2026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46294</v>
      </c>
      <c r="E866" s="1" t="n">
        <v>46313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40943-2026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46297</v>
      </c>
      <c r="E867" s="1" t="n">
        <v>46313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40947-2026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46297</v>
      </c>
      <c r="E868" s="1" t="n">
        <v>46313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40896-2026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46297</v>
      </c>
      <c r="E869" s="1" t="n">
        <v>46313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62983-2023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45272</v>
      </c>
      <c r="E870" s="1" t="n">
        <v>46313</v>
      </c>
      <c r="F870" t="inlineStr">
        <is>
          <t>GÄVLEBORGS LÄN</t>
        </is>
      </c>
      <c r="G870" t="inlineStr">
        <is>
          <t>GÄVLE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46254</v>
      </c>
      <c r="E871" s="1" t="n">
        <v>46313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27051-2026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46313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33901-2024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45523</v>
      </c>
      <c r="E873" s="1" t="n">
        <v>46313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40791-2026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46296</v>
      </c>
      <c r="E874" s="1" t="n">
        <v>46313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8298-2026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46063</v>
      </c>
      <c r="E875" s="1" t="n">
        <v>46313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54959-2025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45967</v>
      </c>
      <c r="E876" s="1" t="n">
        <v>46313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46254</v>
      </c>
      <c r="E877" s="1" t="n">
        <v>46313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40938-2026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46297</v>
      </c>
      <c r="E878" s="1" t="n">
        <v>46313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40941-2026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46297</v>
      </c>
      <c r="E879" s="1" t="n">
        <v>46313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40948-2026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46297</v>
      </c>
      <c r="E880" s="1" t="n">
        <v>46313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46297</v>
      </c>
      <c r="E881" s="1" t="n">
        <v>46313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50345-2025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45944</v>
      </c>
      <c r="E882" s="1" t="n">
        <v>46313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54960-2025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45967</v>
      </c>
      <c r="E883" s="1" t="n">
        <v>46313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34822-2026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46258</v>
      </c>
      <c r="E884" s="1" t="n">
        <v>46313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34686-2026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46258</v>
      </c>
      <c r="E885" s="1" t="n">
        <v>46313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25808-2026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46313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58925-2025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45987</v>
      </c>
      <c r="E887" s="1" t="n">
        <v>46313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27040-2026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46185</v>
      </c>
      <c r="E888" s="1" t="n">
        <v>46313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20621-2025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45776</v>
      </c>
      <c r="E889" s="1" t="n">
        <v>46313</v>
      </c>
      <c r="F889" t="inlineStr">
        <is>
          <t>GÄVLEBORGS LÄN</t>
        </is>
      </c>
      <c r="G889" t="inlineStr">
        <is>
          <t>GÄVLE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41542-2026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46301</v>
      </c>
      <c r="E890" s="1" t="n">
        <v>46313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45938-2024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45580</v>
      </c>
      <c r="E891" s="1" t="n">
        <v>46313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46313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41543-2026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46301</v>
      </c>
      <c r="E893" s="1" t="n">
        <v>46313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41106-2026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46300</v>
      </c>
      <c r="E894" s="1" t="n">
        <v>46313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21431-2025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45782</v>
      </c>
      <c r="E895" s="1" t="n">
        <v>46313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21367-2026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46147</v>
      </c>
      <c r="E896" s="1" t="n">
        <v>46313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30600-2026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46210</v>
      </c>
      <c r="E897" s="1" t="n">
        <v>46313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13500-2026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46313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38191-2026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46281</v>
      </c>
      <c r="E899" s="1" t="n">
        <v>46313</v>
      </c>
      <c r="F899" t="inlineStr">
        <is>
          <t>GÄVLEBORGS LÄN</t>
        </is>
      </c>
      <c r="G899" t="inlineStr">
        <is>
          <t>GÄVLE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7202-2025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45702</v>
      </c>
      <c r="E900" s="1" t="n">
        <v>46313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46147</v>
      </c>
      <c r="E901" s="1" t="n">
        <v>46313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26016-2026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46181</v>
      </c>
      <c r="E902" s="1" t="n">
        <v>46313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59044-2023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45252</v>
      </c>
      <c r="E903" s="1" t="n">
        <v>46313</v>
      </c>
      <c r="F903" t="inlineStr">
        <is>
          <t>GÄVLEBORGS LÄN</t>
        </is>
      </c>
      <c r="G903" t="inlineStr">
        <is>
          <t>GÄVLE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38051-2026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46313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41544-2026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46301</v>
      </c>
      <c r="E905" s="1" t="n">
        <v>46313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34590-2026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46255</v>
      </c>
      <c r="E906" s="1" t="n">
        <v>46313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34593-2026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46255</v>
      </c>
      <c r="E907" s="1" t="n">
        <v>46313</v>
      </c>
      <c r="F907" t="inlineStr">
        <is>
          <t>GÄVLEBORGS LÄN</t>
        </is>
      </c>
      <c r="G907" t="inlineStr">
        <is>
          <t>GÄVLE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7451-2025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45705</v>
      </c>
      <c r="E908" s="1" t="n">
        <v>46313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11572-2026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46084</v>
      </c>
      <c r="E909" s="1" t="n">
        <v>46313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13475-2026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46313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18217-2024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45420</v>
      </c>
      <c r="E911" s="1" t="n">
        <v>46313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23291-2025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46313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23232-2025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45791</v>
      </c>
      <c r="E913" s="1" t="n">
        <v>46313</v>
      </c>
      <c r="F913" t="inlineStr">
        <is>
          <t>GÄVLEBORGS LÄN</t>
        </is>
      </c>
      <c r="G913" t="inlineStr">
        <is>
          <t>GÄVLE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22879-2025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45790</v>
      </c>
      <c r="E914" s="1" t="n">
        <v>46313</v>
      </c>
      <c r="F914" t="inlineStr">
        <is>
          <t>GÄVLEBORGS LÄN</t>
        </is>
      </c>
      <c r="G914" t="inlineStr">
        <is>
          <t>GÄVLE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14553-2026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46100</v>
      </c>
      <c r="E915" s="1" t="n">
        <v>46313</v>
      </c>
      <c r="F915" t="inlineStr">
        <is>
          <t>GÄVLEBORGS LÄN</t>
        </is>
      </c>
      <c r="G915" t="inlineStr">
        <is>
          <t>GÄVLE</t>
        </is>
      </c>
      <c r="H915" t="inlineStr">
        <is>
          <t>Övriga statliga verk och myndigheter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23324-2025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45791</v>
      </c>
      <c r="E916" s="1" t="n">
        <v>46313</v>
      </c>
      <c r="F916" t="inlineStr">
        <is>
          <t>GÄVLEBORGS LÄN</t>
        </is>
      </c>
      <c r="G916" t="inlineStr">
        <is>
          <t>GÄVLE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13046-2026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46093</v>
      </c>
      <c r="E917" s="1" t="n">
        <v>46313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40790-2026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46296</v>
      </c>
      <c r="E918" s="1" t="n">
        <v>46313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22923-2025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45790</v>
      </c>
      <c r="E919" s="1" t="n">
        <v>46313</v>
      </c>
      <c r="F919" t="inlineStr">
        <is>
          <t>GÄVLEBORGS LÄN</t>
        </is>
      </c>
      <c r="G919" t="inlineStr">
        <is>
          <t>GÄVLE</t>
        </is>
      </c>
      <c r="I919" t="n">
        <v>20.8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35120-2026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46260</v>
      </c>
      <c r="E920" s="1" t="n">
        <v>46313</v>
      </c>
      <c r="F920" t="inlineStr">
        <is>
          <t>GÄVLEBORGS LÄN</t>
        </is>
      </c>
      <c r="G920" t="inlineStr">
        <is>
          <t>GÄVLE</t>
        </is>
      </c>
      <c r="I920" t="n">
        <v>5.6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45660</v>
      </c>
      <c r="E921" s="1" t="n">
        <v>46313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42029-2026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46304</v>
      </c>
      <c r="E922" s="1" t="n">
        <v>46313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35302-2026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46261</v>
      </c>
      <c r="E923" s="1" t="n">
        <v>46313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42112-2026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46304</v>
      </c>
      <c r="E924" s="1" t="n">
        <v>46313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7.3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35495-2026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46262</v>
      </c>
      <c r="E925" s="1" t="n">
        <v>46313</v>
      </c>
      <c r="F925" t="inlineStr">
        <is>
          <t>GÄVLEBORGS LÄN</t>
        </is>
      </c>
      <c r="G925" t="inlineStr">
        <is>
          <t>GÄVLE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35561-2026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46262</v>
      </c>
      <c r="E926" s="1" t="n">
        <v>46313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42080-2026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46304</v>
      </c>
      <c r="E927" s="1" t="n">
        <v>46313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35577-2026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46262</v>
      </c>
      <c r="E928" s="1" t="n">
        <v>46313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46313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5.2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42040-2026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46304</v>
      </c>
      <c r="E930" s="1" t="n">
        <v>46313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24228-2025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45797</v>
      </c>
      <c r="E931" s="1" t="n">
        <v>46313</v>
      </c>
      <c r="F931" t="inlineStr">
        <is>
          <t>GÄVLEBORGS LÄN</t>
        </is>
      </c>
      <c r="G931" t="inlineStr">
        <is>
          <t>GÄVLE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46261</v>
      </c>
      <c r="E932" s="1" t="n">
        <v>46313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35388-2026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46261</v>
      </c>
      <c r="E933" s="1" t="n">
        <v>46313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55878-2024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45623</v>
      </c>
      <c r="E934" s="1" t="n">
        <v>46313</v>
      </c>
      <c r="F934" t="inlineStr">
        <is>
          <t>GÄVLEBORGS LÄN</t>
        </is>
      </c>
      <c r="G934" t="inlineStr">
        <is>
          <t>GÄVLE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42046-2026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46304</v>
      </c>
      <c r="E935" s="1" t="n">
        <v>46313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41793-2026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46303</v>
      </c>
      <c r="E936" s="1" t="n">
        <v>46313</v>
      </c>
      <c r="F936" t="inlineStr">
        <is>
          <t>GÄVLEBORGS LÄN</t>
        </is>
      </c>
      <c r="G936" t="inlineStr">
        <is>
          <t>GÄVLE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46313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35541-2026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46262</v>
      </c>
      <c r="E938" s="1" t="n">
        <v>46313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42136-2026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46304</v>
      </c>
      <c r="E939" s="1" t="n">
        <v>46313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48913-2024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46313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24225-2025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45797</v>
      </c>
      <c r="E941" s="1" t="n">
        <v>46313</v>
      </c>
      <c r="F941" t="inlineStr">
        <is>
          <t>GÄVLEBORGS LÄN</t>
        </is>
      </c>
      <c r="G941" t="inlineStr">
        <is>
          <t>GÄVLE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58373-2024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46313</v>
      </c>
      <c r="F942" t="inlineStr">
        <is>
          <t>GÄVLEBORGS LÄN</t>
        </is>
      </c>
      <c r="G942" t="inlineStr">
        <is>
          <t>GÄVLE</t>
        </is>
      </c>
      <c r="I942" t="n">
        <v>13.1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31367-2024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45505</v>
      </c>
      <c r="E943" s="1" t="n">
        <v>46313</v>
      </c>
      <c r="F943" t="inlineStr">
        <is>
          <t>GÄVLEBORGS LÄN</t>
        </is>
      </c>
      <c r="G943" t="inlineStr">
        <is>
          <t>GÄVLE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24614-2025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45798</v>
      </c>
      <c r="E944" s="1" t="n">
        <v>46313</v>
      </c>
      <c r="F944" t="inlineStr">
        <is>
          <t>GÄVLEBORGS LÄN</t>
        </is>
      </c>
      <c r="G944" t="inlineStr">
        <is>
          <t>GÄVLE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42061-2026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46304</v>
      </c>
      <c r="E945" s="1" t="n">
        <v>46313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42133-2026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46304</v>
      </c>
      <c r="E946" s="1" t="n">
        <v>46313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42137-2026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46304</v>
      </c>
      <c r="E947" s="1" t="n">
        <v>46313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42483-2026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46308</v>
      </c>
      <c r="E948" s="1" t="n">
        <v>46313</v>
      </c>
      <c r="F948" t="inlineStr">
        <is>
          <t>GÄVLEBORGS LÄN</t>
        </is>
      </c>
      <c r="G948" t="inlineStr">
        <is>
          <t>GÄVLE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42511-2026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46308</v>
      </c>
      <c r="E949" s="1" t="n">
        <v>46313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9.9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42560-2026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46308</v>
      </c>
      <c r="E950" s="1" t="n">
        <v>46313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13.2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26564-2022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44739</v>
      </c>
      <c r="E951" s="1" t="n">
        <v>46313</v>
      </c>
      <c r="F951" t="inlineStr">
        <is>
          <t>GÄVLEBORGS LÄN</t>
        </is>
      </c>
      <c r="G951" t="inlineStr">
        <is>
          <t>GÄVLE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42661-2026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46309</v>
      </c>
      <c r="E952" s="1" t="n">
        <v>46313</v>
      </c>
      <c r="F952" t="inlineStr">
        <is>
          <t>GÄVLEBORGS LÄN</t>
        </is>
      </c>
      <c r="G952" t="inlineStr">
        <is>
          <t>GÄVLE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35780-2026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46265</v>
      </c>
      <c r="E953" s="1" t="n">
        <v>46313</v>
      </c>
      <c r="F953" t="inlineStr">
        <is>
          <t>GÄVLEBORGS LÄN</t>
        </is>
      </c>
      <c r="G953" t="inlineStr">
        <is>
          <t>GÄVLE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35818-2026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46265</v>
      </c>
      <c r="E954" s="1" t="n">
        <v>46313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25878-2025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45804</v>
      </c>
      <c r="E955" s="1" t="n">
        <v>46313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27666-2025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45813</v>
      </c>
      <c r="E956" s="1" t="n">
        <v>46313</v>
      </c>
      <c r="F956" t="inlineStr">
        <is>
          <t>GÄVLEBORGS LÄN</t>
        </is>
      </c>
      <c r="G956" t="inlineStr">
        <is>
          <t>GÄVLE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36558-2026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46313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27611-2025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45813</v>
      </c>
      <c r="E958" s="1" t="n">
        <v>46313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36530-2026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46269</v>
      </c>
      <c r="E959" s="1" t="n">
        <v>46313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28009-2025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45817</v>
      </c>
      <c r="E960" s="1" t="n">
        <v>46313</v>
      </c>
      <c r="F960" t="inlineStr">
        <is>
          <t>GÄVLEBORGS LÄN</t>
        </is>
      </c>
      <c r="G960" t="inlineStr">
        <is>
          <t>GÄVLE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36091-2026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46267</v>
      </c>
      <c r="E961" s="1" t="n">
        <v>46313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36522-2026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46269</v>
      </c>
      <c r="E962" s="1" t="n">
        <v>46313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28481-2025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45819</v>
      </c>
      <c r="E963" s="1" t="n">
        <v>46313</v>
      </c>
      <c r="F963" t="inlineStr">
        <is>
          <t>GÄVLEBORGS LÄN</t>
        </is>
      </c>
      <c r="G963" t="inlineStr">
        <is>
          <t>GÄVLE</t>
        </is>
      </c>
      <c r="I963" t="n">
        <v>13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31566-2026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46223</v>
      </c>
      <c r="E964" s="1" t="n">
        <v>46313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10.2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36089-2026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46267</v>
      </c>
      <c r="E965" s="1" t="n">
        <v>46313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36093-2026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46267</v>
      </c>
      <c r="E966" s="1" t="n">
        <v>46313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36086-2026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46267</v>
      </c>
      <c r="E967" s="1" t="n">
        <v>46313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36132-2026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46267</v>
      </c>
      <c r="E968" s="1" t="n">
        <v>46313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36512-2026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46269</v>
      </c>
      <c r="E969" s="1" t="n">
        <v>46313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30301-2025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45827</v>
      </c>
      <c r="E970" s="1" t="n">
        <v>46313</v>
      </c>
      <c r="F970" t="inlineStr">
        <is>
          <t>GÄVLEBORGS LÄN</t>
        </is>
      </c>
      <c r="G970" t="inlineStr">
        <is>
          <t>GÄVLE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30202-2025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45827</v>
      </c>
      <c r="E971" s="1" t="n">
        <v>46313</v>
      </c>
      <c r="F971" t="inlineStr">
        <is>
          <t>GÄVLEBORGS LÄN</t>
        </is>
      </c>
      <c r="G971" t="inlineStr">
        <is>
          <t>GÄVLE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14563-2025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45741</v>
      </c>
      <c r="E972" s="1" t="n">
        <v>46313</v>
      </c>
      <c r="F972" t="inlineStr">
        <is>
          <t>GÄVLEBORGS LÄN</t>
        </is>
      </c>
      <c r="G972" t="inlineStr">
        <is>
          <t>GÄVLE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30300-2025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45827</v>
      </c>
      <c r="E973" s="1" t="n">
        <v>46313</v>
      </c>
      <c r="F973" t="inlineStr">
        <is>
          <t>GÄVLEBORGS LÄN</t>
        </is>
      </c>
      <c r="G973" t="inlineStr">
        <is>
          <t>GÄVLE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30304-2025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45827</v>
      </c>
      <c r="E974" s="1" t="n">
        <v>46313</v>
      </c>
      <c r="F974" t="inlineStr">
        <is>
          <t>GÄVLEBORGS LÄN</t>
        </is>
      </c>
      <c r="G974" t="inlineStr">
        <is>
          <t>GÄVLE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30915-2025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45832</v>
      </c>
      <c r="E975" s="1" t="n">
        <v>46313</v>
      </c>
      <c r="F975" t="inlineStr">
        <is>
          <t>GÄVLEBORGS LÄN</t>
        </is>
      </c>
      <c r="G975" t="inlineStr">
        <is>
          <t>GÄVLE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46313</v>
      </c>
      <c r="F976" t="inlineStr">
        <is>
          <t>GÄVLEBORGS LÄN</t>
        </is>
      </c>
      <c r="G976" t="inlineStr">
        <is>
          <t>GÄVLE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32022-2025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45835</v>
      </c>
      <c r="E977" s="1" t="n">
        <v>46313</v>
      </c>
      <c r="F977" t="inlineStr">
        <is>
          <t>GÄVLEBORGS LÄN</t>
        </is>
      </c>
      <c r="G977" t="inlineStr">
        <is>
          <t>GÄVLE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21978-2025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45784</v>
      </c>
      <c r="E978" s="1" t="n">
        <v>46313</v>
      </c>
      <c r="F978" t="inlineStr">
        <is>
          <t>GÄVLEBORGS LÄN</t>
        </is>
      </c>
      <c r="G978" t="inlineStr">
        <is>
          <t>GÄVLE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34116-2025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45845</v>
      </c>
      <c r="E979" s="1" t="n">
        <v>46313</v>
      </c>
      <c r="F979" t="inlineStr">
        <is>
          <t>GÄVLEBORGS LÄN</t>
        </is>
      </c>
      <c r="G979" t="inlineStr">
        <is>
          <t>GÄVLE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34113-2025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45845</v>
      </c>
      <c r="E980" s="1" t="n">
        <v>46313</v>
      </c>
      <c r="F980" t="inlineStr">
        <is>
          <t>GÄVLEBORGS LÄN</t>
        </is>
      </c>
      <c r="G980" t="inlineStr">
        <is>
          <t>GÄVLE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34725-2025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45848</v>
      </c>
      <c r="E981" s="1" t="n">
        <v>46313</v>
      </c>
      <c r="F981" t="inlineStr">
        <is>
          <t>GÄVLEBORGS LÄN</t>
        </is>
      </c>
      <c r="G981" t="inlineStr">
        <is>
          <t>GÄVLE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34722-2025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45848</v>
      </c>
      <c r="E982" s="1" t="n">
        <v>46313</v>
      </c>
      <c r="F982" t="inlineStr">
        <is>
          <t>GÄVLEBORGS LÄN</t>
        </is>
      </c>
      <c r="G982" t="inlineStr">
        <is>
          <t>GÄVLE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37253-2024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45540</v>
      </c>
      <c r="E983" s="1" t="n">
        <v>46313</v>
      </c>
      <c r="F983" t="inlineStr">
        <is>
          <t>GÄVLEBORGS LÄN</t>
        </is>
      </c>
      <c r="G983" t="inlineStr">
        <is>
          <t>GÄVLE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35337-2025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45854</v>
      </c>
      <c r="E984" s="1" t="n">
        <v>46313</v>
      </c>
      <c r="F984" t="inlineStr">
        <is>
          <t>GÄVLEBORGS LÄN</t>
        </is>
      </c>
      <c r="G984" t="inlineStr">
        <is>
          <t>GÄVLE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35650-2025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45859</v>
      </c>
      <c r="E985" s="1" t="n">
        <v>46313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35878-2025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45862</v>
      </c>
      <c r="E986" s="1" t="n">
        <v>46313</v>
      </c>
      <c r="F986" t="inlineStr">
        <is>
          <t>GÄVLEBORGS LÄN</t>
        </is>
      </c>
      <c r="G986" t="inlineStr">
        <is>
          <t>GÄVLE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35938-2025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45862</v>
      </c>
      <c r="E987" s="1" t="n">
        <v>46313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3.9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35919-2025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45862</v>
      </c>
      <c r="E988" s="1" t="n">
        <v>46313</v>
      </c>
      <c r="F988" t="inlineStr">
        <is>
          <t>GÄVLEBORGS LÄN</t>
        </is>
      </c>
      <c r="G988" t="inlineStr">
        <is>
          <t>GÄVLE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36106-2025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45866</v>
      </c>
      <c r="E989" s="1" t="n">
        <v>46313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36255-2025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45867</v>
      </c>
      <c r="E990" s="1" t="n">
        <v>46313</v>
      </c>
      <c r="F990" t="inlineStr">
        <is>
          <t>GÄVLEBORGS LÄN</t>
        </is>
      </c>
      <c r="G990" t="inlineStr">
        <is>
          <t>GÄVLE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36493-2025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45869</v>
      </c>
      <c r="E991" s="1" t="n">
        <v>46313</v>
      </c>
      <c r="F991" t="inlineStr">
        <is>
          <t>GÄVLEBORGS LÄN</t>
        </is>
      </c>
      <c r="G991" t="inlineStr">
        <is>
          <t>GÄVLE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46313</v>
      </c>
      <c r="F992" t="inlineStr">
        <is>
          <t>GÄVLEBORGS LÄN</t>
        </is>
      </c>
      <c r="G992" t="inlineStr">
        <is>
          <t>GÄVLE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36680-2025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45873</v>
      </c>
      <c r="E993" s="1" t="n">
        <v>46313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38240-2024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46313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14093-2025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46313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S 3425-2023</t>
        </is>
      </c>
      <c r="B996" t="inlineStr">
        <is>
          <t>samrådsanmälan</t>
        </is>
      </c>
      <c r="C996" t="inlineStr">
        <is>
          <t>Annan skogsbruksåtgärd</t>
        </is>
      </c>
      <c r="D996" s="1" t="n">
        <v>45205</v>
      </c>
      <c r="E996" s="1" t="n">
        <v>46313</v>
      </c>
      <c r="F996" t="inlineStr">
        <is>
          <t>GÄVLEBORGS LÄN</t>
        </is>
      </c>
      <c r="G996" t="inlineStr">
        <is>
          <t>GÄVLE</t>
        </is>
      </c>
      <c r="I996" t="n">
        <v>0.2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  <c r="Z996">
        <f>HYPERLINK("https://klasma.github.io/Logging_2180/knärot/S 3425-2023 karta knärot.png", "S 3425-2023")</f>
        <v/>
      </c>
      <c r="AA996">
        <f>HYPERLINK("https://klasma.github.io/Logging_2180/klagomål/S 3425-2023 FSC-klagomål.docx", "S 3425-2023")</f>
        <v/>
      </c>
      <c r="AB996">
        <f>HYPERLINK("https://klasma.github.io/Logging_2180/klagomålsmail/S 3425-2023 FSC-klagomål mail.docx", "S 3425-2023")</f>
        <v/>
      </c>
      <c r="AC996">
        <f>HYPERLINK("https://klasma.github.io/Logging_2180/tillsyn/S 3425-2023 tillsynsbegäran.docx", "S 3425-2023")</f>
        <v/>
      </c>
      <c r="AD996">
        <f>HYPERLINK("https://klasma.github.io/Logging_2180/tillsynsmail/S 3425-2023 tillsynsbegäran mail.docx", "S 3425-2023")</f>
        <v/>
      </c>
    </row>
    <row r="997" ht="15" customHeight="1">
      <c r="A997" t="inlineStr">
        <is>
          <t>S 889-2023</t>
        </is>
      </c>
      <c r="B997" t="inlineStr">
        <is>
          <t>samrådsanmälan</t>
        </is>
      </c>
      <c r="C997" t="inlineStr">
        <is>
          <t>Skogsgödsling</t>
        </is>
      </c>
      <c r="D997" s="1" t="n">
        <v>44995</v>
      </c>
      <c r="E997" s="1" t="n">
        <v>46313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väst AB</t>
        </is>
      </c>
      <c r="I997" t="n">
        <v>13.3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886-2024</t>
        </is>
      </c>
      <c r="B998" t="inlineStr">
        <is>
          <t>samrådsanmälan</t>
        </is>
      </c>
      <c r="C998" t="inlineStr">
        <is>
          <t>Annan skogsbruksåtgärd</t>
        </is>
      </c>
      <c r="D998" s="1" t="n">
        <v>45376</v>
      </c>
      <c r="E998" s="1" t="n">
        <v>46313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11.9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S 2464-2024</t>
        </is>
      </c>
      <c r="B999" t="inlineStr">
        <is>
          <t>samrådsanmälan</t>
        </is>
      </c>
      <c r="C999" t="inlineStr">
        <is>
          <t>Skogsbilväg</t>
        </is>
      </c>
      <c r="D999" s="1" t="n">
        <v>45470</v>
      </c>
      <c r="E999" s="1" t="n">
        <v>46313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>
      <c r="A1000" t="inlineStr">
        <is>
          <t>S 644-2026</t>
        </is>
      </c>
      <c r="B1000" t="inlineStr">
        <is>
          <t>samrådsanmälan</t>
        </is>
      </c>
      <c r="C1000" t="inlineStr">
        <is>
          <t>Skogsgödsling</t>
        </is>
      </c>
      <c r="D1000" s="1" t="n">
        <v>46089</v>
      </c>
      <c r="E1000" s="1" t="n">
        <v>46313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29.2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2026-10-18T08:05:18Z</dcterms:created>
  <dcterms:modified xmlns:dcterms="http://purl.org/dc/terms/" xmlns:xsi="http://www.w3.org/2001/XMLSchema-instance" xsi:type="dcterms:W3CDTF">2026-10-18T08:05:19Z</dcterms:modified>
</cp:coreProperties>
</file>