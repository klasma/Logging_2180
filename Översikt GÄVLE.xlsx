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46304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46304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46304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46304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46304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46304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46304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46304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46304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45107</v>
      </c>
      <c r="E19" s="1" t="n">
        <v>46304</v>
      </c>
      <c r="F19" t="inlineStr">
        <is>
          <t>GÄVLEBORGS LÄN</t>
        </is>
      </c>
      <c r="G19" t="inlineStr">
        <is>
          <t>GÄVLE</t>
        </is>
      </c>
      <c r="I19" t="n">
        <v>1.4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5</v>
      </c>
      <c r="V19" s="2" t="inlineStr">
        <is>
          <t>Brunlångöra
Järnsparv
Nordfladdermus
Kungsfågel
Vattenfladdermus</t>
        </is>
      </c>
      <c r="W19">
        <f>HYPERLINK("https://klasma.github.io/Logging_2180/artfynd/A 29840-2023 artfynd.xlsx", "A 29840-2023")</f>
        <v/>
      </c>
      <c r="X19">
        <f>HYPERLINK("https://klasma.github.io/Logging_2180/kartor/A 29840-2023 karta.png", "A 29840-2023")</f>
        <v/>
      </c>
      <c r="Y19">
        <f>HYPERLINK("https://klasma.github.io/Logging_2180/kartor_geotiff/A 29840-2023 georefererad karta.tif", "A 29840-2023")</f>
        <v/>
      </c>
      <c r="AA19">
        <f>HYPERLINK("https://klasma.github.io/Logging_2180/klagomål/A 29840-2023 FSC-klagomål.docx", "A 29840-2023")</f>
        <v/>
      </c>
      <c r="AB19">
        <f>HYPERLINK("https://klasma.github.io/Logging_2180/klagomålsmail/A 29840-2023 FSC-klagomål mail.docx", "A 29840-2023")</f>
        <v/>
      </c>
      <c r="AC19">
        <f>HYPERLINK("https://klasma.github.io/Logging_2180/tillsyn/A 29840-2023 tillsynsbegäran.docx", "A 29840-2023")</f>
        <v/>
      </c>
      <c r="AD19">
        <f>HYPERLINK("https://klasma.github.io/Logging_2180/tillsynsmail/A 29840-2023 tillsynsbegäran mail.docx", "A 29840-2023")</f>
        <v/>
      </c>
      <c r="AE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46304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46304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46304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46304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46304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46304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46304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46304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46304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46304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46304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46304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46304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46304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24904-2026 artfynd.xlsx", "A 24904-2026")</f>
        <v/>
      </c>
      <c r="X36">
        <f>HYPERLINK("https://klasma.github.io/Logging_2180/kartor/A 24904-2026 karta.png", "A 24904-2026")</f>
        <v/>
      </c>
      <c r="Y36">
        <f>HYPERLINK("https://klasma.github.io/Logging_2180/kartor_geotiff/A 24904-2026 georefererad karta.tif", "A 24904-2026")</f>
        <v/>
      </c>
      <c r="AA36">
        <f>HYPERLINK("https://klasma.github.io/Logging_2180/klagomål/A 24904-2026 FSC-klagomål.docx", "A 24904-2026")</f>
        <v/>
      </c>
      <c r="AB36">
        <f>HYPERLINK("https://klasma.github.io/Logging_2180/klagomålsmail/A 24904-2026 FSC-klagomål mail.docx", "A 24904-2026")</f>
        <v/>
      </c>
      <c r="AC36">
        <f>HYPERLINK("https://klasma.github.io/Logging_2180/tillsyn/A 24904-2026 tillsynsbegäran.docx", "A 24904-2026")</f>
        <v/>
      </c>
      <c r="AD36">
        <f>HYPERLINK("https://klasma.github.io/Logging_2180/tillsynsmail/A 24904-2026 tillsynsbegäran mail.docx", "A 24904-2026")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46304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46304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46304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46304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Kattfotslav
Svavelriska</t>
        </is>
      </c>
      <c r="W40">
        <f>HYPERLINK("https://klasma.github.io/Logging_2180/artfynd/A 14891-2024 artfynd.xlsx", "A 14891-2024")</f>
        <v/>
      </c>
      <c r="X40">
        <f>HYPERLINK("https://klasma.github.io/Logging_2180/kartor/A 14891-2024 karta.png", "A 14891-2024")</f>
        <v/>
      </c>
      <c r="Y40">
        <f>HYPERLINK("https://klasma.github.io/Logging_2180/kartor_geotiff/A 14891-2024 georefererad karta.tif", "A 14891-2024")</f>
        <v/>
      </c>
      <c r="AA40">
        <f>HYPERLINK("https://klasma.github.io/Logging_2180/klagomål/A 14891-2024 FSC-klagomål.docx", "A 14891-2024")</f>
        <v/>
      </c>
      <c r="AB40">
        <f>HYPERLINK("https://klasma.github.io/Logging_2180/klagomålsmail/A 14891-2024 FSC-klagomål mail.docx", "A 14891-2024")</f>
        <v/>
      </c>
      <c r="AC40">
        <f>HYPERLINK("https://klasma.github.io/Logging_2180/tillsyn/A 14891-2024 tillsynsbegäran.docx", "A 14891-2024")</f>
        <v/>
      </c>
      <c r="AD40">
        <f>HYPERLINK("https://klasma.github.io/Logging_2180/tillsynsmail/A 14891-2024 tillsynsbegäran mail.docx", "A 14891-2024")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46304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46304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37764-2026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46304</v>
      </c>
      <c r="F43" t="inlineStr">
        <is>
          <t>GÄVLEBORGS LÄN</t>
        </is>
      </c>
      <c r="G43" t="inlineStr">
        <is>
          <t>GÄVLE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Vårärt
Blåsippa
Gullviva</t>
        </is>
      </c>
      <c r="W43">
        <f>HYPERLINK("https://klasma.github.io/Logging_2180/artfynd/A 37764-2026 artfynd.xlsx", "A 37764-2026")</f>
        <v/>
      </c>
      <c r="X43">
        <f>HYPERLINK("https://klasma.github.io/Logging_2180/kartor/A 37764-2026 karta.png", "A 37764-2026")</f>
        <v/>
      </c>
      <c r="Y43">
        <f>HYPERLINK("https://klasma.github.io/Logging_2180/kartor_geotiff/A 37764-2026 georefererad karta.tif", "A 37764-2026")</f>
        <v/>
      </c>
      <c r="AA43">
        <f>HYPERLINK("https://klasma.github.io/Logging_2180/klagomål/A 37764-2026 FSC-klagomål.docx", "A 37764-2026")</f>
        <v/>
      </c>
      <c r="AB43">
        <f>HYPERLINK("https://klasma.github.io/Logging_2180/klagomålsmail/A 37764-2026 FSC-klagomål mail.docx", "A 37764-2026")</f>
        <v/>
      </c>
      <c r="AC43">
        <f>HYPERLINK("https://klasma.github.io/Logging_2180/tillsyn/A 37764-2026 tillsynsbegäran.docx", "A 37764-2026")</f>
        <v/>
      </c>
      <c r="AD43">
        <f>HYPERLINK("https://klasma.github.io/Logging_2180/tillsynsmail/A 37764-2026 tillsynsbegäran mail.docx", "A 37764-2026")</f>
        <v/>
      </c>
    </row>
    <row r="44" ht="15" customHeight="1">
      <c r="A44" t="inlineStr">
        <is>
          <t>A 40158-2026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46304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1.6</v>
      </c>
      <c r="J44" t="n">
        <v>0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Lunglav
Bårdlav</t>
        </is>
      </c>
      <c r="W44">
        <f>HYPERLINK("https://klasma.github.io/Logging_2180/artfynd/A 40158-2026 artfynd.xlsx", "A 40158-2026")</f>
        <v/>
      </c>
      <c r="X44">
        <f>HYPERLINK("https://klasma.github.io/Logging_2180/kartor/A 40158-2026 karta.png", "A 40158-2026")</f>
        <v/>
      </c>
      <c r="Y44">
        <f>HYPERLINK("https://klasma.github.io/Logging_2180/kartor_geotiff/A 40158-2026 georefererad karta.tif", "A 40158-2026")</f>
        <v/>
      </c>
      <c r="AA44">
        <f>HYPERLINK("https://klasma.github.io/Logging_2180/klagomål/A 40158-2026 FSC-klagomål.docx", "A 40158-2026")</f>
        <v/>
      </c>
      <c r="AB44">
        <f>HYPERLINK("https://klasma.github.io/Logging_2180/klagomålsmail/A 40158-2026 FSC-klagomål mail.docx", "A 40158-2026")</f>
        <v/>
      </c>
      <c r="AC44">
        <f>HYPERLINK("https://klasma.github.io/Logging_2180/tillsyn/A 40158-2026 tillsynsbegäran.docx", "A 40158-2026")</f>
        <v/>
      </c>
      <c r="AD44">
        <f>HYPERLINK("https://klasma.github.io/Logging_2180/tillsynsmail/A 40158-2026 tillsynsbegäran mail.docx", "A 40158-2026")</f>
        <v/>
      </c>
    </row>
    <row r="45" ht="15" customHeight="1">
      <c r="A45" t="inlineStr">
        <is>
          <t>A 29626-2025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46304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22.2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Brunklöver
Höstlåsbräken
Mattlummer</t>
        </is>
      </c>
      <c r="W45">
        <f>HYPERLINK("https://klasma.github.io/Logging_2180/artfynd/A 29626-2025 artfynd.xlsx", "A 29626-2025")</f>
        <v/>
      </c>
      <c r="X45">
        <f>HYPERLINK("https://klasma.github.io/Logging_2180/kartor/A 29626-2025 karta.png", "A 29626-2025")</f>
        <v/>
      </c>
      <c r="Y45">
        <f>HYPERLINK("https://klasma.github.io/Logging_2180/kartor_geotiff/A 29626-2025 georefererad karta.tif", "A 29626-2025")</f>
        <v/>
      </c>
      <c r="AA45">
        <f>HYPERLINK("https://klasma.github.io/Logging_2180/klagomål/A 29626-2025 FSC-klagomål.docx", "A 29626-2025")</f>
        <v/>
      </c>
      <c r="AB45">
        <f>HYPERLINK("https://klasma.github.io/Logging_2180/klagomålsmail/A 29626-2025 FSC-klagomål mail.docx", "A 29626-2025")</f>
        <v/>
      </c>
      <c r="AC45">
        <f>HYPERLINK("https://klasma.github.io/Logging_2180/tillsyn/A 29626-2025 tillsynsbegäran.docx", "A 29626-2025")</f>
        <v/>
      </c>
      <c r="AD45">
        <f>HYPERLINK("https://klasma.github.io/Logging_2180/tillsynsmail/A 29626-2025 tillsynsbegäran mail.docx", "A 29626-2025")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46304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46304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46304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46304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46304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Ullticka
Järpe</t>
        </is>
      </c>
      <c r="W50">
        <f>HYPERLINK("https://klasma.github.io/Logging_2180/artfynd/A 13727-2025 artfynd.xlsx", "A 13727-2025")</f>
        <v/>
      </c>
      <c r="X50">
        <f>HYPERLINK("https://klasma.github.io/Logging_2180/kartor/A 13727-2025 karta.png", "A 13727-2025")</f>
        <v/>
      </c>
      <c r="Y50">
        <f>HYPERLINK("https://klasma.github.io/Logging_2180/kartor_geotiff/A 13727-2025 georefererad karta.tif", "A 13727-2025")</f>
        <v/>
      </c>
      <c r="AA50">
        <f>HYPERLINK("https://klasma.github.io/Logging_2180/klagomål/A 13727-2025 FSC-klagomål.docx", "A 13727-2025")</f>
        <v/>
      </c>
      <c r="AB50">
        <f>HYPERLINK("https://klasma.github.io/Logging_2180/klagomålsmail/A 13727-2025 FSC-klagomål mail.docx", "A 13727-2025")</f>
        <v/>
      </c>
      <c r="AC50">
        <f>HYPERLINK("https://klasma.github.io/Logging_2180/tillsyn/A 13727-2025 tillsynsbegäran.docx", "A 13727-2025")</f>
        <v/>
      </c>
      <c r="AD50">
        <f>HYPERLINK("https://klasma.github.io/Logging_2180/tillsynsmail/A 13727-2025 tillsynsbegäran mail.docx", "A 13727-2025")</f>
        <v/>
      </c>
      <c r="AE50">
        <f>HYPERLINK("https://klasma.github.io/Logging_2180/fåglar/A 13727-2025 prioriterade fågelarter.docx", "A 13727-2025")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46304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46304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46304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46304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46304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46304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46304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46304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46304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60202-2025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46304</v>
      </c>
      <c r="F60" t="inlineStr">
        <is>
          <t>GÄVLEBORGS LÄN</t>
        </is>
      </c>
      <c r="G60" t="inlineStr">
        <is>
          <t>GÄVLE</t>
        </is>
      </c>
      <c r="I60" t="n">
        <v>4.3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Spillkråka</t>
        </is>
      </c>
      <c r="W60">
        <f>HYPERLINK("https://klasma.github.io/Logging_2180/artfynd/A 60202-2025 artfynd.xlsx", "A 60202-2025")</f>
        <v/>
      </c>
      <c r="X60">
        <f>HYPERLINK("https://klasma.github.io/Logging_2180/kartor/A 60202-2025 karta.png", "A 60202-2025")</f>
        <v/>
      </c>
      <c r="Y60">
        <f>HYPERLINK("https://klasma.github.io/Logging_2180/kartor_geotiff/A 60202-2025 georefererad karta.tif", "A 60202-2025")</f>
        <v/>
      </c>
      <c r="AA60">
        <f>HYPERLINK("https://klasma.github.io/Logging_2180/klagomål/A 60202-2025 FSC-klagomål.docx", "A 60202-2025")</f>
        <v/>
      </c>
      <c r="AB60">
        <f>HYPERLINK("https://klasma.github.io/Logging_2180/klagomålsmail/A 60202-2025 FSC-klagomål mail.docx", "A 60202-2025")</f>
        <v/>
      </c>
      <c r="AC60">
        <f>HYPERLINK("https://klasma.github.io/Logging_2180/tillsyn/A 60202-2025 tillsynsbegäran.docx", "A 60202-2025")</f>
        <v/>
      </c>
      <c r="AD60">
        <f>HYPERLINK("https://klasma.github.io/Logging_2180/tillsynsmail/A 60202-2025 tillsynsbegäran mail.docx", "A 60202-2025")</f>
        <v/>
      </c>
      <c r="AE60">
        <f>HYPERLINK("https://klasma.github.io/Logging_2180/fåglar/A 60202-2025 prioriterade fågelarter.docx", "A 60202-2025")</f>
        <v/>
      </c>
    </row>
    <row r="61" ht="15" customHeight="1">
      <c r="A61" t="inlineStr">
        <is>
          <t>A 20323-2026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46304</v>
      </c>
      <c r="F61" t="inlineStr">
        <is>
          <t>GÄVLEBORGS LÄN</t>
        </is>
      </c>
      <c r="G61" t="inlineStr">
        <is>
          <t>GÄVLE</t>
        </is>
      </c>
      <c r="I61" t="n">
        <v>1.4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Grön sköldmossa
Tjäder</t>
        </is>
      </c>
      <c r="W61">
        <f>HYPERLINK("https://klasma.github.io/Logging_2180/artfynd/A 20323-2026 artfynd.xlsx", "A 20323-2026")</f>
        <v/>
      </c>
      <c r="X61">
        <f>HYPERLINK("https://klasma.github.io/Logging_2180/kartor/A 20323-2026 karta.png", "A 20323-2026")</f>
        <v/>
      </c>
      <c r="Y61">
        <f>HYPERLINK("https://klasma.github.io/Logging_2180/kartor_geotiff/A 20323-2026 georefererad karta.tif", "A 20323-2026")</f>
        <v/>
      </c>
      <c r="AA61">
        <f>HYPERLINK("https://klasma.github.io/Logging_2180/klagomål/A 20323-2026 FSC-klagomål.docx", "A 20323-2026")</f>
        <v/>
      </c>
      <c r="AB61">
        <f>HYPERLINK("https://klasma.github.io/Logging_2180/klagomålsmail/A 20323-2026 FSC-klagomål mail.docx", "A 20323-2026")</f>
        <v/>
      </c>
      <c r="AC61">
        <f>HYPERLINK("https://klasma.github.io/Logging_2180/tillsyn/A 20323-2026 tillsynsbegäran.docx", "A 20323-2026")</f>
        <v/>
      </c>
      <c r="AD61">
        <f>HYPERLINK("https://klasma.github.io/Logging_2180/tillsynsmail/A 20323-2026 tillsynsbegäran mail.docx", "A 20323-2026")</f>
        <v/>
      </c>
      <c r="AE61">
        <f>HYPERLINK("https://klasma.github.io/Logging_2180/fåglar/A 20323-2026 prioriterade fågelarter.docx", "A 20323-2026")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46304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46304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46304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46304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46304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46304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46304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35989-2024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46304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3.1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Jättesvampmal</t>
        </is>
      </c>
      <c r="W69">
        <f>HYPERLINK("https://klasma.github.io/Logging_2180/artfynd/A 35989-2024 artfynd.xlsx", "A 35989-2024")</f>
        <v/>
      </c>
      <c r="X69">
        <f>HYPERLINK("https://klasma.github.io/Logging_2180/kartor/A 35989-2024 karta.png", "A 35989-2024")</f>
        <v/>
      </c>
      <c r="Y69">
        <f>HYPERLINK("https://klasma.github.io/Logging_2180/kartor_geotiff/A 35989-2024 georefererad karta.tif", "A 35989-2024")</f>
        <v/>
      </c>
      <c r="Z69">
        <f>HYPERLINK("https://klasma.github.io/Logging_2180/knärot/A 35989-2024 karta knärot.png", "A 35989-2024")</f>
        <v/>
      </c>
      <c r="AA69">
        <f>HYPERLINK("https://klasma.github.io/Logging_2180/klagomål/A 35989-2024 FSC-klagomål.docx", "A 35989-2024")</f>
        <v/>
      </c>
      <c r="AB69">
        <f>HYPERLINK("https://klasma.github.io/Logging_2180/klagomålsmail/A 35989-2024 FSC-klagomål mail.docx", "A 35989-2024")</f>
        <v/>
      </c>
      <c r="AC69">
        <f>HYPERLINK("https://klasma.github.io/Logging_2180/tillsyn/A 35989-2024 tillsynsbegäran.docx", "A 35989-2024")</f>
        <v/>
      </c>
      <c r="AD69">
        <f>HYPERLINK("https://klasma.github.io/Logging_2180/tillsynsmail/A 35989-2024 tillsynsbegäran mail.docx", "A 35989-2024")</f>
        <v/>
      </c>
    </row>
    <row r="70" ht="15" customHeight="1">
      <c r="A70" t="inlineStr">
        <is>
          <t>A 38046-2026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46304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4.3</v>
      </c>
      <c r="J70" t="n">
        <v>1</v>
      </c>
      <c r="K70" t="n">
        <v>0</v>
      </c>
      <c r="L70" t="n">
        <v>0</v>
      </c>
      <c r="M70" t="n">
        <v>2</v>
      </c>
      <c r="N70" t="n">
        <v>0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Garnlav
Knärot</t>
        </is>
      </c>
      <c r="W70">
        <f>HYPERLINK("https://klasma.github.io/Logging_2180/artfynd/A 38046-2026 artfynd.xlsx", "A 38046-2026")</f>
        <v/>
      </c>
      <c r="X70">
        <f>HYPERLINK("https://klasma.github.io/Logging_2180/kartor/A 38046-2026 karta.png", "A 38046-2026")</f>
        <v/>
      </c>
      <c r="Y70">
        <f>HYPERLINK("https://klasma.github.io/Logging_2180/kartor_geotiff/A 38046-2026 georefererad karta.tif", "A 38046-2026")</f>
        <v/>
      </c>
      <c r="Z70">
        <f>HYPERLINK("https://klasma.github.io/Logging_2180/knärot/A 38046-2026 karta knärot.png", "A 38046-2026")</f>
        <v/>
      </c>
      <c r="AA70">
        <f>HYPERLINK("https://klasma.github.io/Logging_2180/klagomål/A 38046-2026 FSC-klagomål.docx", "A 38046-2026")</f>
        <v/>
      </c>
      <c r="AB70">
        <f>HYPERLINK("https://klasma.github.io/Logging_2180/klagomålsmail/A 38046-2026 FSC-klagomål mail.docx", "A 38046-2026")</f>
        <v/>
      </c>
      <c r="AC70">
        <f>HYPERLINK("https://klasma.github.io/Logging_2180/tillsyn/A 38046-2026 tillsynsbegäran.docx", "A 38046-2026")</f>
        <v/>
      </c>
      <c r="AD70">
        <f>HYPERLINK("https://klasma.github.io/Logging_2180/tillsynsmail/A 38046-2026 tillsynsbegäran mail.docx", "A 38046-2026")</f>
        <v/>
      </c>
    </row>
    <row r="71" ht="15" customHeight="1">
      <c r="A71" t="inlineStr">
        <is>
          <t>A 23447-2025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46304</v>
      </c>
      <c r="F71" t="inlineStr">
        <is>
          <t>GÄVLEBORGS LÄN</t>
        </is>
      </c>
      <c r="G71" t="inlineStr">
        <is>
          <t>GÄVLE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Kopparödla
Fläcknycklar</t>
        </is>
      </c>
      <c r="W71">
        <f>HYPERLINK("https://klasma.github.io/Logging_2180/artfynd/A 23447-2025 artfynd.xlsx", "A 23447-2025")</f>
        <v/>
      </c>
      <c r="X71">
        <f>HYPERLINK("https://klasma.github.io/Logging_2180/kartor/A 23447-2025 karta.png", "A 23447-2025")</f>
        <v/>
      </c>
      <c r="Y71">
        <f>HYPERLINK("https://klasma.github.io/Logging_2180/kartor_geotiff/A 23447-2025 georefererad karta.tif", "A 23447-2025")</f>
        <v/>
      </c>
      <c r="AA71">
        <f>HYPERLINK("https://klasma.github.io/Logging_2180/klagomål/A 23447-2025 FSC-klagomål.docx", "A 23447-2025")</f>
        <v/>
      </c>
      <c r="AB71">
        <f>HYPERLINK("https://klasma.github.io/Logging_2180/klagomålsmail/A 23447-2025 FSC-klagomål mail.docx", "A 23447-2025")</f>
        <v/>
      </c>
      <c r="AC71">
        <f>HYPERLINK("https://klasma.github.io/Logging_2180/tillsyn/A 23447-2025 tillsynsbegäran.docx", "A 23447-2025")</f>
        <v/>
      </c>
      <c r="AD71">
        <f>HYPERLINK("https://klasma.github.io/Logging_2180/tillsynsmail/A 23447-2025 tillsynsbegäran mail.docx", "A 23447-2025")</f>
        <v/>
      </c>
    </row>
    <row r="72" ht="15" customHeight="1">
      <c r="A72" t="inlineStr">
        <is>
          <t>A 34434-2026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46304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Grönsångare
Vätteros</t>
        </is>
      </c>
      <c r="W72">
        <f>HYPERLINK("https://klasma.github.io/Logging_2180/artfynd/A 34434-2026 artfynd.xlsx", "A 34434-2026")</f>
        <v/>
      </c>
      <c r="X72">
        <f>HYPERLINK("https://klasma.github.io/Logging_2180/kartor/A 34434-2026 karta.png", "A 34434-2026")</f>
        <v/>
      </c>
      <c r="Y72">
        <f>HYPERLINK("https://klasma.github.io/Logging_2180/kartor_geotiff/A 34434-2026 georefererad karta.tif", "A 34434-2026")</f>
        <v/>
      </c>
      <c r="AA72">
        <f>HYPERLINK("https://klasma.github.io/Logging_2180/klagomål/A 34434-2026 FSC-klagomål.docx", "A 34434-2026")</f>
        <v/>
      </c>
      <c r="AB72">
        <f>HYPERLINK("https://klasma.github.io/Logging_2180/klagomålsmail/A 34434-2026 FSC-klagomål mail.docx", "A 34434-2026")</f>
        <v/>
      </c>
      <c r="AC72">
        <f>HYPERLINK("https://klasma.github.io/Logging_2180/tillsyn/A 34434-2026 tillsynsbegäran.docx", "A 34434-2026")</f>
        <v/>
      </c>
      <c r="AD72">
        <f>HYPERLINK("https://klasma.github.io/Logging_2180/tillsynsmail/A 34434-2026 tillsynsbegäran mail.docx", "A 34434-2026")</f>
        <v/>
      </c>
      <c r="AE72">
        <f>HYPERLINK("https://klasma.github.io/Logging_2180/fåglar/A 34434-2026 prioriterade fågelarter.docx", "A 34434-2026")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46304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121</v>
      </c>
      <c r="U74" t="n">
        <v>0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46304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46304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46304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46304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46304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46304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32254-2023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45120</v>
      </c>
      <c r="E81" s="1" t="n">
        <v>46304</v>
      </c>
      <c r="F81" t="inlineStr">
        <is>
          <t>GÄVLEBORGS LÄN</t>
        </is>
      </c>
      <c r="G81" t="inlineStr">
        <is>
          <t>GÄVLE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Slåtterfibbla</t>
        </is>
      </c>
      <c r="W81">
        <f>HYPERLINK("https://klasma.github.io/Logging_2180/artfynd/A 32254-2023 artfynd.xlsx", "A 32254-2023")</f>
        <v/>
      </c>
      <c r="X81">
        <f>HYPERLINK("https://klasma.github.io/Logging_2180/kartor/A 32254-2023 karta.png", "A 32254-2023")</f>
        <v/>
      </c>
      <c r="Y81">
        <f>HYPERLINK("https://klasma.github.io/Logging_2180/kartor_geotiff/A 32254-2023 georefererad karta.tif", "A 32254-2023")</f>
        <v/>
      </c>
      <c r="AA81">
        <f>HYPERLINK("https://klasma.github.io/Logging_2180/klagomål/A 32254-2023 FSC-klagomål.docx", "A 32254-2023")</f>
        <v/>
      </c>
      <c r="AB81">
        <f>HYPERLINK("https://klasma.github.io/Logging_2180/klagomålsmail/A 32254-2023 FSC-klagomål mail.docx", "A 32254-2023")</f>
        <v/>
      </c>
      <c r="AC81">
        <f>HYPERLINK("https://klasma.github.io/Logging_2180/tillsyn/A 32254-2023 tillsynsbegäran.docx", "A 32254-2023")</f>
        <v/>
      </c>
      <c r="AD81">
        <f>HYPERLINK("https://klasma.github.io/Logging_2180/tillsynsmail/A 32254-2023 tillsynsbegäran mail.docx", "A 32254-2023")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46304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46304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46304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46304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46304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46304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45241-2022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46304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22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45241-2022 artfynd.xlsx", "A 45241-2022")</f>
        <v/>
      </c>
      <c r="X88">
        <f>HYPERLINK("https://klasma.github.io/Logging_2180/kartor/A 45241-2022 karta.png", "A 45241-2022")</f>
        <v/>
      </c>
      <c r="Y88">
        <f>HYPERLINK("https://klasma.github.io/Logging_2180/kartor_geotiff/A 45241-2022 georefererad karta.tif", "A 45241-2022")</f>
        <v/>
      </c>
      <c r="AA88">
        <f>HYPERLINK("https://klasma.github.io/Logging_2180/klagomål/A 45241-2022 FSC-klagomål.docx", "A 45241-2022")</f>
        <v/>
      </c>
      <c r="AB88">
        <f>HYPERLINK("https://klasma.github.io/Logging_2180/klagomålsmail/A 45241-2022 FSC-klagomål mail.docx", "A 45241-2022")</f>
        <v/>
      </c>
      <c r="AC88">
        <f>HYPERLINK("https://klasma.github.io/Logging_2180/tillsyn/A 45241-2022 tillsynsbegäran.docx", "A 45241-2022")</f>
        <v/>
      </c>
      <c r="AD88">
        <f>HYPERLINK("https://klasma.github.io/Logging_2180/tillsynsmail/A 45241-2022 tillsynsbegäran mail.docx", "A 45241-2022")</f>
        <v/>
      </c>
    </row>
    <row r="89" ht="15" customHeight="1">
      <c r="A89" t="inlineStr">
        <is>
          <t>A 11411-2025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46304</v>
      </c>
      <c r="F89" t="inlineStr">
        <is>
          <t>GÄVLEBORGS LÄN</t>
        </is>
      </c>
      <c r="G89" t="inlineStr">
        <is>
          <t>GÄVLE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11411-2025 artfynd.xlsx", "A 11411-2025")</f>
        <v/>
      </c>
      <c r="X89">
        <f>HYPERLINK("https://klasma.github.io/Logging_2180/kartor/A 11411-2025 karta.png", "A 11411-2025")</f>
        <v/>
      </c>
      <c r="Y89">
        <f>HYPERLINK("https://klasma.github.io/Logging_2180/kartor_geotiff/A 11411-2025 georefererad karta.tif", "A 11411-2025")</f>
        <v/>
      </c>
      <c r="AA89">
        <f>HYPERLINK("https://klasma.github.io/Logging_2180/klagomål/A 11411-2025 FSC-klagomål.docx", "A 11411-2025")</f>
        <v/>
      </c>
      <c r="AB89">
        <f>HYPERLINK("https://klasma.github.io/Logging_2180/klagomålsmail/A 11411-2025 FSC-klagomål mail.docx", "A 11411-2025")</f>
        <v/>
      </c>
      <c r="AC89">
        <f>HYPERLINK("https://klasma.github.io/Logging_2180/tillsyn/A 11411-2025 tillsynsbegäran.docx", "A 11411-2025")</f>
        <v/>
      </c>
      <c r="AD89">
        <f>HYPERLINK("https://klasma.github.io/Logging_2180/tillsynsmail/A 11411-2025 tillsynsbegäran mail.docx", "A 11411-2025")</f>
        <v/>
      </c>
    </row>
    <row r="90" ht="15" customHeight="1">
      <c r="A90" t="inlineStr">
        <is>
          <t>A 13684-2026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46304</v>
      </c>
      <c r="F90" t="inlineStr">
        <is>
          <t>GÄVLEBORGS LÄN</t>
        </is>
      </c>
      <c r="G90" t="inlineStr">
        <is>
          <t>GÄVLE</t>
        </is>
      </c>
      <c r="I90" t="n">
        <v>21.3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Igelkott</t>
        </is>
      </c>
      <c r="W90">
        <f>HYPERLINK("https://klasma.github.io/Logging_2180/artfynd/A 13684-2026 artfynd.xlsx", "A 13684-2026")</f>
        <v/>
      </c>
      <c r="X90">
        <f>HYPERLINK("https://klasma.github.io/Logging_2180/kartor/A 13684-2026 karta.png", "A 13684-2026")</f>
        <v/>
      </c>
      <c r="Y90">
        <f>HYPERLINK("https://klasma.github.io/Logging_2180/kartor_geotiff/A 13684-2026 georefererad karta.tif", "A 13684-2026")</f>
        <v/>
      </c>
      <c r="AA90">
        <f>HYPERLINK("https://klasma.github.io/Logging_2180/klagomål/A 13684-2026 FSC-klagomål.docx", "A 13684-2026")</f>
        <v/>
      </c>
      <c r="AB90">
        <f>HYPERLINK("https://klasma.github.io/Logging_2180/klagomålsmail/A 13684-2026 FSC-klagomål mail.docx", "A 13684-2026")</f>
        <v/>
      </c>
      <c r="AC90">
        <f>HYPERLINK("https://klasma.github.io/Logging_2180/tillsyn/A 13684-2026 tillsynsbegäran.docx", "A 13684-2026")</f>
        <v/>
      </c>
      <c r="AD90">
        <f>HYPERLINK("https://klasma.github.io/Logging_2180/tillsynsmail/A 13684-2026 tillsynsbegäran mail.docx", "A 13684-2026")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46304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46304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54963-2025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45967</v>
      </c>
      <c r="E94" s="1" t="n">
        <v>46304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54963-2025 artfynd.xlsx", "A 54963-2025")</f>
        <v/>
      </c>
      <c r="X94">
        <f>HYPERLINK("https://klasma.github.io/Logging_2180/kartor/A 54963-2025 karta.png", "A 54963-2025")</f>
        <v/>
      </c>
      <c r="Y94">
        <f>HYPERLINK("https://klasma.github.io/Logging_2180/kartor_geotiff/A 54963-2025 georefererad karta.tif", "A 54963-2025")</f>
        <v/>
      </c>
      <c r="AA94">
        <f>HYPERLINK("https://klasma.github.io/Logging_2180/klagomål/A 54963-2025 FSC-klagomål.docx", "A 54963-2025")</f>
        <v/>
      </c>
      <c r="AB94">
        <f>HYPERLINK("https://klasma.github.io/Logging_2180/klagomålsmail/A 54963-2025 FSC-klagomål mail.docx", "A 54963-2025")</f>
        <v/>
      </c>
      <c r="AC94">
        <f>HYPERLINK("https://klasma.github.io/Logging_2180/tillsyn/A 54963-2025 tillsynsbegäran.docx", "A 54963-2025")</f>
        <v/>
      </c>
      <c r="AD94">
        <f>HYPERLINK("https://klasma.github.io/Logging_2180/tillsynsmail/A 54963-2025 tillsynsbegäran mail.docx", "A 54963-2025")</f>
        <v/>
      </c>
    </row>
    <row r="95" ht="15" customHeight="1">
      <c r="A95" t="inlineStr">
        <is>
          <t>A 58204-2025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45984</v>
      </c>
      <c r="E95" s="1" t="n">
        <v>46304</v>
      </c>
      <c r="F95" t="inlineStr">
        <is>
          <t>GÄVLEBORGS LÄN</t>
        </is>
      </c>
      <c r="G95" t="inlineStr">
        <is>
          <t>GÄVLE</t>
        </is>
      </c>
      <c r="I95" t="n">
        <v>4.4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Spillkråka</t>
        </is>
      </c>
      <c r="W95">
        <f>HYPERLINK("https://klasma.github.io/Logging_2180/artfynd/A 58204-2025 artfynd.xlsx", "A 58204-2025")</f>
        <v/>
      </c>
      <c r="X95">
        <f>HYPERLINK("https://klasma.github.io/Logging_2180/kartor/A 58204-2025 karta.png", "A 58204-2025")</f>
        <v/>
      </c>
      <c r="Y95">
        <f>HYPERLINK("https://klasma.github.io/Logging_2180/kartor_geotiff/A 58204-2025 georefererad karta.tif", "A 58204-2025")</f>
        <v/>
      </c>
      <c r="AA95">
        <f>HYPERLINK("https://klasma.github.io/Logging_2180/klagomål/A 58204-2025 FSC-klagomål.docx", "A 58204-2025")</f>
        <v/>
      </c>
      <c r="AB95">
        <f>HYPERLINK("https://klasma.github.io/Logging_2180/klagomålsmail/A 58204-2025 FSC-klagomål mail.docx", "A 58204-2025")</f>
        <v/>
      </c>
      <c r="AC95">
        <f>HYPERLINK("https://klasma.github.io/Logging_2180/tillsyn/A 58204-2025 tillsynsbegäran.docx", "A 58204-2025")</f>
        <v/>
      </c>
      <c r="AD95">
        <f>HYPERLINK("https://klasma.github.io/Logging_2180/tillsynsmail/A 58204-2025 tillsynsbegäran mail.docx", "A 58204-2025")</f>
        <v/>
      </c>
      <c r="AE95">
        <f>HYPERLINK("https://klasma.github.io/Logging_2180/fåglar/A 58204-2025 prioriterade fågelarter.docx", "A 58204-2025")</f>
        <v/>
      </c>
    </row>
    <row r="96" ht="15" customHeight="1">
      <c r="A96" t="inlineStr">
        <is>
          <t>A 51508-2024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45604</v>
      </c>
      <c r="E96" s="1" t="n">
        <v>46304</v>
      </c>
      <c r="F96" t="inlineStr">
        <is>
          <t>GÄVLEBORGS LÄN</t>
        </is>
      </c>
      <c r="G96" t="inlineStr">
        <is>
          <t>GÄVLE</t>
        </is>
      </c>
      <c r="I96" t="n">
        <v>0.9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Tibast</t>
        </is>
      </c>
      <c r="W96">
        <f>HYPERLINK("https://klasma.github.io/Logging_2180/artfynd/A 51508-2024 artfynd.xlsx", "A 51508-2024")</f>
        <v/>
      </c>
      <c r="X96">
        <f>HYPERLINK("https://klasma.github.io/Logging_2180/kartor/A 51508-2024 karta.png", "A 51508-2024")</f>
        <v/>
      </c>
      <c r="Y96">
        <f>HYPERLINK("https://klasma.github.io/Logging_2180/kartor_geotiff/A 51508-2024 georefererad karta.tif", "A 51508-2024")</f>
        <v/>
      </c>
      <c r="AA96">
        <f>HYPERLINK("https://klasma.github.io/Logging_2180/klagomål/A 51508-2024 FSC-klagomål.docx", "A 51508-2024")</f>
        <v/>
      </c>
      <c r="AB96">
        <f>HYPERLINK("https://klasma.github.io/Logging_2180/klagomålsmail/A 51508-2024 FSC-klagomål mail.docx", "A 51508-2024")</f>
        <v/>
      </c>
      <c r="AC96">
        <f>HYPERLINK("https://klasma.github.io/Logging_2180/tillsyn/A 51508-2024 tillsynsbegäran.docx", "A 51508-2024")</f>
        <v/>
      </c>
      <c r="AD96">
        <f>HYPERLINK("https://klasma.github.io/Logging_2180/tillsynsmail/A 51508-2024 tillsynsbegäran mail.docx", "A 51508-2024")</f>
        <v/>
      </c>
    </row>
    <row r="97" ht="15" customHeight="1">
      <c r="A97" t="inlineStr">
        <is>
          <t>A 13396-2026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46304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HYPERLINK("https://klasma.github.io/Logging_2180/artfynd/A 13396-2026 artfynd.xlsx", "A 13396-2026")</f>
        <v/>
      </c>
      <c r="X97">
        <f>HYPERLINK("https://klasma.github.io/Logging_2180/kartor/A 13396-2026 karta.png", "A 13396-2026")</f>
        <v/>
      </c>
      <c r="Y97">
        <f>HYPERLINK("https://klasma.github.io/Logging_2180/kartor_geotiff/A 13396-2026 georefererad karta.tif", "A 13396-2026")</f>
        <v/>
      </c>
      <c r="AA97">
        <f>HYPERLINK("https://klasma.github.io/Logging_2180/klagomål/A 13396-2026 FSC-klagomål.docx", "A 13396-2026")</f>
        <v/>
      </c>
      <c r="AB97">
        <f>HYPERLINK("https://klasma.github.io/Logging_2180/klagomålsmail/A 13396-2026 FSC-klagomål mail.docx", "A 13396-2026")</f>
        <v/>
      </c>
      <c r="AC97">
        <f>HYPERLINK("https://klasma.github.io/Logging_2180/tillsyn/A 13396-2026 tillsynsbegäran.docx", "A 13396-2026")</f>
        <v/>
      </c>
      <c r="AD97">
        <f>HYPERLINK("https://klasma.github.io/Logging_2180/tillsynsmail/A 13396-2026 tillsynsbegäran mail.docx", "A 13396-2026")</f>
        <v/>
      </c>
    </row>
    <row r="98" ht="15" customHeight="1">
      <c r="A98" t="inlineStr">
        <is>
          <t>A 14730-2026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46304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HYPERLINK("https://klasma.github.io/Logging_2180/artfynd/A 14730-2026 artfynd.xlsx", "A 14730-2026")</f>
        <v/>
      </c>
      <c r="X98">
        <f>HYPERLINK("https://klasma.github.io/Logging_2180/kartor/A 14730-2026 karta.png", "A 14730-2026")</f>
        <v/>
      </c>
      <c r="Y98">
        <f>HYPERLINK("https://klasma.github.io/Logging_2180/kartor_geotiff/A 14730-2026 georefererad karta.tif", "A 14730-2026")</f>
        <v/>
      </c>
      <c r="AA98">
        <f>HYPERLINK("https://klasma.github.io/Logging_2180/klagomål/A 14730-2026 FSC-klagomål.docx", "A 14730-2026")</f>
        <v/>
      </c>
      <c r="AB98">
        <f>HYPERLINK("https://klasma.github.io/Logging_2180/klagomålsmail/A 14730-2026 FSC-klagomål mail.docx", "A 14730-2026")</f>
        <v/>
      </c>
      <c r="AC98">
        <f>HYPERLINK("https://klasma.github.io/Logging_2180/tillsyn/A 14730-2026 tillsynsbegäran.docx", "A 14730-2026")</f>
        <v/>
      </c>
      <c r="AD98">
        <f>HYPERLINK("https://klasma.github.io/Logging_2180/tillsynsmail/A 14730-2026 tillsynsbegäran mail.docx", "A 14730-2026")</f>
        <v/>
      </c>
      <c r="AE98">
        <f>HYPERLINK("https://klasma.github.io/Logging_2180/fåglar/A 14730-2026 prioriterade fågelarter.docx", "A 14730-2026")</f>
        <v/>
      </c>
    </row>
    <row r="99" ht="15" customHeight="1">
      <c r="A99" t="inlineStr">
        <is>
          <t>A 14714-2026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46304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Tjäder</t>
        </is>
      </c>
      <c r="W99">
        <f>HYPERLINK("https://klasma.github.io/Logging_2180/artfynd/A 14714-2026 artfynd.xlsx", "A 14714-2026")</f>
        <v/>
      </c>
      <c r="X99">
        <f>HYPERLINK("https://klasma.github.io/Logging_2180/kartor/A 14714-2026 karta.png", "A 14714-2026")</f>
        <v/>
      </c>
      <c r="Y99">
        <f>HYPERLINK("https://klasma.github.io/Logging_2180/kartor_geotiff/A 14714-2026 georefererad karta.tif", "A 14714-2026")</f>
        <v/>
      </c>
      <c r="AA99">
        <f>HYPERLINK("https://klasma.github.io/Logging_2180/klagomål/A 14714-2026 FSC-klagomål.docx", "A 14714-2026")</f>
        <v/>
      </c>
      <c r="AB99">
        <f>HYPERLINK("https://klasma.github.io/Logging_2180/klagomålsmail/A 14714-2026 FSC-klagomål mail.docx", "A 14714-2026")</f>
        <v/>
      </c>
      <c r="AC99">
        <f>HYPERLINK("https://klasma.github.io/Logging_2180/tillsyn/A 14714-2026 tillsynsbegäran.docx", "A 14714-2026")</f>
        <v/>
      </c>
      <c r="AD99">
        <f>HYPERLINK("https://klasma.github.io/Logging_2180/tillsynsmail/A 14714-2026 tillsynsbegäran mail.docx", "A 14714-2026")</f>
        <v/>
      </c>
      <c r="AE99">
        <f>HYPERLINK("https://klasma.github.io/Logging_2180/fåglar/A 14714-2026 prioriterade fågelarter.docx", "A 14714-2026")</f>
        <v/>
      </c>
    </row>
    <row r="100" ht="15" customHeight="1">
      <c r="A100" t="inlineStr">
        <is>
          <t>A 12437-2024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46304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Mindre bastardsvärmare</t>
        </is>
      </c>
      <c r="W100">
        <f>HYPERLINK("https://klasma.github.io/Logging_2180/artfynd/A 12437-2024 artfynd.xlsx", "A 12437-2024")</f>
        <v/>
      </c>
      <c r="X100">
        <f>HYPERLINK("https://klasma.github.io/Logging_2180/kartor/A 12437-2024 karta.png", "A 12437-2024")</f>
        <v/>
      </c>
      <c r="Y100">
        <f>HYPERLINK("https://klasma.github.io/Logging_2180/kartor_geotiff/A 12437-2024 georefererad karta.tif", "A 12437-2024")</f>
        <v/>
      </c>
      <c r="AA100">
        <f>HYPERLINK("https://klasma.github.io/Logging_2180/klagomål/A 12437-2024 FSC-klagomål.docx", "A 12437-2024")</f>
        <v/>
      </c>
      <c r="AB100">
        <f>HYPERLINK("https://klasma.github.io/Logging_2180/klagomålsmail/A 12437-2024 FSC-klagomål mail.docx", "A 12437-2024")</f>
        <v/>
      </c>
      <c r="AC100">
        <f>HYPERLINK("https://klasma.github.io/Logging_2180/tillsyn/A 12437-2024 tillsynsbegäran.docx", "A 12437-2024")</f>
        <v/>
      </c>
      <c r="AD100">
        <f>HYPERLINK("https://klasma.github.io/Logging_2180/tillsynsmail/A 12437-2024 tillsynsbegäran mail.docx", "A 12437-2024")</f>
        <v/>
      </c>
    </row>
    <row r="101" ht="15" customHeight="1">
      <c r="A101" t="inlineStr">
        <is>
          <t>A 10333-2025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46304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Tjäder</t>
        </is>
      </c>
      <c r="W101">
        <f>HYPERLINK("https://klasma.github.io/Logging_2180/artfynd/A 10333-2025 artfynd.xlsx", "A 10333-2025")</f>
        <v/>
      </c>
      <c r="X101">
        <f>HYPERLINK("https://klasma.github.io/Logging_2180/kartor/A 10333-2025 karta.png", "A 10333-2025")</f>
        <v/>
      </c>
      <c r="Y101">
        <f>HYPERLINK("https://klasma.github.io/Logging_2180/kartor_geotiff/A 10333-2025 georefererad karta.tif", "A 10333-2025")</f>
        <v/>
      </c>
      <c r="AA101">
        <f>HYPERLINK("https://klasma.github.io/Logging_2180/klagomål/A 10333-2025 FSC-klagomål.docx", "A 10333-2025")</f>
        <v/>
      </c>
      <c r="AB101">
        <f>HYPERLINK("https://klasma.github.io/Logging_2180/klagomålsmail/A 10333-2025 FSC-klagomål mail.docx", "A 10333-2025")</f>
        <v/>
      </c>
      <c r="AC101">
        <f>HYPERLINK("https://klasma.github.io/Logging_2180/tillsyn/A 10333-2025 tillsynsbegäran.docx", "A 10333-2025")</f>
        <v/>
      </c>
      <c r="AD101">
        <f>HYPERLINK("https://klasma.github.io/Logging_2180/tillsynsmail/A 10333-2025 tillsynsbegäran mail.docx", "A 10333-2025")</f>
        <v/>
      </c>
      <c r="AE101">
        <f>HYPERLINK("https://klasma.github.io/Logging_2180/fåglar/A 10333-2025 prioriterade fågelarter.docx", "A 10333-2025")</f>
        <v/>
      </c>
    </row>
    <row r="102" ht="15" customHeight="1">
      <c r="A102" t="inlineStr">
        <is>
          <t>A 14711-2026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46304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Blanksvart spiklav</t>
        </is>
      </c>
      <c r="W102">
        <f>HYPERLINK("https://klasma.github.io/Logging_2180/artfynd/A 14711-2026 artfynd.xlsx", "A 14711-2026")</f>
        <v/>
      </c>
      <c r="X102">
        <f>HYPERLINK("https://klasma.github.io/Logging_2180/kartor/A 14711-2026 karta.png", "A 14711-2026")</f>
        <v/>
      </c>
      <c r="Y102">
        <f>HYPERLINK("https://klasma.github.io/Logging_2180/kartor_geotiff/A 14711-2026 georefererad karta.tif", "A 14711-2026")</f>
        <v/>
      </c>
      <c r="AA102">
        <f>HYPERLINK("https://klasma.github.io/Logging_2180/klagomål/A 14711-2026 FSC-klagomål.docx", "A 14711-2026")</f>
        <v/>
      </c>
      <c r="AB102">
        <f>HYPERLINK("https://klasma.github.io/Logging_2180/klagomålsmail/A 14711-2026 FSC-klagomål mail.docx", "A 14711-2026")</f>
        <v/>
      </c>
      <c r="AC102">
        <f>HYPERLINK("https://klasma.github.io/Logging_2180/tillsyn/A 14711-2026 tillsynsbegäran.docx", "A 14711-2026")</f>
        <v/>
      </c>
      <c r="AD102">
        <f>HYPERLINK("https://klasma.github.io/Logging_2180/tillsynsmail/A 14711-2026 tillsynsbegäran mail.docx", "A 14711-2026")</f>
        <v/>
      </c>
    </row>
    <row r="103" ht="15" customHeight="1">
      <c r="A103" t="inlineStr">
        <is>
          <t>A 10064-2025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46304</v>
      </c>
      <c r="F103" t="inlineStr">
        <is>
          <t>GÄVLEBORGS LÄN</t>
        </is>
      </c>
      <c r="G103" t="inlineStr">
        <is>
          <t>GÄVLE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HYPERLINK("https://klasma.github.io/Logging_2180/artfynd/A 10064-2025 artfynd.xlsx", "A 10064-2025")</f>
        <v/>
      </c>
      <c r="X103">
        <f>HYPERLINK("https://klasma.github.io/Logging_2180/kartor/A 10064-2025 karta.png", "A 10064-2025")</f>
        <v/>
      </c>
      <c r="Y103">
        <f>HYPERLINK("https://klasma.github.io/Logging_2180/kartor_geotiff/A 10064-2025 georefererad karta.tif", "A 10064-2025")</f>
        <v/>
      </c>
      <c r="AA103">
        <f>HYPERLINK("https://klasma.github.io/Logging_2180/klagomål/A 10064-2025 FSC-klagomål.docx", "A 10064-2025")</f>
        <v/>
      </c>
      <c r="AB103">
        <f>HYPERLINK("https://klasma.github.io/Logging_2180/klagomålsmail/A 10064-2025 FSC-klagomål mail.docx", "A 10064-2025")</f>
        <v/>
      </c>
      <c r="AC103">
        <f>HYPERLINK("https://klasma.github.io/Logging_2180/tillsyn/A 10064-2025 tillsynsbegäran.docx", "A 10064-2025")</f>
        <v/>
      </c>
      <c r="AD103">
        <f>HYPERLINK("https://klasma.github.io/Logging_2180/tillsynsmail/A 10064-2025 tillsynsbegäran mail.docx", "A 10064-2025")</f>
        <v/>
      </c>
    </row>
    <row r="104" ht="15" customHeight="1">
      <c r="A104" t="inlineStr">
        <is>
          <t>A 20734-2026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46304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20734-2026 artfynd.xlsx", "A 20734-2026")</f>
        <v/>
      </c>
      <c r="X104">
        <f>HYPERLINK("https://klasma.github.io/Logging_2180/kartor/A 20734-2026 karta.png", "A 20734-2026")</f>
        <v/>
      </c>
      <c r="Y104">
        <f>HYPERLINK("https://klasma.github.io/Logging_2180/kartor_geotiff/A 20734-2026 georefererad karta.tif", "A 20734-2026")</f>
        <v/>
      </c>
      <c r="AA104">
        <f>HYPERLINK("https://klasma.github.io/Logging_2180/klagomål/A 20734-2026 FSC-klagomål.docx", "A 20734-2026")</f>
        <v/>
      </c>
      <c r="AB104">
        <f>HYPERLINK("https://klasma.github.io/Logging_2180/klagomålsmail/A 20734-2026 FSC-klagomål mail.docx", "A 20734-2026")</f>
        <v/>
      </c>
      <c r="AC104">
        <f>HYPERLINK("https://klasma.github.io/Logging_2180/tillsyn/A 20734-2026 tillsynsbegäran.docx", "A 20734-2026")</f>
        <v/>
      </c>
      <c r="AD104">
        <f>HYPERLINK("https://klasma.github.io/Logging_2180/tillsynsmail/A 20734-2026 tillsynsbegäran mail.docx", "A 20734-2026")</f>
        <v/>
      </c>
    </row>
    <row r="105" ht="15" customHeight="1">
      <c r="A105" t="inlineStr">
        <is>
          <t>A 12381-2023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46304</v>
      </c>
      <c r="F105" t="inlineStr">
        <is>
          <t>GÄVLEBORGS LÄN</t>
        </is>
      </c>
      <c r="G105" t="inlineStr">
        <is>
          <t>GÄVLE</t>
        </is>
      </c>
      <c r="I105" t="n">
        <v>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Brunlångöra</t>
        </is>
      </c>
      <c r="W105">
        <f>HYPERLINK("https://klasma.github.io/Logging_2180/artfynd/A 12381-2023 artfynd.xlsx", "A 12381-2023")</f>
        <v/>
      </c>
      <c r="X105">
        <f>HYPERLINK("https://klasma.github.io/Logging_2180/kartor/A 12381-2023 karta.png", "A 12381-2023")</f>
        <v/>
      </c>
      <c r="Y105">
        <f>HYPERLINK("https://klasma.github.io/Logging_2180/kartor_geotiff/A 12381-2023 georefererad karta.tif", "A 12381-2023")</f>
        <v/>
      </c>
      <c r="AA105">
        <f>HYPERLINK("https://klasma.github.io/Logging_2180/klagomål/A 12381-2023 FSC-klagomål.docx", "A 12381-2023")</f>
        <v/>
      </c>
      <c r="AB105">
        <f>HYPERLINK("https://klasma.github.io/Logging_2180/klagomålsmail/A 12381-2023 FSC-klagomål mail.docx", "A 12381-2023")</f>
        <v/>
      </c>
      <c r="AC105">
        <f>HYPERLINK("https://klasma.github.io/Logging_2180/tillsyn/A 12381-2023 tillsynsbegäran.docx", "A 12381-2023")</f>
        <v/>
      </c>
      <c r="AD105">
        <f>HYPERLINK("https://klasma.github.io/Logging_2180/tillsynsmail/A 12381-2023 tillsynsbegäran mail.docx", "A 12381-2023")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46304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46304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HYPERLINK("https://klasma.github.io/Logging_2180/artfynd/A 57932-2024 artfynd.xlsx", "A 57932-2024")</f>
        <v/>
      </c>
      <c r="X107">
        <f>HYPERLINK("https://klasma.github.io/Logging_2180/kartor/A 57932-2024 karta.png", "A 57932-2024")</f>
        <v/>
      </c>
      <c r="Y107">
        <f>HYPERLINK("https://klasma.github.io/Logging_2180/kartor_geotiff/A 57932-2024 georefererad karta.tif", "A 57932-2024")</f>
        <v/>
      </c>
      <c r="AA107">
        <f>HYPERLINK("https://klasma.github.io/Logging_2180/klagomål/A 57932-2024 FSC-klagomål.docx", "A 57932-2024")</f>
        <v/>
      </c>
      <c r="AB107">
        <f>HYPERLINK("https://klasma.github.io/Logging_2180/klagomålsmail/A 57932-2024 FSC-klagomål mail.docx", "A 57932-2024")</f>
        <v/>
      </c>
      <c r="AC107">
        <f>HYPERLINK("https://klasma.github.io/Logging_2180/tillsyn/A 57932-2024 tillsynsbegäran.docx", "A 57932-2024")</f>
        <v/>
      </c>
      <c r="AD107">
        <f>HYPERLINK("https://klasma.github.io/Logging_2180/tillsynsmail/A 57932-2024 tillsynsbegäran mail.docx", "A 57932-2024")</f>
        <v/>
      </c>
      <c r="AE107">
        <f>HYPERLINK("https://klasma.github.io/Logging_2180/fåglar/A 57932-2024 prioriterade fågelarter.docx", "A 57932-2024")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46304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22052-2026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46304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Gullpudra</t>
        </is>
      </c>
      <c r="W109">
        <f>HYPERLINK("https://klasma.github.io/Logging_2180/artfynd/A 22052-2026 artfynd.xlsx", "A 22052-2026")</f>
        <v/>
      </c>
      <c r="X109">
        <f>HYPERLINK("https://klasma.github.io/Logging_2180/kartor/A 22052-2026 karta.png", "A 22052-2026")</f>
        <v/>
      </c>
      <c r="Y109">
        <f>HYPERLINK("https://klasma.github.io/Logging_2180/kartor_geotiff/A 22052-2026 georefererad karta.tif", "A 22052-2026")</f>
        <v/>
      </c>
      <c r="AA109">
        <f>HYPERLINK("https://klasma.github.io/Logging_2180/klagomål/A 22052-2026 FSC-klagomål.docx", "A 22052-2026")</f>
        <v/>
      </c>
      <c r="AB109">
        <f>HYPERLINK("https://klasma.github.io/Logging_2180/klagomålsmail/A 22052-2026 FSC-klagomål mail.docx", "A 22052-2026")</f>
        <v/>
      </c>
      <c r="AC109">
        <f>HYPERLINK("https://klasma.github.io/Logging_2180/tillsyn/A 22052-2026 tillsynsbegäran.docx", "A 22052-2026")</f>
        <v/>
      </c>
      <c r="AD109">
        <f>HYPERLINK("https://klasma.github.io/Logging_2180/tillsynsmail/A 22052-2026 tillsynsbegäran mail.docx", "A 22052-2026")</f>
        <v/>
      </c>
    </row>
    <row r="110" ht="15" customHeight="1">
      <c r="A110" t="inlineStr">
        <is>
          <t>A 22892-2026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46304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22892-2026 artfynd.xlsx", "A 22892-2026")</f>
        <v/>
      </c>
      <c r="X110">
        <f>HYPERLINK("https://klasma.github.io/Logging_2180/kartor/A 22892-2026 karta.png", "A 22892-2026")</f>
        <v/>
      </c>
      <c r="Y110">
        <f>HYPERLINK("https://klasma.github.io/Logging_2180/kartor_geotiff/A 22892-2026 georefererad karta.tif", "A 22892-2026")</f>
        <v/>
      </c>
      <c r="AA110">
        <f>HYPERLINK("https://klasma.github.io/Logging_2180/klagomål/A 22892-2026 FSC-klagomål.docx", "A 22892-2026")</f>
        <v/>
      </c>
      <c r="AB110">
        <f>HYPERLINK("https://klasma.github.io/Logging_2180/klagomålsmail/A 22892-2026 FSC-klagomål mail.docx", "A 22892-2026")</f>
        <v/>
      </c>
      <c r="AC110">
        <f>HYPERLINK("https://klasma.github.io/Logging_2180/tillsyn/A 22892-2026 tillsynsbegäran.docx", "A 22892-2026")</f>
        <v/>
      </c>
      <c r="AD110">
        <f>HYPERLINK("https://klasma.github.io/Logging_2180/tillsynsmail/A 22892-2026 tillsynsbegäran mail.docx", "A 22892-2026")</f>
        <v/>
      </c>
      <c r="AE110">
        <f>HYPERLINK("https://klasma.github.io/Logging_2180/fåglar/A 22892-2026 prioriterade fågelarter.docx", "A 22892-2026")</f>
        <v/>
      </c>
    </row>
    <row r="111" ht="15" customHeight="1">
      <c r="A111" t="inlineStr">
        <is>
          <t>A 27063-2026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46304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27063-2026 artfynd.xlsx", "A 27063-2026")</f>
        <v/>
      </c>
      <c r="X111">
        <f>HYPERLINK("https://klasma.github.io/Logging_2180/kartor/A 27063-2026 karta.png", "A 27063-2026")</f>
        <v/>
      </c>
      <c r="Y111">
        <f>HYPERLINK("https://klasma.github.io/Logging_2180/kartor_geotiff/A 27063-2026 georefererad karta.tif", "A 27063-2026")</f>
        <v/>
      </c>
      <c r="AA111">
        <f>HYPERLINK("https://klasma.github.io/Logging_2180/klagomål/A 27063-2026 FSC-klagomål.docx", "A 27063-2026")</f>
        <v/>
      </c>
      <c r="AB111">
        <f>HYPERLINK("https://klasma.github.io/Logging_2180/klagomålsmail/A 27063-2026 FSC-klagomål mail.docx", "A 27063-2026")</f>
        <v/>
      </c>
      <c r="AC111">
        <f>HYPERLINK("https://klasma.github.io/Logging_2180/tillsyn/A 27063-2026 tillsynsbegäran.docx", "A 27063-2026")</f>
        <v/>
      </c>
      <c r="AD111">
        <f>HYPERLINK("https://klasma.github.io/Logging_2180/tillsynsmail/A 27063-2026 tillsynsbegäran mail.docx", "A 27063-2026")</f>
        <v/>
      </c>
    </row>
    <row r="112" ht="15" customHeight="1">
      <c r="A112" t="inlineStr">
        <is>
          <t>A 27058-2026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46304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27058-2026 artfynd.xlsx", "A 27058-2026")</f>
        <v/>
      </c>
      <c r="X112">
        <f>HYPERLINK("https://klasma.github.io/Logging_2180/kartor/A 27058-2026 karta.png", "A 27058-2026")</f>
        <v/>
      </c>
      <c r="Y112">
        <f>HYPERLINK("https://klasma.github.io/Logging_2180/kartor_geotiff/A 27058-2026 georefererad karta.tif", "A 27058-2026")</f>
        <v/>
      </c>
      <c r="AA112">
        <f>HYPERLINK("https://klasma.github.io/Logging_2180/klagomål/A 27058-2026 FSC-klagomål.docx", "A 27058-2026")</f>
        <v/>
      </c>
      <c r="AB112">
        <f>HYPERLINK("https://klasma.github.io/Logging_2180/klagomålsmail/A 27058-2026 FSC-klagomål mail.docx", "A 27058-2026")</f>
        <v/>
      </c>
      <c r="AC112">
        <f>HYPERLINK("https://klasma.github.io/Logging_2180/tillsyn/A 27058-2026 tillsynsbegäran.docx", "A 27058-2026")</f>
        <v/>
      </c>
      <c r="AD112">
        <f>HYPERLINK("https://klasma.github.io/Logging_2180/tillsynsmail/A 27058-2026 tillsynsbegäran mail.docx", "A 27058-2026")</f>
        <v/>
      </c>
    </row>
    <row r="113" ht="15" customHeight="1">
      <c r="A113" t="inlineStr">
        <is>
          <t>A 27043-2026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46304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27043-2026 artfynd.xlsx", "A 27043-2026")</f>
        <v/>
      </c>
      <c r="X113">
        <f>HYPERLINK("https://klasma.github.io/Logging_2180/kartor/A 27043-2026 karta.png", "A 27043-2026")</f>
        <v/>
      </c>
      <c r="Y113">
        <f>HYPERLINK("https://klasma.github.io/Logging_2180/kartor_geotiff/A 27043-2026 georefererad karta.tif", "A 27043-2026")</f>
        <v/>
      </c>
      <c r="AA113">
        <f>HYPERLINK("https://klasma.github.io/Logging_2180/klagomål/A 27043-2026 FSC-klagomål.docx", "A 27043-2026")</f>
        <v/>
      </c>
      <c r="AB113">
        <f>HYPERLINK("https://klasma.github.io/Logging_2180/klagomålsmail/A 27043-2026 FSC-klagomål mail.docx", "A 27043-2026")</f>
        <v/>
      </c>
      <c r="AC113">
        <f>HYPERLINK("https://klasma.github.io/Logging_2180/tillsyn/A 27043-2026 tillsynsbegäran.docx", "A 27043-2026")</f>
        <v/>
      </c>
      <c r="AD113">
        <f>HYPERLINK("https://klasma.github.io/Logging_2180/tillsynsmail/A 27043-2026 tillsynsbegäran mail.docx", "A 27043-2026")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46304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46304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37927-2022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46304</v>
      </c>
      <c r="F116" t="inlineStr">
        <is>
          <t>GÄVLEBORGS LÄN</t>
        </is>
      </c>
      <c r="G116" t="inlineStr">
        <is>
          <t>GÄVLE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10</v>
      </c>
      <c r="U116" t="n">
        <v>10</v>
      </c>
      <c r="V116" s="2" t="inlineStr">
        <is>
          <t>Knärot</t>
        </is>
      </c>
      <c r="W116">
        <f>HYPERLINK("https://klasma.github.io/Logging_2180/artfynd/A 37927-2022 artfynd.xlsx", "A 37927-2022")</f>
        <v/>
      </c>
      <c r="X116">
        <f>HYPERLINK("https://klasma.github.io/Logging_2180/kartor/A 37927-2022 karta.png", "A 37927-2022")</f>
        <v/>
      </c>
      <c r="Y116">
        <f>HYPERLINK("https://klasma.github.io/Logging_2180/kartor_geotiff/A 37927-2022 georefererad karta.tif", "A 37927-2022")</f>
        <v/>
      </c>
      <c r="Z116">
        <f>HYPERLINK("https://klasma.github.io/Logging_2180/knärot/A 37927-2022 karta knärot.png", "A 37927-2022")</f>
        <v/>
      </c>
      <c r="AA116">
        <f>HYPERLINK("https://klasma.github.io/Logging_2180/klagomål/A 37927-2022 FSC-klagomål.docx", "A 37927-2022")</f>
        <v/>
      </c>
      <c r="AB116">
        <f>HYPERLINK("https://klasma.github.io/Logging_2180/klagomålsmail/A 37927-2022 FSC-klagomål mail.docx", "A 37927-2022")</f>
        <v/>
      </c>
      <c r="AC116">
        <f>HYPERLINK("https://klasma.github.io/Logging_2180/tillsyn/A 37927-2022 tillsynsbegäran.docx", "A 37927-2022")</f>
        <v/>
      </c>
      <c r="AD116">
        <f>HYPERLINK("https://klasma.github.io/Logging_2180/tillsynsmail/A 37927-2022 tillsynsbegäran mail.docx", "A 37927-2022")</f>
        <v/>
      </c>
    </row>
    <row r="117" ht="15" customHeight="1">
      <c r="A117" t="inlineStr">
        <is>
          <t>A 36090-2026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46267</v>
      </c>
      <c r="E117" s="1" t="n">
        <v>46304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Tvåblad</t>
        </is>
      </c>
      <c r="W117">
        <f>HYPERLINK("https://klasma.github.io/Logging_2180/artfynd/A 36090-2026 artfynd.xlsx", "A 36090-2026")</f>
        <v/>
      </c>
      <c r="X117">
        <f>HYPERLINK("https://klasma.github.io/Logging_2180/kartor/A 36090-2026 karta.png", "A 36090-2026")</f>
        <v/>
      </c>
      <c r="Y117">
        <f>HYPERLINK("https://klasma.github.io/Logging_2180/kartor_geotiff/A 36090-2026 georefererad karta.tif", "A 36090-2026")</f>
        <v/>
      </c>
      <c r="AA117">
        <f>HYPERLINK("https://klasma.github.io/Logging_2180/klagomål/A 36090-2026 FSC-klagomål.docx", "A 36090-2026")</f>
        <v/>
      </c>
      <c r="AB117">
        <f>HYPERLINK("https://klasma.github.io/Logging_2180/klagomålsmail/A 36090-2026 FSC-klagomål mail.docx", "A 36090-2026")</f>
        <v/>
      </c>
      <c r="AC117">
        <f>HYPERLINK("https://klasma.github.io/Logging_2180/tillsyn/A 36090-2026 tillsynsbegäran.docx", "A 36090-2026")</f>
        <v/>
      </c>
      <c r="AD117">
        <f>HYPERLINK("https://klasma.github.io/Logging_2180/tillsynsmail/A 36090-2026 tillsynsbegäran mail.docx", "A 36090-2026")</f>
        <v/>
      </c>
    </row>
    <row r="118" ht="15" customHeight="1">
      <c r="A118" t="inlineStr">
        <is>
          <t>A 37220-2026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46274</v>
      </c>
      <c r="E118" s="1" t="n">
        <v>46304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HYPERLINK("https://klasma.github.io/Logging_2180/artfynd/A 37220-2026 artfynd.xlsx", "A 37220-2026")</f>
        <v/>
      </c>
      <c r="X118">
        <f>HYPERLINK("https://klasma.github.io/Logging_2180/kartor/A 37220-2026 karta.png", "A 37220-2026")</f>
        <v/>
      </c>
      <c r="Y118">
        <f>HYPERLINK("https://klasma.github.io/Logging_2180/kartor_geotiff/A 37220-2026 georefererad karta.tif", "A 37220-2026")</f>
        <v/>
      </c>
      <c r="AA118">
        <f>HYPERLINK("https://klasma.github.io/Logging_2180/klagomål/A 37220-2026 FSC-klagomål.docx", "A 37220-2026")</f>
        <v/>
      </c>
      <c r="AB118">
        <f>HYPERLINK("https://klasma.github.io/Logging_2180/klagomålsmail/A 37220-2026 FSC-klagomål mail.docx", "A 37220-2026")</f>
        <v/>
      </c>
      <c r="AC118">
        <f>HYPERLINK("https://klasma.github.io/Logging_2180/tillsyn/A 37220-2026 tillsynsbegäran.docx", "A 37220-2026")</f>
        <v/>
      </c>
      <c r="AD118">
        <f>HYPERLINK("https://klasma.github.io/Logging_2180/tillsynsmail/A 37220-2026 tillsynsbegäran mail.docx", "A 37220-2026")</f>
        <v/>
      </c>
    </row>
    <row r="119" ht="15" customHeight="1">
      <c r="A119" t="inlineStr">
        <is>
          <t>A 12083-2025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46304</v>
      </c>
      <c r="F119" t="inlineStr">
        <is>
          <t>GÄVLEBORGS LÄN</t>
        </is>
      </c>
      <c r="G119" t="inlineStr">
        <is>
          <t>GÄVLE</t>
        </is>
      </c>
      <c r="I119" t="n">
        <v>6.3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Grönsiska</t>
        </is>
      </c>
      <c r="W119">
        <f>HYPERLINK("https://klasma.github.io/Logging_2180/artfynd/A 12083-2025 artfynd.xlsx", "A 12083-2025")</f>
        <v/>
      </c>
      <c r="X119">
        <f>HYPERLINK("https://klasma.github.io/Logging_2180/kartor/A 12083-2025 karta.png", "A 12083-2025")</f>
        <v/>
      </c>
      <c r="Y119">
        <f>HYPERLINK("https://klasma.github.io/Logging_2180/kartor_geotiff/A 12083-2025 georefererad karta.tif", "A 12083-2025")</f>
        <v/>
      </c>
      <c r="AA119">
        <f>HYPERLINK("https://klasma.github.io/Logging_2180/klagomål/A 12083-2025 FSC-klagomål.docx", "A 12083-2025")</f>
        <v/>
      </c>
      <c r="AB119">
        <f>HYPERLINK("https://klasma.github.io/Logging_2180/klagomålsmail/A 12083-2025 FSC-klagomål mail.docx", "A 12083-2025")</f>
        <v/>
      </c>
      <c r="AC119">
        <f>HYPERLINK("https://klasma.github.io/Logging_2180/tillsyn/A 12083-2025 tillsynsbegäran.docx", "A 12083-2025")</f>
        <v/>
      </c>
      <c r="AD119">
        <f>HYPERLINK("https://klasma.github.io/Logging_2180/tillsynsmail/A 12083-2025 tillsynsbegäran mail.docx", "A 12083-2025")</f>
        <v/>
      </c>
    </row>
    <row r="120" ht="15" customHeight="1">
      <c r="A120" t="inlineStr">
        <is>
          <t>A 13227-2024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46304</v>
      </c>
      <c r="F120" t="inlineStr">
        <is>
          <t>GÄVLEBORGS LÄN</t>
        </is>
      </c>
      <c r="G120" t="inlineStr">
        <is>
          <t>GÄVLE</t>
        </is>
      </c>
      <c r="H120" t="inlineStr">
        <is>
          <t>Övriga statliga verk och myndigheter</t>
        </is>
      </c>
      <c r="I120" t="n">
        <v>5.9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Större vattensalamander</t>
        </is>
      </c>
      <c r="W120">
        <f>HYPERLINK("https://klasma.github.io/Logging_2180/artfynd/A 13227-2024 artfynd.xlsx", "A 13227-2024")</f>
        <v/>
      </c>
      <c r="X120">
        <f>HYPERLINK("https://klasma.github.io/Logging_2180/kartor/A 13227-2024 karta.png", "A 13227-2024")</f>
        <v/>
      </c>
      <c r="Y120">
        <f>HYPERLINK("https://klasma.github.io/Logging_2180/kartor_geotiff/A 13227-2024 georefererad karta.tif", "A 13227-2024")</f>
        <v/>
      </c>
      <c r="AA120">
        <f>HYPERLINK("https://klasma.github.io/Logging_2180/klagomål/A 13227-2024 FSC-klagomål.docx", "A 13227-2024")</f>
        <v/>
      </c>
      <c r="AB120">
        <f>HYPERLINK("https://klasma.github.io/Logging_2180/klagomålsmail/A 13227-2024 FSC-klagomål mail.docx", "A 13227-2024")</f>
        <v/>
      </c>
      <c r="AC120">
        <f>HYPERLINK("https://klasma.github.io/Logging_2180/tillsyn/A 13227-2024 tillsynsbegäran.docx", "A 13227-2024")</f>
        <v/>
      </c>
      <c r="AD120">
        <f>HYPERLINK("https://klasma.github.io/Logging_2180/tillsynsmail/A 13227-2024 tillsynsbegäran mail.docx", "A 13227-2024")</f>
        <v/>
      </c>
    </row>
    <row r="121" ht="15" customHeight="1">
      <c r="A121" t="inlineStr">
        <is>
          <t>A 38571-2026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46283</v>
      </c>
      <c r="E121" s="1" t="n">
        <v>46304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0.9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Platt spretmossa</t>
        </is>
      </c>
      <c r="W121">
        <f>HYPERLINK("https://klasma.github.io/Logging_2180/artfynd/A 38571-2026 artfynd.xlsx", "A 38571-2026")</f>
        <v/>
      </c>
      <c r="X121">
        <f>HYPERLINK("https://klasma.github.io/Logging_2180/kartor/A 38571-2026 karta.png", "A 38571-2026")</f>
        <v/>
      </c>
      <c r="Y121">
        <f>HYPERLINK("https://klasma.github.io/Logging_2180/kartor_geotiff/A 38571-2026 georefererad karta.tif", "A 38571-2026")</f>
        <v/>
      </c>
      <c r="AA121">
        <f>HYPERLINK("https://klasma.github.io/Logging_2180/klagomål/A 38571-2026 FSC-klagomål.docx", "A 38571-2026")</f>
        <v/>
      </c>
      <c r="AB121">
        <f>HYPERLINK("https://klasma.github.io/Logging_2180/klagomålsmail/A 38571-2026 FSC-klagomål mail.docx", "A 38571-2026")</f>
        <v/>
      </c>
      <c r="AC121">
        <f>HYPERLINK("https://klasma.github.io/Logging_2180/tillsyn/A 38571-2026 tillsynsbegäran.docx", "A 38571-2026")</f>
        <v/>
      </c>
      <c r="AD121">
        <f>HYPERLINK("https://klasma.github.io/Logging_2180/tillsynsmail/A 38571-2026 tillsynsbegäran mail.docx", "A 38571-2026")</f>
        <v/>
      </c>
    </row>
    <row r="122" ht="15" customHeight="1">
      <c r="A122" t="inlineStr">
        <is>
          <t>A 35830-2026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46265</v>
      </c>
      <c r="E122" s="1" t="n">
        <v>46304</v>
      </c>
      <c r="F122" t="inlineStr">
        <is>
          <t>GÄVLEBORGS LÄN</t>
        </is>
      </c>
      <c r="G122" t="inlineStr">
        <is>
          <t>GÄVLE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Bredgentiana</t>
        </is>
      </c>
      <c r="W122">
        <f>HYPERLINK("https://klasma.github.io/Logging_2180/artfynd/A 35830-2026 artfynd.xlsx", "A 35830-2026")</f>
        <v/>
      </c>
      <c r="X122">
        <f>HYPERLINK("https://klasma.github.io/Logging_2180/kartor/A 35830-2026 karta.png", "A 35830-2026")</f>
        <v/>
      </c>
      <c r="Y122">
        <f>HYPERLINK("https://klasma.github.io/Logging_2180/kartor_geotiff/A 35830-2026 georefererad karta.tif", "A 35830-2026")</f>
        <v/>
      </c>
      <c r="AA122">
        <f>HYPERLINK("https://klasma.github.io/Logging_2180/klagomål/A 35830-2026 FSC-klagomål.docx", "A 35830-2026")</f>
        <v/>
      </c>
      <c r="AB122">
        <f>HYPERLINK("https://klasma.github.io/Logging_2180/klagomålsmail/A 35830-2026 FSC-klagomål mail.docx", "A 35830-2026")</f>
        <v/>
      </c>
      <c r="AC122">
        <f>HYPERLINK("https://klasma.github.io/Logging_2180/tillsyn/A 35830-2026 tillsynsbegäran.docx", "A 35830-2026")</f>
        <v/>
      </c>
      <c r="AD122">
        <f>HYPERLINK("https://klasma.github.io/Logging_2180/tillsynsmail/A 35830-2026 tillsynsbegäran mail.docx", "A 35830-2026")</f>
        <v/>
      </c>
    </row>
    <row r="123" ht="15" customHeight="1">
      <c r="A123" t="inlineStr">
        <is>
          <t>A 38300-2026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46282</v>
      </c>
      <c r="E123" s="1" t="n">
        <v>46304</v>
      </c>
      <c r="F123" t="inlineStr">
        <is>
          <t>GÄVLEBORGS LÄN</t>
        </is>
      </c>
      <c r="G123" t="inlineStr">
        <is>
          <t>GÄVLE</t>
        </is>
      </c>
      <c r="I123" t="n">
        <v>3.7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HYPERLINK("https://klasma.github.io/Logging_2180/artfynd/A 38300-2026 artfynd.xlsx", "A 38300-2026")</f>
        <v/>
      </c>
      <c r="X123">
        <f>HYPERLINK("https://klasma.github.io/Logging_2180/kartor/A 38300-2026 karta.png", "A 38300-2026")</f>
        <v/>
      </c>
      <c r="Y123">
        <f>HYPERLINK("https://klasma.github.io/Logging_2180/kartor_geotiff/A 38300-2026 georefererad karta.tif", "A 38300-2026")</f>
        <v/>
      </c>
      <c r="AA123">
        <f>HYPERLINK("https://klasma.github.io/Logging_2180/klagomål/A 38300-2026 FSC-klagomål.docx", "A 38300-2026")</f>
        <v/>
      </c>
      <c r="AB123">
        <f>HYPERLINK("https://klasma.github.io/Logging_2180/klagomålsmail/A 38300-2026 FSC-klagomål mail.docx", "A 38300-2026")</f>
        <v/>
      </c>
      <c r="AC123">
        <f>HYPERLINK("https://klasma.github.io/Logging_2180/tillsyn/A 38300-2026 tillsynsbegäran.docx", "A 38300-2026")</f>
        <v/>
      </c>
      <c r="AD123">
        <f>HYPERLINK("https://klasma.github.io/Logging_2180/tillsynsmail/A 38300-2026 tillsynsbegäran mail.docx", "A 38300-2026")</f>
        <v/>
      </c>
      <c r="AE123">
        <f>HYPERLINK("https://klasma.github.io/Logging_2180/fåglar/A 38300-2026 prioriterade fågelarter.docx", "A 38300-2026")</f>
        <v/>
      </c>
    </row>
    <row r="124" ht="15" customHeight="1">
      <c r="A124" t="inlineStr">
        <is>
          <t>A 26871-2026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46304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4.2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HYPERLINK("https://klasma.github.io/Logging_2180/artfynd/A 26871-2026 artfynd.xlsx", "A 26871-2026")</f>
        <v/>
      </c>
      <c r="X124">
        <f>HYPERLINK("https://klasma.github.io/Logging_2180/kartor/A 26871-2026 karta.png", "A 26871-2026")</f>
        <v/>
      </c>
      <c r="Y124">
        <f>HYPERLINK("https://klasma.github.io/Logging_2180/kartor_geotiff/A 26871-2026 georefererad karta.tif", "A 26871-2026")</f>
        <v/>
      </c>
      <c r="AA124">
        <f>HYPERLINK("https://klasma.github.io/Logging_2180/klagomål/A 26871-2026 FSC-klagomål.docx", "A 26871-2026")</f>
        <v/>
      </c>
      <c r="AB124">
        <f>HYPERLINK("https://klasma.github.io/Logging_2180/klagomålsmail/A 26871-2026 FSC-klagomål mail.docx", "A 26871-2026")</f>
        <v/>
      </c>
      <c r="AC124">
        <f>HYPERLINK("https://klasma.github.io/Logging_2180/tillsyn/A 26871-2026 tillsynsbegäran.docx", "A 26871-2026")</f>
        <v/>
      </c>
      <c r="AD124">
        <f>HYPERLINK("https://klasma.github.io/Logging_2180/tillsynsmail/A 26871-2026 tillsynsbegäran mail.docx", "A 26871-2026")</f>
        <v/>
      </c>
    </row>
    <row r="125" ht="15" customHeight="1">
      <c r="A125" t="inlineStr">
        <is>
          <t>A 39065-2026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46287</v>
      </c>
      <c r="E125" s="1" t="n">
        <v>46304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Vedskivlav</t>
        </is>
      </c>
      <c r="W125">
        <f>HYPERLINK("https://klasma.github.io/Logging_2180/artfynd/A 39065-2026 artfynd.xlsx", "A 39065-2026")</f>
        <v/>
      </c>
      <c r="X125">
        <f>HYPERLINK("https://klasma.github.io/Logging_2180/kartor/A 39065-2026 karta.png", "A 39065-2026")</f>
        <v/>
      </c>
      <c r="Y125">
        <f>HYPERLINK("https://klasma.github.io/Logging_2180/kartor_geotiff/A 39065-2026 georefererad karta.tif", "A 39065-2026")</f>
        <v/>
      </c>
      <c r="AA125">
        <f>HYPERLINK("https://klasma.github.io/Logging_2180/klagomål/A 39065-2026 FSC-klagomål.docx", "A 39065-2026")</f>
        <v/>
      </c>
      <c r="AB125">
        <f>HYPERLINK("https://klasma.github.io/Logging_2180/klagomålsmail/A 39065-2026 FSC-klagomål mail.docx", "A 39065-2026")</f>
        <v/>
      </c>
      <c r="AC125">
        <f>HYPERLINK("https://klasma.github.io/Logging_2180/tillsyn/A 39065-2026 tillsynsbegäran.docx", "A 39065-2026")</f>
        <v/>
      </c>
      <c r="AD125">
        <f>HYPERLINK("https://klasma.github.io/Logging_2180/tillsynsmail/A 39065-2026 tillsynsbegäran mail.docx", "A 39065-2026")</f>
        <v/>
      </c>
    </row>
    <row r="126" ht="15" customHeight="1">
      <c r="A126" t="inlineStr">
        <is>
          <t>A 47642-2024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45588</v>
      </c>
      <c r="E126" s="1" t="n">
        <v>46304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8.199999999999999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Orre</t>
        </is>
      </c>
      <c r="W126">
        <f>HYPERLINK("https://klasma.github.io/Logging_2180/artfynd/A 47642-2024 artfynd.xlsx", "A 47642-2024")</f>
        <v/>
      </c>
      <c r="X126">
        <f>HYPERLINK("https://klasma.github.io/Logging_2180/kartor/A 47642-2024 karta.png", "A 47642-2024")</f>
        <v/>
      </c>
      <c r="Y126">
        <f>HYPERLINK("https://klasma.github.io/Logging_2180/kartor_geotiff/A 47642-2024 georefererad karta.tif", "A 47642-2024")</f>
        <v/>
      </c>
      <c r="AA126">
        <f>HYPERLINK("https://klasma.github.io/Logging_2180/klagomål/A 47642-2024 FSC-klagomål.docx", "A 47642-2024")</f>
        <v/>
      </c>
      <c r="AB126">
        <f>HYPERLINK("https://klasma.github.io/Logging_2180/klagomålsmail/A 47642-2024 FSC-klagomål mail.docx", "A 47642-2024")</f>
        <v/>
      </c>
      <c r="AC126">
        <f>HYPERLINK("https://klasma.github.io/Logging_2180/tillsyn/A 47642-2024 tillsynsbegäran.docx", "A 47642-2024")</f>
        <v/>
      </c>
      <c r="AD126">
        <f>HYPERLINK("https://klasma.github.io/Logging_2180/tillsynsmail/A 47642-2024 tillsynsbegäran mail.docx", "A 47642-2024")</f>
        <v/>
      </c>
      <c r="AE126">
        <f>HYPERLINK("https://klasma.github.io/Logging_2180/fåglar/A 47642-2024 prioriterade fågelarter.docx", "A 47642-2024")</f>
        <v/>
      </c>
    </row>
    <row r="127" ht="15" customHeight="1">
      <c r="A127" t="inlineStr">
        <is>
          <t>A 39719-2026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46304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8.300000000000001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HYPERLINK("https://klasma.github.io/Logging_2180/artfynd/A 39719-2026 artfynd.xlsx", "A 39719-2026")</f>
        <v/>
      </c>
      <c r="X127">
        <f>HYPERLINK("https://klasma.github.io/Logging_2180/kartor/A 39719-2026 karta.png", "A 39719-2026")</f>
        <v/>
      </c>
      <c r="Y127">
        <f>HYPERLINK("https://klasma.github.io/Logging_2180/kartor_geotiff/A 39719-2026 georefererad karta.tif", "A 39719-2026")</f>
        <v/>
      </c>
      <c r="AA127">
        <f>HYPERLINK("https://klasma.github.io/Logging_2180/klagomål/A 39719-2026 FSC-klagomål.docx", "A 39719-2026")</f>
        <v/>
      </c>
      <c r="AB127">
        <f>HYPERLINK("https://klasma.github.io/Logging_2180/klagomålsmail/A 39719-2026 FSC-klagomål mail.docx", "A 39719-2026")</f>
        <v/>
      </c>
      <c r="AC127">
        <f>HYPERLINK("https://klasma.github.io/Logging_2180/tillsyn/A 39719-2026 tillsynsbegäran.docx", "A 39719-2026")</f>
        <v/>
      </c>
      <c r="AD127">
        <f>HYPERLINK("https://klasma.github.io/Logging_2180/tillsynsmail/A 39719-2026 tillsynsbegäran mail.docx", "A 39719-2026")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46304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39763-2026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46290</v>
      </c>
      <c r="E129" s="1" t="n">
        <v>46304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0.7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HYPERLINK("https://klasma.github.io/Logging_2180/artfynd/A 39763-2026 artfynd.xlsx", "A 39763-2026")</f>
        <v/>
      </c>
      <c r="X129">
        <f>HYPERLINK("https://klasma.github.io/Logging_2180/kartor/A 39763-2026 karta.png", "A 39763-2026")</f>
        <v/>
      </c>
      <c r="Y129">
        <f>HYPERLINK("https://klasma.github.io/Logging_2180/kartor_geotiff/A 39763-2026 georefererad karta.tif", "A 39763-2026")</f>
        <v/>
      </c>
      <c r="AA129">
        <f>HYPERLINK("https://klasma.github.io/Logging_2180/klagomål/A 39763-2026 FSC-klagomål.docx", "A 39763-2026")</f>
        <v/>
      </c>
      <c r="AB129">
        <f>HYPERLINK("https://klasma.github.io/Logging_2180/klagomålsmail/A 39763-2026 FSC-klagomål mail.docx", "A 39763-2026")</f>
        <v/>
      </c>
      <c r="AC129">
        <f>HYPERLINK("https://klasma.github.io/Logging_2180/tillsyn/A 39763-2026 tillsynsbegäran.docx", "A 39763-2026")</f>
        <v/>
      </c>
      <c r="AD129">
        <f>HYPERLINK("https://klasma.github.io/Logging_2180/tillsynsmail/A 39763-2026 tillsynsbegäran mail.docx", "A 39763-2026")</f>
        <v/>
      </c>
    </row>
    <row r="130" ht="15" customHeight="1">
      <c r="A130" t="inlineStr">
        <is>
          <t>A 34086-2026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46252</v>
      </c>
      <c r="E130" s="1" t="n">
        <v>46304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6.1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Gullgröppa</t>
        </is>
      </c>
      <c r="W130">
        <f>HYPERLINK("https://klasma.github.io/Logging_2180/artfynd/A 34086-2026 artfynd.xlsx", "A 34086-2026")</f>
        <v/>
      </c>
      <c r="X130">
        <f>HYPERLINK("https://klasma.github.io/Logging_2180/kartor/A 34086-2026 karta.png", "A 34086-2026")</f>
        <v/>
      </c>
      <c r="Y130">
        <f>HYPERLINK("https://klasma.github.io/Logging_2180/kartor_geotiff/A 34086-2026 georefererad karta.tif", "A 34086-2026")</f>
        <v/>
      </c>
      <c r="AA130">
        <f>HYPERLINK("https://klasma.github.io/Logging_2180/klagomål/A 34086-2026 FSC-klagomål.docx", "A 34086-2026")</f>
        <v/>
      </c>
      <c r="AB130">
        <f>HYPERLINK("https://klasma.github.io/Logging_2180/klagomålsmail/A 34086-2026 FSC-klagomål mail.docx", "A 34086-2026")</f>
        <v/>
      </c>
      <c r="AC130">
        <f>HYPERLINK("https://klasma.github.io/Logging_2180/tillsyn/A 34086-2026 tillsynsbegäran.docx", "A 34086-2026")</f>
        <v/>
      </c>
      <c r="AD130">
        <f>HYPERLINK("https://klasma.github.io/Logging_2180/tillsynsmail/A 34086-2026 tillsynsbegäran mail.docx", "A 34086-2026")</f>
        <v/>
      </c>
    </row>
    <row r="131" ht="15" customHeight="1">
      <c r="A131" t="inlineStr">
        <is>
          <t>A 40279-2026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46294</v>
      </c>
      <c r="E131" s="1" t="n">
        <v>46304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Myggblomster</t>
        </is>
      </c>
      <c r="W131">
        <f>HYPERLINK("https://klasma.github.io/Logging_2180/artfynd/A 40279-2026 artfynd.xlsx", "A 40279-2026")</f>
        <v/>
      </c>
      <c r="X131">
        <f>HYPERLINK("https://klasma.github.io/Logging_2180/kartor/A 40279-2026 karta.png", "A 40279-2026")</f>
        <v/>
      </c>
      <c r="Y131">
        <f>HYPERLINK("https://klasma.github.io/Logging_2180/kartor_geotiff/A 40279-2026 georefererad karta.tif", "A 40279-2026")</f>
        <v/>
      </c>
      <c r="AA131">
        <f>HYPERLINK("https://klasma.github.io/Logging_2180/klagomål/A 40279-2026 FSC-klagomål.docx", "A 40279-2026")</f>
        <v/>
      </c>
      <c r="AB131">
        <f>HYPERLINK("https://klasma.github.io/Logging_2180/klagomålsmail/A 40279-2026 FSC-klagomål mail.docx", "A 40279-2026")</f>
        <v/>
      </c>
      <c r="AC131">
        <f>HYPERLINK("https://klasma.github.io/Logging_2180/tillsyn/A 40279-2026 tillsynsbegäran.docx", "A 40279-2026")</f>
        <v/>
      </c>
      <c r="AD131">
        <f>HYPERLINK("https://klasma.github.io/Logging_2180/tillsynsmail/A 40279-2026 tillsynsbegäran mail.docx", "A 40279-2026")</f>
        <v/>
      </c>
    </row>
    <row r="132" ht="15" customHeight="1">
      <c r="A132" t="inlineStr">
        <is>
          <t>A 30302-2025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46304</v>
      </c>
      <c r="F132" t="inlineStr">
        <is>
          <t>GÄVLEBORGS LÄN</t>
        </is>
      </c>
      <c r="G132" t="inlineStr">
        <is>
          <t>GÄVLE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Fläcknycklar</t>
        </is>
      </c>
      <c r="W132">
        <f>HYPERLINK("https://klasma.github.io/Logging_2180/artfynd/A 30302-2025 artfynd.xlsx", "A 30302-2025")</f>
        <v/>
      </c>
      <c r="X132">
        <f>HYPERLINK("https://klasma.github.io/Logging_2180/kartor/A 30302-2025 karta.png", "A 30302-2025")</f>
        <v/>
      </c>
      <c r="Y132">
        <f>HYPERLINK("https://klasma.github.io/Logging_2180/kartor_geotiff/A 30302-2025 georefererad karta.tif", "A 30302-2025")</f>
        <v/>
      </c>
      <c r="AA132">
        <f>HYPERLINK("https://klasma.github.io/Logging_2180/klagomål/A 30302-2025 FSC-klagomål.docx", "A 30302-2025")</f>
        <v/>
      </c>
      <c r="AB132">
        <f>HYPERLINK("https://klasma.github.io/Logging_2180/klagomålsmail/A 30302-2025 FSC-klagomål mail.docx", "A 30302-2025")</f>
        <v/>
      </c>
      <c r="AC132">
        <f>HYPERLINK("https://klasma.github.io/Logging_2180/tillsyn/A 30302-2025 tillsynsbegäran.docx", "A 30302-2025")</f>
        <v/>
      </c>
      <c r="AD132">
        <f>HYPERLINK("https://klasma.github.io/Logging_2180/tillsynsmail/A 30302-2025 tillsynsbegäran mail.docx", "A 30302-2025")</f>
        <v/>
      </c>
    </row>
    <row r="133" ht="15" customHeight="1">
      <c r="A133" t="inlineStr">
        <is>
          <t>A 33832-2026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46251</v>
      </c>
      <c r="E133" s="1" t="n">
        <v>46304</v>
      </c>
      <c r="F133" t="inlineStr">
        <is>
          <t>GÄVLEBORGS LÄN</t>
        </is>
      </c>
      <c r="G133" t="inlineStr">
        <is>
          <t>GÄVLE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HYPERLINK("https://klasma.github.io/Logging_2180/artfynd/A 33832-2026 artfynd.xlsx", "A 33832-2026")</f>
        <v/>
      </c>
      <c r="X133">
        <f>HYPERLINK("https://klasma.github.io/Logging_2180/kartor/A 33832-2026 karta.png", "A 33832-2026")</f>
        <v/>
      </c>
      <c r="Y133">
        <f>HYPERLINK("https://klasma.github.io/Logging_2180/kartor_geotiff/A 33832-2026 georefererad karta.tif", "A 33832-2026")</f>
        <v/>
      </c>
      <c r="AA133">
        <f>HYPERLINK("https://klasma.github.io/Logging_2180/klagomål/A 33832-2026 FSC-klagomål.docx", "A 33832-2026")</f>
        <v/>
      </c>
      <c r="AB133">
        <f>HYPERLINK("https://klasma.github.io/Logging_2180/klagomålsmail/A 33832-2026 FSC-klagomål mail.docx", "A 33832-2026")</f>
        <v/>
      </c>
      <c r="AC133">
        <f>HYPERLINK("https://klasma.github.io/Logging_2180/tillsyn/A 33832-2026 tillsynsbegäran.docx", "A 33832-2026")</f>
        <v/>
      </c>
      <c r="AD133">
        <f>HYPERLINK("https://klasma.github.io/Logging_2180/tillsynsmail/A 33832-2026 tillsynsbegäran mail.docx", "A 33832-2026")</f>
        <v/>
      </c>
    </row>
    <row r="134" ht="15" customHeight="1">
      <c r="A134" t="inlineStr">
        <is>
          <t>A 17251-2026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46304</v>
      </c>
      <c r="F134" t="inlineStr">
        <is>
          <t>GÄVLEBORGS LÄN</t>
        </is>
      </c>
      <c r="G134" t="inlineStr">
        <is>
          <t>GÄVLE</t>
        </is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Blåsippa</t>
        </is>
      </c>
      <c r="W134">
        <f>HYPERLINK("https://klasma.github.io/Logging_2180/artfynd/A 17251-2026 artfynd.xlsx", "A 17251-2026")</f>
        <v/>
      </c>
      <c r="X134">
        <f>HYPERLINK("https://klasma.github.io/Logging_2180/kartor/A 17251-2026 karta.png", "A 17251-2026")</f>
        <v/>
      </c>
      <c r="Y134">
        <f>HYPERLINK("https://klasma.github.io/Logging_2180/kartor_geotiff/A 17251-2026 georefererad karta.tif", "A 17251-2026")</f>
        <v/>
      </c>
      <c r="AA134">
        <f>HYPERLINK("https://klasma.github.io/Logging_2180/klagomål/A 17251-2026 FSC-klagomål.docx", "A 17251-2026")</f>
        <v/>
      </c>
      <c r="AB134">
        <f>HYPERLINK("https://klasma.github.io/Logging_2180/klagomålsmail/A 17251-2026 FSC-klagomål mail.docx", "A 17251-2026")</f>
        <v/>
      </c>
      <c r="AC134">
        <f>HYPERLINK("https://klasma.github.io/Logging_2180/tillsyn/A 17251-2026 tillsynsbegäran.docx", "A 17251-2026")</f>
        <v/>
      </c>
      <c r="AD134">
        <f>HYPERLINK("https://klasma.github.io/Logging_2180/tillsynsmail/A 17251-2026 tillsynsbegäran mail.docx", "A 17251-2026")</f>
        <v/>
      </c>
    </row>
    <row r="135" ht="15" customHeight="1">
      <c r="A135" t="inlineStr">
        <is>
          <t>A 18216-2024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46304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Dofttaggsvamp</t>
        </is>
      </c>
      <c r="W135">
        <f>HYPERLINK("https://klasma.github.io/Logging_2180/artfynd/A 18216-2024 artfynd.xlsx", "A 18216-2024")</f>
        <v/>
      </c>
      <c r="X135">
        <f>HYPERLINK("https://klasma.github.io/Logging_2180/kartor/A 18216-2024 karta.png", "A 18216-2024")</f>
        <v/>
      </c>
      <c r="Y135">
        <f>HYPERLINK("https://klasma.github.io/Logging_2180/kartor_geotiff/A 18216-2024 georefererad karta.tif", "A 18216-2024")</f>
        <v/>
      </c>
      <c r="AA135">
        <f>HYPERLINK("https://klasma.github.io/Logging_2180/klagomål/A 18216-2024 FSC-klagomål.docx", "A 18216-2024")</f>
        <v/>
      </c>
      <c r="AB135">
        <f>HYPERLINK("https://klasma.github.io/Logging_2180/klagomålsmail/A 18216-2024 FSC-klagomål mail.docx", "A 18216-2024")</f>
        <v/>
      </c>
      <c r="AC135">
        <f>HYPERLINK("https://klasma.github.io/Logging_2180/tillsyn/A 18216-2024 tillsynsbegäran.docx", "A 18216-2024")</f>
        <v/>
      </c>
      <c r="AD135">
        <f>HYPERLINK("https://klasma.github.io/Logging_2180/tillsynsmail/A 18216-2024 tillsynsbegäran mail.docx", "A 18216-2024")</f>
        <v/>
      </c>
    </row>
    <row r="136" ht="15" customHeight="1">
      <c r="A136" t="inlineStr">
        <is>
          <t>A 34589-2026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46255</v>
      </c>
      <c r="E136" s="1" t="n">
        <v>46304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15.3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Tibast</t>
        </is>
      </c>
      <c r="W136">
        <f>HYPERLINK("https://klasma.github.io/Logging_2180/artfynd/A 34589-2026 artfynd.xlsx", "A 34589-2026")</f>
        <v/>
      </c>
      <c r="X136">
        <f>HYPERLINK("https://klasma.github.io/Logging_2180/kartor/A 34589-2026 karta.png", "A 34589-2026")</f>
        <v/>
      </c>
      <c r="Y136">
        <f>HYPERLINK("https://klasma.github.io/Logging_2180/kartor_geotiff/A 34589-2026 georefererad karta.tif", "A 34589-2026")</f>
        <v/>
      </c>
      <c r="AA136">
        <f>HYPERLINK("https://klasma.github.io/Logging_2180/klagomål/A 34589-2026 FSC-klagomål.docx", "A 34589-2026")</f>
        <v/>
      </c>
      <c r="AB136">
        <f>HYPERLINK("https://klasma.github.io/Logging_2180/klagomålsmail/A 34589-2026 FSC-klagomål mail.docx", "A 34589-2026")</f>
        <v/>
      </c>
      <c r="AC136">
        <f>HYPERLINK("https://klasma.github.io/Logging_2180/tillsyn/A 34589-2026 tillsynsbegäran.docx", "A 34589-2026")</f>
        <v/>
      </c>
      <c r="AD136">
        <f>HYPERLINK("https://klasma.github.io/Logging_2180/tillsynsmail/A 34589-2026 tillsynsbegäran mail.docx", "A 34589-2026")</f>
        <v/>
      </c>
    </row>
    <row r="137" ht="15" customHeight="1">
      <c r="A137" t="inlineStr">
        <is>
          <t>A 13269-2026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46304</v>
      </c>
      <c r="F137" t="inlineStr">
        <is>
          <t>GÄVLEBORGS LÄN</t>
        </is>
      </c>
      <c r="G137" t="inlineStr">
        <is>
          <t>GÄVLE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Havsörn</t>
        </is>
      </c>
      <c r="W137">
        <f>HYPERLINK("https://klasma.github.io/Logging_2180/artfynd/A 13269-2026 artfynd.xlsx", "A 13269-2026")</f>
        <v/>
      </c>
      <c r="X137">
        <f>HYPERLINK("https://klasma.github.io/Logging_2180/kartor/A 13269-2026 karta.png", "A 13269-2026")</f>
        <v/>
      </c>
      <c r="Y137">
        <f>HYPERLINK("https://klasma.github.io/Logging_2180/kartor_geotiff/A 13269-2026 georefererad karta.tif", "A 13269-2026")</f>
        <v/>
      </c>
      <c r="AA137">
        <f>HYPERLINK("https://klasma.github.io/Logging_2180/klagomål/A 13269-2026 FSC-klagomål.docx", "A 13269-2026")</f>
        <v/>
      </c>
      <c r="AB137">
        <f>HYPERLINK("https://klasma.github.io/Logging_2180/klagomålsmail/A 13269-2026 FSC-klagomål mail.docx", "A 13269-2026")</f>
        <v/>
      </c>
      <c r="AC137">
        <f>HYPERLINK("https://klasma.github.io/Logging_2180/tillsyn/A 13269-2026 tillsynsbegäran.docx", "A 13269-2026")</f>
        <v/>
      </c>
      <c r="AD137">
        <f>HYPERLINK("https://klasma.github.io/Logging_2180/tillsynsmail/A 13269-2026 tillsynsbegäran mail.docx", "A 13269-2026")</f>
        <v/>
      </c>
      <c r="AE137">
        <f>HYPERLINK("https://klasma.github.io/Logging_2180/fåglar/A 13269-2026 prioriterade fågelarter.docx", "A 13269-2026")</f>
        <v/>
      </c>
    </row>
    <row r="138" ht="15" customHeight="1">
      <c r="A138" t="inlineStr">
        <is>
          <t>A 23003-2026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46160</v>
      </c>
      <c r="E138" s="1" t="n">
        <v>46304</v>
      </c>
      <c r="F138" t="inlineStr">
        <is>
          <t>GÄVLEBORGS LÄN</t>
        </is>
      </c>
      <c r="G138" t="inlineStr">
        <is>
          <t>GÄVLE</t>
        </is>
      </c>
      <c r="I138" t="n">
        <v>12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Tjäder</t>
        </is>
      </c>
      <c r="W138">
        <f>HYPERLINK("https://klasma.github.io/Logging_2180/artfynd/A 23003-2026 artfynd.xlsx", "A 23003-2026")</f>
        <v/>
      </c>
      <c r="X138">
        <f>HYPERLINK("https://klasma.github.io/Logging_2180/kartor/A 23003-2026 karta.png", "A 23003-2026")</f>
        <v/>
      </c>
      <c r="Y138">
        <f>HYPERLINK("https://klasma.github.io/Logging_2180/kartor_geotiff/A 23003-2026 georefererad karta.tif", "A 23003-2026")</f>
        <v/>
      </c>
      <c r="AA138">
        <f>HYPERLINK("https://klasma.github.io/Logging_2180/klagomål/A 23003-2026 FSC-klagomål.docx", "A 23003-2026")</f>
        <v/>
      </c>
      <c r="AB138">
        <f>HYPERLINK("https://klasma.github.io/Logging_2180/klagomålsmail/A 23003-2026 FSC-klagomål mail.docx", "A 23003-2026")</f>
        <v/>
      </c>
      <c r="AC138">
        <f>HYPERLINK("https://klasma.github.io/Logging_2180/tillsyn/A 23003-2026 tillsynsbegäran.docx", "A 23003-2026")</f>
        <v/>
      </c>
      <c r="AD138">
        <f>HYPERLINK("https://klasma.github.io/Logging_2180/tillsynsmail/A 23003-2026 tillsynsbegäran mail.docx", "A 23003-2026")</f>
        <v/>
      </c>
      <c r="AE138">
        <f>HYPERLINK("https://klasma.github.io/Logging_2180/fåglar/A 23003-2026 prioriterade fågelarter.docx", "A 23003-2026")</f>
        <v/>
      </c>
    </row>
    <row r="139" ht="15" customHeight="1">
      <c r="A139" t="inlineStr">
        <is>
          <t>A 19635-2026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46304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Skinnlav</t>
        </is>
      </c>
      <c r="W139">
        <f>HYPERLINK("https://klasma.github.io/Logging_2180/artfynd/A 19635-2026 artfynd.xlsx", "A 19635-2026")</f>
        <v/>
      </c>
      <c r="X139">
        <f>HYPERLINK("https://klasma.github.io/Logging_2180/kartor/A 19635-2026 karta.png", "A 19635-2026")</f>
        <v/>
      </c>
      <c r="Y139">
        <f>HYPERLINK("https://klasma.github.io/Logging_2180/kartor_geotiff/A 19635-2026 georefererad karta.tif", "A 19635-2026")</f>
        <v/>
      </c>
      <c r="AA139">
        <f>HYPERLINK("https://klasma.github.io/Logging_2180/klagomål/A 19635-2026 FSC-klagomål.docx", "A 19635-2026")</f>
        <v/>
      </c>
      <c r="AB139">
        <f>HYPERLINK("https://klasma.github.io/Logging_2180/klagomålsmail/A 19635-2026 FSC-klagomål mail.docx", "A 19635-2026")</f>
        <v/>
      </c>
      <c r="AC139">
        <f>HYPERLINK("https://klasma.github.io/Logging_2180/tillsyn/A 19635-2026 tillsynsbegäran.docx", "A 19635-2026")</f>
        <v/>
      </c>
      <c r="AD139">
        <f>HYPERLINK("https://klasma.github.io/Logging_2180/tillsynsmail/A 19635-2026 tillsynsbegäran mail.docx", "A 19635-2026")</f>
        <v/>
      </c>
    </row>
    <row r="140" ht="15" customHeight="1">
      <c r="A140" t="inlineStr">
        <is>
          <t>A 34890-2026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46259</v>
      </c>
      <c r="E140" s="1" t="n">
        <v>46304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18.3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4</v>
      </c>
      <c r="U140" t="n">
        <v>0</v>
      </c>
      <c r="V140" s="2" t="inlineStr">
        <is>
          <t>Spillkråka</t>
        </is>
      </c>
      <c r="W140">
        <f>HYPERLINK("https://klasma.github.io/Logging_2180/artfynd/A 34890-2026 artfynd.xlsx", "A 34890-2026")</f>
        <v/>
      </c>
      <c r="X140">
        <f>HYPERLINK("https://klasma.github.io/Logging_2180/kartor/A 34890-2026 karta.png", "A 34890-2026")</f>
        <v/>
      </c>
      <c r="Y140">
        <f>HYPERLINK("https://klasma.github.io/Logging_2180/kartor_geotiff/A 34890-2026 georefererad karta.tif", "A 34890-2026")</f>
        <v/>
      </c>
      <c r="AA140">
        <f>HYPERLINK("https://klasma.github.io/Logging_2180/klagomål/A 34890-2026 FSC-klagomål.docx", "A 34890-2026")</f>
        <v/>
      </c>
      <c r="AB140">
        <f>HYPERLINK("https://klasma.github.io/Logging_2180/klagomålsmail/A 34890-2026 FSC-klagomål mail.docx", "A 34890-2026")</f>
        <v/>
      </c>
      <c r="AC140">
        <f>HYPERLINK("https://klasma.github.io/Logging_2180/tillsyn/A 34890-2026 tillsynsbegäran.docx", "A 34890-2026")</f>
        <v/>
      </c>
      <c r="AD140">
        <f>HYPERLINK("https://klasma.github.io/Logging_2180/tillsynsmail/A 34890-2026 tillsynsbegäran mail.docx", "A 34890-2026")</f>
        <v/>
      </c>
      <c r="AE140">
        <f>HYPERLINK("https://klasma.github.io/Logging_2180/fåglar/A 34890-2026 prioriterade fågelarter.docx", "A 34890-2026")</f>
        <v/>
      </c>
    </row>
    <row r="141" ht="15" customHeight="1">
      <c r="A141" t="inlineStr">
        <is>
          <t>A 56123-2025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46304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10.5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Talltita</t>
        </is>
      </c>
      <c r="W141">
        <f>HYPERLINK("https://klasma.github.io/Logging_2180/artfynd/A 56123-2025 artfynd.xlsx", "A 56123-2025")</f>
        <v/>
      </c>
      <c r="X141">
        <f>HYPERLINK("https://klasma.github.io/Logging_2180/kartor/A 56123-2025 karta.png", "A 56123-2025")</f>
        <v/>
      </c>
      <c r="Y141">
        <f>HYPERLINK("https://klasma.github.io/Logging_2180/kartor_geotiff/A 56123-2025 georefererad karta.tif", "A 56123-2025")</f>
        <v/>
      </c>
      <c r="AA141">
        <f>HYPERLINK("https://klasma.github.io/Logging_2180/klagomål/A 56123-2025 FSC-klagomål.docx", "A 56123-2025")</f>
        <v/>
      </c>
      <c r="AB141">
        <f>HYPERLINK("https://klasma.github.io/Logging_2180/klagomålsmail/A 56123-2025 FSC-klagomål mail.docx", "A 56123-2025")</f>
        <v/>
      </c>
      <c r="AC141">
        <f>HYPERLINK("https://klasma.github.io/Logging_2180/tillsyn/A 56123-2025 tillsynsbegäran.docx", "A 56123-2025")</f>
        <v/>
      </c>
      <c r="AD141">
        <f>HYPERLINK("https://klasma.github.io/Logging_2180/tillsynsmail/A 56123-2025 tillsynsbegäran mail.docx", "A 56123-2025")</f>
        <v/>
      </c>
      <c r="AE141">
        <f>HYPERLINK("https://klasma.github.io/Logging_2180/fåglar/A 56123-2025 prioriterade fågelarter.docx", "A 56123-2025")</f>
        <v/>
      </c>
    </row>
    <row r="142" ht="15" customHeight="1">
      <c r="A142" t="inlineStr">
        <is>
          <t>S 399-2022</t>
        </is>
      </c>
      <c r="B142" t="inlineStr">
        <is>
          <t>samrådsanmälan</t>
        </is>
      </c>
      <c r="C142" t="inlineStr">
        <is>
          <t>Skogsgödsling</t>
        </is>
      </c>
      <c r="D142" s="1" t="n">
        <v>44585</v>
      </c>
      <c r="E142" s="1" t="n">
        <v>46304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väst AB</t>
        </is>
      </c>
      <c r="I142" t="n">
        <v>44.4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HYPERLINK("https://klasma.github.io/Logging_2180/artfynd/S 399-2022 artfynd.xlsx", "S 399-2022")</f>
        <v/>
      </c>
      <c r="X142">
        <f>HYPERLINK("https://klasma.github.io/Logging_2180/kartor/S 399-2022 karta.png", "S 399-2022")</f>
        <v/>
      </c>
      <c r="Y142">
        <f>HYPERLINK("https://klasma.github.io/Logging_2180/kartor_geotiff/S 399-2022 georefererad karta.tif", "S 399-2022")</f>
        <v/>
      </c>
      <c r="AA142">
        <f>HYPERLINK("https://klasma.github.io/Logging_2180/klagomål/S 399-2022 FSC-klagomål.docx", "S 399-2022")</f>
        <v/>
      </c>
      <c r="AB142">
        <f>HYPERLINK("https://klasma.github.io/Logging_2180/klagomålsmail/S 399-2022 FSC-klagomål mail.docx", "S 399-2022")</f>
        <v/>
      </c>
      <c r="AC142">
        <f>HYPERLINK("https://klasma.github.io/Logging_2180/tillsyn/S 399-2022 tillsynsbegäran.docx", "S 399-2022")</f>
        <v/>
      </c>
      <c r="AD142">
        <f>HYPERLINK("https://klasma.github.io/Logging_2180/tillsynsmail/S 399-2022 tillsynsbegäran mail.docx", "S 399-2022")</f>
        <v/>
      </c>
    </row>
    <row r="143" ht="15" customHeight="1">
      <c r="A143" t="inlineStr">
        <is>
          <t>S 235-2025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45680</v>
      </c>
      <c r="E143" s="1" t="n">
        <v>46304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12.7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Tallticka</t>
        </is>
      </c>
      <c r="W143">
        <f>HYPERLINK("https://klasma.github.io/Logging_2180/artfynd/S 235-2025 artfynd.xlsx", "S 235-2025")</f>
        <v/>
      </c>
      <c r="X143">
        <f>HYPERLINK("https://klasma.github.io/Logging_2180/kartor/S 235-2025 karta.png", "S 235-2025")</f>
        <v/>
      </c>
      <c r="Y143">
        <f>HYPERLINK("https://klasma.github.io/Logging_2180/kartor_geotiff/S 235-2025 georefererad karta.tif", "S 235-2025")</f>
        <v/>
      </c>
      <c r="AA143">
        <f>HYPERLINK("https://klasma.github.io/Logging_2180/klagomål/S 235-2025 FSC-klagomål.docx", "S 235-2025")</f>
        <v/>
      </c>
      <c r="AB143">
        <f>HYPERLINK("https://klasma.github.io/Logging_2180/klagomålsmail/S 235-2025 FSC-klagomål mail.docx", "S 235-2025")</f>
        <v/>
      </c>
      <c r="AC143">
        <f>HYPERLINK("https://klasma.github.io/Logging_2180/tillsyn/S 235-2025 tillsynsbegäran.docx", "S 235-2025")</f>
        <v/>
      </c>
      <c r="AD143">
        <f>HYPERLINK("https://klasma.github.io/Logging_2180/tillsynsmail/S 235-2025 tillsynsbegäran mail.docx", "S 235-2025")</f>
        <v/>
      </c>
    </row>
    <row r="144" ht="15" customHeight="1">
      <c r="A144" t="inlineStr">
        <is>
          <t>S 3895-2024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45562</v>
      </c>
      <c r="E144" s="1" t="n">
        <v>46304</v>
      </c>
      <c r="F144" t="inlineStr">
        <is>
          <t>GÄVLEBORGS LÄN</t>
        </is>
      </c>
      <c r="G144" t="inlineStr">
        <is>
          <t>GÄVLE</t>
        </is>
      </c>
      <c r="I144" t="n">
        <v>14.3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16</v>
      </c>
      <c r="U144" t="n">
        <v>3</v>
      </c>
      <c r="V144" s="2" t="inlineStr">
        <is>
          <t>Väddnätfjäril</t>
        </is>
      </c>
      <c r="W144">
        <f>HYPERLINK("https://klasma.github.io/Logging_2180/artfynd/S 3895-2024 artfynd.xlsx", "S 3895-2024")</f>
        <v/>
      </c>
      <c r="X144">
        <f>HYPERLINK("https://klasma.github.io/Logging_2180/kartor/S 3895-2024 karta.png", "S 3895-2024")</f>
        <v/>
      </c>
      <c r="Y144">
        <f>HYPERLINK("https://klasma.github.io/Logging_2180/kartor_geotiff/S 3895-2024 georefererad karta.tif", "S 3895-2024")</f>
        <v/>
      </c>
      <c r="AA144">
        <f>HYPERLINK("https://klasma.github.io/Logging_2180/klagomål/S 3895-2024 FSC-klagomål.docx", "S 3895-2024")</f>
        <v/>
      </c>
      <c r="AB144">
        <f>HYPERLINK("https://klasma.github.io/Logging_2180/klagomålsmail/S 3895-2024 FSC-klagomål mail.docx", "S 3895-2024")</f>
        <v/>
      </c>
      <c r="AC144">
        <f>HYPERLINK("https://klasma.github.io/Logging_2180/tillsyn/S 3895-2024 tillsynsbegäran.docx", "S 3895-2024")</f>
        <v/>
      </c>
      <c r="AD144">
        <f>HYPERLINK("https://klasma.github.io/Logging_2180/tillsynsmail/S 3895-2024 tillsynsbegäran mail.docx", "S 3895-2024")</f>
        <v/>
      </c>
    </row>
    <row r="145" ht="15" customHeight="1">
      <c r="A145" t="inlineStr">
        <is>
          <t>S 952-2026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46113</v>
      </c>
      <c r="E145" s="1" t="n">
        <v>46304</v>
      </c>
      <c r="F145" t="inlineStr">
        <is>
          <t>GÄVLEBORGS LÄN</t>
        </is>
      </c>
      <c r="G145" t="inlineStr">
        <is>
          <t>GÄVLE</t>
        </is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3</v>
      </c>
      <c r="U145" t="n">
        <v>0</v>
      </c>
      <c r="V145" s="2" t="inlineStr">
        <is>
          <t>Mosippa</t>
        </is>
      </c>
      <c r="W145">
        <f>HYPERLINK("https://klasma.github.io/Logging_2180/artfynd/S 952-2026 artfynd.xlsx", "S 952-2026")</f>
        <v/>
      </c>
      <c r="X145">
        <f>HYPERLINK("https://klasma.github.io/Logging_2180/kartor/S 952-2026 karta.png", "S 952-2026")</f>
        <v/>
      </c>
      <c r="Y145">
        <f>HYPERLINK("https://klasma.github.io/Logging_2180/kartor_geotiff/S 952-2026 georefererad karta.tif", "S 952-2026")</f>
        <v/>
      </c>
      <c r="AA145">
        <f>HYPERLINK("https://klasma.github.io/Logging_2180/klagomål/S 952-2026 FSC-klagomål.docx", "S 952-2026")</f>
        <v/>
      </c>
      <c r="AB145">
        <f>HYPERLINK("https://klasma.github.io/Logging_2180/klagomålsmail/S 952-2026 FSC-klagomål mail.docx", "S 952-2026")</f>
        <v/>
      </c>
      <c r="AC145">
        <f>HYPERLINK("https://klasma.github.io/Logging_2180/tillsyn/S 952-2026 tillsynsbegäran.docx", "S 952-2026")</f>
        <v/>
      </c>
      <c r="AD145">
        <f>HYPERLINK("https://klasma.github.io/Logging_2180/tillsynsmail/S 952-2026 tillsynsbegäran mail.docx", "S 952-2026")</f>
        <v/>
      </c>
    </row>
    <row r="146" ht="15" customHeight="1">
      <c r="A146" t="inlineStr">
        <is>
          <t>A 66494-2021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44519</v>
      </c>
      <c r="E146" s="1" t="n">
        <v>46304</v>
      </c>
      <c r="F146" t="inlineStr">
        <is>
          <t>GÄVLEBORGS LÄN</t>
        </is>
      </c>
      <c r="G146" t="inlineStr">
        <is>
          <t>GÄVLE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46304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46304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46304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46304</v>
      </c>
      <c r="F150" t="inlineStr">
        <is>
          <t>GÄVLEBORGS LÄN</t>
        </is>
      </c>
      <c r="G150" t="inlineStr">
        <is>
          <t>GÄVLE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44805</v>
      </c>
      <c r="E151" s="1" t="n">
        <v>46304</v>
      </c>
      <c r="F151" t="inlineStr">
        <is>
          <t>GÄVLEBORGS LÄN</t>
        </is>
      </c>
      <c r="G151" t="inlineStr">
        <is>
          <t>GÄVLE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46304</v>
      </c>
      <c r="F152" t="inlineStr">
        <is>
          <t>GÄVLEBORGS LÄN</t>
        </is>
      </c>
      <c r="G152" t="inlineStr">
        <is>
          <t>GÄVLE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46304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44775</v>
      </c>
      <c r="E154" s="1" t="n">
        <v>46304</v>
      </c>
      <c r="F154" t="inlineStr">
        <is>
          <t>GÄVLEBORGS LÄN</t>
        </is>
      </c>
      <c r="G154" t="inlineStr">
        <is>
          <t>GÄVLE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44663</v>
      </c>
      <c r="E155" s="1" t="n">
        <v>46304</v>
      </c>
      <c r="F155" t="inlineStr">
        <is>
          <t>GÄVLEBORGS LÄN</t>
        </is>
      </c>
      <c r="G155" t="inlineStr">
        <is>
          <t>GÄVLE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46304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44882</v>
      </c>
      <c r="E157" s="1" t="n">
        <v>46304</v>
      </c>
      <c r="F157" t="inlineStr">
        <is>
          <t>GÄVLEBORGS LÄN</t>
        </is>
      </c>
      <c r="G157" t="inlineStr">
        <is>
          <t>GÄVLE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44756</v>
      </c>
      <c r="E158" s="1" t="n">
        <v>46304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46304</v>
      </c>
      <c r="F159" t="inlineStr">
        <is>
          <t>GÄVLEBORGS LÄN</t>
        </is>
      </c>
      <c r="G159" t="inlineStr">
        <is>
          <t>GÄVLE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44671</v>
      </c>
      <c r="E160" s="1" t="n">
        <v>46304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46304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46304</v>
      </c>
      <c r="F162" t="inlineStr">
        <is>
          <t>GÄVLEBORGS LÄN</t>
        </is>
      </c>
      <c r="G162" t="inlineStr">
        <is>
          <t>GÄVLE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44735</v>
      </c>
      <c r="E163" s="1" t="n">
        <v>46304</v>
      </c>
      <c r="F163" t="inlineStr">
        <is>
          <t>GÄVLEBORGS LÄN</t>
        </is>
      </c>
      <c r="G163" t="inlineStr">
        <is>
          <t>GÄVLE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46304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46304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46304</v>
      </c>
      <c r="F166" t="inlineStr">
        <is>
          <t>GÄVLEBORGS LÄN</t>
        </is>
      </c>
      <c r="G166" t="inlineStr">
        <is>
          <t>GÄVLE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44788</v>
      </c>
      <c r="E167" s="1" t="n">
        <v>46304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44589</v>
      </c>
      <c r="E168" s="1" t="n">
        <v>46304</v>
      </c>
      <c r="F168" t="inlineStr">
        <is>
          <t>GÄVLEBORGS LÄN</t>
        </is>
      </c>
      <c r="G168" t="inlineStr">
        <is>
          <t>GÄVLE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46304</v>
      </c>
      <c r="F169" t="inlineStr">
        <is>
          <t>GÄVLEBORGS LÄN</t>
        </is>
      </c>
      <c r="G169" t="inlineStr">
        <is>
          <t>GÄVLE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44796</v>
      </c>
      <c r="E170" s="1" t="n">
        <v>46304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46304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44599</v>
      </c>
      <c r="E172" s="1" t="n">
        <v>46304</v>
      </c>
      <c r="F172" t="inlineStr">
        <is>
          <t>GÄVLEBORGS LÄN</t>
        </is>
      </c>
      <c r="G172" t="inlineStr">
        <is>
          <t>GÄVLE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46304</v>
      </c>
      <c r="F173" t="inlineStr">
        <is>
          <t>GÄVLEBORGS LÄN</t>
        </is>
      </c>
      <c r="G173" t="inlineStr">
        <is>
          <t>GÄVLE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44840</v>
      </c>
      <c r="E174" s="1" t="n">
        <v>46304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46304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46304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46304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46304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46304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46304</v>
      </c>
      <c r="F180" t="inlineStr">
        <is>
          <t>GÄVLEBORGS LÄN</t>
        </is>
      </c>
      <c r="G180" t="inlineStr">
        <is>
          <t>GÄVLE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46304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46304</v>
      </c>
      <c r="F182" t="inlineStr">
        <is>
          <t>GÄVLEBORGS LÄN</t>
        </is>
      </c>
      <c r="G182" t="inlineStr">
        <is>
          <t>GÄVLE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45014</v>
      </c>
      <c r="E183" s="1" t="n">
        <v>46304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46304</v>
      </c>
      <c r="F184" t="inlineStr">
        <is>
          <t>GÄVLEBORGS LÄN</t>
        </is>
      </c>
      <c r="G184" t="inlineStr">
        <is>
          <t>GÄVLE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46304</v>
      </c>
      <c r="F185" t="inlineStr">
        <is>
          <t>GÄVLEBORGS LÄN</t>
        </is>
      </c>
      <c r="G185" t="inlineStr">
        <is>
          <t>GÄVLE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46304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46304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46304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46304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45660</v>
      </c>
      <c r="E190" s="1" t="n">
        <v>46304</v>
      </c>
      <c r="F190" t="inlineStr">
        <is>
          <t>GÄVLEBORGS LÄN</t>
        </is>
      </c>
      <c r="G190" t="inlineStr">
        <is>
          <t>GÄVLE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46304</v>
      </c>
      <c r="F191" t="inlineStr">
        <is>
          <t>GÄVLEBORGS LÄN</t>
        </is>
      </c>
      <c r="G191" t="inlineStr">
        <is>
          <t>GÄVLE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46304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46304</v>
      </c>
      <c r="F193" t="inlineStr">
        <is>
          <t>GÄVLEBORGS LÄN</t>
        </is>
      </c>
      <c r="G193" t="inlineStr">
        <is>
          <t>GÄVLE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46304</v>
      </c>
      <c r="F194" t="inlineStr">
        <is>
          <t>GÄVLEBORGS LÄN</t>
        </is>
      </c>
      <c r="G194" t="inlineStr">
        <is>
          <t>GÄVLE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46304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46304</v>
      </c>
      <c r="F196" t="inlineStr">
        <is>
          <t>GÄVLEBORGS LÄN</t>
        </is>
      </c>
      <c r="G196" t="inlineStr">
        <is>
          <t>GÄVLE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45158</v>
      </c>
      <c r="E197" s="1" t="n">
        <v>46304</v>
      </c>
      <c r="F197" t="inlineStr">
        <is>
          <t>GÄVLEBORGS LÄN</t>
        </is>
      </c>
      <c r="G197" t="inlineStr">
        <is>
          <t>GÄVLE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45158</v>
      </c>
      <c r="E198" s="1" t="n">
        <v>46304</v>
      </c>
      <c r="F198" t="inlineStr">
        <is>
          <t>GÄVLEBORGS LÄN</t>
        </is>
      </c>
      <c r="G198" t="inlineStr">
        <is>
          <t>GÄVLE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46304</v>
      </c>
      <c r="F199" t="inlineStr">
        <is>
          <t>GÄVLEBORGS LÄN</t>
        </is>
      </c>
      <c r="G199" t="inlineStr">
        <is>
          <t>GÄVLE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44708</v>
      </c>
      <c r="E200" s="1" t="n">
        <v>46304</v>
      </c>
      <c r="F200" t="inlineStr">
        <is>
          <t>GÄVLEBORGS LÄN</t>
        </is>
      </c>
      <c r="G200" t="inlineStr">
        <is>
          <t>GÄVLE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46304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46304</v>
      </c>
      <c r="F202" t="inlineStr">
        <is>
          <t>GÄVLEBORGS LÄN</t>
        </is>
      </c>
      <c r="G202" t="inlineStr">
        <is>
          <t>GÄVLE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46304</v>
      </c>
      <c r="F203" t="inlineStr">
        <is>
          <t>GÄVLEBORGS LÄN</t>
        </is>
      </c>
      <c r="G203" t="inlineStr">
        <is>
          <t>GÄVLE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46304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44942</v>
      </c>
      <c r="E205" s="1" t="n">
        <v>46304</v>
      </c>
      <c r="F205" t="inlineStr">
        <is>
          <t>GÄVLEBORGS LÄN</t>
        </is>
      </c>
      <c r="G205" t="inlineStr">
        <is>
          <t>GÄVLE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19095-2022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44691</v>
      </c>
      <c r="E206" s="1" t="n">
        <v>46304</v>
      </c>
      <c r="F206" t="inlineStr">
        <is>
          <t>GÄVLEBORGS LÄN</t>
        </is>
      </c>
      <c r="G206" t="inlineStr">
        <is>
          <t>GÄVLE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45184</v>
      </c>
      <c r="E207" s="1" t="n">
        <v>46304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46304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46304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46304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46304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46304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71249-2021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44539</v>
      </c>
      <c r="E213" s="1" t="n">
        <v>46304</v>
      </c>
      <c r="F213" t="inlineStr">
        <is>
          <t>GÄVLEBORGS LÄN</t>
        </is>
      </c>
      <c r="G213" t="inlineStr">
        <is>
          <t>GÄVLE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46304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46304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46304</v>
      </c>
      <c r="F216" t="inlineStr">
        <is>
          <t>GÄVLEBORGS LÄN</t>
        </is>
      </c>
      <c r="G216" t="inlineStr">
        <is>
          <t>GÄVLE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50871-2022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44867</v>
      </c>
      <c r="E217" s="1" t="n">
        <v>46304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46304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10001-2025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46304</v>
      </c>
      <c r="F219" t="inlineStr">
        <is>
          <t>GÄVLEBORGS LÄN</t>
        </is>
      </c>
      <c r="G219" t="inlineStr">
        <is>
          <t>GÄVLE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44733</v>
      </c>
      <c r="E220" s="1" t="n">
        <v>46304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45652</v>
      </c>
      <c r="E221" s="1" t="n">
        <v>46304</v>
      </c>
      <c r="F221" t="inlineStr">
        <is>
          <t>GÄVLEBORGS LÄN</t>
        </is>
      </c>
      <c r="G221" t="inlineStr">
        <is>
          <t>GÄVLE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46304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46304</v>
      </c>
      <c r="F223" t="inlineStr">
        <is>
          <t>GÄVLEBORGS LÄN</t>
        </is>
      </c>
      <c r="G223" t="inlineStr">
        <is>
          <t>GÄVLE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46304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44823</v>
      </c>
      <c r="E225" s="1" t="n">
        <v>46304</v>
      </c>
      <c r="F225" t="inlineStr">
        <is>
          <t>GÄVLEBORGS LÄN</t>
        </is>
      </c>
      <c r="G225" t="inlineStr">
        <is>
          <t>GÄVLE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44988</v>
      </c>
      <c r="E226" s="1" t="n">
        <v>46304</v>
      </c>
      <c r="F226" t="inlineStr">
        <is>
          <t>GÄVLEBORGS LÄN</t>
        </is>
      </c>
      <c r="G226" t="inlineStr">
        <is>
          <t>GÄVLE</t>
        </is>
      </c>
      <c r="H226" t="inlineStr">
        <is>
          <t>Kyrkan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45030</v>
      </c>
      <c r="E227" s="1" t="n">
        <v>46304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46304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44589</v>
      </c>
      <c r="E229" s="1" t="n">
        <v>46304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45468</v>
      </c>
      <c r="E230" s="1" t="n">
        <v>46304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46304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45835</v>
      </c>
      <c r="E232" s="1" t="n">
        <v>46304</v>
      </c>
      <c r="F232" t="inlineStr">
        <is>
          <t>GÄVLEBORGS LÄN</t>
        </is>
      </c>
      <c r="G232" t="inlineStr">
        <is>
          <t>GÄVLE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46304</v>
      </c>
      <c r="F233" t="inlineStr">
        <is>
          <t>GÄVLEBORGS LÄN</t>
        </is>
      </c>
      <c r="G233" t="inlineStr">
        <is>
          <t>GÄVLE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46304</v>
      </c>
      <c r="F234" t="inlineStr">
        <is>
          <t>GÄVLEBORGS LÄN</t>
        </is>
      </c>
      <c r="G234" t="inlineStr">
        <is>
          <t>GÄVLE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46304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46304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46304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öst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45784</v>
      </c>
      <c r="E238" s="1" t="n">
        <v>46304</v>
      </c>
      <c r="F238" t="inlineStr">
        <is>
          <t>GÄVLEBORGS LÄN</t>
        </is>
      </c>
      <c r="G238" t="inlineStr">
        <is>
          <t>GÄVLE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46304</v>
      </c>
      <c r="F239" t="inlineStr">
        <is>
          <t>GÄVLEBORGS LÄN</t>
        </is>
      </c>
      <c r="G239" t="inlineStr">
        <is>
          <t>GÄVLE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46304</v>
      </c>
      <c r="F240" t="inlineStr">
        <is>
          <t>GÄVLEBORGS LÄN</t>
        </is>
      </c>
      <c r="G240" t="inlineStr">
        <is>
          <t>GÄVLE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45845</v>
      </c>
      <c r="E241" s="1" t="n">
        <v>46304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46304</v>
      </c>
      <c r="F242" t="inlineStr">
        <is>
          <t>GÄVLEBORGS LÄN</t>
        </is>
      </c>
      <c r="G242" t="inlineStr">
        <is>
          <t>GÄVLE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45848</v>
      </c>
      <c r="E243" s="1" t="n">
        <v>46304</v>
      </c>
      <c r="F243" t="inlineStr">
        <is>
          <t>GÄVLEBORGS LÄN</t>
        </is>
      </c>
      <c r="G243" t="inlineStr">
        <is>
          <t>GÄVLE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45034</v>
      </c>
      <c r="E244" s="1" t="n">
        <v>46304</v>
      </c>
      <c r="F244" t="inlineStr">
        <is>
          <t>GÄVLEBORGS LÄN</t>
        </is>
      </c>
      <c r="G244" t="inlineStr">
        <is>
          <t>GÄVLE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45540</v>
      </c>
      <c r="E245" s="1" t="n">
        <v>46304</v>
      </c>
      <c r="F245" t="inlineStr">
        <is>
          <t>GÄVLEBORGS LÄN</t>
        </is>
      </c>
      <c r="G245" t="inlineStr">
        <is>
          <t>GÄVLE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46304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45854</v>
      </c>
      <c r="E247" s="1" t="n">
        <v>46304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46304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44951</v>
      </c>
      <c r="E249" s="1" t="n">
        <v>46304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45859</v>
      </c>
      <c r="E250" s="1" t="n">
        <v>46304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46304</v>
      </c>
      <c r="F251" t="inlineStr">
        <is>
          <t>GÄVLEBORGS LÄN</t>
        </is>
      </c>
      <c r="G251" t="inlineStr">
        <is>
          <t>GÄVLE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46304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35919-2025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45862</v>
      </c>
      <c r="E253" s="1" t="n">
        <v>46304</v>
      </c>
      <c r="F253" t="inlineStr">
        <is>
          <t>GÄVLEBORGS LÄN</t>
        </is>
      </c>
      <c r="G253" t="inlineStr">
        <is>
          <t>GÄVLE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46304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45866</v>
      </c>
      <c r="E255" s="1" t="n">
        <v>46304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46304</v>
      </c>
      <c r="F256" t="inlineStr">
        <is>
          <t>GÄVLEBORGS LÄN</t>
        </is>
      </c>
      <c r="G256" t="inlineStr">
        <is>
          <t>GÄVLE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46304</v>
      </c>
      <c r="F257" t="inlineStr">
        <is>
          <t>GÄVLEBORGS LÄN</t>
        </is>
      </c>
      <c r="G257" t="inlineStr">
        <is>
          <t>GÄVLE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46304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46304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45869</v>
      </c>
      <c r="E260" s="1" t="n">
        <v>46304</v>
      </c>
      <c r="F260" t="inlineStr">
        <is>
          <t>GÄVLEBORGS LÄN</t>
        </is>
      </c>
      <c r="G260" t="inlineStr">
        <is>
          <t>GÄVLE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46304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40297-2025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45895</v>
      </c>
      <c r="E262" s="1" t="n">
        <v>46304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45665</v>
      </c>
      <c r="E263" s="1" t="n">
        <v>46304</v>
      </c>
      <c r="F263" t="inlineStr">
        <is>
          <t>GÄVLEBORGS LÄN</t>
        </is>
      </c>
      <c r="G263" t="inlineStr">
        <is>
          <t>GÄVLE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46304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46304</v>
      </c>
      <c r="F265" t="inlineStr">
        <is>
          <t>GÄVLEBORGS LÄN</t>
        </is>
      </c>
      <c r="G265" t="inlineStr">
        <is>
          <t>GÄVLE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46304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46304</v>
      </c>
      <c r="F267" t="inlineStr">
        <is>
          <t>GÄVLEBORGS LÄN</t>
        </is>
      </c>
      <c r="G267" t="inlineStr">
        <is>
          <t>GÄVLE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45720</v>
      </c>
      <c r="E268" s="1" t="n">
        <v>46304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46304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46304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46304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46304</v>
      </c>
      <c r="F272" t="inlineStr">
        <is>
          <t>GÄVLEBORGS LÄN</t>
        </is>
      </c>
      <c r="G272" t="inlineStr">
        <is>
          <t>GÄVLE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46304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46304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öst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46304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46304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46304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45749</v>
      </c>
      <c r="E278" s="1" t="n">
        <v>46304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46304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46304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46304</v>
      </c>
      <c r="F281" t="inlineStr">
        <is>
          <t>GÄVLEBORGS LÄN</t>
        </is>
      </c>
      <c r="G281" t="inlineStr">
        <is>
          <t>GÄVLE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46304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46304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46304</v>
      </c>
      <c r="F284" t="inlineStr">
        <is>
          <t>GÄVLEBORGS LÄN</t>
        </is>
      </c>
      <c r="G284" t="inlineStr">
        <is>
          <t>GÄVLE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46094</v>
      </c>
      <c r="E285" s="1" t="n">
        <v>46304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46304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65879-2021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44517</v>
      </c>
      <c r="E287" s="1" t="n">
        <v>46304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46304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46304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46304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46304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46304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46304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46304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46304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70043-2021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44533</v>
      </c>
      <c r="E296" s="1" t="n">
        <v>46304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46304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45681</v>
      </c>
      <c r="E298" s="1" t="n">
        <v>46304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46093</v>
      </c>
      <c r="E299" s="1" t="n">
        <v>46304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46304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46304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46304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46304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45909</v>
      </c>
      <c r="E304" s="1" t="n">
        <v>46304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45526</v>
      </c>
      <c r="E305" s="1" t="n">
        <v>46304</v>
      </c>
      <c r="F305" t="inlineStr">
        <is>
          <t>GÄVLEBORGS LÄN</t>
        </is>
      </c>
      <c r="G305" t="inlineStr">
        <is>
          <t>GÄVLE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46095</v>
      </c>
      <c r="E306" s="1" t="n">
        <v>46304</v>
      </c>
      <c r="F306" t="inlineStr">
        <is>
          <t>GÄVLEBORGS LÄN</t>
        </is>
      </c>
      <c r="G306" t="inlineStr">
        <is>
          <t>GÄVLE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46304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46304</v>
      </c>
      <c r="F308" t="inlineStr">
        <is>
          <t>GÄVLEBORGS LÄN</t>
        </is>
      </c>
      <c r="G308" t="inlineStr">
        <is>
          <t>GÄVLE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45911</v>
      </c>
      <c r="E309" s="1" t="n">
        <v>46304</v>
      </c>
      <c r="F309" t="inlineStr">
        <is>
          <t>GÄVLEBORGS LÄN</t>
        </is>
      </c>
      <c r="G309" t="inlineStr">
        <is>
          <t>GÄVLE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46304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45468</v>
      </c>
      <c r="E311" s="1" t="n">
        <v>46304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46304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46304</v>
      </c>
      <c r="F313" t="inlineStr">
        <is>
          <t>GÄVLEBORGS LÄN</t>
        </is>
      </c>
      <c r="G313" t="inlineStr">
        <is>
          <t>GÄVLE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45245</v>
      </c>
      <c r="E314" s="1" t="n">
        <v>46304</v>
      </c>
      <c r="F314" t="inlineStr">
        <is>
          <t>GÄVLEBORGS LÄN</t>
        </is>
      </c>
      <c r="G314" t="inlineStr">
        <is>
          <t>GÄVLE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46100</v>
      </c>
      <c r="E315" s="1" t="n">
        <v>46304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18162-2022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44684</v>
      </c>
      <c r="E316" s="1" t="n">
        <v>46304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46304</v>
      </c>
      <c r="F317" t="inlineStr">
        <is>
          <t>GÄVLEBORGS LÄN</t>
        </is>
      </c>
      <c r="G317" t="inlineStr">
        <is>
          <t>GÄVLE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46104</v>
      </c>
      <c r="E318" s="1" t="n">
        <v>46304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45850-2025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45923</v>
      </c>
      <c r="E319" s="1" t="n">
        <v>46304</v>
      </c>
      <c r="F319" t="inlineStr">
        <is>
          <t>GÄVLEBORGS LÄN</t>
        </is>
      </c>
      <c r="G319" t="inlineStr">
        <is>
          <t>GÄVLE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46304</v>
      </c>
      <c r="F320" t="inlineStr">
        <is>
          <t>GÄVLEBORGS LÄN</t>
        </is>
      </c>
      <c r="G320" t="inlineStr">
        <is>
          <t>GÄVLE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46304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46304</v>
      </c>
      <c r="F322" t="inlineStr">
        <is>
          <t>GÄVLEBORGS LÄN</t>
        </is>
      </c>
      <c r="G322" t="inlineStr">
        <is>
          <t>GÄVLE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46304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46304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46304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46304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46304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31062-2023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45113</v>
      </c>
      <c r="E328" s="1" t="n">
        <v>46304</v>
      </c>
      <c r="F328" t="inlineStr">
        <is>
          <t>GÄVLEBORGS LÄN</t>
        </is>
      </c>
      <c r="G328" t="inlineStr">
        <is>
          <t>GÄVLE</t>
        </is>
      </c>
      <c r="H328" t="inlineStr">
        <is>
          <t>Kommuner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26249-2022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44735</v>
      </c>
      <c r="E329" s="1" t="n">
        <v>46304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46304</v>
      </c>
      <c r="F330" t="inlineStr">
        <is>
          <t>GÄVLEBORGS LÄN</t>
        </is>
      </c>
      <c r="G330" t="inlineStr">
        <is>
          <t>GÄVLE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46304</v>
      </c>
      <c r="F331" t="inlineStr">
        <is>
          <t>GÄVLEBORGS LÄN</t>
        </is>
      </c>
      <c r="G331" t="inlineStr">
        <is>
          <t>GÄVLE</t>
        </is>
      </c>
      <c r="H331" t="inlineStr">
        <is>
          <t>Kyrkan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46304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46304</v>
      </c>
      <c r="F333" t="inlineStr">
        <is>
          <t>GÄVLEBORGS LÄN</t>
        </is>
      </c>
      <c r="G333" t="inlineStr">
        <is>
          <t>GÄVLE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46304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46304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46304</v>
      </c>
      <c r="F336" t="inlineStr">
        <is>
          <t>GÄVLEBORGS LÄN</t>
        </is>
      </c>
      <c r="G336" t="inlineStr">
        <is>
          <t>GÄVLE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46304</v>
      </c>
      <c r="F337" t="inlineStr">
        <is>
          <t>GÄVLEBORGS LÄN</t>
        </is>
      </c>
      <c r="G337" t="inlineStr">
        <is>
          <t>GÄVLE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44693</v>
      </c>
      <c r="E338" s="1" t="n">
        <v>46304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45401</v>
      </c>
      <c r="E339" s="1" t="n">
        <v>46304</v>
      </c>
      <c r="F339" t="inlineStr">
        <is>
          <t>GÄVLEBORGS LÄN</t>
        </is>
      </c>
      <c r="G339" t="inlineStr">
        <is>
          <t>GÄVLE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46304</v>
      </c>
      <c r="F340" t="inlineStr">
        <is>
          <t>GÄVLEBORGS LÄN</t>
        </is>
      </c>
      <c r="G340" t="inlineStr">
        <is>
          <t>GÄVLE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46304</v>
      </c>
      <c r="F341" t="inlineStr">
        <is>
          <t>GÄVLEBORGS LÄN</t>
        </is>
      </c>
      <c r="G341" t="inlineStr">
        <is>
          <t>GÄVLE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46304</v>
      </c>
      <c r="F342" t="inlineStr">
        <is>
          <t>GÄVLEBORGS LÄN</t>
        </is>
      </c>
      <c r="G342" t="inlineStr">
        <is>
          <t>GÄVLE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46304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46304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48251-2025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46304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46304</v>
      </c>
      <c r="F346" t="inlineStr">
        <is>
          <t>GÄVLEBORGS LÄN</t>
        </is>
      </c>
      <c r="G346" t="inlineStr">
        <is>
          <t>GÄVLE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46304</v>
      </c>
      <c r="F347" t="inlineStr">
        <is>
          <t>GÄVLEBORGS LÄN</t>
        </is>
      </c>
      <c r="G347" t="inlineStr">
        <is>
          <t>GÄVLE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47994-2025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45932</v>
      </c>
      <c r="E348" s="1" t="n">
        <v>46304</v>
      </c>
      <c r="F348" t="inlineStr">
        <is>
          <t>GÄVLEBORGS LÄN</t>
        </is>
      </c>
      <c r="G348" t="inlineStr">
        <is>
          <t>GÄVLE</t>
        </is>
      </c>
      <c r="I348" t="n">
        <v>10.1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45595</v>
      </c>
      <c r="E349" s="1" t="n">
        <v>46304</v>
      </c>
      <c r="F349" t="inlineStr">
        <is>
          <t>GÄVLEBORGS LÄN</t>
        </is>
      </c>
      <c r="G349" t="inlineStr">
        <is>
          <t>GÄVLE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45742</v>
      </c>
      <c r="E350" s="1" t="n">
        <v>46304</v>
      </c>
      <c r="F350" t="inlineStr">
        <is>
          <t>GÄVLEBORGS LÄN</t>
        </is>
      </c>
      <c r="G350" t="inlineStr">
        <is>
          <t>GÄVLE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46304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44585</v>
      </c>
      <c r="E352" s="1" t="n">
        <v>46304</v>
      </c>
      <c r="F352" t="inlineStr">
        <is>
          <t>GÄVLEBORGS LÄN</t>
        </is>
      </c>
      <c r="G352" t="inlineStr">
        <is>
          <t>GÄVLE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45937</v>
      </c>
      <c r="E353" s="1" t="n">
        <v>46304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46304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46304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46304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45916</v>
      </c>
      <c r="E357" s="1" t="n">
        <v>46304</v>
      </c>
      <c r="F357" t="inlineStr">
        <is>
          <t>GÄVLEBORGS LÄN</t>
        </is>
      </c>
      <c r="G357" t="inlineStr">
        <is>
          <t>GÄVLE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46304</v>
      </c>
      <c r="F358" t="inlineStr">
        <is>
          <t>GÄVLEBORGS LÄN</t>
        </is>
      </c>
      <c r="G358" t="inlineStr">
        <is>
          <t>GÄVLE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44735</v>
      </c>
      <c r="E359" s="1" t="n">
        <v>46304</v>
      </c>
      <c r="F359" t="inlineStr">
        <is>
          <t>GÄVLEBORGS LÄN</t>
        </is>
      </c>
      <c r="G359" t="inlineStr">
        <is>
          <t>GÄVLE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45940</v>
      </c>
      <c r="E360" s="1" t="n">
        <v>46304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44701</v>
      </c>
      <c r="E361" s="1" t="n">
        <v>46304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46304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46304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46304</v>
      </c>
      <c r="F364" t="inlineStr">
        <is>
          <t>GÄVLEBORGS LÄN</t>
        </is>
      </c>
      <c r="G364" t="inlineStr">
        <is>
          <t>GÄVLE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46304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46304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45817</v>
      </c>
      <c r="E367" s="1" t="n">
        <v>46304</v>
      </c>
      <c r="F367" t="inlineStr">
        <is>
          <t>GÄVLEBORGS LÄN</t>
        </is>
      </c>
      <c r="G367" t="inlineStr">
        <is>
          <t>GÄVLE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44684</v>
      </c>
      <c r="E368" s="1" t="n">
        <v>46304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46304</v>
      </c>
      <c r="F369" t="inlineStr">
        <is>
          <t>GÄVLEBORGS LÄN</t>
        </is>
      </c>
      <c r="G369" t="inlineStr">
        <is>
          <t>GÄVLE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52156-2025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46304</v>
      </c>
      <c r="F370" t="inlineStr">
        <is>
          <t>GÄVLEBORGS LÄN</t>
        </is>
      </c>
      <c r="G370" t="inlineStr">
        <is>
          <t>GÄVLE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19730-2022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44694</v>
      </c>
      <c r="E371" s="1" t="n">
        <v>46304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46304</v>
      </c>
      <c r="F372" t="inlineStr">
        <is>
          <t>GÄVLEBORGS LÄN</t>
        </is>
      </c>
      <c r="G372" t="inlineStr">
        <is>
          <t>GÄVLE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52970-2025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45957</v>
      </c>
      <c r="E373" s="1" t="n">
        <v>46304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45138</v>
      </c>
      <c r="E374" s="1" t="n">
        <v>46304</v>
      </c>
      <c r="F374" t="inlineStr">
        <is>
          <t>GÄVLEBORGS LÄN</t>
        </is>
      </c>
      <c r="G374" t="inlineStr">
        <is>
          <t>GÄVLE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40091-2023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46304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44951</v>
      </c>
      <c r="E376" s="1" t="n">
        <v>46304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44951</v>
      </c>
      <c r="E377" s="1" t="n">
        <v>46304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52897-2025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45957</v>
      </c>
      <c r="E378" s="1" t="n">
        <v>46304</v>
      </c>
      <c r="F378" t="inlineStr">
        <is>
          <t>GÄVLEBORGS LÄN</t>
        </is>
      </c>
      <c r="G378" t="inlineStr">
        <is>
          <t>GÄVLE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46304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46304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45960</v>
      </c>
      <c r="E381" s="1" t="n">
        <v>46304</v>
      </c>
      <c r="F381" t="inlineStr">
        <is>
          <t>GÄVLEBORGS LÄN</t>
        </is>
      </c>
      <c r="G381" t="inlineStr">
        <is>
          <t>GÄVLE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59322-2022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46304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18173-2026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46304</v>
      </c>
      <c r="F383" t="inlineStr">
        <is>
          <t>GÄVLEBORGS LÄN</t>
        </is>
      </c>
      <c r="G383" t="inlineStr">
        <is>
          <t>GÄVLE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44962</v>
      </c>
      <c r="E384" s="1" t="n">
        <v>46304</v>
      </c>
      <c r="F384" t="inlineStr">
        <is>
          <t>GÄVLEBORGS LÄN</t>
        </is>
      </c>
      <c r="G384" t="inlineStr">
        <is>
          <t>GÄVLE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45660</v>
      </c>
      <c r="E385" s="1" t="n">
        <v>46304</v>
      </c>
      <c r="F385" t="inlineStr">
        <is>
          <t>GÄVLEBORGS LÄN</t>
        </is>
      </c>
      <c r="G385" t="inlineStr">
        <is>
          <t>GÄVLE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18175-2026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46304</v>
      </c>
      <c r="F386" t="inlineStr">
        <is>
          <t>GÄVLEBORGS LÄN</t>
        </is>
      </c>
      <c r="G386" t="inlineStr">
        <is>
          <t>GÄVLE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45964</v>
      </c>
      <c r="E387" s="1" t="n">
        <v>46304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46304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17976-2026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46124</v>
      </c>
      <c r="E389" s="1" t="n">
        <v>46304</v>
      </c>
      <c r="F389" t="inlineStr">
        <is>
          <t>GÄVLEBORGS LÄN</t>
        </is>
      </c>
      <c r="G389" t="inlineStr">
        <is>
          <t>GÄVLE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46124</v>
      </c>
      <c r="E390" s="1" t="n">
        <v>46304</v>
      </c>
      <c r="F390" t="inlineStr">
        <is>
          <t>GÄVLEBORGS LÄN</t>
        </is>
      </c>
      <c r="G390" t="inlineStr">
        <is>
          <t>GÄVLE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46304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46304</v>
      </c>
      <c r="F392" t="inlineStr">
        <is>
          <t>GÄVLEBORGS LÄN</t>
        </is>
      </c>
      <c r="G392" t="inlineStr">
        <is>
          <t>GÄVLE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17974-2026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46124</v>
      </c>
      <c r="E393" s="1" t="n">
        <v>46304</v>
      </c>
      <c r="F393" t="inlineStr">
        <is>
          <t>GÄVLEBORGS LÄN</t>
        </is>
      </c>
      <c r="G393" t="inlineStr">
        <is>
          <t>GÄVLE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45586</v>
      </c>
      <c r="E394" s="1" t="n">
        <v>46304</v>
      </c>
      <c r="F394" t="inlineStr">
        <is>
          <t>GÄVLEBORGS LÄN</t>
        </is>
      </c>
      <c r="G394" t="inlineStr">
        <is>
          <t>GÄVLE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46304</v>
      </c>
      <c r="F395" t="inlineStr">
        <is>
          <t>GÄVLEBORGS LÄN</t>
        </is>
      </c>
      <c r="G395" t="inlineStr">
        <is>
          <t>GÄVLE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46304</v>
      </c>
      <c r="F396" t="inlineStr">
        <is>
          <t>GÄVLEBORGS LÄN</t>
        </is>
      </c>
      <c r="G396" t="inlineStr">
        <is>
          <t>GÄVLE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21300-2024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45440</v>
      </c>
      <c r="E397" s="1" t="n">
        <v>46304</v>
      </c>
      <c r="F397" t="inlineStr">
        <is>
          <t>GÄVLEBORGS LÄN</t>
        </is>
      </c>
      <c r="G397" t="inlineStr">
        <is>
          <t>GÄVLE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47746-2023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45203</v>
      </c>
      <c r="E398" s="1" t="n">
        <v>46304</v>
      </c>
      <c r="F398" t="inlineStr">
        <is>
          <t>GÄVLEBORGS LÄN</t>
        </is>
      </c>
      <c r="G398" t="inlineStr">
        <is>
          <t>GÄVLE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46128</v>
      </c>
      <c r="E399" s="1" t="n">
        <v>46304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46304</v>
      </c>
      <c r="F400" t="inlineStr">
        <is>
          <t>GÄVLEBORGS LÄN</t>
        </is>
      </c>
      <c r="G400" t="inlineStr">
        <is>
          <t>GÄVLE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46304</v>
      </c>
      <c r="F401" t="inlineStr">
        <is>
          <t>GÄVLEBORGS LÄN</t>
        </is>
      </c>
      <c r="G401" t="inlineStr">
        <is>
          <t>GÄVLE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46304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46304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34668-2024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45526</v>
      </c>
      <c r="E404" s="1" t="n">
        <v>46304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45666</v>
      </c>
      <c r="E405" s="1" t="n">
        <v>46304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56120-2025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46304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46304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46304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46304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46304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20689-2024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45436</v>
      </c>
      <c r="E411" s="1" t="n">
        <v>46304</v>
      </c>
      <c r="F411" t="inlineStr">
        <is>
          <t>GÄVLEBORGS LÄN</t>
        </is>
      </c>
      <c r="G411" t="inlineStr">
        <is>
          <t>GÄVLE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46304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46304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46304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46304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46304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46304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46304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46304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46304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45120</v>
      </c>
      <c r="E423" s="1" t="n">
        <v>46304</v>
      </c>
      <c r="F423" t="inlineStr">
        <is>
          <t>GÄVLEBORGS LÄN</t>
        </is>
      </c>
      <c r="G423" t="inlineStr">
        <is>
          <t>GÄVLE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46304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56776-2025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46304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46304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36.3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46304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46304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46304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61301-2024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45645</v>
      </c>
      <c r="E430" s="1" t="n">
        <v>46304</v>
      </c>
      <c r="F430" t="inlineStr">
        <is>
          <t>GÄVLEBORGS LÄN</t>
        </is>
      </c>
      <c r="G430" t="inlineStr">
        <is>
          <t>GÄVLE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46304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46304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46304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64868-2023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45282</v>
      </c>
      <c r="E434" s="1" t="n">
        <v>46304</v>
      </c>
      <c r="F434" t="inlineStr">
        <is>
          <t>GÄVLEBORGS LÄN</t>
        </is>
      </c>
      <c r="G434" t="inlineStr">
        <is>
          <t>GÄVLE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46304</v>
      </c>
      <c r="F435" t="inlineStr">
        <is>
          <t>GÄVLEBORGS LÄN</t>
        </is>
      </c>
      <c r="G435" t="inlineStr">
        <is>
          <t>GÄVLE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46304</v>
      </c>
      <c r="F436" t="inlineStr">
        <is>
          <t>GÄVLEBORGS LÄN</t>
        </is>
      </c>
      <c r="G436" t="inlineStr">
        <is>
          <t>GÄVLE</t>
        </is>
      </c>
      <c r="H436" t="inlineStr">
        <is>
          <t>Kyrkan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46304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46304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46304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46304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12386-2026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46304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46304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46304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45548-2025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46304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46304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46304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45912</v>
      </c>
      <c r="E447" s="1" t="n">
        <v>46304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46134</v>
      </c>
      <c r="E448" s="1" t="n">
        <v>46304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46134</v>
      </c>
      <c r="E449" s="1" t="n">
        <v>46304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15176-2026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46304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46304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46304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46304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46304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46304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46304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46304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45645</v>
      </c>
      <c r="E458" s="1" t="n">
        <v>46304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46304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45422</v>
      </c>
      <c r="E460" s="1" t="n">
        <v>46304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46304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46100</v>
      </c>
      <c r="E462" s="1" t="n">
        <v>46304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46304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46304</v>
      </c>
      <c r="F464" t="inlineStr">
        <is>
          <t>GÄVLEBORGS LÄN</t>
        </is>
      </c>
      <c r="G464" t="inlineStr">
        <is>
          <t>GÄVLE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20682-2023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45058</v>
      </c>
      <c r="E465" s="1" t="n">
        <v>46304</v>
      </c>
      <c r="F465" t="inlineStr">
        <is>
          <t>GÄVLEBORGS LÄN</t>
        </is>
      </c>
      <c r="G465" t="inlineStr">
        <is>
          <t>GÄVLE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3639-2022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44586</v>
      </c>
      <c r="E466" s="1" t="n">
        <v>46304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45992</v>
      </c>
      <c r="E467" s="1" t="n">
        <v>46304</v>
      </c>
      <c r="F467" t="inlineStr">
        <is>
          <t>GÄVLEBORGS LÄN</t>
        </is>
      </c>
      <c r="G467" t="inlineStr">
        <is>
          <t>GÄVLE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46304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45658</v>
      </c>
      <c r="E469" s="1" t="n">
        <v>46304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46304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46304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46304</v>
      </c>
      <c r="F472" t="inlineStr">
        <is>
          <t>GÄVLEBORGS LÄN</t>
        </is>
      </c>
      <c r="G472" t="inlineStr">
        <is>
          <t>GÄVLE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66351-2021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44518</v>
      </c>
      <c r="E473" s="1" t="n">
        <v>46304</v>
      </c>
      <c r="F473" t="inlineStr">
        <is>
          <t>GÄVLEBORGS LÄN</t>
        </is>
      </c>
      <c r="G473" t="inlineStr">
        <is>
          <t>GÄVLE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46304</v>
      </c>
      <c r="F474" t="inlineStr">
        <is>
          <t>GÄVLEBORGS LÄN</t>
        </is>
      </c>
      <c r="G474" t="inlineStr">
        <is>
          <t>GÄVLE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60038-2025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46304</v>
      </c>
      <c r="F475" t="inlineStr">
        <is>
          <t>GÄVLEBORGS LÄN</t>
        </is>
      </c>
      <c r="G475" t="inlineStr">
        <is>
          <t>GÄVLE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45992</v>
      </c>
      <c r="E476" s="1" t="n">
        <v>46304</v>
      </c>
      <c r="F476" t="inlineStr">
        <is>
          <t>GÄVLEBORGS LÄN</t>
        </is>
      </c>
      <c r="G476" t="inlineStr">
        <is>
          <t>GÄVLE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60105-2025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46304</v>
      </c>
      <c r="F477" t="inlineStr">
        <is>
          <t>GÄVLEBORGS LÄN</t>
        </is>
      </c>
      <c r="G477" t="inlineStr">
        <is>
          <t>GÄVLE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46304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46304</v>
      </c>
      <c r="F479" t="inlineStr">
        <is>
          <t>GÄVLEBORGS LÄN</t>
        </is>
      </c>
      <c r="G479" t="inlineStr">
        <is>
          <t>GÄVLE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46107</v>
      </c>
      <c r="E480" s="1" t="n">
        <v>46304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55217-2025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46304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45686</v>
      </c>
      <c r="E482" s="1" t="n">
        <v>46304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29929-2022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44756</v>
      </c>
      <c r="E483" s="1" t="n">
        <v>46304</v>
      </c>
      <c r="F483" t="inlineStr">
        <is>
          <t>GÄVLEBORGS LÄN</t>
        </is>
      </c>
      <c r="G483" t="inlineStr">
        <is>
          <t>GÄVLE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60536-2025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46304</v>
      </c>
      <c r="F484" t="inlineStr">
        <is>
          <t>GÄVLEBORGS LÄN</t>
        </is>
      </c>
      <c r="G484" t="inlineStr">
        <is>
          <t>GÄVLE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38673-2024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45547</v>
      </c>
      <c r="E485" s="1" t="n">
        <v>46304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45945</v>
      </c>
      <c r="E486" s="1" t="n">
        <v>46304</v>
      </c>
      <c r="F486" t="inlineStr">
        <is>
          <t>GÄVLEBORGS LÄN</t>
        </is>
      </c>
      <c r="G486" t="inlineStr">
        <is>
          <t>GÄVLE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44936</v>
      </c>
      <c r="E487" s="1" t="n">
        <v>46304</v>
      </c>
      <c r="F487" t="inlineStr">
        <is>
          <t>GÄVLEBORGS LÄN</t>
        </is>
      </c>
      <c r="G487" t="inlineStr">
        <is>
          <t>GÄVLE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46304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46000</v>
      </c>
      <c r="E489" s="1" t="n">
        <v>46304</v>
      </c>
      <c r="F489" t="inlineStr">
        <is>
          <t>GÄVLEBORGS LÄN</t>
        </is>
      </c>
      <c r="G489" t="inlineStr">
        <is>
          <t>GÄVLE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15801-2026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46304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60442-2022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44911</v>
      </c>
      <c r="E491" s="1" t="n">
        <v>46304</v>
      </c>
      <c r="F491" t="inlineStr">
        <is>
          <t>GÄVLEBORGS LÄN</t>
        </is>
      </c>
      <c r="G491" t="inlineStr">
        <is>
          <t>GÄVLE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50314-2024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45600</v>
      </c>
      <c r="E492" s="1" t="n">
        <v>46304</v>
      </c>
      <c r="F492" t="inlineStr">
        <is>
          <t>GÄVLEBORGS LÄN</t>
        </is>
      </c>
      <c r="G492" t="inlineStr">
        <is>
          <t>GÄVLE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61786-2024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45649</v>
      </c>
      <c r="E493" s="1" t="n">
        <v>46304</v>
      </c>
      <c r="F493" t="inlineStr">
        <is>
          <t>GÄVLEBORGS LÄN</t>
        </is>
      </c>
      <c r="G493" t="inlineStr">
        <is>
          <t>GÄVLE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46002</v>
      </c>
      <c r="E494" s="1" t="n">
        <v>46304</v>
      </c>
      <c r="F494" t="inlineStr">
        <is>
          <t>GÄVLEBORGS LÄN</t>
        </is>
      </c>
      <c r="G494" t="inlineStr">
        <is>
          <t>GÄVLE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61648-2025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46304</v>
      </c>
      <c r="F495" t="inlineStr">
        <is>
          <t>GÄVLEBORGS LÄN</t>
        </is>
      </c>
      <c r="G495" t="inlineStr">
        <is>
          <t>GÄVLE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61651-2025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46304</v>
      </c>
      <c r="F496" t="inlineStr">
        <is>
          <t>GÄVLEBORGS LÄN</t>
        </is>
      </c>
      <c r="G496" t="inlineStr">
        <is>
          <t>GÄVLE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13499-2026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46304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35916-2025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45862</v>
      </c>
      <c r="E498" s="1" t="n">
        <v>46304</v>
      </c>
      <c r="F498" t="inlineStr">
        <is>
          <t>GÄVLEBORGS LÄN</t>
        </is>
      </c>
      <c r="G498" t="inlineStr">
        <is>
          <t>GÄVLE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46304</v>
      </c>
      <c r="F499" t="inlineStr">
        <is>
          <t>GÄVLEBORGS LÄN</t>
        </is>
      </c>
      <c r="G499" t="inlineStr">
        <is>
          <t>GÄVLE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46304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45320</v>
      </c>
      <c r="E501" s="1" t="n">
        <v>46304</v>
      </c>
      <c r="F501" t="inlineStr">
        <is>
          <t>GÄVLEBORGS LÄN</t>
        </is>
      </c>
      <c r="G501" t="inlineStr">
        <is>
          <t>GÄVLE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45744</v>
      </c>
      <c r="E502" s="1" t="n">
        <v>46304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45905</v>
      </c>
      <c r="E503" s="1" t="n">
        <v>46304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46008</v>
      </c>
      <c r="E504" s="1" t="n">
        <v>46304</v>
      </c>
      <c r="F504" t="inlineStr">
        <is>
          <t>GÄVLEBORGS LÄN</t>
        </is>
      </c>
      <c r="G504" t="inlineStr">
        <is>
          <t>GÄVLE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46304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46077</v>
      </c>
      <c r="E506" s="1" t="n">
        <v>46304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46304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46105</v>
      </c>
      <c r="E508" s="1" t="n">
        <v>46304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45744</v>
      </c>
      <c r="E509" s="1" t="n">
        <v>46304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46070</v>
      </c>
      <c r="E510" s="1" t="n">
        <v>46304</v>
      </c>
      <c r="F510" t="inlineStr">
        <is>
          <t>GÄVLEBORGS LÄN</t>
        </is>
      </c>
      <c r="G510" t="inlineStr">
        <is>
          <t>GÄVLE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46304</v>
      </c>
      <c r="F511" t="inlineStr">
        <is>
          <t>GÄVLEBORGS LÄN</t>
        </is>
      </c>
      <c r="G511" t="inlineStr">
        <is>
          <t>GÄVLE</t>
        </is>
      </c>
      <c r="I511" t="n">
        <v>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46304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46304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45855</v>
      </c>
      <c r="E514" s="1" t="n">
        <v>46304</v>
      </c>
      <c r="F514" t="inlineStr">
        <is>
          <t>GÄVLEBORGS LÄN</t>
        </is>
      </c>
      <c r="G514" t="inlineStr">
        <is>
          <t>GÄVLE</t>
        </is>
      </c>
      <c r="I514" t="n">
        <v>8.199999999999999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32255-2023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45120</v>
      </c>
      <c r="E515" s="1" t="n">
        <v>46304</v>
      </c>
      <c r="F515" t="inlineStr">
        <is>
          <t>GÄVLEBORGS LÄN</t>
        </is>
      </c>
      <c r="G515" t="inlineStr">
        <is>
          <t>GÄVLE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63801-2025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46019</v>
      </c>
      <c r="E516" s="1" t="n">
        <v>46304</v>
      </c>
      <c r="F516" t="inlineStr">
        <is>
          <t>GÄVLEBORGS LÄN</t>
        </is>
      </c>
      <c r="G516" t="inlineStr">
        <is>
          <t>GÄVLE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54953-2025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45967</v>
      </c>
      <c r="E517" s="1" t="n">
        <v>46304</v>
      </c>
      <c r="F517" t="inlineStr">
        <is>
          <t>GÄVLEBORGS LÄN</t>
        </is>
      </c>
      <c r="G517" t="inlineStr">
        <is>
          <t>GÄVLE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45932</v>
      </c>
      <c r="E518" s="1" t="n">
        <v>46304</v>
      </c>
      <c r="F518" t="inlineStr">
        <is>
          <t>GÄVLEBORGS LÄN</t>
        </is>
      </c>
      <c r="G518" t="inlineStr">
        <is>
          <t>GÄVLE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47981-2025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45932</v>
      </c>
      <c r="E519" s="1" t="n">
        <v>46304</v>
      </c>
      <c r="F519" t="inlineStr">
        <is>
          <t>GÄVLEBORGS LÄN</t>
        </is>
      </c>
      <c r="G519" t="inlineStr">
        <is>
          <t>GÄVLE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46019</v>
      </c>
      <c r="E520" s="1" t="n">
        <v>46304</v>
      </c>
      <c r="F520" t="inlineStr">
        <is>
          <t>GÄVLEBORGS LÄN</t>
        </is>
      </c>
      <c r="G520" t="inlineStr">
        <is>
          <t>GÄVLE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42788-2025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45908</v>
      </c>
      <c r="E521" s="1" t="n">
        <v>46304</v>
      </c>
      <c r="F521" t="inlineStr">
        <is>
          <t>GÄVLEBORGS LÄN</t>
        </is>
      </c>
      <c r="G521" t="inlineStr">
        <is>
          <t>GÄVLE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45937</v>
      </c>
      <c r="E522" s="1" t="n">
        <v>46304</v>
      </c>
      <c r="F522" t="inlineStr">
        <is>
          <t>GÄVLEBORGS LÄN</t>
        </is>
      </c>
      <c r="G522" t="inlineStr">
        <is>
          <t>GÄVLE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48864-2025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46304</v>
      </c>
      <c r="F523" t="inlineStr">
        <is>
          <t>GÄVLEBORGS LÄN</t>
        </is>
      </c>
      <c r="G523" t="inlineStr">
        <is>
          <t>GÄVLE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42692-2025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45908</v>
      </c>
      <c r="E524" s="1" t="n">
        <v>46304</v>
      </c>
      <c r="F524" t="inlineStr">
        <is>
          <t>GÄVLEBORGS LÄN</t>
        </is>
      </c>
      <c r="G524" t="inlineStr">
        <is>
          <t>GÄVLE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47694-2025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45931</v>
      </c>
      <c r="E525" s="1" t="n">
        <v>46304</v>
      </c>
      <c r="F525" t="inlineStr">
        <is>
          <t>GÄVLEBORGS LÄN</t>
        </is>
      </c>
      <c r="G525" t="inlineStr">
        <is>
          <t>GÄVLE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47916-2025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45932</v>
      </c>
      <c r="E526" s="1" t="n">
        <v>46304</v>
      </c>
      <c r="F526" t="inlineStr">
        <is>
          <t>GÄVLEBORGS LÄN</t>
        </is>
      </c>
      <c r="G526" t="inlineStr">
        <is>
          <t>GÄVLE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64142-2025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46022</v>
      </c>
      <c r="E527" s="1" t="n">
        <v>46304</v>
      </c>
      <c r="F527" t="inlineStr">
        <is>
          <t>GÄVLEBORGS LÄN</t>
        </is>
      </c>
      <c r="G527" t="inlineStr">
        <is>
          <t>GÄVLE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45574</v>
      </c>
      <c r="E528" s="1" t="n">
        <v>46304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9025-2026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46069</v>
      </c>
      <c r="E529" s="1" t="n">
        <v>46304</v>
      </c>
      <c r="F529" t="inlineStr">
        <is>
          <t>GÄVLEBORGS LÄN</t>
        </is>
      </c>
      <c r="G529" t="inlineStr">
        <is>
          <t>GÄVLE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45312</v>
      </c>
      <c r="E530" s="1" t="n">
        <v>46304</v>
      </c>
      <c r="F530" t="inlineStr">
        <is>
          <t>GÄVLEBORGS LÄN</t>
        </is>
      </c>
      <c r="G530" t="inlineStr">
        <is>
          <t>GÄVLE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46304</v>
      </c>
      <c r="F531" t="inlineStr">
        <is>
          <t>GÄVLEBORGS LÄN</t>
        </is>
      </c>
      <c r="G531" t="inlineStr">
        <is>
          <t>GÄVLE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46304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46304</v>
      </c>
      <c r="F533" t="inlineStr">
        <is>
          <t>GÄVLEBORGS LÄN</t>
        </is>
      </c>
      <c r="G533" t="inlineStr">
        <is>
          <t>GÄVLE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36512-2025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45869</v>
      </c>
      <c r="E534" s="1" t="n">
        <v>46304</v>
      </c>
      <c r="F534" t="inlineStr">
        <is>
          <t>GÄVLEBORGS LÄN</t>
        </is>
      </c>
      <c r="G534" t="inlineStr">
        <is>
          <t>GÄVLE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14173-2022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44651</v>
      </c>
      <c r="E535" s="1" t="n">
        <v>46304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46304</v>
      </c>
      <c r="F536" t="inlineStr">
        <is>
          <t>GÄVLEBORGS LÄN</t>
        </is>
      </c>
      <c r="G536" t="inlineStr">
        <is>
          <t>GÄVLE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46304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46304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22.7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45757</v>
      </c>
      <c r="E539" s="1" t="n">
        <v>46304</v>
      </c>
      <c r="F539" t="inlineStr">
        <is>
          <t>GÄVLEBORGS LÄN</t>
        </is>
      </c>
      <c r="G539" t="inlineStr">
        <is>
          <t>GÄVLE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46041</v>
      </c>
      <c r="E540" s="1" t="n">
        <v>46304</v>
      </c>
      <c r="F540" t="inlineStr">
        <is>
          <t>GÄVLEBORGS LÄN</t>
        </is>
      </c>
      <c r="G540" t="inlineStr">
        <is>
          <t>GÄVLE</t>
        </is>
      </c>
      <c r="I540" t="n">
        <v>9.699999999999999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46304</v>
      </c>
      <c r="F541" t="inlineStr">
        <is>
          <t>GÄVLEBORGS LÄN</t>
        </is>
      </c>
      <c r="G541" t="inlineStr">
        <is>
          <t>GÄVLE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45660</v>
      </c>
      <c r="E542" s="1" t="n">
        <v>46304</v>
      </c>
      <c r="F542" t="inlineStr">
        <is>
          <t>GÄVLEBORGS LÄN</t>
        </is>
      </c>
      <c r="G542" t="inlineStr">
        <is>
          <t>GÄVLE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46045</v>
      </c>
      <c r="E543" s="1" t="n">
        <v>46304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46045</v>
      </c>
      <c r="E544" s="1" t="n">
        <v>46304</v>
      </c>
      <c r="F544" t="inlineStr">
        <is>
          <t>GÄVLEBORGS LÄN</t>
        </is>
      </c>
      <c r="G544" t="inlineStr">
        <is>
          <t>GÄVLE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44600</v>
      </c>
      <c r="E545" s="1" t="n">
        <v>46304</v>
      </c>
      <c r="F545" t="inlineStr">
        <is>
          <t>GÄVLEBORGS LÄN</t>
        </is>
      </c>
      <c r="G545" t="inlineStr">
        <is>
          <t>GÄVLE</t>
        </is>
      </c>
      <c r="H545" t="inlineStr">
        <is>
          <t>Kyrkan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46304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46304</v>
      </c>
      <c r="F547" t="inlineStr">
        <is>
          <t>GÄVLEBORGS LÄN</t>
        </is>
      </c>
      <c r="G547" t="inlineStr">
        <is>
          <t>GÄVLE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45673</v>
      </c>
      <c r="E548" s="1" t="n">
        <v>46304</v>
      </c>
      <c r="F548" t="inlineStr">
        <is>
          <t>GÄVLEBORGS LÄN</t>
        </is>
      </c>
      <c r="G548" t="inlineStr">
        <is>
          <t>GÄVLE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46304</v>
      </c>
      <c r="F549" t="inlineStr">
        <is>
          <t>GÄVLEBORGS LÄN</t>
        </is>
      </c>
      <c r="G549" t="inlineStr">
        <is>
          <t>GÄVLE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46304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46304</v>
      </c>
      <c r="F551" t="inlineStr">
        <is>
          <t>GÄVLEBORGS LÄN</t>
        </is>
      </c>
      <c r="G551" t="inlineStr">
        <is>
          <t>GÄVLE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46304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46304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46304</v>
      </c>
      <c r="F554" t="inlineStr">
        <is>
          <t>GÄVLEBORGS LÄN</t>
        </is>
      </c>
      <c r="G554" t="inlineStr">
        <is>
          <t>GÄVLE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46304</v>
      </c>
      <c r="F555" t="inlineStr">
        <is>
          <t>GÄVLEBORGS LÄN</t>
        </is>
      </c>
      <c r="G555" t="inlineStr">
        <is>
          <t>GÄVLE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61501-2024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45646</v>
      </c>
      <c r="E556" s="1" t="n">
        <v>46304</v>
      </c>
      <c r="F556" t="inlineStr">
        <is>
          <t>GÄVLEBORGS LÄN</t>
        </is>
      </c>
      <c r="G556" t="inlineStr">
        <is>
          <t>GÄVLE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46304</v>
      </c>
      <c r="F557" t="inlineStr">
        <is>
          <t>GÄVLEBORGS LÄN</t>
        </is>
      </c>
      <c r="G557" t="inlineStr">
        <is>
          <t>GÄVLE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47458-2022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44853</v>
      </c>
      <c r="E558" s="1" t="n">
        <v>46304</v>
      </c>
      <c r="F558" t="inlineStr">
        <is>
          <t>GÄVLEBORGS LÄN</t>
        </is>
      </c>
      <c r="G558" t="inlineStr">
        <is>
          <t>GÄVLE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46304</v>
      </c>
      <c r="F559" t="inlineStr">
        <is>
          <t>GÄVLEBORGS LÄN</t>
        </is>
      </c>
      <c r="G559" t="inlineStr">
        <is>
          <t>GÄVLE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16190-2026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46111</v>
      </c>
      <c r="E560" s="1" t="n">
        <v>46304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16263-2026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46304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46304</v>
      </c>
      <c r="F562" t="inlineStr">
        <is>
          <t>GÄVLEBORGS LÄN</t>
        </is>
      </c>
      <c r="G562" t="inlineStr">
        <is>
          <t>GÄVLE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7252-2026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46304</v>
      </c>
      <c r="F563" t="inlineStr">
        <is>
          <t>GÄVLEBORGS LÄN</t>
        </is>
      </c>
      <c r="G563" t="inlineStr">
        <is>
          <t>GÄVLE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16076-2026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46108</v>
      </c>
      <c r="E564" s="1" t="n">
        <v>46304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44938-2022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44841</v>
      </c>
      <c r="E565" s="1" t="n">
        <v>46304</v>
      </c>
      <c r="F565" t="inlineStr">
        <is>
          <t>GÄVLEBORGS LÄN</t>
        </is>
      </c>
      <c r="G565" t="inlineStr">
        <is>
          <t>GÄVLE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46304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7665-2026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46304</v>
      </c>
      <c r="F567" t="inlineStr">
        <is>
          <t>GÄVLEBORGS LÄN</t>
        </is>
      </c>
      <c r="G567" t="inlineStr">
        <is>
          <t>GÄVLE</t>
        </is>
      </c>
      <c r="H567" t="inlineStr">
        <is>
          <t>Kyrkan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46304</v>
      </c>
      <c r="F568" t="inlineStr">
        <is>
          <t>GÄVLEBORGS LÄN</t>
        </is>
      </c>
      <c r="G568" t="inlineStr">
        <is>
          <t>GÄVLE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46304</v>
      </c>
      <c r="F569" t="inlineStr">
        <is>
          <t>GÄVLEBORGS LÄN</t>
        </is>
      </c>
      <c r="G569" t="inlineStr">
        <is>
          <t>GÄVLE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46304</v>
      </c>
      <c r="F570" t="inlineStr">
        <is>
          <t>GÄVLEBORGS LÄN</t>
        </is>
      </c>
      <c r="G570" t="inlineStr">
        <is>
          <t>GÄVLE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9129-2026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46304</v>
      </c>
      <c r="F571" t="inlineStr">
        <is>
          <t>GÄVLEBORGS LÄN</t>
        </is>
      </c>
      <c r="G571" t="inlineStr">
        <is>
          <t>GÄVLE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20736-2026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46141</v>
      </c>
      <c r="E572" s="1" t="n">
        <v>46304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8954-2026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46304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50582-2023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45217</v>
      </c>
      <c r="E574" s="1" t="n">
        <v>46304</v>
      </c>
      <c r="F574" t="inlineStr">
        <is>
          <t>GÄVLEBORGS LÄN</t>
        </is>
      </c>
      <c r="G574" t="inlineStr">
        <is>
          <t>GÄVLE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9235-2022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44616</v>
      </c>
      <c r="E575" s="1" t="n">
        <v>46304</v>
      </c>
      <c r="F575" t="inlineStr">
        <is>
          <t>GÄVLEBORGS LÄN</t>
        </is>
      </c>
      <c r="G575" t="inlineStr">
        <is>
          <t>GÄVLE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46304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46072</v>
      </c>
      <c r="E577" s="1" t="n">
        <v>46304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46033</v>
      </c>
      <c r="E578" s="1" t="n">
        <v>46304</v>
      </c>
      <c r="F578" t="inlineStr">
        <is>
          <t>GÄVLEBORGS LÄN</t>
        </is>
      </c>
      <c r="G578" t="inlineStr">
        <is>
          <t>GÄVLE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53082-2022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44876</v>
      </c>
      <c r="E579" s="1" t="n">
        <v>46304</v>
      </c>
      <c r="F579" t="inlineStr">
        <is>
          <t>GÄVLEBORGS LÄN</t>
        </is>
      </c>
      <c r="G579" t="inlineStr">
        <is>
          <t>GÄVLE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20785-2026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46141</v>
      </c>
      <c r="E580" s="1" t="n">
        <v>46304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46072</v>
      </c>
      <c r="E581" s="1" t="n">
        <v>46304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72734-2021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44546</v>
      </c>
      <c r="E582" s="1" t="n">
        <v>46304</v>
      </c>
      <c r="F582" t="inlineStr">
        <is>
          <t>GÄVLEBORGS LÄN</t>
        </is>
      </c>
      <c r="G582" t="inlineStr">
        <is>
          <t>GÄVLE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46304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7441-2025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45705</v>
      </c>
      <c r="E584" s="1" t="n">
        <v>46304</v>
      </c>
      <c r="F584" t="inlineStr">
        <is>
          <t>GÄVLEBORGS LÄN</t>
        </is>
      </c>
      <c r="G584" t="inlineStr">
        <is>
          <t>GÄVLE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45784</v>
      </c>
      <c r="E585" s="1" t="n">
        <v>46304</v>
      </c>
      <c r="F585" t="inlineStr">
        <is>
          <t>GÄVLEBORGS LÄN</t>
        </is>
      </c>
      <c r="G585" t="inlineStr">
        <is>
          <t>GÄVLE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46077</v>
      </c>
      <c r="E586" s="1" t="n">
        <v>46304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46079</v>
      </c>
      <c r="E587" s="1" t="n">
        <v>46304</v>
      </c>
      <c r="F587" t="inlineStr">
        <is>
          <t>GÄVLEBORGS LÄN</t>
        </is>
      </c>
      <c r="G587" t="inlineStr">
        <is>
          <t>GÄVLE</t>
        </is>
      </c>
      <c r="H587" t="inlineStr">
        <is>
          <t>Kommuner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58445-2021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44488</v>
      </c>
      <c r="E588" s="1" t="n">
        <v>46304</v>
      </c>
      <c r="F588" t="inlineStr">
        <is>
          <t>GÄVLEBORGS LÄN</t>
        </is>
      </c>
      <c r="G588" t="inlineStr">
        <is>
          <t>GÄVLE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46304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11523-2026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46083</v>
      </c>
      <c r="E590" s="1" t="n">
        <v>46304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20735-2026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46304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66493-2021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44519</v>
      </c>
      <c r="E592" s="1" t="n">
        <v>46304</v>
      </c>
      <c r="F592" t="inlineStr">
        <is>
          <t>GÄVLEBORGS LÄN</t>
        </is>
      </c>
      <c r="G592" t="inlineStr">
        <is>
          <t>GÄVLE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46142</v>
      </c>
      <c r="E593" s="1" t="n">
        <v>46304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46045</v>
      </c>
      <c r="E594" s="1" t="n">
        <v>46304</v>
      </c>
      <c r="F594" t="inlineStr">
        <is>
          <t>GÄVLEBORGS LÄN</t>
        </is>
      </c>
      <c r="G594" t="inlineStr">
        <is>
          <t>GÄVLE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46304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25812-2023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46304</v>
      </c>
      <c r="F596" t="inlineStr">
        <is>
          <t>GÄVLEBORGS LÄN</t>
        </is>
      </c>
      <c r="G596" t="inlineStr">
        <is>
          <t>GÄVLE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21033-2026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46304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46101</v>
      </c>
      <c r="E598" s="1" t="n">
        <v>46304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44936</v>
      </c>
      <c r="E599" s="1" t="n">
        <v>46304</v>
      </c>
      <c r="F599" t="inlineStr">
        <is>
          <t>GÄVLEBORGS LÄN</t>
        </is>
      </c>
      <c r="G599" t="inlineStr">
        <is>
          <t>GÄVLE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46304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2457-2024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45312</v>
      </c>
      <c r="E601" s="1" t="n">
        <v>46304</v>
      </c>
      <c r="F601" t="inlineStr">
        <is>
          <t>GÄVLEBORGS LÄN</t>
        </is>
      </c>
      <c r="G601" t="inlineStr">
        <is>
          <t>GÄVLE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22111-2026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46304</v>
      </c>
      <c r="F602" t="inlineStr">
        <is>
          <t>GÄVLEBORGS LÄN</t>
        </is>
      </c>
      <c r="G602" t="inlineStr">
        <is>
          <t>GÄVLE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45218</v>
      </c>
      <c r="E603" s="1" t="n">
        <v>46304</v>
      </c>
      <c r="F603" t="inlineStr">
        <is>
          <t>GÄVLEBORGS LÄN</t>
        </is>
      </c>
      <c r="G603" t="inlineStr">
        <is>
          <t>GÄVLE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45412</v>
      </c>
      <c r="E604" s="1" t="n">
        <v>46304</v>
      </c>
      <c r="F604" t="inlineStr">
        <is>
          <t>GÄVLEBORGS LÄN</t>
        </is>
      </c>
      <c r="G604" t="inlineStr">
        <is>
          <t>GÄVLE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46304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49401-2024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45595</v>
      </c>
      <c r="E606" s="1" t="n">
        <v>46304</v>
      </c>
      <c r="F606" t="inlineStr">
        <is>
          <t>GÄVLEBORGS LÄN</t>
        </is>
      </c>
      <c r="G606" t="inlineStr">
        <is>
          <t>GÄVLE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46304</v>
      </c>
      <c r="F607" t="inlineStr">
        <is>
          <t>GÄVLEBORGS LÄN</t>
        </is>
      </c>
      <c r="G607" t="inlineStr">
        <is>
          <t>GÄVLE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46119</v>
      </c>
      <c r="E608" s="1" t="n">
        <v>46304</v>
      </c>
      <c r="F608" t="inlineStr">
        <is>
          <t>GÄVLEBORGS LÄN</t>
        </is>
      </c>
      <c r="G608" t="inlineStr">
        <is>
          <t>GÄVLE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15158-2026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46304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46304</v>
      </c>
      <c r="F610" t="inlineStr">
        <is>
          <t>GÄVLEBORGS LÄN</t>
        </is>
      </c>
      <c r="G610" t="inlineStr">
        <is>
          <t>GÄVLE</t>
        </is>
      </c>
      <c r="H610" t="inlineStr">
        <is>
          <t>Kyrkan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64871-2023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45282</v>
      </c>
      <c r="E611" s="1" t="n">
        <v>46304</v>
      </c>
      <c r="F611" t="inlineStr">
        <is>
          <t>GÄVLEBORGS LÄN</t>
        </is>
      </c>
      <c r="G611" t="inlineStr">
        <is>
          <t>GÄVLE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64875-2023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45282</v>
      </c>
      <c r="E612" s="1" t="n">
        <v>46304</v>
      </c>
      <c r="F612" t="inlineStr">
        <is>
          <t>GÄVLEBORGS LÄN</t>
        </is>
      </c>
      <c r="G612" t="inlineStr">
        <is>
          <t>GÄVLE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64878-2023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46304</v>
      </c>
      <c r="F613" t="inlineStr">
        <is>
          <t>GÄVLEBORGS LÄN</t>
        </is>
      </c>
      <c r="G613" t="inlineStr">
        <is>
          <t>GÄVLE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46304</v>
      </c>
      <c r="F614" t="inlineStr">
        <is>
          <t>GÄVLEBORGS LÄN</t>
        </is>
      </c>
      <c r="G614" t="inlineStr">
        <is>
          <t>GÄVLE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46304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46304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46154</v>
      </c>
      <c r="E617" s="1" t="n">
        <v>46304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15790-2026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46304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46304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36638-2022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46304</v>
      </c>
      <c r="F620" t="inlineStr">
        <is>
          <t>GÄVLEBORGS LÄN</t>
        </is>
      </c>
      <c r="G620" t="inlineStr">
        <is>
          <t>GÄVLE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45628-2022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44845</v>
      </c>
      <c r="E621" s="1" t="n">
        <v>46304</v>
      </c>
      <c r="F621" t="inlineStr">
        <is>
          <t>GÄVLEBORGS LÄN</t>
        </is>
      </c>
      <c r="G621" t="inlineStr">
        <is>
          <t>GÄVLE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15765-2026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46304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45312</v>
      </c>
      <c r="E623" s="1" t="n">
        <v>46304</v>
      </c>
      <c r="F623" t="inlineStr">
        <is>
          <t>GÄVLEBORGS LÄN</t>
        </is>
      </c>
      <c r="G623" t="inlineStr">
        <is>
          <t>GÄVLE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46106</v>
      </c>
      <c r="E624" s="1" t="n">
        <v>46304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15167-2026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46304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46304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45644</v>
      </c>
      <c r="E627" s="1" t="n">
        <v>46304</v>
      </c>
      <c r="F627" t="inlineStr">
        <is>
          <t>GÄVLEBORGS LÄN</t>
        </is>
      </c>
      <c r="G627" t="inlineStr">
        <is>
          <t>GÄVLE</t>
        </is>
      </c>
      <c r="H627" t="inlineStr">
        <is>
          <t>Kyrkan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60801-2024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45644</v>
      </c>
      <c r="E628" s="1" t="n">
        <v>46304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22508-2026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46304</v>
      </c>
      <c r="F629" t="inlineStr">
        <is>
          <t>GÄVLEBORGS LÄN</t>
        </is>
      </c>
      <c r="G629" t="inlineStr">
        <is>
          <t>GÄVLE</t>
        </is>
      </c>
      <c r="H629" t="inlineStr">
        <is>
          <t>Kyrkan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22577-2022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44713</v>
      </c>
      <c r="E630" s="1" t="n">
        <v>46304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45245</v>
      </c>
      <c r="E631" s="1" t="n">
        <v>46304</v>
      </c>
      <c r="F631" t="inlineStr">
        <is>
          <t>GÄVLEBORGS LÄN</t>
        </is>
      </c>
      <c r="G631" t="inlineStr">
        <is>
          <t>GÄVLE</t>
        </is>
      </c>
      <c r="H631" t="inlineStr">
        <is>
          <t>Kyrkan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15207-2024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46304</v>
      </c>
      <c r="F632" t="inlineStr">
        <is>
          <t>GÄVLEBORGS LÄN</t>
        </is>
      </c>
      <c r="G632" t="inlineStr">
        <is>
          <t>GÄVLE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23591-2026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46163</v>
      </c>
      <c r="E633" s="1" t="n">
        <v>46304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23956-2026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46304</v>
      </c>
      <c r="F634" t="inlineStr">
        <is>
          <t>GÄVLEBORGS LÄN</t>
        </is>
      </c>
      <c r="G634" t="inlineStr">
        <is>
          <t>GÄVLE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60396-2022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44910</v>
      </c>
      <c r="E635" s="1" t="n">
        <v>46304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45462</v>
      </c>
      <c r="E636" s="1" t="n">
        <v>46304</v>
      </c>
      <c r="F636" t="inlineStr">
        <is>
          <t>GÄVLEBORGS LÄN</t>
        </is>
      </c>
      <c r="G636" t="inlineStr">
        <is>
          <t>GÄVLE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45660</v>
      </c>
      <c r="E637" s="1" t="n">
        <v>46304</v>
      </c>
      <c r="F637" t="inlineStr">
        <is>
          <t>GÄVLEBORGS LÄN</t>
        </is>
      </c>
      <c r="G637" t="inlineStr">
        <is>
          <t>GÄVLE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45660</v>
      </c>
      <c r="E638" s="1" t="n">
        <v>46304</v>
      </c>
      <c r="F638" t="inlineStr">
        <is>
          <t>GÄVLEBORGS LÄN</t>
        </is>
      </c>
      <c r="G638" t="inlineStr">
        <is>
          <t>GÄVLE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27182-2022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44741</v>
      </c>
      <c r="E639" s="1" t="n">
        <v>46304</v>
      </c>
      <c r="F639" t="inlineStr">
        <is>
          <t>GÄVLEBORGS LÄN</t>
        </is>
      </c>
      <c r="G639" t="inlineStr">
        <is>
          <t>GÄVLE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46304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24398-2026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46304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46304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46304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46304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46304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46304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24090-2026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46304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46304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8031-2024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45350</v>
      </c>
      <c r="E649" s="1" t="n">
        <v>46304</v>
      </c>
      <c r="F649" t="inlineStr">
        <is>
          <t>GÄVLEBORGS LÄN</t>
        </is>
      </c>
      <c r="G649" t="inlineStr">
        <is>
          <t>GÄVLE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61351-2021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44498</v>
      </c>
      <c r="E650" s="1" t="n">
        <v>46304</v>
      </c>
      <c r="F650" t="inlineStr">
        <is>
          <t>GÄVLEBORGS LÄN</t>
        </is>
      </c>
      <c r="G650" t="inlineStr">
        <is>
          <t>GÄVLE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46304</v>
      </c>
      <c r="F651" t="inlineStr">
        <is>
          <t>GÄVLEBORGS LÄN</t>
        </is>
      </c>
      <c r="G651" t="inlineStr">
        <is>
          <t>GÄVLE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24810-2026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46173</v>
      </c>
      <c r="E652" s="1" t="n">
        <v>46304</v>
      </c>
      <c r="F652" t="inlineStr">
        <is>
          <t>GÄVLEBORGS LÄN</t>
        </is>
      </c>
      <c r="G652" t="inlineStr">
        <is>
          <t>GÄVLE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53281-2024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45614</v>
      </c>
      <c r="E653" s="1" t="n">
        <v>46304</v>
      </c>
      <c r="F653" t="inlineStr">
        <is>
          <t>GÄVLEBORGS LÄN</t>
        </is>
      </c>
      <c r="G653" t="inlineStr">
        <is>
          <t>GÄVLE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60879-2023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45261</v>
      </c>
      <c r="E654" s="1" t="n">
        <v>46304</v>
      </c>
      <c r="F654" t="inlineStr">
        <is>
          <t>GÄVLEBORGS LÄN</t>
        </is>
      </c>
      <c r="G654" t="inlineStr">
        <is>
          <t>GÄVLE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15312-2023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45019</v>
      </c>
      <c r="E655" s="1" t="n">
        <v>46304</v>
      </c>
      <c r="F655" t="inlineStr">
        <is>
          <t>GÄVLEBORGS LÄN</t>
        </is>
      </c>
      <c r="G655" t="inlineStr">
        <is>
          <t>GÄVLE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46176</v>
      </c>
      <c r="E656" s="1" t="n">
        <v>46304</v>
      </c>
      <c r="F656" t="inlineStr">
        <is>
          <t>GÄVLEBORGS LÄN</t>
        </is>
      </c>
      <c r="G656" t="inlineStr">
        <is>
          <t>GÄVLE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52387-2022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44874</v>
      </c>
      <c r="E657" s="1" t="n">
        <v>46304</v>
      </c>
      <c r="F657" t="inlineStr">
        <is>
          <t>GÄVLEBORGS LÄN</t>
        </is>
      </c>
      <c r="G657" t="inlineStr">
        <is>
          <t>GÄVLE</t>
        </is>
      </c>
      <c r="H657" t="inlineStr">
        <is>
          <t>Kommuner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45113</v>
      </c>
      <c r="E658" s="1" t="n">
        <v>46304</v>
      </c>
      <c r="F658" t="inlineStr">
        <is>
          <t>GÄVLEBORGS LÄN</t>
        </is>
      </c>
      <c r="G658" t="inlineStr">
        <is>
          <t>GÄVLE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46304</v>
      </c>
      <c r="F659" t="inlineStr">
        <is>
          <t>GÄVLEBORGS LÄN</t>
        </is>
      </c>
      <c r="G659" t="inlineStr">
        <is>
          <t>GÄVLE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22466-2023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45070</v>
      </c>
      <c r="E660" s="1" t="n">
        <v>46304</v>
      </c>
      <c r="F660" t="inlineStr">
        <is>
          <t>GÄVLEBORGS LÄN</t>
        </is>
      </c>
      <c r="G660" t="inlineStr">
        <is>
          <t>GÄVLE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16023-2023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45026</v>
      </c>
      <c r="E661" s="1" t="n">
        <v>46304</v>
      </c>
      <c r="F661" t="inlineStr">
        <is>
          <t>GÄVLEBORGS LÄN</t>
        </is>
      </c>
      <c r="G661" t="inlineStr">
        <is>
          <t>GÄVLE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20676-2026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46141</v>
      </c>
      <c r="E662" s="1" t="n">
        <v>46304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45467</v>
      </c>
      <c r="E663" s="1" t="n">
        <v>46304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7235-2025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45702</v>
      </c>
      <c r="E664" s="1" t="n">
        <v>46304</v>
      </c>
      <c r="F664" t="inlineStr">
        <is>
          <t>GÄVLEBORGS LÄN</t>
        </is>
      </c>
      <c r="G664" t="inlineStr">
        <is>
          <t>GÄVLE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25582-2026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46177</v>
      </c>
      <c r="E665" s="1" t="n">
        <v>46304</v>
      </c>
      <c r="F665" t="inlineStr">
        <is>
          <t>GÄVLEBORGS LÄN</t>
        </is>
      </c>
      <c r="G665" t="inlineStr">
        <is>
          <t>GÄVLE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46304</v>
      </c>
      <c r="F666" t="inlineStr">
        <is>
          <t>GÄVLEBORGS LÄN</t>
        </is>
      </c>
      <c r="G666" t="inlineStr">
        <is>
          <t>GÄVLE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71215-2021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44539</v>
      </c>
      <c r="E667" s="1" t="n">
        <v>46304</v>
      </c>
      <c r="F667" t="inlineStr">
        <is>
          <t>GÄVLEBORGS LÄN</t>
        </is>
      </c>
      <c r="G667" t="inlineStr">
        <is>
          <t>GÄVLE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25623-2026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46177</v>
      </c>
      <c r="E668" s="1" t="n">
        <v>46304</v>
      </c>
      <c r="F668" t="inlineStr">
        <is>
          <t>GÄVLEBORGS LÄN</t>
        </is>
      </c>
      <c r="G668" t="inlineStr">
        <is>
          <t>GÄVLE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45652</v>
      </c>
      <c r="E669" s="1" t="n">
        <v>46304</v>
      </c>
      <c r="F669" t="inlineStr">
        <is>
          <t>GÄVLEBORGS LÄN</t>
        </is>
      </c>
      <c r="G669" t="inlineStr">
        <is>
          <t>GÄVLE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19712-2022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44694</v>
      </c>
      <c r="E670" s="1" t="n">
        <v>46304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39509-2022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44818</v>
      </c>
      <c r="E671" s="1" t="n">
        <v>46304</v>
      </c>
      <c r="F671" t="inlineStr">
        <is>
          <t>GÄVLEBORGS LÄN</t>
        </is>
      </c>
      <c r="G671" t="inlineStr">
        <is>
          <t>GÄVLE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30662-2022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44763</v>
      </c>
      <c r="E672" s="1" t="n">
        <v>46304</v>
      </c>
      <c r="F672" t="inlineStr">
        <is>
          <t>GÄVLEBORGS LÄN</t>
        </is>
      </c>
      <c r="G672" t="inlineStr">
        <is>
          <t>GÄVLE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46304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46183</v>
      </c>
      <c r="E674" s="1" t="n">
        <v>46304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46184</v>
      </c>
      <c r="E675" s="1" t="n">
        <v>46304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45540</v>
      </c>
      <c r="E676" s="1" t="n">
        <v>46304</v>
      </c>
      <c r="F676" t="inlineStr">
        <is>
          <t>GÄVLEBORGS LÄN</t>
        </is>
      </c>
      <c r="G676" t="inlineStr">
        <is>
          <t>GÄVLE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17605-2025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45757</v>
      </c>
      <c r="E677" s="1" t="n">
        <v>46304</v>
      </c>
      <c r="F677" t="inlineStr">
        <is>
          <t>GÄVLEBORGS LÄN</t>
        </is>
      </c>
      <c r="G677" t="inlineStr">
        <is>
          <t>GÄVLE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45757</v>
      </c>
      <c r="E678" s="1" t="n">
        <v>46304</v>
      </c>
      <c r="F678" t="inlineStr">
        <is>
          <t>GÄVLEBORGS LÄN</t>
        </is>
      </c>
      <c r="G678" t="inlineStr">
        <is>
          <t>GÄVLE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26991-2026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46304</v>
      </c>
      <c r="F679" t="inlineStr">
        <is>
          <t>GÄVLEBORGS LÄN</t>
        </is>
      </c>
      <c r="G679" t="inlineStr">
        <is>
          <t>GÄVLE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46304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46304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46304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46304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46304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46304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46304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46304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46304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46304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46304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46304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46304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56487-2023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45243</v>
      </c>
      <c r="E693" s="1" t="n">
        <v>46304</v>
      </c>
      <c r="F693" t="inlineStr">
        <is>
          <t>GÄVLEBORGS LÄN</t>
        </is>
      </c>
      <c r="G693" t="inlineStr">
        <is>
          <t>GÄVLE</t>
        </is>
      </c>
      <c r="I693" t="n">
        <v>8.699999999999999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9307-2022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44616</v>
      </c>
      <c r="E694" s="1" t="n">
        <v>46304</v>
      </c>
      <c r="F694" t="inlineStr">
        <is>
          <t>GÄVLEBORGS LÄN</t>
        </is>
      </c>
      <c r="G694" t="inlineStr">
        <is>
          <t>GÄVLE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46304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27360-2026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46188</v>
      </c>
      <c r="E696" s="1" t="n">
        <v>46304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46304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26942-2026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46304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13193-2025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46304</v>
      </c>
      <c r="F699" t="inlineStr">
        <is>
          <t>GÄVLEBORGS LÄN</t>
        </is>
      </c>
      <c r="G699" t="inlineStr">
        <is>
          <t>GÄVLE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46304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27059-2026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46304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46304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46304</v>
      </c>
      <c r="F703" t="inlineStr">
        <is>
          <t>GÄVLEBORGS LÄN</t>
        </is>
      </c>
      <c r="G703" t="inlineStr">
        <is>
          <t>GÄVLE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14807-2023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45014</v>
      </c>
      <c r="E704" s="1" t="n">
        <v>46304</v>
      </c>
      <c r="F704" t="inlineStr">
        <is>
          <t>GÄVLEBORGS LÄN</t>
        </is>
      </c>
      <c r="G704" t="inlineStr">
        <is>
          <t>GÄVLE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33880-2022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44790</v>
      </c>
      <c r="E705" s="1" t="n">
        <v>46304</v>
      </c>
      <c r="F705" t="inlineStr">
        <is>
          <t>GÄVLEBORGS LÄN</t>
        </is>
      </c>
      <c r="G705" t="inlineStr">
        <is>
          <t>GÄVLE</t>
        </is>
      </c>
      <c r="I705" t="n">
        <v>9.4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6370-2025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45699</v>
      </c>
      <c r="E706" s="1" t="n">
        <v>46304</v>
      </c>
      <c r="F706" t="inlineStr">
        <is>
          <t>GÄVLEBORGS LÄN</t>
        </is>
      </c>
      <c r="G706" t="inlineStr">
        <is>
          <t>GÄVLE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19164-2026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46132</v>
      </c>
      <c r="E707" s="1" t="n">
        <v>46304</v>
      </c>
      <c r="F707" t="inlineStr">
        <is>
          <t>GÄVLEBORGS LÄN</t>
        </is>
      </c>
      <c r="G707" t="inlineStr">
        <is>
          <t>GÄVLE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11691-2024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45373</v>
      </c>
      <c r="E708" s="1" t="n">
        <v>46304</v>
      </c>
      <c r="F708" t="inlineStr">
        <is>
          <t>GÄVLEBORGS LÄN</t>
        </is>
      </c>
      <c r="G708" t="inlineStr">
        <is>
          <t>GÄVLE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62766-2022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44885</v>
      </c>
      <c r="E709" s="1" t="n">
        <v>46304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46304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46304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64873-2023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45282</v>
      </c>
      <c r="E712" s="1" t="n">
        <v>46304</v>
      </c>
      <c r="F712" t="inlineStr">
        <is>
          <t>GÄVLEBORGS LÄN</t>
        </is>
      </c>
      <c r="G712" t="inlineStr">
        <is>
          <t>GÄVLE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46304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46304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28140-2026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46195</v>
      </c>
      <c r="E715" s="1" t="n">
        <v>46304</v>
      </c>
      <c r="F715" t="inlineStr">
        <is>
          <t>GÄVLEBORGS LÄN</t>
        </is>
      </c>
      <c r="G715" t="inlineStr">
        <is>
          <t>GÄVLE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22968-2026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46304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45107</v>
      </c>
      <c r="E717" s="1" t="n">
        <v>46304</v>
      </c>
      <c r="F717" t="inlineStr">
        <is>
          <t>GÄVLEBORGS LÄN</t>
        </is>
      </c>
      <c r="G717" t="inlineStr">
        <is>
          <t>GÄVLE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46304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29506-2026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46304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52.7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46304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28485-2026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46197</v>
      </c>
      <c r="E721" s="1" t="n">
        <v>46304</v>
      </c>
      <c r="F721" t="inlineStr">
        <is>
          <t>GÄVLEBORGS LÄN</t>
        </is>
      </c>
      <c r="G721" t="inlineStr">
        <is>
          <t>GÄVLE</t>
        </is>
      </c>
      <c r="H721" t="inlineStr">
        <is>
          <t>BillerudKorsnäs AB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46304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46304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24478-2023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45082</v>
      </c>
      <c r="E724" s="1" t="n">
        <v>46304</v>
      </c>
      <c r="F724" t="inlineStr">
        <is>
          <t>GÄVLEBORGS LÄN</t>
        </is>
      </c>
      <c r="G724" t="inlineStr">
        <is>
          <t>GÄVLE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46304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46304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46304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17088-2023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45034</v>
      </c>
      <c r="E728" s="1" t="n">
        <v>46304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46304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7792-2023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44973</v>
      </c>
      <c r="E730" s="1" t="n">
        <v>46304</v>
      </c>
      <c r="F730" t="inlineStr">
        <is>
          <t>GÄVLEBORGS LÄN</t>
        </is>
      </c>
      <c r="G730" t="inlineStr">
        <is>
          <t>GÄVLE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29333-2026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46304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14735-2024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45397</v>
      </c>
      <c r="E732" s="1" t="n">
        <v>46304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35761-2022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44800</v>
      </c>
      <c r="E733" s="1" t="n">
        <v>46304</v>
      </c>
      <c r="F733" t="inlineStr">
        <is>
          <t>GÄVLEBORGS LÄN</t>
        </is>
      </c>
      <c r="G733" t="inlineStr">
        <is>
          <t>GÄVLE</t>
        </is>
      </c>
      <c r="I733" t="n">
        <v>8.199999999999999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46304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15456-2026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46106</v>
      </c>
      <c r="E735" s="1" t="n">
        <v>46304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51758-2025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45950</v>
      </c>
      <c r="E736" s="1" t="n">
        <v>46304</v>
      </c>
      <c r="F736" t="inlineStr">
        <is>
          <t>GÄVLEBORGS LÄN</t>
        </is>
      </c>
      <c r="G736" t="inlineStr">
        <is>
          <t>GÄVLE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61918-2023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45266</v>
      </c>
      <c r="E737" s="1" t="n">
        <v>46304</v>
      </c>
      <c r="F737" t="inlineStr">
        <is>
          <t>GÄVLEBORGS LÄN</t>
        </is>
      </c>
      <c r="G737" t="inlineStr">
        <is>
          <t>GÄVLE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17245-2024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45414</v>
      </c>
      <c r="E738" s="1" t="n">
        <v>46304</v>
      </c>
      <c r="F738" t="inlineStr">
        <is>
          <t>GÄVLEBORGS LÄN</t>
        </is>
      </c>
      <c r="G738" t="inlineStr">
        <is>
          <t>GÄVLE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31019-2026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46304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46207</v>
      </c>
      <c r="E740" s="1" t="n">
        <v>46304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22363-2026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46304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62255-2022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44922</v>
      </c>
      <c r="E742" s="1" t="n">
        <v>46304</v>
      </c>
      <c r="F742" t="inlineStr">
        <is>
          <t>GÄVLEBORGS LÄN</t>
        </is>
      </c>
      <c r="G742" t="inlineStr">
        <is>
          <t>GÄVLE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57928-2024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45631</v>
      </c>
      <c r="E743" s="1" t="n">
        <v>46304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45715</v>
      </c>
      <c r="E744" s="1" t="n">
        <v>46304</v>
      </c>
      <c r="F744" t="inlineStr">
        <is>
          <t>GÄVLEBORGS LÄN</t>
        </is>
      </c>
      <c r="G744" t="inlineStr">
        <is>
          <t>GÄVLE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61843-2023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45266</v>
      </c>
      <c r="E745" s="1" t="n">
        <v>46304</v>
      </c>
      <c r="F745" t="inlineStr">
        <is>
          <t>GÄVLEBORGS LÄN</t>
        </is>
      </c>
      <c r="G745" t="inlineStr">
        <is>
          <t>GÄVLE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45660</v>
      </c>
      <c r="E746" s="1" t="n">
        <v>46304</v>
      </c>
      <c r="F746" t="inlineStr">
        <is>
          <t>GÄVLEBORGS LÄN</t>
        </is>
      </c>
      <c r="G746" t="inlineStr">
        <is>
          <t>GÄVLE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46210</v>
      </c>
      <c r="E747" s="1" t="n">
        <v>46304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33449-2024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45519</v>
      </c>
      <c r="E748" s="1" t="n">
        <v>46304</v>
      </c>
      <c r="F748" t="inlineStr">
        <is>
          <t>GÄVLEBORGS LÄN</t>
        </is>
      </c>
      <c r="G748" t="inlineStr">
        <is>
          <t>GÄVLE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35440-2023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45146</v>
      </c>
      <c r="E749" s="1" t="n">
        <v>46304</v>
      </c>
      <c r="F749" t="inlineStr">
        <is>
          <t>GÄVLEBORGS LÄN</t>
        </is>
      </c>
      <c r="G749" t="inlineStr">
        <is>
          <t>GÄVLE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46304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7410-2025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45705</v>
      </c>
      <c r="E751" s="1" t="n">
        <v>46304</v>
      </c>
      <c r="F751" t="inlineStr">
        <is>
          <t>GÄVLEBORGS LÄN</t>
        </is>
      </c>
      <c r="G751" t="inlineStr">
        <is>
          <t>GÄVLE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45530</v>
      </c>
      <c r="E752" s="1" t="n">
        <v>46304</v>
      </c>
      <c r="F752" t="inlineStr">
        <is>
          <t>GÄVLEBORGS LÄN</t>
        </is>
      </c>
      <c r="G752" t="inlineStr">
        <is>
          <t>GÄVLE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44927</v>
      </c>
      <c r="E753" s="1" t="n">
        <v>46304</v>
      </c>
      <c r="F753" t="inlineStr">
        <is>
          <t>GÄVLEBORGS LÄN</t>
        </is>
      </c>
      <c r="G753" t="inlineStr">
        <is>
          <t>GÄVLE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44806-2024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45574</v>
      </c>
      <c r="E754" s="1" t="n">
        <v>46304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46213</v>
      </c>
      <c r="E755" s="1" t="n">
        <v>46304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31445-2026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46217</v>
      </c>
      <c r="E756" s="1" t="n">
        <v>46304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52250-2024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45608</v>
      </c>
      <c r="E757" s="1" t="n">
        <v>46304</v>
      </c>
      <c r="F757" t="inlineStr">
        <is>
          <t>GÄVLEBORGS LÄN</t>
        </is>
      </c>
      <c r="G757" t="inlineStr">
        <is>
          <t>GÄVLE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30875-2022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44767</v>
      </c>
      <c r="E758" s="1" t="n">
        <v>46304</v>
      </c>
      <c r="F758" t="inlineStr">
        <is>
          <t>GÄVLEBORGS LÄN</t>
        </is>
      </c>
      <c r="G758" t="inlineStr">
        <is>
          <t>GÄVLE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46304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46304</v>
      </c>
      <c r="F760" t="inlineStr">
        <is>
          <t>GÄVLEBORGS LÄN</t>
        </is>
      </c>
      <c r="G760" t="inlineStr">
        <is>
          <t>GÄVLE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60349-2022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44910</v>
      </c>
      <c r="E761" s="1" t="n">
        <v>46304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41100-2024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45559</v>
      </c>
      <c r="E762" s="1" t="n">
        <v>46304</v>
      </c>
      <c r="F762" t="inlineStr">
        <is>
          <t>GÄVLEBORGS LÄN</t>
        </is>
      </c>
      <c r="G762" t="inlineStr">
        <is>
          <t>GÄVLE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35780-2026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46265</v>
      </c>
      <c r="E763" s="1" t="n">
        <v>46304</v>
      </c>
      <c r="F763" t="inlineStr">
        <is>
          <t>GÄVLEBORGS LÄN</t>
        </is>
      </c>
      <c r="G763" t="inlineStr">
        <is>
          <t>GÄVLE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35541-2026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46304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46304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45530</v>
      </c>
      <c r="E766" s="1" t="n">
        <v>46304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35495-2026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46304</v>
      </c>
      <c r="F767" t="inlineStr">
        <is>
          <t>GÄVLEBORGS LÄN</t>
        </is>
      </c>
      <c r="G767" t="inlineStr">
        <is>
          <t>GÄVLE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35818-2026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46265</v>
      </c>
      <c r="E768" s="1" t="n">
        <v>46304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46223</v>
      </c>
      <c r="E769" s="1" t="n">
        <v>46304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46304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35561-2026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46262</v>
      </c>
      <c r="E771" s="1" t="n">
        <v>46304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46304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46304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16401-2025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45751</v>
      </c>
      <c r="E775" s="1" t="n">
        <v>46304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5633-2024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45334</v>
      </c>
      <c r="E776" s="1" t="n">
        <v>46304</v>
      </c>
      <c r="F776" t="inlineStr">
        <is>
          <t>GÄVLEBORGS LÄN</t>
        </is>
      </c>
      <c r="G776" t="inlineStr">
        <is>
          <t>GÄVLE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13961-2024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45392</v>
      </c>
      <c r="E777" s="1" t="n">
        <v>46304</v>
      </c>
      <c r="F777" t="inlineStr">
        <is>
          <t>GÄVLEBORGS LÄN</t>
        </is>
      </c>
      <c r="G777" t="inlineStr">
        <is>
          <t>GÄVLE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36093-2026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46267</v>
      </c>
      <c r="E778" s="1" t="n">
        <v>46304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46267</v>
      </c>
      <c r="E779" s="1" t="n">
        <v>46304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25466-2023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45089</v>
      </c>
      <c r="E780" s="1" t="n">
        <v>46304</v>
      </c>
      <c r="F780" t="inlineStr">
        <is>
          <t>GÄVLEBORGS LÄN</t>
        </is>
      </c>
      <c r="G780" t="inlineStr">
        <is>
          <t>GÄVLE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36512-2026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46269</v>
      </c>
      <c r="E781" s="1" t="n">
        <v>46304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46304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7060-2022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44603</v>
      </c>
      <c r="E783" s="1" t="n">
        <v>46304</v>
      </c>
      <c r="F783" t="inlineStr">
        <is>
          <t>GÄVLEBORGS LÄN</t>
        </is>
      </c>
      <c r="G783" t="inlineStr">
        <is>
          <t>GÄVLE</t>
        </is>
      </c>
      <c r="I783" t="n">
        <v>10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46304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41708-2023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45176</v>
      </c>
      <c r="E785" s="1" t="n">
        <v>46304</v>
      </c>
      <c r="F785" t="inlineStr">
        <is>
          <t>GÄVLEBORGS LÄN</t>
        </is>
      </c>
      <c r="G785" t="inlineStr">
        <is>
          <t>GÄVLE</t>
        </is>
      </c>
      <c r="I785" t="n">
        <v>6.5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41712-2023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45176</v>
      </c>
      <c r="E786" s="1" t="n">
        <v>46304</v>
      </c>
      <c r="F786" t="inlineStr">
        <is>
          <t>GÄVLEBORGS LÄN</t>
        </is>
      </c>
      <c r="G786" t="inlineStr">
        <is>
          <t>GÄVLE</t>
        </is>
      </c>
      <c r="I786" t="n">
        <v>7.8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5413-2023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44959</v>
      </c>
      <c r="E787" s="1" t="n">
        <v>46304</v>
      </c>
      <c r="F787" t="inlineStr">
        <is>
          <t>GÄVLEBORGS LÄN</t>
        </is>
      </c>
      <c r="G787" t="inlineStr">
        <is>
          <t>GÄVLE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46304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36909-2026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46304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45685</v>
      </c>
      <c r="E790" s="1" t="n">
        <v>46304</v>
      </c>
      <c r="F790" t="inlineStr">
        <is>
          <t>GÄVLEBORGS LÄN</t>
        </is>
      </c>
      <c r="G790" t="inlineStr">
        <is>
          <t>GÄVLE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36945-2026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46304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36957-2026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46273</v>
      </c>
      <c r="E792" s="1" t="n">
        <v>46304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45660</v>
      </c>
      <c r="E793" s="1" t="n">
        <v>46304</v>
      </c>
      <c r="F793" t="inlineStr">
        <is>
          <t>GÄVLEBORGS LÄN</t>
        </is>
      </c>
      <c r="G793" t="inlineStr">
        <is>
          <t>GÄVLE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56138-2023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45240</v>
      </c>
      <c r="E794" s="1" t="n">
        <v>46304</v>
      </c>
      <c r="F794" t="inlineStr">
        <is>
          <t>GÄVLEBORGS LÄN</t>
        </is>
      </c>
      <c r="G794" t="inlineStr">
        <is>
          <t>GÄVLE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46273</v>
      </c>
      <c r="E795" s="1" t="n">
        <v>46304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46304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36739-2026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46272</v>
      </c>
      <c r="E797" s="1" t="n">
        <v>46304</v>
      </c>
      <c r="F797" t="inlineStr">
        <is>
          <t>GÄVLEBORGS LÄN</t>
        </is>
      </c>
      <c r="G797" t="inlineStr">
        <is>
          <t>GÄVLE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33635-2024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45520</v>
      </c>
      <c r="E798" s="1" t="n">
        <v>46304</v>
      </c>
      <c r="F798" t="inlineStr">
        <is>
          <t>GÄVLEBORGS LÄN</t>
        </is>
      </c>
      <c r="G798" t="inlineStr">
        <is>
          <t>GÄVLE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33637-2024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45520</v>
      </c>
      <c r="E799" s="1" t="n">
        <v>46304</v>
      </c>
      <c r="F799" t="inlineStr">
        <is>
          <t>GÄVLEBORGS LÄN</t>
        </is>
      </c>
      <c r="G799" t="inlineStr">
        <is>
          <t>GÄVLE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25645-2023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45089</v>
      </c>
      <c r="E800" s="1" t="n">
        <v>46304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7998-2023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44973</v>
      </c>
      <c r="E801" s="1" t="n">
        <v>46304</v>
      </c>
      <c r="F801" t="inlineStr">
        <is>
          <t>GÄVLEBORGS LÄN</t>
        </is>
      </c>
      <c r="G801" t="inlineStr">
        <is>
          <t>GÄVLE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46272</v>
      </c>
      <c r="E802" s="1" t="n">
        <v>46304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36935-2026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46273</v>
      </c>
      <c r="E803" s="1" t="n">
        <v>46304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54207-2023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45232</v>
      </c>
      <c r="E804" s="1" t="n">
        <v>46304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15935-2025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45749</v>
      </c>
      <c r="E805" s="1" t="n">
        <v>46304</v>
      </c>
      <c r="F805" t="inlineStr">
        <is>
          <t>GÄVLEBORGS LÄN</t>
        </is>
      </c>
      <c r="G805" t="inlineStr">
        <is>
          <t>GÄVLE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25814-2023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45090</v>
      </c>
      <c r="E806" s="1" t="n">
        <v>46304</v>
      </c>
      <c r="F806" t="inlineStr">
        <is>
          <t>GÄVLEBORGS LÄN</t>
        </is>
      </c>
      <c r="G806" t="inlineStr">
        <is>
          <t>GÄVLE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46272</v>
      </c>
      <c r="E807" s="1" t="n">
        <v>46304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37223-2026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46274</v>
      </c>
      <c r="E808" s="1" t="n">
        <v>46304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14792-2023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45014</v>
      </c>
      <c r="E809" s="1" t="n">
        <v>46304</v>
      </c>
      <c r="F809" t="inlineStr">
        <is>
          <t>GÄVLEBORGS LÄN</t>
        </is>
      </c>
      <c r="G809" t="inlineStr">
        <is>
          <t>GÄVLE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12079-2025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45728</v>
      </c>
      <c r="E810" s="1" t="n">
        <v>46304</v>
      </c>
      <c r="F810" t="inlineStr">
        <is>
          <t>GÄVLEBORGS LÄN</t>
        </is>
      </c>
      <c r="G810" t="inlineStr">
        <is>
          <t>GÄVLE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1594-2024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45306</v>
      </c>
      <c r="E811" s="1" t="n">
        <v>46304</v>
      </c>
      <c r="F811" t="inlineStr">
        <is>
          <t>GÄVLEBORGS LÄN</t>
        </is>
      </c>
      <c r="G811" t="inlineStr">
        <is>
          <t>GÄVLE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37391-2026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46275</v>
      </c>
      <c r="E812" s="1" t="n">
        <v>46304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37401-2026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46275</v>
      </c>
      <c r="E813" s="1" t="n">
        <v>46304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19.1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37134-2026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46274</v>
      </c>
      <c r="E814" s="1" t="n">
        <v>46304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37150-2026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46274</v>
      </c>
      <c r="E815" s="1" t="n">
        <v>46304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62983-2023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45272</v>
      </c>
      <c r="E816" s="1" t="n">
        <v>46304</v>
      </c>
      <c r="F816" t="inlineStr">
        <is>
          <t>GÄVLEBORGS LÄN</t>
        </is>
      </c>
      <c r="G816" t="inlineStr">
        <is>
          <t>GÄVLE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37611-2026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46276</v>
      </c>
      <c r="E817" s="1" t="n">
        <v>46304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37640-2026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46276</v>
      </c>
      <c r="E818" s="1" t="n">
        <v>46304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33901-2024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45523</v>
      </c>
      <c r="E819" s="1" t="n">
        <v>46304</v>
      </c>
      <c r="F819" t="inlineStr">
        <is>
          <t>GÄVLEBORGS LÄN</t>
        </is>
      </c>
      <c r="G819" t="inlineStr">
        <is>
          <t>GÄVLE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46276</v>
      </c>
      <c r="E820" s="1" t="n">
        <v>46304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37759-2026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46279</v>
      </c>
      <c r="E821" s="1" t="n">
        <v>46304</v>
      </c>
      <c r="F821" t="inlineStr">
        <is>
          <t>GÄVLEBORGS LÄN</t>
        </is>
      </c>
      <c r="G821" t="inlineStr">
        <is>
          <t>GÄVLE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37553-2026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46276</v>
      </c>
      <c r="E822" s="1" t="n">
        <v>46304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37765-2026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46279</v>
      </c>
      <c r="E823" s="1" t="n">
        <v>46304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38012-2026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46280</v>
      </c>
      <c r="E824" s="1" t="n">
        <v>46304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38045-2026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46280</v>
      </c>
      <c r="E825" s="1" t="n">
        <v>46304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37938-2026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46280</v>
      </c>
      <c r="E826" s="1" t="n">
        <v>46304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20621-2025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45776</v>
      </c>
      <c r="E827" s="1" t="n">
        <v>46304</v>
      </c>
      <c r="F827" t="inlineStr">
        <is>
          <t>GÄVLEBORGS LÄN</t>
        </is>
      </c>
      <c r="G827" t="inlineStr">
        <is>
          <t>GÄVLE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37935-2026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46280</v>
      </c>
      <c r="E828" s="1" t="n">
        <v>46304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37937-2026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46280</v>
      </c>
      <c r="E829" s="1" t="n">
        <v>46304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38130-2026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46281</v>
      </c>
      <c r="E830" s="1" t="n">
        <v>46304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38049-2026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46280</v>
      </c>
      <c r="E831" s="1" t="n">
        <v>46304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37934-2026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46280</v>
      </c>
      <c r="E832" s="1" t="n">
        <v>46304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38144-2026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46281</v>
      </c>
      <c r="E833" s="1" t="n">
        <v>46304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45938-2024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45580</v>
      </c>
      <c r="E834" s="1" t="n">
        <v>46304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21431-2025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45782</v>
      </c>
      <c r="E835" s="1" t="n">
        <v>46304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38014-2026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46280</v>
      </c>
      <c r="E836" s="1" t="n">
        <v>46304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38331-2026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46282</v>
      </c>
      <c r="E837" s="1" t="n">
        <v>46304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32437-2026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46239</v>
      </c>
      <c r="E838" s="1" t="n">
        <v>46304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7202-2025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45702</v>
      </c>
      <c r="E839" s="1" t="n">
        <v>46304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38524-2026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46283</v>
      </c>
      <c r="E840" s="1" t="n">
        <v>46304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59044-2023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45252</v>
      </c>
      <c r="E841" s="1" t="n">
        <v>46304</v>
      </c>
      <c r="F841" t="inlineStr">
        <is>
          <t>GÄVLEBORGS LÄN</t>
        </is>
      </c>
      <c r="G841" t="inlineStr">
        <is>
          <t>GÄVLE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38336-2026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46282</v>
      </c>
      <c r="E842" s="1" t="n">
        <v>46304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32436-2026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46239</v>
      </c>
      <c r="E843" s="1" t="n">
        <v>46304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38552-2026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46283</v>
      </c>
      <c r="E844" s="1" t="n">
        <v>46304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38612-2026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46283</v>
      </c>
      <c r="E845" s="1" t="n">
        <v>46304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46283</v>
      </c>
      <c r="E846" s="1" t="n">
        <v>46304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38562-2026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46283</v>
      </c>
      <c r="E847" s="1" t="n">
        <v>46304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38582-2026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46283</v>
      </c>
      <c r="E848" s="1" t="n">
        <v>46304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38551-2026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46283</v>
      </c>
      <c r="E849" s="1" t="n">
        <v>46304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38334-2026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46282</v>
      </c>
      <c r="E850" s="1" t="n">
        <v>46304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38386-2026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46282</v>
      </c>
      <c r="E851" s="1" t="n">
        <v>46304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46282</v>
      </c>
      <c r="E852" s="1" t="n">
        <v>46304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38335-2026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46282</v>
      </c>
      <c r="E853" s="1" t="n">
        <v>46304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38609-2026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46283</v>
      </c>
      <c r="E854" s="1" t="n">
        <v>46304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38393-2026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46282</v>
      </c>
      <c r="E855" s="1" t="n">
        <v>46304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19.8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46304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46283</v>
      </c>
      <c r="E857" s="1" t="n">
        <v>46304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38623-2026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46283</v>
      </c>
      <c r="E858" s="1" t="n">
        <v>46304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8.5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38624-2026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46283</v>
      </c>
      <c r="E859" s="1" t="n">
        <v>46304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38653-2026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46283</v>
      </c>
      <c r="E860" s="1" t="n">
        <v>46304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38588-2026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46283</v>
      </c>
      <c r="E861" s="1" t="n">
        <v>46304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38584-2026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46283</v>
      </c>
      <c r="E862" s="1" t="n">
        <v>46304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7451-2025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45705</v>
      </c>
      <c r="E863" s="1" t="n">
        <v>46304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38979-2026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46286</v>
      </c>
      <c r="E864" s="1" t="n">
        <v>46304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32890-2026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46304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39031-2026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46287</v>
      </c>
      <c r="E866" s="1" t="n">
        <v>46304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39227-2026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46287</v>
      </c>
      <c r="E867" s="1" t="n">
        <v>46304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23291-2025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45791</v>
      </c>
      <c r="E868" s="1" t="n">
        <v>46304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39120-2026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46287</v>
      </c>
      <c r="E869" s="1" t="n">
        <v>46304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38997-2026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46287</v>
      </c>
      <c r="E870" s="1" t="n">
        <v>46304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6.5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23232-2025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45791</v>
      </c>
      <c r="E871" s="1" t="n">
        <v>46304</v>
      </c>
      <c r="F871" t="inlineStr">
        <is>
          <t>GÄVLEBORGS LÄN</t>
        </is>
      </c>
      <c r="G871" t="inlineStr">
        <is>
          <t>GÄVLE</t>
        </is>
      </c>
      <c r="I871" t="n">
        <v>10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22879-2025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45790</v>
      </c>
      <c r="E872" s="1" t="n">
        <v>46304</v>
      </c>
      <c r="F872" t="inlineStr">
        <is>
          <t>GÄVLEBORGS LÄN</t>
        </is>
      </c>
      <c r="G872" t="inlineStr">
        <is>
          <t>GÄVLE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39083-2026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46287</v>
      </c>
      <c r="E873" s="1" t="n">
        <v>46304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23324-2025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45791</v>
      </c>
      <c r="E874" s="1" t="n">
        <v>46304</v>
      </c>
      <c r="F874" t="inlineStr">
        <is>
          <t>GÄVLEBORGS LÄN</t>
        </is>
      </c>
      <c r="G874" t="inlineStr">
        <is>
          <t>GÄVLE</t>
        </is>
      </c>
      <c r="I874" t="n">
        <v>6.2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32888-2026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46304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22923-2025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45790</v>
      </c>
      <c r="E876" s="1" t="n">
        <v>46304</v>
      </c>
      <c r="F876" t="inlineStr">
        <is>
          <t>GÄVLEBORGS LÄN</t>
        </is>
      </c>
      <c r="G876" t="inlineStr">
        <is>
          <t>GÄVLE</t>
        </is>
      </c>
      <c r="I876" t="n">
        <v>20.8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32887-2026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46304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45660</v>
      </c>
      <c r="E878" s="1" t="n">
        <v>46304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39021-2026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46287</v>
      </c>
      <c r="E879" s="1" t="n">
        <v>46304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24228-2025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45797</v>
      </c>
      <c r="E880" s="1" t="n">
        <v>46304</v>
      </c>
      <c r="F880" t="inlineStr">
        <is>
          <t>GÄVLEBORGS LÄN</t>
        </is>
      </c>
      <c r="G880" t="inlineStr">
        <is>
          <t>GÄVLE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55878-2024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45623</v>
      </c>
      <c r="E881" s="1" t="n">
        <v>46304</v>
      </c>
      <c r="F881" t="inlineStr">
        <is>
          <t>GÄVLEBORGS LÄN</t>
        </is>
      </c>
      <c r="G881" t="inlineStr">
        <is>
          <t>GÄVLE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33231-2026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46246</v>
      </c>
      <c r="E882" s="1" t="n">
        <v>46304</v>
      </c>
      <c r="F882" t="inlineStr">
        <is>
          <t>GÄVLEBORGS LÄN</t>
        </is>
      </c>
      <c r="G882" t="inlineStr">
        <is>
          <t>GÄVLE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33346-2026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46246</v>
      </c>
      <c r="E883" s="1" t="n">
        <v>46304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33349-2026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46246</v>
      </c>
      <c r="E884" s="1" t="n">
        <v>46304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39684-2026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46289</v>
      </c>
      <c r="E885" s="1" t="n">
        <v>46304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48913-2024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45594</v>
      </c>
      <c r="E886" s="1" t="n">
        <v>46304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24225-2025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45797</v>
      </c>
      <c r="E887" s="1" t="n">
        <v>46304</v>
      </c>
      <c r="F887" t="inlineStr">
        <is>
          <t>GÄVLEBORGS LÄN</t>
        </is>
      </c>
      <c r="G887" t="inlineStr">
        <is>
          <t>GÄVLE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33348-2026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46246</v>
      </c>
      <c r="E888" s="1" t="n">
        <v>46304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33350-2026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46246</v>
      </c>
      <c r="E889" s="1" t="n">
        <v>46304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58373-2024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45632</v>
      </c>
      <c r="E890" s="1" t="n">
        <v>46304</v>
      </c>
      <c r="F890" t="inlineStr">
        <is>
          <t>GÄVLEBORGS LÄN</t>
        </is>
      </c>
      <c r="G890" t="inlineStr">
        <is>
          <t>GÄVLE</t>
        </is>
      </c>
      <c r="I890" t="n">
        <v>13.1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31367-2024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45505</v>
      </c>
      <c r="E891" s="1" t="n">
        <v>46304</v>
      </c>
      <c r="F891" t="inlineStr">
        <is>
          <t>GÄVLEBORGS LÄN</t>
        </is>
      </c>
      <c r="G891" t="inlineStr">
        <is>
          <t>GÄVLE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24614-2025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45798</v>
      </c>
      <c r="E892" s="1" t="n">
        <v>46304</v>
      </c>
      <c r="F892" t="inlineStr">
        <is>
          <t>GÄVLEBORGS LÄN</t>
        </is>
      </c>
      <c r="G892" t="inlineStr">
        <is>
          <t>GÄVLE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39685-2026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46289</v>
      </c>
      <c r="E893" s="1" t="n">
        <v>46304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39534-2026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46289</v>
      </c>
      <c r="E894" s="1" t="n">
        <v>46304</v>
      </c>
      <c r="F894" t="inlineStr">
        <is>
          <t>GÄVLEBORGS LÄN</t>
        </is>
      </c>
      <c r="G894" t="inlineStr">
        <is>
          <t>GÄVLE</t>
        </is>
      </c>
      <c r="I894" t="n">
        <v>7.1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33265-2026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46246</v>
      </c>
      <c r="E895" s="1" t="n">
        <v>46304</v>
      </c>
      <c r="F895" t="inlineStr">
        <is>
          <t>GÄVLEBORGS LÄN</t>
        </is>
      </c>
      <c r="G895" t="inlineStr">
        <is>
          <t>GÄVLE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33347-2026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46304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39437-2026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46288</v>
      </c>
      <c r="E897" s="1" t="n">
        <v>46304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33662-2026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46248</v>
      </c>
      <c r="E898" s="1" t="n">
        <v>46304</v>
      </c>
      <c r="F898" t="inlineStr">
        <is>
          <t>GÄVLEBORGS LÄN</t>
        </is>
      </c>
      <c r="G898" t="inlineStr">
        <is>
          <t>GÄVLE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33664-2026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46248</v>
      </c>
      <c r="E899" s="1" t="n">
        <v>46304</v>
      </c>
      <c r="F899" t="inlineStr">
        <is>
          <t>GÄVLEBORGS LÄN</t>
        </is>
      </c>
      <c r="G899" t="inlineStr">
        <is>
          <t>GÄVLE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28624-2025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45819</v>
      </c>
      <c r="E900" s="1" t="n">
        <v>46304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26564-2022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44739</v>
      </c>
      <c r="E901" s="1" t="n">
        <v>46304</v>
      </c>
      <c r="F901" t="inlineStr">
        <is>
          <t>GÄVLEBORGS LÄN</t>
        </is>
      </c>
      <c r="G901" t="inlineStr">
        <is>
          <t>GÄVLE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33586-2026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46248</v>
      </c>
      <c r="E902" s="1" t="n">
        <v>46304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40173-2026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46293</v>
      </c>
      <c r="E903" s="1" t="n">
        <v>46304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27048-2026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46185</v>
      </c>
      <c r="E904" s="1" t="n">
        <v>46304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25878-2025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45804</v>
      </c>
      <c r="E905" s="1" t="n">
        <v>46304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40180-2026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46293</v>
      </c>
      <c r="E906" s="1" t="n">
        <v>46304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33585-2026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46248</v>
      </c>
      <c r="E907" s="1" t="n">
        <v>46304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39729-2026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46290</v>
      </c>
      <c r="E908" s="1" t="n">
        <v>46304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39766-2026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46290</v>
      </c>
      <c r="E909" s="1" t="n">
        <v>46304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39805-2026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46290</v>
      </c>
      <c r="E910" s="1" t="n">
        <v>46304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7.4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39891-2026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46304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40118-2026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46293</v>
      </c>
      <c r="E912" s="1" t="n">
        <v>46304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27666-2025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45813</v>
      </c>
      <c r="E913" s="1" t="n">
        <v>46304</v>
      </c>
      <c r="F913" t="inlineStr">
        <is>
          <t>GÄVLEBORGS LÄN</t>
        </is>
      </c>
      <c r="G913" t="inlineStr">
        <is>
          <t>GÄVLE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39702-2026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46290</v>
      </c>
      <c r="E914" s="1" t="n">
        <v>46304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27611-2025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45813</v>
      </c>
      <c r="E915" s="1" t="n">
        <v>46304</v>
      </c>
      <c r="F915" t="inlineStr">
        <is>
          <t>GÄVLEBORGS LÄN</t>
        </is>
      </c>
      <c r="G915" t="inlineStr">
        <is>
          <t>GÄVLE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40052-2026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46293</v>
      </c>
      <c r="E916" s="1" t="n">
        <v>46304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24367-2026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46169</v>
      </c>
      <c r="E917" s="1" t="n">
        <v>46304</v>
      </c>
      <c r="F917" t="inlineStr">
        <is>
          <t>GÄVLEBORGS LÄN</t>
        </is>
      </c>
      <c r="G917" t="inlineStr">
        <is>
          <t>GÄVLE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28009-2025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45817</v>
      </c>
      <c r="E918" s="1" t="n">
        <v>46304</v>
      </c>
      <c r="F918" t="inlineStr">
        <is>
          <t>GÄVLEBORGS LÄN</t>
        </is>
      </c>
      <c r="G918" t="inlineStr">
        <is>
          <t>GÄVLE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40505-2026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46295</v>
      </c>
      <c r="E919" s="1" t="n">
        <v>46304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40507-2026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46295</v>
      </c>
      <c r="E920" s="1" t="n">
        <v>46304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28481-2025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45819</v>
      </c>
      <c r="E921" s="1" t="n">
        <v>46304</v>
      </c>
      <c r="F921" t="inlineStr">
        <is>
          <t>GÄVLEBORGS LÄN</t>
        </is>
      </c>
      <c r="G921" t="inlineStr">
        <is>
          <t>GÄVLE</t>
        </is>
      </c>
      <c r="I921" t="n">
        <v>13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33719-2026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46251</v>
      </c>
      <c r="E922" s="1" t="n">
        <v>46304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40504-2026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46295</v>
      </c>
      <c r="E923" s="1" t="n">
        <v>46304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5.2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34033-2026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46252</v>
      </c>
      <c r="E924" s="1" t="n">
        <v>46304</v>
      </c>
      <c r="F924" t="inlineStr">
        <is>
          <t>GÄVLEBORGS LÄN</t>
        </is>
      </c>
      <c r="G924" t="inlineStr">
        <is>
          <t>GÄVLE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30301-2025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45827</v>
      </c>
      <c r="E925" s="1" t="n">
        <v>46304</v>
      </c>
      <c r="F925" t="inlineStr">
        <is>
          <t>GÄVLEBORGS LÄN</t>
        </is>
      </c>
      <c r="G925" t="inlineStr">
        <is>
          <t>GÄVLE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30202-2025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45827</v>
      </c>
      <c r="E926" s="1" t="n">
        <v>46304</v>
      </c>
      <c r="F926" t="inlineStr">
        <is>
          <t>GÄVLEBORGS LÄN</t>
        </is>
      </c>
      <c r="G926" t="inlineStr">
        <is>
          <t>GÄVLE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14563-2025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45741</v>
      </c>
      <c r="E927" s="1" t="n">
        <v>46304</v>
      </c>
      <c r="F927" t="inlineStr">
        <is>
          <t>GÄVLEBORGS LÄN</t>
        </is>
      </c>
      <c r="G927" t="inlineStr">
        <is>
          <t>GÄVLE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14974-2026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46104</v>
      </c>
      <c r="E928" s="1" t="n">
        <v>46304</v>
      </c>
      <c r="F928" t="inlineStr">
        <is>
          <t>GÄVLEBORGS LÄN</t>
        </is>
      </c>
      <c r="G928" t="inlineStr">
        <is>
          <t>GÄVLE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23117-2026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46161</v>
      </c>
      <c r="E929" s="1" t="n">
        <v>46304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30300-2025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45827</v>
      </c>
      <c r="E930" s="1" t="n">
        <v>46304</v>
      </c>
      <c r="F930" t="inlineStr">
        <is>
          <t>GÄVLEBORGS LÄN</t>
        </is>
      </c>
      <c r="G930" t="inlineStr">
        <is>
          <t>GÄVLE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30304-2025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45827</v>
      </c>
      <c r="E931" s="1" t="n">
        <v>46304</v>
      </c>
      <c r="F931" t="inlineStr">
        <is>
          <t>GÄVLEBORGS LÄN</t>
        </is>
      </c>
      <c r="G931" t="inlineStr">
        <is>
          <t>GÄVLE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40375-2026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46294</v>
      </c>
      <c r="E932" s="1" t="n">
        <v>46304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40943-2026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46297</v>
      </c>
      <c r="E933" s="1" t="n">
        <v>46304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40947-2026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46297</v>
      </c>
      <c r="E934" s="1" t="n">
        <v>46304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40896-2026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46297</v>
      </c>
      <c r="E935" s="1" t="n">
        <v>46304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30915-2025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45832</v>
      </c>
      <c r="E936" s="1" t="n">
        <v>46304</v>
      </c>
      <c r="F936" t="inlineStr">
        <is>
          <t>GÄVLEBORGS LÄN</t>
        </is>
      </c>
      <c r="G936" t="inlineStr">
        <is>
          <t>GÄVLE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34415-2026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46254</v>
      </c>
      <c r="E937" s="1" t="n">
        <v>46304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27051-2026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46185</v>
      </c>
      <c r="E938" s="1" t="n">
        <v>46304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31920-2025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45834</v>
      </c>
      <c r="E939" s="1" t="n">
        <v>46304</v>
      </c>
      <c r="F939" t="inlineStr">
        <is>
          <t>GÄVLEBORGS LÄN</t>
        </is>
      </c>
      <c r="G939" t="inlineStr">
        <is>
          <t>GÄVLE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40791-2026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46296</v>
      </c>
      <c r="E940" s="1" t="n">
        <v>46304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47143-2024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45586</v>
      </c>
      <c r="E941" s="1" t="n">
        <v>46304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46304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54959-2025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45967</v>
      </c>
      <c r="E943" s="1" t="n">
        <v>46304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46254</v>
      </c>
      <c r="E944" s="1" t="n">
        <v>46304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40938-2026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46297</v>
      </c>
      <c r="E945" s="1" t="n">
        <v>46304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4.2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40941-2026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46297</v>
      </c>
      <c r="E946" s="1" t="n">
        <v>46304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40948-2026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46297</v>
      </c>
      <c r="E947" s="1" t="n">
        <v>46304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40949-2026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46297</v>
      </c>
      <c r="E948" s="1" t="n">
        <v>46304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50345-2025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45944</v>
      </c>
      <c r="E949" s="1" t="n">
        <v>46304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54960-2025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45967</v>
      </c>
      <c r="E950" s="1" t="n">
        <v>46304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34822-2026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46258</v>
      </c>
      <c r="E951" s="1" t="n">
        <v>46304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34686-2026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46258</v>
      </c>
      <c r="E952" s="1" t="n">
        <v>46304</v>
      </c>
      <c r="F952" t="inlineStr">
        <is>
          <t>GÄVLEBORGS LÄN</t>
        </is>
      </c>
      <c r="G952" t="inlineStr">
        <is>
          <t>GÄVLE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25808-2026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46178</v>
      </c>
      <c r="E953" s="1" t="n">
        <v>46304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väst AB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58925-2025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45987</v>
      </c>
      <c r="E954" s="1" t="n">
        <v>46304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27040-2026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46185</v>
      </c>
      <c r="E955" s="1" t="n">
        <v>46304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5.5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41542-2026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46301</v>
      </c>
      <c r="E956" s="1" t="n">
        <v>46304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34591-2026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46255</v>
      </c>
      <c r="E957" s="1" t="n">
        <v>46304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41543-2026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46301</v>
      </c>
      <c r="E958" s="1" t="n">
        <v>46304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41106-2026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46300</v>
      </c>
      <c r="E959" s="1" t="n">
        <v>46304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21367-2026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46147</v>
      </c>
      <c r="E960" s="1" t="n">
        <v>46304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12.8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30600-2026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46210</v>
      </c>
      <c r="E961" s="1" t="n">
        <v>46304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13500-2026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46094</v>
      </c>
      <c r="E962" s="1" t="n">
        <v>46304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38191-2026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46281</v>
      </c>
      <c r="E963" s="1" t="n">
        <v>46304</v>
      </c>
      <c r="F963" t="inlineStr">
        <is>
          <t>GÄVLEBORGS LÄN</t>
        </is>
      </c>
      <c r="G963" t="inlineStr">
        <is>
          <t>GÄVLE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21365-2026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46147</v>
      </c>
      <c r="E964" s="1" t="n">
        <v>46304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26016-2026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46181</v>
      </c>
      <c r="E965" s="1" t="n">
        <v>46304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38051-2026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46280</v>
      </c>
      <c r="E966" s="1" t="n">
        <v>46304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41544-2026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46301</v>
      </c>
      <c r="E967" s="1" t="n">
        <v>46304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46255</v>
      </c>
      <c r="E968" s="1" t="n">
        <v>46304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34593-2026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46255</v>
      </c>
      <c r="E969" s="1" t="n">
        <v>46304</v>
      </c>
      <c r="F969" t="inlineStr">
        <is>
          <t>GÄVLEBORGS LÄN</t>
        </is>
      </c>
      <c r="G969" t="inlineStr">
        <is>
          <t>GÄVLE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11572-2026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46084</v>
      </c>
      <c r="E970" s="1" t="n">
        <v>46304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13475-2026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46304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18217-2024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45420</v>
      </c>
      <c r="E972" s="1" t="n">
        <v>46304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väst AB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35387-2026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46261</v>
      </c>
      <c r="E973" s="1" t="n">
        <v>46304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35388-2026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46261</v>
      </c>
      <c r="E974" s="1" t="n">
        <v>46304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46261</v>
      </c>
      <c r="E975" s="1" t="n">
        <v>46304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5.2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14553-2026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46100</v>
      </c>
      <c r="E976" s="1" t="n">
        <v>46304</v>
      </c>
      <c r="F976" t="inlineStr">
        <is>
          <t>GÄVLEBORGS LÄN</t>
        </is>
      </c>
      <c r="G976" t="inlineStr">
        <is>
          <t>GÄVLE</t>
        </is>
      </c>
      <c r="H976" t="inlineStr">
        <is>
          <t>Övriga statliga verk och myndigheter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13046-2026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46093</v>
      </c>
      <c r="E977" s="1" t="n">
        <v>46304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26094-2025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45805</v>
      </c>
      <c r="E978" s="1" t="n">
        <v>46304</v>
      </c>
      <c r="F978" t="inlineStr">
        <is>
          <t>GÄVLEBORGS LÄN</t>
        </is>
      </c>
      <c r="G978" t="inlineStr">
        <is>
          <t>GÄVLE</t>
        </is>
      </c>
      <c r="I978" t="n">
        <v>12.4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40790-2026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46296</v>
      </c>
      <c r="E979" s="1" t="n">
        <v>46304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35302-2026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46304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4.4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35120-2026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46260</v>
      </c>
      <c r="E981" s="1" t="n">
        <v>46304</v>
      </c>
      <c r="F981" t="inlineStr">
        <is>
          <t>GÄVLEBORGS LÄN</t>
        </is>
      </c>
      <c r="G981" t="inlineStr">
        <is>
          <t>GÄVLE</t>
        </is>
      </c>
      <c r="I981" t="n">
        <v>5.6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S 3425-2023</t>
        </is>
      </c>
      <c r="B982" t="inlineStr">
        <is>
          <t>samrådsanmälan</t>
        </is>
      </c>
      <c r="C982" t="inlineStr">
        <is>
          <t>Annan skogsbruksåtgärd</t>
        </is>
      </c>
      <c r="D982" s="1" t="n">
        <v>45205</v>
      </c>
      <c r="E982" s="1" t="n">
        <v>46304</v>
      </c>
      <c r="F982" t="inlineStr">
        <is>
          <t>GÄVLEBORGS LÄN</t>
        </is>
      </c>
      <c r="G982" t="inlineStr">
        <is>
          <t>GÄVLE</t>
        </is>
      </c>
      <c r="I982" t="n">
        <v>0.2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  <c r="Z982">
        <f>HYPERLINK("https://klasma.github.io/Logging_2180/knärot/S 3425-2023 karta knärot.png", "S 3425-2023")</f>
        <v/>
      </c>
      <c r="AA982">
        <f>HYPERLINK("https://klasma.github.io/Logging_2180/klagomål/S 3425-2023 FSC-klagomål.docx", "S 3425-2023")</f>
        <v/>
      </c>
      <c r="AB982">
        <f>HYPERLINK("https://klasma.github.io/Logging_2180/klagomålsmail/S 3425-2023 FSC-klagomål mail.docx", "S 3425-2023")</f>
        <v/>
      </c>
      <c r="AC982">
        <f>HYPERLINK("https://klasma.github.io/Logging_2180/tillsyn/S 3425-2023 tillsynsbegäran.docx", "S 3425-2023")</f>
        <v/>
      </c>
      <c r="AD982">
        <f>HYPERLINK("https://klasma.github.io/Logging_2180/tillsynsmail/S 3425-2023 tillsynsbegäran mail.docx", "S 3425-2023")</f>
        <v/>
      </c>
    </row>
    <row r="983" ht="15" customHeight="1">
      <c r="A983" t="inlineStr">
        <is>
          <t>S 889-2023</t>
        </is>
      </c>
      <c r="B983" t="inlineStr">
        <is>
          <t>samrådsanmälan</t>
        </is>
      </c>
      <c r="C983" t="inlineStr">
        <is>
          <t>Skogsgödsling</t>
        </is>
      </c>
      <c r="D983" s="1" t="n">
        <v>44995</v>
      </c>
      <c r="E983" s="1" t="n">
        <v>46304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S 886-2024</t>
        </is>
      </c>
      <c r="B984" t="inlineStr">
        <is>
          <t>samrådsanmälan</t>
        </is>
      </c>
      <c r="C984" t="inlineStr">
        <is>
          <t>Annan skogsbruksåtgärd</t>
        </is>
      </c>
      <c r="D984" s="1" t="n">
        <v>45376</v>
      </c>
      <c r="E984" s="1" t="n">
        <v>46304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2464-2024</t>
        </is>
      </c>
      <c r="B985" t="inlineStr">
        <is>
          <t>samrådsanmälan</t>
        </is>
      </c>
      <c r="C985" t="inlineStr">
        <is>
          <t>Skogsbilväg</t>
        </is>
      </c>
      <c r="D985" s="1" t="n">
        <v>45470</v>
      </c>
      <c r="E985" s="1" t="n">
        <v>46304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>
      <c r="A986" t="inlineStr">
        <is>
          <t>S 644-2026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46089</v>
      </c>
      <c r="E986" s="1" t="n">
        <v>46304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29.2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2026-10-09T02:07:34Z</dcterms:created>
  <dcterms:modified xmlns:dcterms="http://purl.org/dc/terms/" xmlns:xsi="http://www.w3.org/2001/XMLSchema-instance" xsi:type="dcterms:W3CDTF">2026-10-09T02:07:35Z</dcterms:modified>
</cp:coreProperties>
</file>