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46302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46302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46302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46302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46302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46302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46302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46302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46302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46302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46302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46302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46302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46302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46302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46302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38344-2026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46302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3.9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38344-2026 artfynd.xlsx", "A 38344-2026")</f>
        <v/>
      </c>
      <c r="X31">
        <f>HYPERLINK("https://klasma.github.io/Logging_2180/kartor/A 38344-2026 karta.png", "A 38344-2026")</f>
        <v/>
      </c>
      <c r="Y31">
        <f>HYPERLINK("https://klasma.github.io/Logging_2180/kartor_geotiff/A 38344-2026 georefererad karta.tif", "A 38344-2026")</f>
        <v/>
      </c>
      <c r="AA31">
        <f>HYPERLINK("https://klasma.github.io/Logging_2180/klagomål/A 38344-2026 FSC-klagomål.docx", "A 38344-2026")</f>
        <v/>
      </c>
      <c r="AB31">
        <f>HYPERLINK("https://klasma.github.io/Logging_2180/klagomålsmail/A 38344-2026 FSC-klagomål mail.docx", "A 38344-2026")</f>
        <v/>
      </c>
      <c r="AC31">
        <f>HYPERLINK("https://klasma.github.io/Logging_2180/tillsyn/A 38344-2026 tillsynsbegäran.docx", "A 38344-2026")</f>
        <v/>
      </c>
      <c r="AD31">
        <f>HYPERLINK("https://klasma.github.io/Logging_2180/tillsynsmail/A 38344-2026 tillsynsbegäran mail.docx", "A 38344-2026")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46302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46302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46302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46302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46302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46302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15757-2026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46302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5.8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Älg
Spillkråka
Tjäder</t>
        </is>
      </c>
      <c r="W40">
        <f>HYPERLINK("https://klasma.github.io/Logging_2180/artfynd/A 15757-2026 artfynd.xlsx", "A 15757-2026")</f>
        <v/>
      </c>
      <c r="X40">
        <f>HYPERLINK("https://klasma.github.io/Logging_2180/kartor/A 15757-2026 karta.png", "A 15757-2026")</f>
        <v/>
      </c>
      <c r="Y40">
        <f>HYPERLINK("https://klasma.github.io/Logging_2180/kartor_geotiff/A 15757-2026 georefererad karta.tif", "A 15757-2026")</f>
        <v/>
      </c>
      <c r="AA40">
        <f>HYPERLINK("https://klasma.github.io/Logging_2180/klagomål/A 15757-2026 FSC-klagomål.docx", "A 15757-2026")</f>
        <v/>
      </c>
      <c r="AB40">
        <f>HYPERLINK("https://klasma.github.io/Logging_2180/klagomålsmail/A 15757-2026 FSC-klagomål mail.docx", "A 15757-2026")</f>
        <v/>
      </c>
      <c r="AC40">
        <f>HYPERLINK("https://klasma.github.io/Logging_2180/tillsyn/A 15757-2026 tillsynsbegäran.docx", "A 15757-2026")</f>
        <v/>
      </c>
      <c r="AD40">
        <f>HYPERLINK("https://klasma.github.io/Logging_2180/tillsynsmail/A 15757-2026 tillsynsbegäran mail.docx", "A 15757-2026")</f>
        <v/>
      </c>
      <c r="AE40">
        <f>HYPERLINK("https://klasma.github.io/Logging_2180/fåglar/A 15757-2026 prioriterade fågelarter.docx", "A 15757-2026")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46302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37764-2026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46302</v>
      </c>
      <c r="F42" t="inlineStr">
        <is>
          <t>GÄVLEBORGS LÄN</t>
        </is>
      </c>
      <c r="G42" t="inlineStr">
        <is>
          <t>GÄVLE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Vårärt
Blåsippa
Gullviva</t>
        </is>
      </c>
      <c r="W42">
        <f>HYPERLINK("https://klasma.github.io/Logging_2180/artfynd/A 37764-2026 artfynd.xlsx", "A 37764-2026")</f>
        <v/>
      </c>
      <c r="X42">
        <f>HYPERLINK("https://klasma.github.io/Logging_2180/kartor/A 37764-2026 karta.png", "A 37764-2026")</f>
        <v/>
      </c>
      <c r="Y42">
        <f>HYPERLINK("https://klasma.github.io/Logging_2180/kartor_geotiff/A 37764-2026 georefererad karta.tif", "A 37764-2026")</f>
        <v/>
      </c>
      <c r="AA42">
        <f>HYPERLINK("https://klasma.github.io/Logging_2180/klagomål/A 37764-2026 FSC-klagomål.docx", "A 37764-2026")</f>
        <v/>
      </c>
      <c r="AB42">
        <f>HYPERLINK("https://klasma.github.io/Logging_2180/klagomålsmail/A 37764-2026 FSC-klagomål mail.docx", "A 37764-2026")</f>
        <v/>
      </c>
      <c r="AC42">
        <f>HYPERLINK("https://klasma.github.io/Logging_2180/tillsyn/A 37764-2026 tillsynsbegäran.docx", "A 37764-2026")</f>
        <v/>
      </c>
      <c r="AD42">
        <f>HYPERLINK("https://klasma.github.io/Logging_2180/tillsynsmail/A 37764-2026 tillsynsbegäran mail.docx", "A 37764-2026")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46302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46302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46302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46302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46302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46302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46302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46302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46302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46302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46302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46302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32328-2024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46302</v>
      </c>
      <c r="F55" t="inlineStr">
        <is>
          <t>GÄVLEBORGS LÄN</t>
        </is>
      </c>
      <c r="G55" t="inlineStr">
        <is>
          <t>GÄVLE</t>
        </is>
      </c>
      <c r="I55" t="n">
        <v>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Spillkråka
Orre</t>
        </is>
      </c>
      <c r="W55">
        <f>HYPERLINK("https://klasma.github.io/Logging_2180/artfynd/A 32328-2024 artfynd.xlsx", "A 32328-2024")</f>
        <v/>
      </c>
      <c r="X55">
        <f>HYPERLINK("https://klasma.github.io/Logging_2180/kartor/A 32328-2024 karta.png", "A 32328-2024")</f>
        <v/>
      </c>
      <c r="Y55">
        <f>HYPERLINK("https://klasma.github.io/Logging_2180/kartor_geotiff/A 32328-2024 georefererad karta.tif", "A 32328-2024")</f>
        <v/>
      </c>
      <c r="AA55">
        <f>HYPERLINK("https://klasma.github.io/Logging_2180/klagomål/A 32328-2024 FSC-klagomål.docx", "A 32328-2024")</f>
        <v/>
      </c>
      <c r="AB55">
        <f>HYPERLINK("https://klasma.github.io/Logging_2180/klagomålsmail/A 32328-2024 FSC-klagomål mail.docx", "A 32328-2024")</f>
        <v/>
      </c>
      <c r="AC55">
        <f>HYPERLINK("https://klasma.github.io/Logging_2180/tillsyn/A 32328-2024 tillsynsbegäran.docx", "A 32328-2024")</f>
        <v/>
      </c>
      <c r="AD55">
        <f>HYPERLINK("https://klasma.github.io/Logging_2180/tillsynsmail/A 32328-2024 tillsynsbegäran mail.docx", "A 32328-2024")</f>
        <v/>
      </c>
      <c r="AE55">
        <f>HYPERLINK("https://klasma.github.io/Logging_2180/fåglar/A 32328-2024 prioriterade fågelarter.docx", "A 32328-2024")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46302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46302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46302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46302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46302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46302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46302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46302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22149-2026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46302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Vedtrappmossa
Rödgul trumpetsvamp</t>
        </is>
      </c>
      <c r="W64">
        <f>HYPERLINK("https://klasma.github.io/Logging_2180/artfynd/A 22149-2026 artfynd.xlsx", "A 22149-2026")</f>
        <v/>
      </c>
      <c r="X64">
        <f>HYPERLINK("https://klasma.github.io/Logging_2180/kartor/A 22149-2026 karta.png", "A 22149-2026")</f>
        <v/>
      </c>
      <c r="Y64">
        <f>HYPERLINK("https://klasma.github.io/Logging_2180/kartor_geotiff/A 22149-2026 georefererad karta.tif", "A 22149-2026")</f>
        <v/>
      </c>
      <c r="AA64">
        <f>HYPERLINK("https://klasma.github.io/Logging_2180/klagomål/A 22149-2026 FSC-klagomål.docx", "A 22149-2026")</f>
        <v/>
      </c>
      <c r="AB64">
        <f>HYPERLINK("https://klasma.github.io/Logging_2180/klagomålsmail/A 22149-2026 FSC-klagomål mail.docx", "A 22149-2026")</f>
        <v/>
      </c>
      <c r="AC64">
        <f>HYPERLINK("https://klasma.github.io/Logging_2180/tillsyn/A 22149-2026 tillsynsbegäran.docx", "A 22149-2026")</f>
        <v/>
      </c>
      <c r="AD64">
        <f>HYPERLINK("https://klasma.github.io/Logging_2180/tillsynsmail/A 22149-2026 tillsynsbegäran mail.docx", "A 22149-2026")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46302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18218-2024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46302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13.1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Blåsippa
Havsörn</t>
        </is>
      </c>
      <c r="W66">
        <f>HYPERLINK("https://klasma.github.io/Logging_2180/artfynd/A 18218-2024 artfynd.xlsx", "A 18218-2024")</f>
        <v/>
      </c>
      <c r="X66">
        <f>HYPERLINK("https://klasma.github.io/Logging_2180/kartor/A 18218-2024 karta.png", "A 18218-2024")</f>
        <v/>
      </c>
      <c r="Y66">
        <f>HYPERLINK("https://klasma.github.io/Logging_2180/kartor_geotiff/A 18218-2024 georefererad karta.tif", "A 18218-2024")</f>
        <v/>
      </c>
      <c r="AA66">
        <f>HYPERLINK("https://klasma.github.io/Logging_2180/klagomål/A 18218-2024 FSC-klagomål.docx", "A 18218-2024")</f>
        <v/>
      </c>
      <c r="AB66">
        <f>HYPERLINK("https://klasma.github.io/Logging_2180/klagomålsmail/A 18218-2024 FSC-klagomål mail.docx", "A 18218-2024")</f>
        <v/>
      </c>
      <c r="AC66">
        <f>HYPERLINK("https://klasma.github.io/Logging_2180/tillsyn/A 18218-2024 tillsynsbegäran.docx", "A 18218-2024")</f>
        <v/>
      </c>
      <c r="AD66">
        <f>HYPERLINK("https://klasma.github.io/Logging_2180/tillsynsmail/A 18218-2024 tillsynsbegäran mail.docx", "A 18218-2024")</f>
        <v/>
      </c>
      <c r="AE66">
        <f>HYPERLINK("https://klasma.github.io/Logging_2180/fåglar/A 18218-2024 prioriterade fågelarter.docx", "A 18218-2024")</f>
        <v/>
      </c>
    </row>
    <row r="67" ht="15" customHeight="1">
      <c r="A67" t="inlineStr">
        <is>
          <t>A 64533-2023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46302</v>
      </c>
      <c r="F67" t="inlineStr">
        <is>
          <t>GÄVLEBORGS LÄN</t>
        </is>
      </c>
      <c r="G67" t="inlineStr">
        <is>
          <t>GÄVLE</t>
        </is>
      </c>
      <c r="I67" t="n">
        <v>1.1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Aspvedgnagare
Jättesvampmal</t>
        </is>
      </c>
      <c r="W67">
        <f>HYPERLINK("https://klasma.github.io/Logging_2180/artfynd/A 64533-2023 artfynd.xlsx", "A 64533-2023")</f>
        <v/>
      </c>
      <c r="X67">
        <f>HYPERLINK("https://klasma.github.io/Logging_2180/kartor/A 64533-2023 karta.png", "A 64533-2023")</f>
        <v/>
      </c>
      <c r="Y67">
        <f>HYPERLINK("https://klasma.github.io/Logging_2180/kartor_geotiff/A 64533-2023 georefererad karta.tif", "A 64533-2023")</f>
        <v/>
      </c>
      <c r="AA67">
        <f>HYPERLINK("https://klasma.github.io/Logging_2180/klagomål/A 64533-2023 FSC-klagomål.docx", "A 64533-2023")</f>
        <v/>
      </c>
      <c r="AB67">
        <f>HYPERLINK("https://klasma.github.io/Logging_2180/klagomålsmail/A 64533-2023 FSC-klagomål mail.docx", "A 64533-2023")</f>
        <v/>
      </c>
      <c r="AC67">
        <f>HYPERLINK("https://klasma.github.io/Logging_2180/tillsyn/A 64533-2023 tillsynsbegäran.docx", "A 64533-2023")</f>
        <v/>
      </c>
      <c r="AD67">
        <f>HYPERLINK("https://klasma.github.io/Logging_2180/tillsynsmail/A 64533-2023 tillsynsbegäran mail.docx", "A 64533-2023")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46302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46302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Brunag
Strandlummer</t>
        </is>
      </c>
      <c r="W69">
        <f>HYPERLINK("https://klasma.github.io/Logging_2180/artfynd/A 29634-2026 artfynd.xlsx", "A 29634-2026")</f>
        <v/>
      </c>
      <c r="X69">
        <f>HYPERLINK("https://klasma.github.io/Logging_2180/kartor/A 29634-2026 karta.png", "A 29634-2026")</f>
        <v/>
      </c>
      <c r="Y69">
        <f>HYPERLINK("https://klasma.github.io/Logging_2180/kartor_geotiff/A 29634-2026 georefererad karta.tif", "A 29634-2026")</f>
        <v/>
      </c>
      <c r="AA69">
        <f>HYPERLINK("https://klasma.github.io/Logging_2180/klagomål/A 29634-2026 FSC-klagomål.docx", "A 29634-2026")</f>
        <v/>
      </c>
      <c r="AB69">
        <f>HYPERLINK("https://klasma.github.io/Logging_2180/klagomålsmail/A 29634-2026 FSC-klagomål mail.docx", "A 29634-2026")</f>
        <v/>
      </c>
      <c r="AC69">
        <f>HYPERLINK("https://klasma.github.io/Logging_2180/tillsyn/A 29634-2026 tillsynsbegäran.docx", "A 29634-2026")</f>
        <v/>
      </c>
      <c r="AD69">
        <f>HYPERLINK("https://klasma.github.io/Logging_2180/tillsynsmail/A 29634-2026 tillsynsbegäran mail.docx", "A 29634-2026")</f>
        <v/>
      </c>
    </row>
    <row r="70" ht="15" customHeight="1">
      <c r="A70" t="inlineStr">
        <is>
          <t>A 6473-2024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46302</v>
      </c>
      <c r="F70" t="inlineStr">
        <is>
          <t>GÄVLEBORGS LÄN</t>
        </is>
      </c>
      <c r="G70" t="inlineStr">
        <is>
          <t>GÄVLE</t>
        </is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Tibast
Nattviol</t>
        </is>
      </c>
      <c r="W70">
        <f>HYPERLINK("https://klasma.github.io/Logging_2180/artfynd/A 6473-2024 artfynd.xlsx", "A 6473-2024")</f>
        <v/>
      </c>
      <c r="X70">
        <f>HYPERLINK("https://klasma.github.io/Logging_2180/kartor/A 6473-2024 karta.png", "A 6473-2024")</f>
        <v/>
      </c>
      <c r="Y70">
        <f>HYPERLINK("https://klasma.github.io/Logging_2180/kartor_geotiff/A 6473-2024 georefererad karta.tif", "A 6473-2024")</f>
        <v/>
      </c>
      <c r="AA70">
        <f>HYPERLINK("https://klasma.github.io/Logging_2180/klagomål/A 6473-2024 FSC-klagomål.docx", "A 6473-2024")</f>
        <v/>
      </c>
      <c r="AB70">
        <f>HYPERLINK("https://klasma.github.io/Logging_2180/klagomålsmail/A 6473-2024 FSC-klagomål mail.docx", "A 6473-2024")</f>
        <v/>
      </c>
      <c r="AC70">
        <f>HYPERLINK("https://klasma.github.io/Logging_2180/tillsyn/A 6473-2024 tillsynsbegäran.docx", "A 6473-2024")</f>
        <v/>
      </c>
      <c r="AD70">
        <f>HYPERLINK("https://klasma.github.io/Logging_2180/tillsynsmail/A 6473-2024 tillsynsbegäran mail.docx", "A 6473-2024")</f>
        <v/>
      </c>
    </row>
    <row r="71" ht="15" customHeight="1">
      <c r="A71" t="inlineStr">
        <is>
          <t>A 38046-2026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4.3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Garnlav
Knärot</t>
        </is>
      </c>
      <c r="W71">
        <f>HYPERLINK("https://klasma.github.io/Logging_2180/artfynd/A 38046-2026 artfynd.xlsx", "A 38046-2026")</f>
        <v/>
      </c>
      <c r="X71">
        <f>HYPERLINK("https://klasma.github.io/Logging_2180/kartor/A 38046-2026 karta.png", "A 38046-2026")</f>
        <v/>
      </c>
      <c r="Y71">
        <f>HYPERLINK("https://klasma.github.io/Logging_2180/kartor_geotiff/A 38046-2026 georefererad karta.tif", "A 38046-2026")</f>
        <v/>
      </c>
      <c r="Z71">
        <f>HYPERLINK("https://klasma.github.io/Logging_2180/knärot/A 38046-2026 karta knärot.png", "A 38046-2026")</f>
        <v/>
      </c>
      <c r="AA71">
        <f>HYPERLINK("https://klasma.github.io/Logging_2180/klagomål/A 38046-2026 FSC-klagomål.docx", "A 38046-2026")</f>
        <v/>
      </c>
      <c r="AB71">
        <f>HYPERLINK("https://klasma.github.io/Logging_2180/klagomålsmail/A 38046-2026 FSC-klagomål mail.docx", "A 38046-2026")</f>
        <v/>
      </c>
      <c r="AC71">
        <f>HYPERLINK("https://klasma.github.io/Logging_2180/tillsyn/A 38046-2026 tillsynsbegäran.docx", "A 38046-2026")</f>
        <v/>
      </c>
      <c r="AD71">
        <f>HYPERLINK("https://klasma.github.io/Logging_2180/tillsynsmail/A 38046-2026 tillsynsbegäran mail.docx", "A 38046-2026")</f>
        <v/>
      </c>
    </row>
    <row r="72" ht="15" customHeight="1">
      <c r="A72" t="inlineStr">
        <is>
          <t>A 34434-2026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46302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Grönsångare
Vätteros</t>
        </is>
      </c>
      <c r="W72">
        <f>HYPERLINK("https://klasma.github.io/Logging_2180/artfynd/A 34434-2026 artfynd.xlsx", "A 34434-2026")</f>
        <v/>
      </c>
      <c r="X72">
        <f>HYPERLINK("https://klasma.github.io/Logging_2180/kartor/A 34434-2026 karta.png", "A 34434-2026")</f>
        <v/>
      </c>
      <c r="Y72">
        <f>HYPERLINK("https://klasma.github.io/Logging_2180/kartor_geotiff/A 34434-2026 georefererad karta.tif", "A 34434-2026")</f>
        <v/>
      </c>
      <c r="AA72">
        <f>HYPERLINK("https://klasma.github.io/Logging_2180/klagomål/A 34434-2026 FSC-klagomål.docx", "A 34434-2026")</f>
        <v/>
      </c>
      <c r="AB72">
        <f>HYPERLINK("https://klasma.github.io/Logging_2180/klagomålsmail/A 34434-2026 FSC-klagomål mail.docx", "A 34434-2026")</f>
        <v/>
      </c>
      <c r="AC72">
        <f>HYPERLINK("https://klasma.github.io/Logging_2180/tillsyn/A 34434-2026 tillsynsbegäran.docx", "A 34434-2026")</f>
        <v/>
      </c>
      <c r="AD72">
        <f>HYPERLINK("https://klasma.github.io/Logging_2180/tillsynsmail/A 34434-2026 tillsynsbegäran mail.docx", "A 34434-2026")</f>
        <v/>
      </c>
      <c r="AE72">
        <f>HYPERLINK("https://klasma.github.io/Logging_2180/fåglar/A 34434-2026 prioriterade fågelarter.docx", "A 34434-2026")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46302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46302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46302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46302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46302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46302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46302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46302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46302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46302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46302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46302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46302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46302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46302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46302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50052-2025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46302</v>
      </c>
      <c r="F90" t="inlineStr">
        <is>
          <t>GÄVLEBORGS LÄN</t>
        </is>
      </c>
      <c r="G90" t="inlineStr">
        <is>
          <t>GÄVLE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Mosippa</t>
        </is>
      </c>
      <c r="W90">
        <f>HYPERLINK("https://klasma.github.io/Logging_2180/artfynd/A 50052-2025 artfynd.xlsx", "A 50052-2025")</f>
        <v/>
      </c>
      <c r="X90">
        <f>HYPERLINK("https://klasma.github.io/Logging_2180/kartor/A 50052-2025 karta.png", "A 50052-2025")</f>
        <v/>
      </c>
      <c r="Y90">
        <f>HYPERLINK("https://klasma.github.io/Logging_2180/kartor_geotiff/A 50052-2025 georefererad karta.tif", "A 50052-2025")</f>
        <v/>
      </c>
      <c r="AA90">
        <f>HYPERLINK("https://klasma.github.io/Logging_2180/klagomål/A 50052-2025 FSC-klagomål.docx", "A 50052-2025")</f>
        <v/>
      </c>
      <c r="AB90">
        <f>HYPERLINK("https://klasma.github.io/Logging_2180/klagomålsmail/A 50052-2025 FSC-klagomål mail.docx", "A 50052-2025")</f>
        <v/>
      </c>
      <c r="AC90">
        <f>HYPERLINK("https://klasma.github.io/Logging_2180/tillsyn/A 50052-2025 tillsynsbegäran.docx", "A 50052-2025")</f>
        <v/>
      </c>
      <c r="AD90">
        <f>HYPERLINK("https://klasma.github.io/Logging_2180/tillsynsmail/A 50052-2025 tillsynsbegäran mail.docx", "A 50052-2025")</f>
        <v/>
      </c>
    </row>
    <row r="91" ht="15" customHeight="1">
      <c r="A91" t="inlineStr">
        <is>
          <t>A 45241-2022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46302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22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45241-2022 artfynd.xlsx", "A 45241-2022")</f>
        <v/>
      </c>
      <c r="X91">
        <f>HYPERLINK("https://klasma.github.io/Logging_2180/kartor/A 45241-2022 karta.png", "A 45241-2022")</f>
        <v/>
      </c>
      <c r="Y91">
        <f>HYPERLINK("https://klasma.github.io/Logging_2180/kartor_geotiff/A 45241-2022 georefererad karta.tif", "A 45241-2022")</f>
        <v/>
      </c>
      <c r="AA91">
        <f>HYPERLINK("https://klasma.github.io/Logging_2180/klagomål/A 45241-2022 FSC-klagomål.docx", "A 45241-2022")</f>
        <v/>
      </c>
      <c r="AB91">
        <f>HYPERLINK("https://klasma.github.io/Logging_2180/klagomålsmail/A 45241-2022 FSC-klagomål mail.docx", "A 45241-2022")</f>
        <v/>
      </c>
      <c r="AC91">
        <f>HYPERLINK("https://klasma.github.io/Logging_2180/tillsyn/A 45241-2022 tillsynsbegäran.docx", "A 45241-2022")</f>
        <v/>
      </c>
      <c r="AD91">
        <f>HYPERLINK("https://klasma.github.io/Logging_2180/tillsynsmail/A 45241-2022 tillsynsbegäran mail.docx", "A 45241-2022")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46302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13684-2026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46302</v>
      </c>
      <c r="F93" t="inlineStr">
        <is>
          <t>GÄVLEBORGS LÄN</t>
        </is>
      </c>
      <c r="G93" t="inlineStr">
        <is>
          <t>GÄVLE</t>
        </is>
      </c>
      <c r="I93" t="n">
        <v>21.3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Igelkott</t>
        </is>
      </c>
      <c r="W93">
        <f>HYPERLINK("https://klasma.github.io/Logging_2180/artfynd/A 13684-2026 artfynd.xlsx", "A 13684-2026")</f>
        <v/>
      </c>
      <c r="X93">
        <f>HYPERLINK("https://klasma.github.io/Logging_2180/kartor/A 13684-2026 karta.png", "A 13684-2026")</f>
        <v/>
      </c>
      <c r="Y93">
        <f>HYPERLINK("https://klasma.github.io/Logging_2180/kartor_geotiff/A 13684-2026 georefererad karta.tif", "A 13684-2026")</f>
        <v/>
      </c>
      <c r="AA93">
        <f>HYPERLINK("https://klasma.github.io/Logging_2180/klagomål/A 13684-2026 FSC-klagomål.docx", "A 13684-2026")</f>
        <v/>
      </c>
      <c r="AB93">
        <f>HYPERLINK("https://klasma.github.io/Logging_2180/klagomålsmail/A 13684-2026 FSC-klagomål mail.docx", "A 13684-2026")</f>
        <v/>
      </c>
      <c r="AC93">
        <f>HYPERLINK("https://klasma.github.io/Logging_2180/tillsyn/A 13684-2026 tillsynsbegäran.docx", "A 13684-2026")</f>
        <v/>
      </c>
      <c r="AD93">
        <f>HYPERLINK("https://klasma.github.io/Logging_2180/tillsynsmail/A 13684-2026 tillsynsbegäran mail.docx", "A 13684-2026")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46302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46302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11411-2025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46302</v>
      </c>
      <c r="F96" t="inlineStr">
        <is>
          <t>GÄVLEBORGS LÄN</t>
        </is>
      </c>
      <c r="G96" t="inlineStr">
        <is>
          <t>GÄVLE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11411-2025 artfynd.xlsx", "A 11411-2025")</f>
        <v/>
      </c>
      <c r="X96">
        <f>HYPERLINK("https://klasma.github.io/Logging_2180/kartor/A 11411-2025 karta.png", "A 11411-2025")</f>
        <v/>
      </c>
      <c r="Y96">
        <f>HYPERLINK("https://klasma.github.io/Logging_2180/kartor_geotiff/A 11411-2025 georefererad karta.tif", "A 11411-2025")</f>
        <v/>
      </c>
      <c r="AA96">
        <f>HYPERLINK("https://klasma.github.io/Logging_2180/klagomål/A 11411-2025 FSC-klagomål.docx", "A 11411-2025")</f>
        <v/>
      </c>
      <c r="AB96">
        <f>HYPERLINK("https://klasma.github.io/Logging_2180/klagomålsmail/A 11411-2025 FSC-klagomål mail.docx", "A 11411-2025")</f>
        <v/>
      </c>
      <c r="AC96">
        <f>HYPERLINK("https://klasma.github.io/Logging_2180/tillsyn/A 11411-2025 tillsynsbegäran.docx", "A 11411-2025")</f>
        <v/>
      </c>
      <c r="AD96">
        <f>HYPERLINK("https://klasma.github.io/Logging_2180/tillsynsmail/A 11411-2025 tillsynsbegäran mail.docx", "A 11411-2025")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46302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56123-2025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46302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10.5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Talltita</t>
        </is>
      </c>
      <c r="W98">
        <f>HYPERLINK("https://klasma.github.io/Logging_2180/artfynd/A 56123-2025 artfynd.xlsx", "A 56123-2025")</f>
        <v/>
      </c>
      <c r="X98">
        <f>HYPERLINK("https://klasma.github.io/Logging_2180/kartor/A 56123-2025 karta.png", "A 56123-2025")</f>
        <v/>
      </c>
      <c r="Y98">
        <f>HYPERLINK("https://klasma.github.io/Logging_2180/kartor_geotiff/A 56123-2025 georefererad karta.tif", "A 56123-2025")</f>
        <v/>
      </c>
      <c r="AA98">
        <f>HYPERLINK("https://klasma.github.io/Logging_2180/klagomål/A 56123-2025 FSC-klagomål.docx", "A 56123-2025")</f>
        <v/>
      </c>
      <c r="AB98">
        <f>HYPERLINK("https://klasma.github.io/Logging_2180/klagomålsmail/A 56123-2025 FSC-klagomål mail.docx", "A 56123-2025")</f>
        <v/>
      </c>
      <c r="AC98">
        <f>HYPERLINK("https://klasma.github.io/Logging_2180/tillsyn/A 56123-2025 tillsynsbegäran.docx", "A 56123-2025")</f>
        <v/>
      </c>
      <c r="AD98">
        <f>HYPERLINK("https://klasma.github.io/Logging_2180/tillsynsmail/A 56123-2025 tillsynsbegäran mail.docx", "A 56123-2025")</f>
        <v/>
      </c>
      <c r="AE98">
        <f>HYPERLINK("https://klasma.github.io/Logging_2180/fåglar/A 56123-2025 prioriterade fågelarter.docx", "A 56123-2025")</f>
        <v/>
      </c>
    </row>
    <row r="99" ht="15" customHeight="1">
      <c r="A99" t="inlineStr">
        <is>
          <t>A 13396-2026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46302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13396-2026 artfynd.xlsx", "A 13396-2026")</f>
        <v/>
      </c>
      <c r="X99">
        <f>HYPERLINK("https://klasma.github.io/Logging_2180/kartor/A 13396-2026 karta.png", "A 13396-2026")</f>
        <v/>
      </c>
      <c r="Y99">
        <f>HYPERLINK("https://klasma.github.io/Logging_2180/kartor_geotiff/A 13396-2026 georefererad karta.tif", "A 13396-2026")</f>
        <v/>
      </c>
      <c r="AA99">
        <f>HYPERLINK("https://klasma.github.io/Logging_2180/klagomål/A 13396-2026 FSC-klagomål.docx", "A 13396-2026")</f>
        <v/>
      </c>
      <c r="AB99">
        <f>HYPERLINK("https://klasma.github.io/Logging_2180/klagomålsmail/A 13396-2026 FSC-klagomål mail.docx", "A 13396-2026")</f>
        <v/>
      </c>
      <c r="AC99">
        <f>HYPERLINK("https://klasma.github.io/Logging_2180/tillsyn/A 13396-2026 tillsynsbegäran.docx", "A 13396-2026")</f>
        <v/>
      </c>
      <c r="AD99">
        <f>HYPERLINK("https://klasma.github.io/Logging_2180/tillsynsmail/A 13396-2026 tillsynsbegäran mail.docx", "A 13396-2026")</f>
        <v/>
      </c>
    </row>
    <row r="100" ht="15" customHeight="1">
      <c r="A100" t="inlineStr">
        <is>
          <t>A 14730-2026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46302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8.199999999999999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HYPERLINK("https://klasma.github.io/Logging_2180/artfynd/A 14730-2026 artfynd.xlsx", "A 14730-2026")</f>
        <v/>
      </c>
      <c r="X100">
        <f>HYPERLINK("https://klasma.github.io/Logging_2180/kartor/A 14730-2026 karta.png", "A 14730-2026")</f>
        <v/>
      </c>
      <c r="Y100">
        <f>HYPERLINK("https://klasma.github.io/Logging_2180/kartor_geotiff/A 14730-2026 georefererad karta.tif", "A 14730-2026")</f>
        <v/>
      </c>
      <c r="AA100">
        <f>HYPERLINK("https://klasma.github.io/Logging_2180/klagomål/A 14730-2026 FSC-klagomål.docx", "A 14730-2026")</f>
        <v/>
      </c>
      <c r="AB100">
        <f>HYPERLINK("https://klasma.github.io/Logging_2180/klagomålsmail/A 14730-2026 FSC-klagomål mail.docx", "A 14730-2026")</f>
        <v/>
      </c>
      <c r="AC100">
        <f>HYPERLINK("https://klasma.github.io/Logging_2180/tillsyn/A 14730-2026 tillsynsbegäran.docx", "A 14730-2026")</f>
        <v/>
      </c>
      <c r="AD100">
        <f>HYPERLINK("https://klasma.github.io/Logging_2180/tillsynsmail/A 14730-2026 tillsynsbegäran mail.docx", "A 14730-2026")</f>
        <v/>
      </c>
      <c r="AE100">
        <f>HYPERLINK("https://klasma.github.io/Logging_2180/fåglar/A 14730-2026 prioriterade fågelarter.docx", "A 14730-2026")</f>
        <v/>
      </c>
    </row>
    <row r="101" ht="15" customHeight="1">
      <c r="A101" t="inlineStr">
        <is>
          <t>A 58204-2025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45984</v>
      </c>
      <c r="E101" s="1" t="n">
        <v>46302</v>
      </c>
      <c r="F101" t="inlineStr">
        <is>
          <t>GÄVLEBORGS LÄN</t>
        </is>
      </c>
      <c r="G101" t="inlineStr">
        <is>
          <t>GÄVLE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HYPERLINK("https://klasma.github.io/Logging_2180/artfynd/A 58204-2025 artfynd.xlsx", "A 58204-2025")</f>
        <v/>
      </c>
      <c r="X101">
        <f>HYPERLINK("https://klasma.github.io/Logging_2180/kartor/A 58204-2025 karta.png", "A 58204-2025")</f>
        <v/>
      </c>
      <c r="Y101">
        <f>HYPERLINK("https://klasma.github.io/Logging_2180/kartor_geotiff/A 58204-2025 georefererad karta.tif", "A 58204-2025")</f>
        <v/>
      </c>
      <c r="AA101">
        <f>HYPERLINK("https://klasma.github.io/Logging_2180/klagomål/A 58204-2025 FSC-klagomål.docx", "A 58204-2025")</f>
        <v/>
      </c>
      <c r="AB101">
        <f>HYPERLINK("https://klasma.github.io/Logging_2180/klagomålsmail/A 58204-2025 FSC-klagomål mail.docx", "A 58204-2025")</f>
        <v/>
      </c>
      <c r="AC101">
        <f>HYPERLINK("https://klasma.github.io/Logging_2180/tillsyn/A 58204-2025 tillsynsbegäran.docx", "A 58204-2025")</f>
        <v/>
      </c>
      <c r="AD101">
        <f>HYPERLINK("https://klasma.github.io/Logging_2180/tillsynsmail/A 58204-2025 tillsynsbegäran mail.docx", "A 58204-2025")</f>
        <v/>
      </c>
      <c r="AE101">
        <f>HYPERLINK("https://klasma.github.io/Logging_2180/fåglar/A 58204-2025 prioriterade fågelarter.docx", "A 58204-2025")</f>
        <v/>
      </c>
    </row>
    <row r="102" ht="15" customHeight="1">
      <c r="A102" t="inlineStr">
        <is>
          <t>A 14714-2026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46302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Tjäder</t>
        </is>
      </c>
      <c r="W102">
        <f>HYPERLINK("https://klasma.github.io/Logging_2180/artfynd/A 14714-2026 artfynd.xlsx", "A 14714-2026")</f>
        <v/>
      </c>
      <c r="X102">
        <f>HYPERLINK("https://klasma.github.io/Logging_2180/kartor/A 14714-2026 karta.png", "A 14714-2026")</f>
        <v/>
      </c>
      <c r="Y102">
        <f>HYPERLINK("https://klasma.github.io/Logging_2180/kartor_geotiff/A 14714-2026 georefererad karta.tif", "A 14714-2026")</f>
        <v/>
      </c>
      <c r="AA102">
        <f>HYPERLINK("https://klasma.github.io/Logging_2180/klagomål/A 14714-2026 FSC-klagomål.docx", "A 14714-2026")</f>
        <v/>
      </c>
      <c r="AB102">
        <f>HYPERLINK("https://klasma.github.io/Logging_2180/klagomålsmail/A 14714-2026 FSC-klagomål mail.docx", "A 14714-2026")</f>
        <v/>
      </c>
      <c r="AC102">
        <f>HYPERLINK("https://klasma.github.io/Logging_2180/tillsyn/A 14714-2026 tillsynsbegäran.docx", "A 14714-2026")</f>
        <v/>
      </c>
      <c r="AD102">
        <f>HYPERLINK("https://klasma.github.io/Logging_2180/tillsynsmail/A 14714-2026 tillsynsbegäran mail.docx", "A 14714-2026")</f>
        <v/>
      </c>
      <c r="AE102">
        <f>HYPERLINK("https://klasma.github.io/Logging_2180/fåglar/A 14714-2026 prioriterade fågelarter.docx", "A 14714-2026")</f>
        <v/>
      </c>
    </row>
    <row r="103" ht="15" customHeight="1">
      <c r="A103" t="inlineStr">
        <is>
          <t>A 14711-2026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46302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Blanksvart spiklav</t>
        </is>
      </c>
      <c r="W103">
        <f>HYPERLINK("https://klasma.github.io/Logging_2180/artfynd/A 14711-2026 artfynd.xlsx", "A 14711-2026")</f>
        <v/>
      </c>
      <c r="X103">
        <f>HYPERLINK("https://klasma.github.io/Logging_2180/kartor/A 14711-2026 karta.png", "A 14711-2026")</f>
        <v/>
      </c>
      <c r="Y103">
        <f>HYPERLINK("https://klasma.github.io/Logging_2180/kartor_geotiff/A 14711-2026 georefererad karta.tif", "A 14711-2026")</f>
        <v/>
      </c>
      <c r="AA103">
        <f>HYPERLINK("https://klasma.github.io/Logging_2180/klagomål/A 14711-2026 FSC-klagomål.docx", "A 14711-2026")</f>
        <v/>
      </c>
      <c r="AB103">
        <f>HYPERLINK("https://klasma.github.io/Logging_2180/klagomålsmail/A 14711-2026 FSC-klagomål mail.docx", "A 14711-2026")</f>
        <v/>
      </c>
      <c r="AC103">
        <f>HYPERLINK("https://klasma.github.io/Logging_2180/tillsyn/A 14711-2026 tillsynsbegäran.docx", "A 14711-2026")</f>
        <v/>
      </c>
      <c r="AD103">
        <f>HYPERLINK("https://klasma.github.io/Logging_2180/tillsynsmail/A 14711-2026 tillsynsbegäran mail.docx", "A 14711-2026")</f>
        <v/>
      </c>
    </row>
    <row r="104" ht="15" customHeight="1">
      <c r="A104" t="inlineStr">
        <is>
          <t>A 10064-2025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46302</v>
      </c>
      <c r="F104" t="inlineStr">
        <is>
          <t>GÄVLEBORGS LÄN</t>
        </is>
      </c>
      <c r="G104" t="inlineStr">
        <is>
          <t>GÄVLE</t>
        </is>
      </c>
      <c r="I104" t="n">
        <v>4.6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HYPERLINK("https://klasma.github.io/Logging_2180/artfynd/A 10064-2025 artfynd.xlsx", "A 10064-2025")</f>
        <v/>
      </c>
      <c r="X104">
        <f>HYPERLINK("https://klasma.github.io/Logging_2180/kartor/A 10064-2025 karta.png", "A 10064-2025")</f>
        <v/>
      </c>
      <c r="Y104">
        <f>HYPERLINK("https://klasma.github.io/Logging_2180/kartor_geotiff/A 10064-2025 georefererad karta.tif", "A 10064-2025")</f>
        <v/>
      </c>
      <c r="AA104">
        <f>HYPERLINK("https://klasma.github.io/Logging_2180/klagomål/A 10064-2025 FSC-klagomål.docx", "A 10064-2025")</f>
        <v/>
      </c>
      <c r="AB104">
        <f>HYPERLINK("https://klasma.github.io/Logging_2180/klagomålsmail/A 10064-2025 FSC-klagomål mail.docx", "A 10064-2025")</f>
        <v/>
      </c>
      <c r="AC104">
        <f>HYPERLINK("https://klasma.github.io/Logging_2180/tillsyn/A 10064-2025 tillsynsbegäran.docx", "A 10064-2025")</f>
        <v/>
      </c>
      <c r="AD104">
        <f>HYPERLINK("https://klasma.github.io/Logging_2180/tillsynsmail/A 10064-2025 tillsynsbegäran mail.docx", "A 10064-2025")</f>
        <v/>
      </c>
    </row>
    <row r="105" ht="15" customHeight="1">
      <c r="A105" t="inlineStr">
        <is>
          <t>A 20734-2026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46302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HYPERLINK("https://klasma.github.io/Logging_2180/artfynd/A 20734-2026 artfynd.xlsx", "A 20734-2026")</f>
        <v/>
      </c>
      <c r="X105">
        <f>HYPERLINK("https://klasma.github.io/Logging_2180/kartor/A 20734-2026 karta.png", "A 20734-2026")</f>
        <v/>
      </c>
      <c r="Y105">
        <f>HYPERLINK("https://klasma.github.io/Logging_2180/kartor_geotiff/A 20734-2026 georefererad karta.tif", "A 20734-2026")</f>
        <v/>
      </c>
      <c r="AA105">
        <f>HYPERLINK("https://klasma.github.io/Logging_2180/klagomål/A 20734-2026 FSC-klagomål.docx", "A 20734-2026")</f>
        <v/>
      </c>
      <c r="AB105">
        <f>HYPERLINK("https://klasma.github.io/Logging_2180/klagomålsmail/A 20734-2026 FSC-klagomål mail.docx", "A 20734-2026")</f>
        <v/>
      </c>
      <c r="AC105">
        <f>HYPERLINK("https://klasma.github.io/Logging_2180/tillsyn/A 20734-2026 tillsynsbegäran.docx", "A 20734-2026")</f>
        <v/>
      </c>
      <c r="AD105">
        <f>HYPERLINK("https://klasma.github.io/Logging_2180/tillsynsmail/A 20734-2026 tillsynsbegäran mail.docx", "A 20734-2026")</f>
        <v/>
      </c>
    </row>
    <row r="106" ht="15" customHeight="1">
      <c r="A106" t="inlineStr">
        <is>
          <t>A 14703-2026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46302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14703-2026 artfynd.xlsx", "A 14703-2026")</f>
        <v/>
      </c>
      <c r="X106">
        <f>HYPERLINK("https://klasma.github.io/Logging_2180/kartor/A 14703-2026 karta.png", "A 14703-2026")</f>
        <v/>
      </c>
      <c r="Y106">
        <f>HYPERLINK("https://klasma.github.io/Logging_2180/kartor_geotiff/A 14703-2026 georefererad karta.tif", "A 14703-2026")</f>
        <v/>
      </c>
      <c r="AA106">
        <f>HYPERLINK("https://klasma.github.io/Logging_2180/klagomål/A 14703-2026 FSC-klagomål.docx", "A 14703-2026")</f>
        <v/>
      </c>
      <c r="AB106">
        <f>HYPERLINK("https://klasma.github.io/Logging_2180/klagomålsmail/A 14703-2026 FSC-klagomål mail.docx", "A 14703-2026")</f>
        <v/>
      </c>
      <c r="AC106">
        <f>HYPERLINK("https://klasma.github.io/Logging_2180/tillsyn/A 14703-2026 tillsynsbegäran.docx", "A 14703-2026")</f>
        <v/>
      </c>
      <c r="AD106">
        <f>HYPERLINK("https://klasma.github.io/Logging_2180/tillsynsmail/A 14703-2026 tillsynsbegäran mail.docx", "A 14703-2026")</f>
        <v/>
      </c>
      <c r="AE106">
        <f>HYPERLINK("https://klasma.github.io/Logging_2180/fåglar/A 14703-2026 prioriterade fågelarter.docx", "A 14703-2026")</f>
        <v/>
      </c>
    </row>
    <row r="107" ht="15" customHeight="1">
      <c r="A107" t="inlineStr">
        <is>
          <t>A 22052-2026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46302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Gullpudra</t>
        </is>
      </c>
      <c r="W107">
        <f>HYPERLINK("https://klasma.github.io/Logging_2180/artfynd/A 22052-2026 artfynd.xlsx", "A 22052-2026")</f>
        <v/>
      </c>
      <c r="X107">
        <f>HYPERLINK("https://klasma.github.io/Logging_2180/kartor/A 22052-2026 karta.png", "A 22052-2026")</f>
        <v/>
      </c>
      <c r="Y107">
        <f>HYPERLINK("https://klasma.github.io/Logging_2180/kartor_geotiff/A 22052-2026 georefererad karta.tif", "A 22052-2026")</f>
        <v/>
      </c>
      <c r="AA107">
        <f>HYPERLINK("https://klasma.github.io/Logging_2180/klagomål/A 22052-2026 FSC-klagomål.docx", "A 22052-2026")</f>
        <v/>
      </c>
      <c r="AB107">
        <f>HYPERLINK("https://klasma.github.io/Logging_2180/klagomålsmail/A 22052-2026 FSC-klagomål mail.docx", "A 22052-2026")</f>
        <v/>
      </c>
      <c r="AC107">
        <f>HYPERLINK("https://klasma.github.io/Logging_2180/tillsyn/A 22052-2026 tillsynsbegäran.docx", "A 22052-2026")</f>
        <v/>
      </c>
      <c r="AD107">
        <f>HYPERLINK("https://klasma.github.io/Logging_2180/tillsynsmail/A 22052-2026 tillsynsbegäran mail.docx", "A 22052-2026")</f>
        <v/>
      </c>
    </row>
    <row r="108" ht="15" customHeight="1">
      <c r="A108" t="inlineStr">
        <is>
          <t>A 22892-2026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46302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22892-2026 artfynd.xlsx", "A 22892-2026")</f>
        <v/>
      </c>
      <c r="X108">
        <f>HYPERLINK("https://klasma.github.io/Logging_2180/kartor/A 22892-2026 karta.png", "A 22892-2026")</f>
        <v/>
      </c>
      <c r="Y108">
        <f>HYPERLINK("https://klasma.github.io/Logging_2180/kartor_geotiff/A 22892-2026 georefererad karta.tif", "A 22892-2026")</f>
        <v/>
      </c>
      <c r="AA108">
        <f>HYPERLINK("https://klasma.github.io/Logging_2180/klagomål/A 22892-2026 FSC-klagomål.docx", "A 22892-2026")</f>
        <v/>
      </c>
      <c r="AB108">
        <f>HYPERLINK("https://klasma.github.io/Logging_2180/klagomålsmail/A 22892-2026 FSC-klagomål mail.docx", "A 22892-2026")</f>
        <v/>
      </c>
      <c r="AC108">
        <f>HYPERLINK("https://klasma.github.io/Logging_2180/tillsyn/A 22892-2026 tillsynsbegäran.docx", "A 22892-2026")</f>
        <v/>
      </c>
      <c r="AD108">
        <f>HYPERLINK("https://klasma.github.io/Logging_2180/tillsynsmail/A 22892-2026 tillsynsbegäran mail.docx", "A 22892-2026")</f>
        <v/>
      </c>
      <c r="AE108">
        <f>HYPERLINK("https://klasma.github.io/Logging_2180/fåglar/A 22892-2026 prioriterade fågelarter.docx", "A 22892-2026")</f>
        <v/>
      </c>
    </row>
    <row r="109" ht="15" customHeight="1">
      <c r="A109" t="inlineStr">
        <is>
          <t>A 27063-2026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46302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27063-2026 artfynd.xlsx", "A 27063-2026")</f>
        <v/>
      </c>
      <c r="X109">
        <f>HYPERLINK("https://klasma.github.io/Logging_2180/kartor/A 27063-2026 karta.png", "A 27063-2026")</f>
        <v/>
      </c>
      <c r="Y109">
        <f>HYPERLINK("https://klasma.github.io/Logging_2180/kartor_geotiff/A 27063-2026 georefererad karta.tif", "A 27063-2026")</f>
        <v/>
      </c>
      <c r="AA109">
        <f>HYPERLINK("https://klasma.github.io/Logging_2180/klagomål/A 27063-2026 FSC-klagomål.docx", "A 27063-2026")</f>
        <v/>
      </c>
      <c r="AB109">
        <f>HYPERLINK("https://klasma.github.io/Logging_2180/klagomålsmail/A 27063-2026 FSC-klagomål mail.docx", "A 27063-2026")</f>
        <v/>
      </c>
      <c r="AC109">
        <f>HYPERLINK("https://klasma.github.io/Logging_2180/tillsyn/A 27063-2026 tillsynsbegäran.docx", "A 27063-2026")</f>
        <v/>
      </c>
      <c r="AD109">
        <f>HYPERLINK("https://klasma.github.io/Logging_2180/tillsynsmail/A 27063-2026 tillsynsbegäran mail.docx", "A 27063-2026")</f>
        <v/>
      </c>
    </row>
    <row r="110" ht="15" customHeight="1">
      <c r="A110" t="inlineStr">
        <is>
          <t>A 27058-2026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46302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27058-2026 artfynd.xlsx", "A 27058-2026")</f>
        <v/>
      </c>
      <c r="X110">
        <f>HYPERLINK("https://klasma.github.io/Logging_2180/kartor/A 27058-2026 karta.png", "A 27058-2026")</f>
        <v/>
      </c>
      <c r="Y110">
        <f>HYPERLINK("https://klasma.github.io/Logging_2180/kartor_geotiff/A 27058-2026 georefererad karta.tif", "A 27058-2026")</f>
        <v/>
      </c>
      <c r="AA110">
        <f>HYPERLINK("https://klasma.github.io/Logging_2180/klagomål/A 27058-2026 FSC-klagomål.docx", "A 27058-2026")</f>
        <v/>
      </c>
      <c r="AB110">
        <f>HYPERLINK("https://klasma.github.io/Logging_2180/klagomålsmail/A 27058-2026 FSC-klagomål mail.docx", "A 27058-2026")</f>
        <v/>
      </c>
      <c r="AC110">
        <f>HYPERLINK("https://klasma.github.io/Logging_2180/tillsyn/A 27058-2026 tillsynsbegäran.docx", "A 27058-2026")</f>
        <v/>
      </c>
      <c r="AD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46302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28546-2026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46197</v>
      </c>
      <c r="E112" s="1" t="n">
        <v>46302</v>
      </c>
      <c r="F112" t="inlineStr">
        <is>
          <t>GÄVLEBORGS LÄN</t>
        </is>
      </c>
      <c r="G112" t="inlineStr">
        <is>
          <t>GÄVLE</t>
        </is>
      </c>
      <c r="H112" t="inlineStr">
        <is>
          <t>BillerudKorsnäs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Fiskgjuse</t>
        </is>
      </c>
      <c r="W112">
        <f>HYPERLINK("https://klasma.github.io/Logging_2180/artfynd/A 28546-2026 artfynd.xlsx", "A 28546-2026")</f>
        <v/>
      </c>
      <c r="X112">
        <f>HYPERLINK("https://klasma.github.io/Logging_2180/kartor/A 28546-2026 karta.png", "A 28546-2026")</f>
        <v/>
      </c>
      <c r="Y112">
        <f>HYPERLINK("https://klasma.github.io/Logging_2180/kartor_geotiff/A 28546-2026 georefererad karta.tif", "A 28546-2026")</f>
        <v/>
      </c>
      <c r="AA112">
        <f>HYPERLINK("https://klasma.github.io/Logging_2180/klagomål/A 28546-2026 FSC-klagomål.docx", "A 28546-2026")</f>
        <v/>
      </c>
      <c r="AB112">
        <f>HYPERLINK("https://klasma.github.io/Logging_2180/klagomålsmail/A 28546-2026 FSC-klagomål mail.docx", "A 28546-2026")</f>
        <v/>
      </c>
      <c r="AC112">
        <f>HYPERLINK("https://klasma.github.io/Logging_2180/tillsyn/A 28546-2026 tillsynsbegäran.docx", "A 28546-2026")</f>
        <v/>
      </c>
      <c r="AD112">
        <f>HYPERLINK("https://klasma.github.io/Logging_2180/tillsynsmail/A 28546-2026 tillsynsbegäran mail.docx", "A 28546-2026")</f>
        <v/>
      </c>
      <c r="AE112">
        <f>HYPERLINK("https://klasma.github.io/Logging_2180/fåglar/A 28546-2026 prioriterade fågelarter.docx", "A 28546-2026")</f>
        <v/>
      </c>
    </row>
    <row r="113" ht="15" customHeight="1">
      <c r="A113" t="inlineStr">
        <is>
          <t>A 51508-2024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46302</v>
      </c>
      <c r="F113" t="inlineStr">
        <is>
          <t>GÄVLEBORGS LÄN</t>
        </is>
      </c>
      <c r="G113" t="inlineStr">
        <is>
          <t>GÄVLE</t>
        </is>
      </c>
      <c r="I113" t="n">
        <v>0.9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Tibast</t>
        </is>
      </c>
      <c r="W113">
        <f>HYPERLINK("https://klasma.github.io/Logging_2180/artfynd/A 51508-2024 artfynd.xlsx", "A 51508-2024")</f>
        <v/>
      </c>
      <c r="X113">
        <f>HYPERLINK("https://klasma.github.io/Logging_2180/kartor/A 51508-2024 karta.png", "A 51508-2024")</f>
        <v/>
      </c>
      <c r="Y113">
        <f>HYPERLINK("https://klasma.github.io/Logging_2180/kartor_geotiff/A 51508-2024 georefererad karta.tif", "A 51508-2024")</f>
        <v/>
      </c>
      <c r="AA113">
        <f>HYPERLINK("https://klasma.github.io/Logging_2180/klagomål/A 51508-2024 FSC-klagomål.docx", "A 51508-2024")</f>
        <v/>
      </c>
      <c r="AB113">
        <f>HYPERLINK("https://klasma.github.io/Logging_2180/klagomålsmail/A 51508-2024 FSC-klagomål mail.docx", "A 51508-2024")</f>
        <v/>
      </c>
      <c r="AC113">
        <f>HYPERLINK("https://klasma.github.io/Logging_2180/tillsyn/A 51508-2024 tillsynsbegäran.docx", "A 51508-2024")</f>
        <v/>
      </c>
      <c r="AD113">
        <f>HYPERLINK("https://klasma.github.io/Logging_2180/tillsynsmail/A 51508-2024 tillsynsbegäran mail.docx", "A 51508-2024")</f>
        <v/>
      </c>
    </row>
    <row r="114" ht="15" customHeight="1">
      <c r="A114" t="inlineStr">
        <is>
          <t>A 12437-2024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45379</v>
      </c>
      <c r="E114" s="1" t="n">
        <v>46302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Mindre bastardsvärmare</t>
        </is>
      </c>
      <c r="W114">
        <f>HYPERLINK("https://klasma.github.io/Logging_2180/artfynd/A 12437-2024 artfynd.xlsx", "A 12437-2024")</f>
        <v/>
      </c>
      <c r="X114">
        <f>HYPERLINK("https://klasma.github.io/Logging_2180/kartor/A 12437-2024 karta.png", "A 12437-2024")</f>
        <v/>
      </c>
      <c r="Y114">
        <f>HYPERLINK("https://klasma.github.io/Logging_2180/kartor_geotiff/A 12437-2024 georefererad karta.tif", "A 12437-2024")</f>
        <v/>
      </c>
      <c r="AA114">
        <f>HYPERLINK("https://klasma.github.io/Logging_2180/klagomål/A 12437-2024 FSC-klagomål.docx", "A 12437-2024")</f>
        <v/>
      </c>
      <c r="AB114">
        <f>HYPERLINK("https://klasma.github.io/Logging_2180/klagomålsmail/A 12437-2024 FSC-klagomål mail.docx", "A 12437-2024")</f>
        <v/>
      </c>
      <c r="AC114">
        <f>HYPERLINK("https://klasma.github.io/Logging_2180/tillsyn/A 12437-2024 tillsynsbegäran.docx", "A 12437-2024")</f>
        <v/>
      </c>
      <c r="AD114">
        <f>HYPERLINK("https://klasma.github.io/Logging_2180/tillsynsmail/A 12437-2024 tillsynsbegäran mail.docx", "A 12437-2024")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46302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10333-2025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46302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Tjäder</t>
        </is>
      </c>
      <c r="W116">
        <f>HYPERLINK("https://klasma.github.io/Logging_2180/artfynd/A 10333-2025 artfynd.xlsx", "A 10333-2025")</f>
        <v/>
      </c>
      <c r="X116">
        <f>HYPERLINK("https://klasma.github.io/Logging_2180/kartor/A 10333-2025 karta.png", "A 10333-2025")</f>
        <v/>
      </c>
      <c r="Y116">
        <f>HYPERLINK("https://klasma.github.io/Logging_2180/kartor_geotiff/A 10333-2025 georefererad karta.tif", "A 10333-2025")</f>
        <v/>
      </c>
      <c r="AA116">
        <f>HYPERLINK("https://klasma.github.io/Logging_2180/klagomål/A 10333-2025 FSC-klagomål.docx", "A 10333-2025")</f>
        <v/>
      </c>
      <c r="AB116">
        <f>HYPERLINK("https://klasma.github.io/Logging_2180/klagomålsmail/A 10333-2025 FSC-klagomål mail.docx", "A 10333-2025")</f>
        <v/>
      </c>
      <c r="AC116">
        <f>HYPERLINK("https://klasma.github.io/Logging_2180/tillsyn/A 10333-2025 tillsynsbegäran.docx", "A 10333-2025")</f>
        <v/>
      </c>
      <c r="AD116">
        <f>HYPERLINK("https://klasma.github.io/Logging_2180/tillsynsmail/A 10333-2025 tillsynsbegäran mail.docx", "A 10333-2025")</f>
        <v/>
      </c>
      <c r="AE116">
        <f>HYPERLINK("https://klasma.github.io/Logging_2180/fåglar/A 10333-2025 prioriterade fågelarter.docx", "A 10333-2025")</f>
        <v/>
      </c>
    </row>
    <row r="117" ht="15" customHeight="1">
      <c r="A117" t="inlineStr">
        <is>
          <t>A 36090-2026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46267</v>
      </c>
      <c r="E117" s="1" t="n">
        <v>46302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Tvåblad</t>
        </is>
      </c>
      <c r="W117">
        <f>HYPERLINK("https://klasma.github.io/Logging_2180/artfynd/A 36090-2026 artfynd.xlsx", "A 36090-2026")</f>
        <v/>
      </c>
      <c r="X117">
        <f>HYPERLINK("https://klasma.github.io/Logging_2180/kartor/A 36090-2026 karta.png", "A 36090-2026")</f>
        <v/>
      </c>
      <c r="Y117">
        <f>HYPERLINK("https://klasma.github.io/Logging_2180/kartor_geotiff/A 36090-2026 georefererad karta.tif", "A 36090-2026")</f>
        <v/>
      </c>
      <c r="AA117">
        <f>HYPERLINK("https://klasma.github.io/Logging_2180/klagomål/A 36090-2026 FSC-klagomål.docx", "A 36090-2026")</f>
        <v/>
      </c>
      <c r="AB117">
        <f>HYPERLINK("https://klasma.github.io/Logging_2180/klagomålsmail/A 36090-2026 FSC-klagomål mail.docx", "A 36090-2026")</f>
        <v/>
      </c>
      <c r="AC117">
        <f>HYPERLINK("https://klasma.github.io/Logging_2180/tillsyn/A 36090-2026 tillsynsbegäran.docx", "A 36090-2026")</f>
        <v/>
      </c>
      <c r="AD117">
        <f>HYPERLINK("https://klasma.github.io/Logging_2180/tillsynsmail/A 36090-2026 tillsynsbegäran mail.docx", "A 36090-2026")</f>
        <v/>
      </c>
    </row>
    <row r="118" ht="15" customHeight="1">
      <c r="A118" t="inlineStr">
        <is>
          <t>A 12381-2023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46302</v>
      </c>
      <c r="F118" t="inlineStr">
        <is>
          <t>GÄVLEBORGS LÄN</t>
        </is>
      </c>
      <c r="G118" t="inlineStr">
        <is>
          <t>GÄVLE</t>
        </is>
      </c>
      <c r="I118" t="n">
        <v>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Brunlångöra</t>
        </is>
      </c>
      <c r="W118">
        <f>HYPERLINK("https://klasma.github.io/Logging_2180/artfynd/A 12381-2023 artfynd.xlsx", "A 12381-2023")</f>
        <v/>
      </c>
      <c r="X118">
        <f>HYPERLINK("https://klasma.github.io/Logging_2180/kartor/A 12381-2023 karta.png", "A 12381-2023")</f>
        <v/>
      </c>
      <c r="Y118">
        <f>HYPERLINK("https://klasma.github.io/Logging_2180/kartor_geotiff/A 12381-2023 georefererad karta.tif", "A 12381-2023")</f>
        <v/>
      </c>
      <c r="AA118">
        <f>HYPERLINK("https://klasma.github.io/Logging_2180/klagomål/A 12381-2023 FSC-klagomål.docx", "A 12381-2023")</f>
        <v/>
      </c>
      <c r="AB118">
        <f>HYPERLINK("https://klasma.github.io/Logging_2180/klagomålsmail/A 12381-2023 FSC-klagomål mail.docx", "A 12381-2023")</f>
        <v/>
      </c>
      <c r="AC118">
        <f>HYPERLINK("https://klasma.github.io/Logging_2180/tillsyn/A 12381-2023 tillsynsbegäran.docx", "A 12381-2023")</f>
        <v/>
      </c>
      <c r="AD118">
        <f>HYPERLINK("https://klasma.github.io/Logging_2180/tillsynsmail/A 12381-2023 tillsynsbegäran mail.docx", "A 12381-2023")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46302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57932-2024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46302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48.7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HYPERLINK("https://klasma.github.io/Logging_2180/artfynd/A 57932-2024 artfynd.xlsx", "A 57932-2024")</f>
        <v/>
      </c>
      <c r="X120">
        <f>HYPERLINK("https://klasma.github.io/Logging_2180/kartor/A 57932-2024 karta.png", "A 57932-2024")</f>
        <v/>
      </c>
      <c r="Y120">
        <f>HYPERLINK("https://klasma.github.io/Logging_2180/kartor_geotiff/A 57932-2024 georefererad karta.tif", "A 57932-2024")</f>
        <v/>
      </c>
      <c r="AA120">
        <f>HYPERLINK("https://klasma.github.io/Logging_2180/klagomål/A 57932-2024 FSC-klagomål.docx", "A 57932-2024")</f>
        <v/>
      </c>
      <c r="AB120">
        <f>HYPERLINK("https://klasma.github.io/Logging_2180/klagomålsmail/A 57932-2024 FSC-klagomål mail.docx", "A 57932-2024")</f>
        <v/>
      </c>
      <c r="AC120">
        <f>HYPERLINK("https://klasma.github.io/Logging_2180/tillsyn/A 57932-2024 tillsynsbegäran.docx", "A 57932-2024")</f>
        <v/>
      </c>
      <c r="AD120">
        <f>HYPERLINK("https://klasma.github.io/Logging_2180/tillsynsmail/A 57932-2024 tillsynsbegäran mail.docx", "A 57932-2024")</f>
        <v/>
      </c>
      <c r="AE120">
        <f>HYPERLINK("https://klasma.github.io/Logging_2180/fåglar/A 57932-2024 prioriterade fågelarter.docx", "A 57932-2024")</f>
        <v/>
      </c>
    </row>
    <row r="121" ht="15" customHeight="1">
      <c r="A121" t="inlineStr">
        <is>
          <t>A 37220-2026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46274</v>
      </c>
      <c r="E121" s="1" t="n">
        <v>46302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HYPERLINK("https://klasma.github.io/Logging_2180/artfynd/A 37220-2026 artfynd.xlsx", "A 37220-2026")</f>
        <v/>
      </c>
      <c r="X121">
        <f>HYPERLINK("https://klasma.github.io/Logging_2180/kartor/A 37220-2026 karta.png", "A 37220-2026")</f>
        <v/>
      </c>
      <c r="Y121">
        <f>HYPERLINK("https://klasma.github.io/Logging_2180/kartor_geotiff/A 37220-2026 georefererad karta.tif", "A 37220-2026")</f>
        <v/>
      </c>
      <c r="AA121">
        <f>HYPERLINK("https://klasma.github.io/Logging_2180/klagomål/A 37220-2026 FSC-klagomål.docx", "A 37220-2026")</f>
        <v/>
      </c>
      <c r="AB121">
        <f>HYPERLINK("https://klasma.github.io/Logging_2180/klagomålsmail/A 37220-2026 FSC-klagomål mail.docx", "A 37220-2026")</f>
        <v/>
      </c>
      <c r="AC121">
        <f>HYPERLINK("https://klasma.github.io/Logging_2180/tillsyn/A 37220-2026 tillsynsbegäran.docx", "A 37220-2026")</f>
        <v/>
      </c>
      <c r="AD121">
        <f>HYPERLINK("https://klasma.github.io/Logging_2180/tillsynsmail/A 37220-2026 tillsynsbegäran mail.docx", "A 37220-2026")</f>
        <v/>
      </c>
    </row>
    <row r="122" ht="15" customHeight="1">
      <c r="A122" t="inlineStr">
        <is>
          <t>A 38571-2026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46283</v>
      </c>
      <c r="E122" s="1" t="n">
        <v>46302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Platt spretmossa</t>
        </is>
      </c>
      <c r="W122">
        <f>HYPERLINK("https://klasma.github.io/Logging_2180/artfynd/A 38571-2026 artfynd.xlsx", "A 38571-2026")</f>
        <v/>
      </c>
      <c r="X122">
        <f>HYPERLINK("https://klasma.github.io/Logging_2180/kartor/A 38571-2026 karta.png", "A 38571-2026")</f>
        <v/>
      </c>
      <c r="Y122">
        <f>HYPERLINK("https://klasma.github.io/Logging_2180/kartor_geotiff/A 38571-2026 georefererad karta.tif", "A 38571-2026")</f>
        <v/>
      </c>
      <c r="AA122">
        <f>HYPERLINK("https://klasma.github.io/Logging_2180/klagomål/A 38571-2026 FSC-klagomål.docx", "A 38571-2026")</f>
        <v/>
      </c>
      <c r="AB122">
        <f>HYPERLINK("https://klasma.github.io/Logging_2180/klagomålsmail/A 38571-2026 FSC-klagomål mail.docx", "A 38571-2026")</f>
        <v/>
      </c>
      <c r="AC122">
        <f>HYPERLINK("https://klasma.github.io/Logging_2180/tillsyn/A 38571-2026 tillsynsbegäran.docx", "A 38571-2026")</f>
        <v/>
      </c>
      <c r="AD122">
        <f>HYPERLINK("https://klasma.github.io/Logging_2180/tillsynsmail/A 38571-2026 tillsynsbegäran mail.docx", "A 38571-2026")</f>
        <v/>
      </c>
    </row>
    <row r="123" ht="15" customHeight="1">
      <c r="A123" t="inlineStr">
        <is>
          <t>A 35830-2026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46265</v>
      </c>
      <c r="E123" s="1" t="n">
        <v>46302</v>
      </c>
      <c r="F123" t="inlineStr">
        <is>
          <t>GÄVLEBORGS LÄN</t>
        </is>
      </c>
      <c r="G123" t="inlineStr">
        <is>
          <t>GÄVLE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Bredgentiana</t>
        </is>
      </c>
      <c r="W123">
        <f>HYPERLINK("https://klasma.github.io/Logging_2180/artfynd/A 35830-2026 artfynd.xlsx", "A 35830-2026")</f>
        <v/>
      </c>
      <c r="X123">
        <f>HYPERLINK("https://klasma.github.io/Logging_2180/kartor/A 35830-2026 karta.png", "A 35830-2026")</f>
        <v/>
      </c>
      <c r="Y123">
        <f>HYPERLINK("https://klasma.github.io/Logging_2180/kartor_geotiff/A 35830-2026 georefererad karta.tif", "A 35830-2026")</f>
        <v/>
      </c>
      <c r="AA123">
        <f>HYPERLINK("https://klasma.github.io/Logging_2180/klagomål/A 35830-2026 FSC-klagomål.docx", "A 35830-2026")</f>
        <v/>
      </c>
      <c r="AB123">
        <f>HYPERLINK("https://klasma.github.io/Logging_2180/klagomålsmail/A 35830-2026 FSC-klagomål mail.docx", "A 35830-2026")</f>
        <v/>
      </c>
      <c r="AC123">
        <f>HYPERLINK("https://klasma.github.io/Logging_2180/tillsyn/A 35830-2026 tillsynsbegäran.docx", "A 35830-2026")</f>
        <v/>
      </c>
      <c r="AD123">
        <f>HYPERLINK("https://klasma.github.io/Logging_2180/tillsynsmail/A 35830-2026 tillsynsbegäran mail.docx", "A 35830-2026")</f>
        <v/>
      </c>
    </row>
    <row r="124" ht="15" customHeight="1">
      <c r="A124" t="inlineStr">
        <is>
          <t>A 38300-2026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46302</v>
      </c>
      <c r="F124" t="inlineStr">
        <is>
          <t>GÄVLEBORGS LÄN</t>
        </is>
      </c>
      <c r="G124" t="inlineStr">
        <is>
          <t>GÄVLE</t>
        </is>
      </c>
      <c r="I124" t="n">
        <v>3.7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Sparvuggla</t>
        </is>
      </c>
      <c r="W124">
        <f>HYPERLINK("https://klasma.github.io/Logging_2180/artfynd/A 38300-2026 artfynd.xlsx", "A 38300-2026")</f>
        <v/>
      </c>
      <c r="X124">
        <f>HYPERLINK("https://klasma.github.io/Logging_2180/kartor/A 38300-2026 karta.png", "A 38300-2026")</f>
        <v/>
      </c>
      <c r="Y124">
        <f>HYPERLINK("https://klasma.github.io/Logging_2180/kartor_geotiff/A 38300-2026 georefererad karta.tif", "A 38300-2026")</f>
        <v/>
      </c>
      <c r="AA124">
        <f>HYPERLINK("https://klasma.github.io/Logging_2180/klagomål/A 38300-2026 FSC-klagomål.docx", "A 38300-2026")</f>
        <v/>
      </c>
      <c r="AB124">
        <f>HYPERLINK("https://klasma.github.io/Logging_2180/klagomålsmail/A 38300-2026 FSC-klagomål mail.docx", "A 38300-2026")</f>
        <v/>
      </c>
      <c r="AC124">
        <f>HYPERLINK("https://klasma.github.io/Logging_2180/tillsyn/A 38300-2026 tillsynsbegäran.docx", "A 38300-2026")</f>
        <v/>
      </c>
      <c r="AD124">
        <f>HYPERLINK("https://klasma.github.io/Logging_2180/tillsynsmail/A 38300-2026 tillsynsbegäran mail.docx", "A 38300-2026")</f>
        <v/>
      </c>
      <c r="AE124">
        <f>HYPERLINK("https://klasma.github.io/Logging_2180/fåglar/A 38300-2026 prioriterade fågelarter.docx", "A 38300-2026")</f>
        <v/>
      </c>
    </row>
    <row r="125" ht="15" customHeight="1">
      <c r="A125" t="inlineStr">
        <is>
          <t>A 26871-2026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46302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4.2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HYPERLINK("https://klasma.github.io/Logging_2180/artfynd/A 26871-2026 artfynd.xlsx", "A 26871-2026")</f>
        <v/>
      </c>
      <c r="X125">
        <f>HYPERLINK("https://klasma.github.io/Logging_2180/kartor/A 26871-2026 karta.png", "A 26871-2026")</f>
        <v/>
      </c>
      <c r="Y125">
        <f>HYPERLINK("https://klasma.github.io/Logging_2180/kartor_geotiff/A 26871-2026 georefererad karta.tif", "A 26871-2026")</f>
        <v/>
      </c>
      <c r="AA125">
        <f>HYPERLINK("https://klasma.github.io/Logging_2180/klagomål/A 26871-2026 FSC-klagomål.docx", "A 26871-2026")</f>
        <v/>
      </c>
      <c r="AB125">
        <f>HYPERLINK("https://klasma.github.io/Logging_2180/klagomålsmail/A 26871-2026 FSC-klagomål mail.docx", "A 26871-2026")</f>
        <v/>
      </c>
      <c r="AC125">
        <f>HYPERLINK("https://klasma.github.io/Logging_2180/tillsyn/A 26871-2026 tillsynsbegäran.docx", "A 26871-2026")</f>
        <v/>
      </c>
      <c r="AD125">
        <f>HYPERLINK("https://klasma.github.io/Logging_2180/tillsynsmail/A 26871-2026 tillsynsbegäran mail.docx", "A 26871-2026")</f>
        <v/>
      </c>
    </row>
    <row r="126" ht="15" customHeight="1">
      <c r="A126" t="inlineStr">
        <is>
          <t>A 39065-2026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46287</v>
      </c>
      <c r="E126" s="1" t="n">
        <v>46302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Vedskivlav</t>
        </is>
      </c>
      <c r="W126">
        <f>HYPERLINK("https://klasma.github.io/Logging_2180/artfynd/A 39065-2026 artfynd.xlsx", "A 39065-2026")</f>
        <v/>
      </c>
      <c r="X126">
        <f>HYPERLINK("https://klasma.github.io/Logging_2180/kartor/A 39065-2026 karta.png", "A 39065-2026")</f>
        <v/>
      </c>
      <c r="Y126">
        <f>HYPERLINK("https://klasma.github.io/Logging_2180/kartor_geotiff/A 39065-2026 georefererad karta.tif", "A 39065-2026")</f>
        <v/>
      </c>
      <c r="AA126">
        <f>HYPERLINK("https://klasma.github.io/Logging_2180/klagomål/A 39065-2026 FSC-klagomål.docx", "A 39065-2026")</f>
        <v/>
      </c>
      <c r="AB126">
        <f>HYPERLINK("https://klasma.github.io/Logging_2180/klagomålsmail/A 39065-2026 FSC-klagomål mail.docx", "A 39065-2026")</f>
        <v/>
      </c>
      <c r="AC126">
        <f>HYPERLINK("https://klasma.github.io/Logging_2180/tillsyn/A 39065-2026 tillsynsbegäran.docx", "A 39065-2026")</f>
        <v/>
      </c>
      <c r="AD126">
        <f>HYPERLINK("https://klasma.github.io/Logging_2180/tillsynsmail/A 39065-2026 tillsynsbegäran mail.docx", "A 39065-2026")</f>
        <v/>
      </c>
    </row>
    <row r="127" ht="15" customHeight="1">
      <c r="A127" t="inlineStr">
        <is>
          <t>A 39719-2026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46302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8.300000000000001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HYPERLINK("https://klasma.github.io/Logging_2180/artfynd/A 39719-2026 artfynd.xlsx", "A 39719-2026")</f>
        <v/>
      </c>
      <c r="X127">
        <f>HYPERLINK("https://klasma.github.io/Logging_2180/kartor/A 39719-2026 karta.png", "A 39719-2026")</f>
        <v/>
      </c>
      <c r="Y127">
        <f>HYPERLINK("https://klasma.github.io/Logging_2180/kartor_geotiff/A 39719-2026 georefererad karta.tif", "A 39719-2026")</f>
        <v/>
      </c>
      <c r="AA127">
        <f>HYPERLINK("https://klasma.github.io/Logging_2180/klagomål/A 39719-2026 FSC-klagomål.docx", "A 39719-2026")</f>
        <v/>
      </c>
      <c r="AB127">
        <f>HYPERLINK("https://klasma.github.io/Logging_2180/klagomålsmail/A 39719-2026 FSC-klagomål mail.docx", "A 39719-2026")</f>
        <v/>
      </c>
      <c r="AC127">
        <f>HYPERLINK("https://klasma.github.io/Logging_2180/tillsyn/A 39719-2026 tillsynsbegäran.docx", "A 39719-2026")</f>
        <v/>
      </c>
      <c r="AD127">
        <f>HYPERLINK("https://klasma.github.io/Logging_2180/tillsynsmail/A 39719-2026 tillsynsbegäran mail.docx", "A 39719-2026")</f>
        <v/>
      </c>
    </row>
    <row r="128" ht="15" customHeight="1">
      <c r="A128" t="inlineStr">
        <is>
          <t>A 39763-2026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46290</v>
      </c>
      <c r="E128" s="1" t="n">
        <v>46302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HYPERLINK("https://klasma.github.io/Logging_2180/artfynd/A 39763-2026 artfynd.xlsx", "A 39763-2026")</f>
        <v/>
      </c>
      <c r="X128">
        <f>HYPERLINK("https://klasma.github.io/Logging_2180/kartor/A 39763-2026 karta.png", "A 39763-2026")</f>
        <v/>
      </c>
      <c r="Y128">
        <f>HYPERLINK("https://klasma.github.io/Logging_2180/kartor_geotiff/A 39763-2026 georefererad karta.tif", "A 39763-2026")</f>
        <v/>
      </c>
      <c r="AA128">
        <f>HYPERLINK("https://klasma.github.io/Logging_2180/klagomål/A 39763-2026 FSC-klagomål.docx", "A 39763-2026")</f>
        <v/>
      </c>
      <c r="AB128">
        <f>HYPERLINK("https://klasma.github.io/Logging_2180/klagomålsmail/A 39763-2026 FSC-klagomål mail.docx", "A 39763-2026")</f>
        <v/>
      </c>
      <c r="AC128">
        <f>HYPERLINK("https://klasma.github.io/Logging_2180/tillsyn/A 39763-2026 tillsynsbegäran.docx", "A 39763-2026")</f>
        <v/>
      </c>
      <c r="AD128">
        <f>HYPERLINK("https://klasma.github.io/Logging_2180/tillsynsmail/A 39763-2026 tillsynsbegäran mail.docx", "A 39763-2026")</f>
        <v/>
      </c>
    </row>
    <row r="129" ht="15" customHeight="1">
      <c r="A129" t="inlineStr">
        <is>
          <t>A 34086-2026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46302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Gullgröppa</t>
        </is>
      </c>
      <c r="W129">
        <f>HYPERLINK("https://klasma.github.io/Logging_2180/artfynd/A 34086-2026 artfynd.xlsx", "A 34086-2026")</f>
        <v/>
      </c>
      <c r="X129">
        <f>HYPERLINK("https://klasma.github.io/Logging_2180/kartor/A 34086-2026 karta.png", "A 34086-2026")</f>
        <v/>
      </c>
      <c r="Y129">
        <f>HYPERLINK("https://klasma.github.io/Logging_2180/kartor_geotiff/A 34086-2026 georefererad karta.tif", "A 34086-2026")</f>
        <v/>
      </c>
      <c r="AA129">
        <f>HYPERLINK("https://klasma.github.io/Logging_2180/klagomål/A 34086-2026 FSC-klagomål.docx", "A 34086-2026")</f>
        <v/>
      </c>
      <c r="AB129">
        <f>HYPERLINK("https://klasma.github.io/Logging_2180/klagomålsmail/A 34086-2026 FSC-klagomål mail.docx", "A 34086-2026")</f>
        <v/>
      </c>
      <c r="AC129">
        <f>HYPERLINK("https://klasma.github.io/Logging_2180/tillsyn/A 34086-2026 tillsynsbegäran.docx", "A 34086-2026")</f>
        <v/>
      </c>
      <c r="AD129">
        <f>HYPERLINK("https://klasma.github.io/Logging_2180/tillsynsmail/A 34086-2026 tillsynsbegäran mail.docx", "A 34086-2026")</f>
        <v/>
      </c>
    </row>
    <row r="130" ht="15" customHeight="1">
      <c r="A130" t="inlineStr">
        <is>
          <t>A 40279-2026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46294</v>
      </c>
      <c r="E130" s="1" t="n">
        <v>46302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Myggblomster</t>
        </is>
      </c>
      <c r="W130">
        <f>HYPERLINK("https://klasma.github.io/Logging_2180/artfynd/A 40279-2026 artfynd.xlsx", "A 40279-2026")</f>
        <v/>
      </c>
      <c r="X130">
        <f>HYPERLINK("https://klasma.github.io/Logging_2180/kartor/A 40279-2026 karta.png", "A 40279-2026")</f>
        <v/>
      </c>
      <c r="Y130">
        <f>HYPERLINK("https://klasma.github.io/Logging_2180/kartor_geotiff/A 40279-2026 georefererad karta.tif", "A 40279-2026")</f>
        <v/>
      </c>
      <c r="AA130">
        <f>HYPERLINK("https://klasma.github.io/Logging_2180/klagomål/A 40279-2026 FSC-klagomål.docx", "A 40279-2026")</f>
        <v/>
      </c>
      <c r="AB130">
        <f>HYPERLINK("https://klasma.github.io/Logging_2180/klagomålsmail/A 40279-2026 FSC-klagomål mail.docx", "A 40279-2026")</f>
        <v/>
      </c>
      <c r="AC130">
        <f>HYPERLINK("https://klasma.github.io/Logging_2180/tillsyn/A 40279-2026 tillsynsbegäran.docx", "A 40279-2026")</f>
        <v/>
      </c>
      <c r="AD130">
        <f>HYPERLINK("https://klasma.github.io/Logging_2180/tillsynsmail/A 40279-2026 tillsynsbegäran mail.docx", "A 40279-2026")</f>
        <v/>
      </c>
    </row>
    <row r="131" ht="15" customHeight="1">
      <c r="A131" t="inlineStr">
        <is>
          <t>A 33832-2026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46302</v>
      </c>
      <c r="F131" t="inlineStr">
        <is>
          <t>GÄVLEBORGS LÄN</t>
        </is>
      </c>
      <c r="G131" t="inlineStr">
        <is>
          <t>GÄVLE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HYPERLINK("https://klasma.github.io/Logging_2180/artfynd/A 33832-2026 artfynd.xlsx", "A 33832-2026")</f>
        <v/>
      </c>
      <c r="X131">
        <f>HYPERLINK("https://klasma.github.io/Logging_2180/kartor/A 33832-2026 karta.png", "A 33832-2026")</f>
        <v/>
      </c>
      <c r="Y131">
        <f>HYPERLINK("https://klasma.github.io/Logging_2180/kartor_geotiff/A 33832-2026 georefererad karta.tif", "A 33832-2026")</f>
        <v/>
      </c>
      <c r="AA131">
        <f>HYPERLINK("https://klasma.github.io/Logging_2180/klagomål/A 33832-2026 FSC-klagomål.docx", "A 33832-2026")</f>
        <v/>
      </c>
      <c r="AB131">
        <f>HYPERLINK("https://klasma.github.io/Logging_2180/klagomålsmail/A 33832-2026 FSC-klagomål mail.docx", "A 33832-2026")</f>
        <v/>
      </c>
      <c r="AC131">
        <f>HYPERLINK("https://klasma.github.io/Logging_2180/tillsyn/A 33832-2026 tillsynsbegäran.docx", "A 33832-2026")</f>
        <v/>
      </c>
      <c r="AD131">
        <f>HYPERLINK("https://klasma.github.io/Logging_2180/tillsynsmail/A 33832-2026 tillsynsbegäran mail.docx", "A 33832-2026")</f>
        <v/>
      </c>
    </row>
    <row r="132" ht="15" customHeight="1">
      <c r="A132" t="inlineStr">
        <is>
          <t>A 17251-2026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46302</v>
      </c>
      <c r="F132" t="inlineStr">
        <is>
          <t>GÄVLEBORGS LÄN</t>
        </is>
      </c>
      <c r="G132" t="inlineStr">
        <is>
          <t>GÄVLE</t>
        </is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HYPERLINK("https://klasma.github.io/Logging_2180/artfynd/A 17251-2026 artfynd.xlsx", "A 17251-2026")</f>
        <v/>
      </c>
      <c r="X132">
        <f>HYPERLINK("https://klasma.github.io/Logging_2180/kartor/A 17251-2026 karta.png", "A 17251-2026")</f>
        <v/>
      </c>
      <c r="Y132">
        <f>HYPERLINK("https://klasma.github.io/Logging_2180/kartor_geotiff/A 17251-2026 georefererad karta.tif", "A 17251-2026")</f>
        <v/>
      </c>
      <c r="AA132">
        <f>HYPERLINK("https://klasma.github.io/Logging_2180/klagomål/A 17251-2026 FSC-klagomål.docx", "A 17251-2026")</f>
        <v/>
      </c>
      <c r="AB132">
        <f>HYPERLINK("https://klasma.github.io/Logging_2180/klagomålsmail/A 17251-2026 FSC-klagomål mail.docx", "A 17251-2026")</f>
        <v/>
      </c>
      <c r="AC132">
        <f>HYPERLINK("https://klasma.github.io/Logging_2180/tillsyn/A 17251-2026 tillsynsbegäran.docx", "A 17251-2026")</f>
        <v/>
      </c>
      <c r="AD132">
        <f>HYPERLINK("https://klasma.github.io/Logging_2180/tillsynsmail/A 17251-2026 tillsynsbegäran mail.docx", "A 17251-2026")</f>
        <v/>
      </c>
    </row>
    <row r="133" ht="15" customHeight="1">
      <c r="A133" t="inlineStr">
        <is>
          <t>A 18216-2024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46302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Dofttaggsvamp</t>
        </is>
      </c>
      <c r="W133">
        <f>HYPERLINK("https://klasma.github.io/Logging_2180/artfynd/A 18216-2024 artfynd.xlsx", "A 18216-2024")</f>
        <v/>
      </c>
      <c r="X133">
        <f>HYPERLINK("https://klasma.github.io/Logging_2180/kartor/A 18216-2024 karta.png", "A 18216-2024")</f>
        <v/>
      </c>
      <c r="Y133">
        <f>HYPERLINK("https://klasma.github.io/Logging_2180/kartor_geotiff/A 18216-2024 georefererad karta.tif", "A 18216-2024")</f>
        <v/>
      </c>
      <c r="AA133">
        <f>HYPERLINK("https://klasma.github.io/Logging_2180/klagomål/A 18216-2024 FSC-klagomål.docx", "A 18216-2024")</f>
        <v/>
      </c>
      <c r="AB133">
        <f>HYPERLINK("https://klasma.github.io/Logging_2180/klagomålsmail/A 18216-2024 FSC-klagomål mail.docx", "A 18216-2024")</f>
        <v/>
      </c>
      <c r="AC133">
        <f>HYPERLINK("https://klasma.github.io/Logging_2180/tillsyn/A 18216-2024 tillsynsbegäran.docx", "A 18216-2024")</f>
        <v/>
      </c>
      <c r="AD133">
        <f>HYPERLINK("https://klasma.github.io/Logging_2180/tillsynsmail/A 18216-2024 tillsynsbegäran mail.docx", "A 18216-2024")</f>
        <v/>
      </c>
    </row>
    <row r="134" ht="15" customHeight="1">
      <c r="A134" t="inlineStr">
        <is>
          <t>A 34890-2026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46259</v>
      </c>
      <c r="E134" s="1" t="n">
        <v>46302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18.3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4</v>
      </c>
      <c r="U134" t="n">
        <v>0</v>
      </c>
      <c r="V134" s="2" t="inlineStr">
        <is>
          <t>Spillkråka</t>
        </is>
      </c>
      <c r="W134">
        <f>HYPERLINK("https://klasma.github.io/Logging_2180/artfynd/A 34890-2026 artfynd.xlsx", "A 34890-2026")</f>
        <v/>
      </c>
      <c r="X134">
        <f>HYPERLINK("https://klasma.github.io/Logging_2180/kartor/A 34890-2026 karta.png", "A 34890-2026")</f>
        <v/>
      </c>
      <c r="Y134">
        <f>HYPERLINK("https://klasma.github.io/Logging_2180/kartor_geotiff/A 34890-2026 georefererad karta.tif", "A 34890-2026")</f>
        <v/>
      </c>
      <c r="AA134">
        <f>HYPERLINK("https://klasma.github.io/Logging_2180/klagomål/A 34890-2026 FSC-klagomål.docx", "A 34890-2026")</f>
        <v/>
      </c>
      <c r="AB134">
        <f>HYPERLINK("https://klasma.github.io/Logging_2180/klagomålsmail/A 34890-2026 FSC-klagomål mail.docx", "A 34890-2026")</f>
        <v/>
      </c>
      <c r="AC134">
        <f>HYPERLINK("https://klasma.github.io/Logging_2180/tillsyn/A 34890-2026 tillsynsbegäran.docx", "A 34890-2026")</f>
        <v/>
      </c>
      <c r="AD134">
        <f>HYPERLINK("https://klasma.github.io/Logging_2180/tillsynsmail/A 34890-2026 tillsynsbegäran mail.docx", "A 34890-2026")</f>
        <v/>
      </c>
      <c r="AE134">
        <f>HYPERLINK("https://klasma.github.io/Logging_2180/fåglar/A 34890-2026 prioriterade fågelarter.docx", "A 34890-2026")</f>
        <v/>
      </c>
    </row>
    <row r="135" ht="15" customHeight="1">
      <c r="A135" t="inlineStr">
        <is>
          <t>A 34589-2026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46255</v>
      </c>
      <c r="E135" s="1" t="n">
        <v>46302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15.3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HYPERLINK("https://klasma.github.io/Logging_2180/artfynd/A 34589-2026 artfynd.xlsx", "A 34589-2026")</f>
        <v/>
      </c>
      <c r="X135">
        <f>HYPERLINK("https://klasma.github.io/Logging_2180/kartor/A 34589-2026 karta.png", "A 34589-2026")</f>
        <v/>
      </c>
      <c r="Y135">
        <f>HYPERLINK("https://klasma.github.io/Logging_2180/kartor_geotiff/A 34589-2026 georefererad karta.tif", "A 34589-2026")</f>
        <v/>
      </c>
      <c r="AA135">
        <f>HYPERLINK("https://klasma.github.io/Logging_2180/klagomål/A 34589-2026 FSC-klagomål.docx", "A 34589-2026")</f>
        <v/>
      </c>
      <c r="AB135">
        <f>HYPERLINK("https://klasma.github.io/Logging_2180/klagomålsmail/A 34589-2026 FSC-klagomål mail.docx", "A 34589-2026")</f>
        <v/>
      </c>
      <c r="AC135">
        <f>HYPERLINK("https://klasma.github.io/Logging_2180/tillsyn/A 34589-2026 tillsynsbegäran.docx", "A 34589-2026")</f>
        <v/>
      </c>
      <c r="AD135">
        <f>HYPERLINK("https://klasma.github.io/Logging_2180/tillsynsmail/A 34589-2026 tillsynsbegäran mail.docx", "A 34589-2026")</f>
        <v/>
      </c>
    </row>
    <row r="136" ht="15" customHeight="1">
      <c r="A136" t="inlineStr">
        <is>
          <t>A 13269-2026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46302</v>
      </c>
      <c r="F136" t="inlineStr">
        <is>
          <t>GÄVLEBORGS LÄN</t>
        </is>
      </c>
      <c r="G136" t="inlineStr">
        <is>
          <t>GÄVLE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Havsörn</t>
        </is>
      </c>
      <c r="W136">
        <f>HYPERLINK("https://klasma.github.io/Logging_2180/artfynd/A 13269-2026 artfynd.xlsx", "A 13269-2026")</f>
        <v/>
      </c>
      <c r="X136">
        <f>HYPERLINK("https://klasma.github.io/Logging_2180/kartor/A 13269-2026 karta.png", "A 13269-2026")</f>
        <v/>
      </c>
      <c r="Y136">
        <f>HYPERLINK("https://klasma.github.io/Logging_2180/kartor_geotiff/A 13269-2026 georefererad karta.tif", "A 13269-2026")</f>
        <v/>
      </c>
      <c r="AA136">
        <f>HYPERLINK("https://klasma.github.io/Logging_2180/klagomål/A 13269-2026 FSC-klagomål.docx", "A 13269-2026")</f>
        <v/>
      </c>
      <c r="AB136">
        <f>HYPERLINK("https://klasma.github.io/Logging_2180/klagomålsmail/A 13269-2026 FSC-klagomål mail.docx", "A 13269-2026")</f>
        <v/>
      </c>
      <c r="AC136">
        <f>HYPERLINK("https://klasma.github.io/Logging_2180/tillsyn/A 13269-2026 tillsynsbegäran.docx", "A 13269-2026")</f>
        <v/>
      </c>
      <c r="AD136">
        <f>HYPERLINK("https://klasma.github.io/Logging_2180/tillsynsmail/A 13269-2026 tillsynsbegäran mail.docx", "A 13269-2026")</f>
        <v/>
      </c>
      <c r="AE136">
        <f>HYPERLINK("https://klasma.github.io/Logging_2180/fåglar/A 13269-2026 prioriterade fågelarter.docx", "A 13269-2026")</f>
        <v/>
      </c>
    </row>
    <row r="137" ht="15" customHeight="1">
      <c r="A137" t="inlineStr">
        <is>
          <t>A 23003-2026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46160</v>
      </c>
      <c r="E137" s="1" t="n">
        <v>46302</v>
      </c>
      <c r="F137" t="inlineStr">
        <is>
          <t>GÄVLEBORGS LÄN</t>
        </is>
      </c>
      <c r="G137" t="inlineStr">
        <is>
          <t>GÄVLE</t>
        </is>
      </c>
      <c r="I137" t="n">
        <v>12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Tjäder</t>
        </is>
      </c>
      <c r="W137">
        <f>HYPERLINK("https://klasma.github.io/Logging_2180/artfynd/A 23003-2026 artfynd.xlsx", "A 23003-2026")</f>
        <v/>
      </c>
      <c r="X137">
        <f>HYPERLINK("https://klasma.github.io/Logging_2180/kartor/A 23003-2026 karta.png", "A 23003-2026")</f>
        <v/>
      </c>
      <c r="Y137">
        <f>HYPERLINK("https://klasma.github.io/Logging_2180/kartor_geotiff/A 23003-2026 georefererad karta.tif", "A 23003-2026")</f>
        <v/>
      </c>
      <c r="AA137">
        <f>HYPERLINK("https://klasma.github.io/Logging_2180/klagomål/A 23003-2026 FSC-klagomål.docx", "A 23003-2026")</f>
        <v/>
      </c>
      <c r="AB137">
        <f>HYPERLINK("https://klasma.github.io/Logging_2180/klagomålsmail/A 23003-2026 FSC-klagomål mail.docx", "A 23003-2026")</f>
        <v/>
      </c>
      <c r="AC137">
        <f>HYPERLINK("https://klasma.github.io/Logging_2180/tillsyn/A 23003-2026 tillsynsbegäran.docx", "A 23003-2026")</f>
        <v/>
      </c>
      <c r="AD137">
        <f>HYPERLINK("https://klasma.github.io/Logging_2180/tillsynsmail/A 23003-2026 tillsynsbegäran mail.docx", "A 23003-2026")</f>
        <v/>
      </c>
      <c r="AE137">
        <f>HYPERLINK("https://klasma.github.io/Logging_2180/fåglar/A 23003-2026 prioriterade fågelarter.docx", "A 23003-2026")</f>
        <v/>
      </c>
    </row>
    <row r="138" ht="15" customHeight="1">
      <c r="A138" t="inlineStr">
        <is>
          <t>A 19635-2026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46133</v>
      </c>
      <c r="E138" s="1" t="n">
        <v>46302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HYPERLINK("https://klasma.github.io/Logging_2180/artfynd/A 19635-2026 artfynd.xlsx", "A 19635-2026")</f>
        <v/>
      </c>
      <c r="X138">
        <f>HYPERLINK("https://klasma.github.io/Logging_2180/kartor/A 19635-2026 karta.png", "A 19635-2026")</f>
        <v/>
      </c>
      <c r="Y138">
        <f>HYPERLINK("https://klasma.github.io/Logging_2180/kartor_geotiff/A 19635-2026 georefererad karta.tif", "A 19635-2026")</f>
        <v/>
      </c>
      <c r="AA138">
        <f>HYPERLINK("https://klasma.github.io/Logging_2180/klagomål/A 19635-2026 FSC-klagomål.docx", "A 19635-2026")</f>
        <v/>
      </c>
      <c r="AB138">
        <f>HYPERLINK("https://klasma.github.io/Logging_2180/klagomålsmail/A 19635-2026 FSC-klagomål mail.docx", "A 19635-2026")</f>
        <v/>
      </c>
      <c r="AC138">
        <f>HYPERLINK("https://klasma.github.io/Logging_2180/tillsyn/A 19635-2026 tillsynsbegäran.docx", "A 19635-2026")</f>
        <v/>
      </c>
      <c r="AD138">
        <f>HYPERLINK("https://klasma.github.io/Logging_2180/tillsynsmail/A 19635-2026 tillsynsbegäran mail.docx", "A 19635-2026")</f>
        <v/>
      </c>
    </row>
    <row r="139" ht="15" customHeight="1">
      <c r="A139" t="inlineStr">
        <is>
          <t>A 37927-2022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44811</v>
      </c>
      <c r="E139" s="1" t="n">
        <v>46302</v>
      </c>
      <c r="F139" t="inlineStr">
        <is>
          <t>GÄVLEBORGS LÄN</t>
        </is>
      </c>
      <c r="G139" t="inlineStr">
        <is>
          <t>GÄVLE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10</v>
      </c>
      <c r="U139" t="n">
        <v>10</v>
      </c>
      <c r="V139" s="2" t="inlineStr">
        <is>
          <t>Knärot</t>
        </is>
      </c>
      <c r="W139">
        <f>HYPERLINK("https://klasma.github.io/Logging_2180/artfynd/A 37927-2022 artfynd.xlsx", "A 37927-2022")</f>
        <v/>
      </c>
      <c r="X139">
        <f>HYPERLINK("https://klasma.github.io/Logging_2180/kartor/A 37927-2022 karta.png", "A 37927-2022")</f>
        <v/>
      </c>
      <c r="Y139">
        <f>HYPERLINK("https://klasma.github.io/Logging_2180/kartor_geotiff/A 37927-2022 georefererad karta.tif", "A 37927-2022")</f>
        <v/>
      </c>
      <c r="Z139">
        <f>HYPERLINK("https://klasma.github.io/Logging_2180/knärot/A 37927-2022 karta knärot.png", "A 37927-2022")</f>
        <v/>
      </c>
      <c r="AA139">
        <f>HYPERLINK("https://klasma.github.io/Logging_2180/klagomål/A 37927-2022 FSC-klagomål.docx", "A 37927-2022")</f>
        <v/>
      </c>
      <c r="AB139">
        <f>HYPERLINK("https://klasma.github.io/Logging_2180/klagomålsmail/A 37927-2022 FSC-klagomål mail.docx", "A 37927-2022")</f>
        <v/>
      </c>
      <c r="AC139">
        <f>HYPERLINK("https://klasma.github.io/Logging_2180/tillsyn/A 37927-2022 tillsynsbegäran.docx", "A 37927-2022")</f>
        <v/>
      </c>
      <c r="AD139">
        <f>HYPERLINK("https://klasma.github.io/Logging_2180/tillsynsmail/A 37927-2022 tillsynsbegäran mail.docx", "A 37927-2022")</f>
        <v/>
      </c>
    </row>
    <row r="140" ht="15" customHeight="1">
      <c r="A140" t="inlineStr">
        <is>
          <t>A 12083-2025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46302</v>
      </c>
      <c r="F140" t="inlineStr">
        <is>
          <t>GÄVLEBORGS LÄN</t>
        </is>
      </c>
      <c r="G140" t="inlineStr">
        <is>
          <t>GÄVLE</t>
        </is>
      </c>
      <c r="I140" t="n">
        <v>6.3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Grönsiska</t>
        </is>
      </c>
      <c r="W140">
        <f>HYPERLINK("https://klasma.github.io/Logging_2180/artfynd/A 12083-2025 artfynd.xlsx", "A 12083-2025")</f>
        <v/>
      </c>
      <c r="X140">
        <f>HYPERLINK("https://klasma.github.io/Logging_2180/kartor/A 12083-2025 karta.png", "A 12083-2025")</f>
        <v/>
      </c>
      <c r="Y140">
        <f>HYPERLINK("https://klasma.github.io/Logging_2180/kartor_geotiff/A 12083-2025 georefererad karta.tif", "A 12083-2025")</f>
        <v/>
      </c>
      <c r="AA140">
        <f>HYPERLINK("https://klasma.github.io/Logging_2180/klagomål/A 12083-2025 FSC-klagomål.docx", "A 12083-2025")</f>
        <v/>
      </c>
      <c r="AB140">
        <f>HYPERLINK("https://klasma.github.io/Logging_2180/klagomålsmail/A 12083-2025 FSC-klagomål mail.docx", "A 12083-2025")</f>
        <v/>
      </c>
      <c r="AC140">
        <f>HYPERLINK("https://klasma.github.io/Logging_2180/tillsyn/A 12083-2025 tillsynsbegäran.docx", "A 12083-2025")</f>
        <v/>
      </c>
      <c r="AD140">
        <f>HYPERLINK("https://klasma.github.io/Logging_2180/tillsynsmail/A 12083-2025 tillsynsbegäran mail.docx", "A 12083-2025")</f>
        <v/>
      </c>
    </row>
    <row r="141" ht="15" customHeight="1">
      <c r="A141" t="inlineStr">
        <is>
          <t>A 13227-2024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46302</v>
      </c>
      <c r="F141" t="inlineStr">
        <is>
          <t>GÄVLEBORGS LÄN</t>
        </is>
      </c>
      <c r="G141" t="inlineStr">
        <is>
          <t>GÄVLE</t>
        </is>
      </c>
      <c r="H141" t="inlineStr">
        <is>
          <t>Övriga statliga verk och myndigheter</t>
        </is>
      </c>
      <c r="I141" t="n">
        <v>5.9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Större vattensalamander</t>
        </is>
      </c>
      <c r="W141">
        <f>HYPERLINK("https://klasma.github.io/Logging_2180/artfynd/A 13227-2024 artfynd.xlsx", "A 13227-2024")</f>
        <v/>
      </c>
      <c r="X141">
        <f>HYPERLINK("https://klasma.github.io/Logging_2180/kartor/A 13227-2024 karta.png", "A 13227-2024")</f>
        <v/>
      </c>
      <c r="Y141">
        <f>HYPERLINK("https://klasma.github.io/Logging_2180/kartor_geotiff/A 13227-2024 georefererad karta.tif", "A 13227-2024")</f>
        <v/>
      </c>
      <c r="AA141">
        <f>HYPERLINK("https://klasma.github.io/Logging_2180/klagomål/A 13227-2024 FSC-klagomål.docx", "A 13227-2024")</f>
        <v/>
      </c>
      <c r="AB141">
        <f>HYPERLINK("https://klasma.github.io/Logging_2180/klagomålsmail/A 13227-2024 FSC-klagomål mail.docx", "A 13227-2024")</f>
        <v/>
      </c>
      <c r="AC141">
        <f>HYPERLINK("https://klasma.github.io/Logging_2180/tillsyn/A 13227-2024 tillsynsbegäran.docx", "A 13227-2024")</f>
        <v/>
      </c>
      <c r="AD141">
        <f>HYPERLINK("https://klasma.github.io/Logging_2180/tillsynsmail/A 13227-2024 tillsynsbegäran mail.docx", "A 13227-2024")</f>
        <v/>
      </c>
    </row>
    <row r="142" ht="15" customHeight="1">
      <c r="A142" t="inlineStr">
        <is>
          <t>S 399-2022</t>
        </is>
      </c>
      <c r="B142" t="inlineStr">
        <is>
          <t>samrådsanmälan</t>
        </is>
      </c>
      <c r="C142" t="inlineStr">
        <is>
          <t>Skogsgödsling</t>
        </is>
      </c>
      <c r="D142" s="1" t="n">
        <v>44585</v>
      </c>
      <c r="E142" s="1" t="n">
        <v>46302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44.4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HYPERLINK("https://klasma.github.io/Logging_2180/artfynd/S 399-2022 artfynd.xlsx", "S 399-2022")</f>
        <v/>
      </c>
      <c r="X142">
        <f>HYPERLINK("https://klasma.github.io/Logging_2180/kartor/S 399-2022 karta.png", "S 399-2022")</f>
        <v/>
      </c>
      <c r="Y142">
        <f>HYPERLINK("https://klasma.github.io/Logging_2180/kartor_geotiff/S 399-2022 georefererad karta.tif", "S 399-2022")</f>
        <v/>
      </c>
      <c r="AA142">
        <f>HYPERLINK("https://klasma.github.io/Logging_2180/klagomål/S 399-2022 FSC-klagomål.docx", "S 399-2022")</f>
        <v/>
      </c>
      <c r="AB142">
        <f>HYPERLINK("https://klasma.github.io/Logging_2180/klagomålsmail/S 399-2022 FSC-klagomål mail.docx", "S 399-2022")</f>
        <v/>
      </c>
      <c r="AC142">
        <f>HYPERLINK("https://klasma.github.io/Logging_2180/tillsyn/S 399-2022 tillsynsbegäran.docx", "S 399-2022")</f>
        <v/>
      </c>
      <c r="AD142">
        <f>HYPERLINK("https://klasma.github.io/Logging_2180/tillsynsmail/S 399-2022 tillsynsbegäran mail.docx", "S 399-2022")</f>
        <v/>
      </c>
    </row>
    <row r="143" ht="15" customHeight="1">
      <c r="A143" t="inlineStr">
        <is>
          <t>S 235-2025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45680</v>
      </c>
      <c r="E143" s="1" t="n">
        <v>46302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12.7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HYPERLINK("https://klasma.github.io/Logging_2180/artfynd/S 235-2025 artfynd.xlsx", "S 235-2025")</f>
        <v/>
      </c>
      <c r="X143">
        <f>HYPERLINK("https://klasma.github.io/Logging_2180/kartor/S 235-2025 karta.png", "S 235-2025")</f>
        <v/>
      </c>
      <c r="Y143">
        <f>HYPERLINK("https://klasma.github.io/Logging_2180/kartor_geotiff/S 235-2025 georefererad karta.tif", "S 235-2025")</f>
        <v/>
      </c>
      <c r="AA143">
        <f>HYPERLINK("https://klasma.github.io/Logging_2180/klagomål/S 235-2025 FSC-klagomål.docx", "S 235-2025")</f>
        <v/>
      </c>
      <c r="AB143">
        <f>HYPERLINK("https://klasma.github.io/Logging_2180/klagomålsmail/S 235-2025 FSC-klagomål mail.docx", "S 235-2025")</f>
        <v/>
      </c>
      <c r="AC143">
        <f>HYPERLINK("https://klasma.github.io/Logging_2180/tillsyn/S 235-2025 tillsynsbegäran.docx", "S 235-2025")</f>
        <v/>
      </c>
      <c r="AD143">
        <f>HYPERLINK("https://klasma.github.io/Logging_2180/tillsynsmail/S 235-2025 tillsynsbegäran mail.docx", "S 235-2025")</f>
        <v/>
      </c>
    </row>
    <row r="144" ht="15" customHeight="1">
      <c r="A144" t="inlineStr">
        <is>
          <t>S 3895-2024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45562</v>
      </c>
      <c r="E144" s="1" t="n">
        <v>46302</v>
      </c>
      <c r="F144" t="inlineStr">
        <is>
          <t>GÄVLEBORGS LÄN</t>
        </is>
      </c>
      <c r="G144" t="inlineStr">
        <is>
          <t>GÄVLE</t>
        </is>
      </c>
      <c r="I144" t="n">
        <v>14.3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16</v>
      </c>
      <c r="U144" t="n">
        <v>3</v>
      </c>
      <c r="V144" s="2" t="inlineStr">
        <is>
          <t>Väddnätfjäril</t>
        </is>
      </c>
      <c r="W144">
        <f>HYPERLINK("https://klasma.github.io/Logging_2180/artfynd/S 3895-2024 artfynd.xlsx", "S 3895-2024")</f>
        <v/>
      </c>
      <c r="X144">
        <f>HYPERLINK("https://klasma.github.io/Logging_2180/kartor/S 3895-2024 karta.png", "S 3895-2024")</f>
        <v/>
      </c>
      <c r="Y144">
        <f>HYPERLINK("https://klasma.github.io/Logging_2180/kartor_geotiff/S 3895-2024 georefererad karta.tif", "S 3895-2024")</f>
        <v/>
      </c>
      <c r="AA144">
        <f>HYPERLINK("https://klasma.github.io/Logging_2180/klagomål/S 3895-2024 FSC-klagomål.docx", "S 3895-2024")</f>
        <v/>
      </c>
      <c r="AB144">
        <f>HYPERLINK("https://klasma.github.io/Logging_2180/klagomålsmail/S 3895-2024 FSC-klagomål mail.docx", "S 3895-2024")</f>
        <v/>
      </c>
      <c r="AC144">
        <f>HYPERLINK("https://klasma.github.io/Logging_2180/tillsyn/S 3895-2024 tillsynsbegäran.docx", "S 3895-2024")</f>
        <v/>
      </c>
      <c r="AD144">
        <f>HYPERLINK("https://klasma.github.io/Logging_2180/tillsynsmail/S 3895-2024 tillsynsbegäran mail.docx", "S 3895-2024")</f>
        <v/>
      </c>
    </row>
    <row r="145" ht="15" customHeight="1">
      <c r="A145" t="inlineStr">
        <is>
          <t>S 952-2026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46113</v>
      </c>
      <c r="E145" s="1" t="n">
        <v>46302</v>
      </c>
      <c r="F145" t="inlineStr">
        <is>
          <t>GÄVLEBORGS LÄN</t>
        </is>
      </c>
      <c r="G145" t="inlineStr">
        <is>
          <t>GÄVLE</t>
        </is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Mosippa</t>
        </is>
      </c>
      <c r="W145">
        <f>HYPERLINK("https://klasma.github.io/Logging_2180/artfynd/S 952-2026 artfynd.xlsx", "S 952-2026")</f>
        <v/>
      </c>
      <c r="X145">
        <f>HYPERLINK("https://klasma.github.io/Logging_2180/kartor/S 952-2026 karta.png", "S 952-2026")</f>
        <v/>
      </c>
      <c r="Y145">
        <f>HYPERLINK("https://klasma.github.io/Logging_2180/kartor_geotiff/S 952-2026 georefererad karta.tif", "S 952-2026")</f>
        <v/>
      </c>
      <c r="AA145">
        <f>HYPERLINK("https://klasma.github.io/Logging_2180/klagomål/S 952-2026 FSC-klagomål.docx", "S 952-2026")</f>
        <v/>
      </c>
      <c r="AB145">
        <f>HYPERLINK("https://klasma.github.io/Logging_2180/klagomålsmail/S 952-2026 FSC-klagomål mail.docx", "S 952-2026")</f>
        <v/>
      </c>
      <c r="AC145">
        <f>HYPERLINK("https://klasma.github.io/Logging_2180/tillsyn/S 952-2026 tillsynsbegäran.docx", "S 952-2026")</f>
        <v/>
      </c>
      <c r="AD145">
        <f>HYPERLINK("https://klasma.github.io/Logging_2180/tillsynsmail/S 952-2026 tillsynsbegäran mail.docx", "S 952-2026")</f>
        <v/>
      </c>
    </row>
    <row r="146" ht="15" customHeight="1">
      <c r="A146" t="inlineStr">
        <is>
          <t>A 28757-2022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46302</v>
      </c>
      <c r="F146" t="inlineStr">
        <is>
          <t>GÄVLEBORGS LÄN</t>
        </is>
      </c>
      <c r="G146" t="inlineStr">
        <is>
          <t>GÄVLE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66494-2021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44519</v>
      </c>
      <c r="E147" s="1" t="n">
        <v>46302</v>
      </c>
      <c r="F147" t="inlineStr">
        <is>
          <t>GÄVLEBORGS LÄN</t>
        </is>
      </c>
      <c r="G147" t="inlineStr">
        <is>
          <t>GÄVLE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46302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46302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46302</v>
      </c>
      <c r="F150" t="inlineStr">
        <is>
          <t>GÄVLEBORGS LÄN</t>
        </is>
      </c>
      <c r="G150" t="inlineStr">
        <is>
          <t>GÄVLE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44805</v>
      </c>
      <c r="E151" s="1" t="n">
        <v>46302</v>
      </c>
      <c r="F151" t="inlineStr">
        <is>
          <t>GÄVLEBORGS LÄN</t>
        </is>
      </c>
      <c r="G151" t="inlineStr">
        <is>
          <t>GÄVLE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46302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46302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46302</v>
      </c>
      <c r="F154" t="inlineStr">
        <is>
          <t>GÄVLEBORGS LÄN</t>
        </is>
      </c>
      <c r="G154" t="inlineStr">
        <is>
          <t>GÄVLE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46302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46302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46302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46302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46302</v>
      </c>
      <c r="F159" t="inlineStr">
        <is>
          <t>GÄVLEBORGS LÄN</t>
        </is>
      </c>
      <c r="G159" t="inlineStr">
        <is>
          <t>GÄVLE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46302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46302</v>
      </c>
      <c r="F162" t="inlineStr">
        <is>
          <t>GÄVLEBORGS LÄN</t>
        </is>
      </c>
      <c r="G162" t="inlineStr">
        <is>
          <t>GÄVLE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46302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46302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46302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46302</v>
      </c>
      <c r="F166" t="inlineStr">
        <is>
          <t>GÄVLEBORGS LÄN</t>
        </is>
      </c>
      <c r="G166" t="inlineStr">
        <is>
          <t>GÄVLE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46302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44589</v>
      </c>
      <c r="E168" s="1" t="n">
        <v>46302</v>
      </c>
      <c r="F168" t="inlineStr">
        <is>
          <t>GÄVLEBORGS LÄN</t>
        </is>
      </c>
      <c r="G168" t="inlineStr">
        <is>
          <t>GÄVLE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46302</v>
      </c>
      <c r="F169" t="inlineStr">
        <is>
          <t>GÄVLEBORGS LÄN</t>
        </is>
      </c>
      <c r="G169" t="inlineStr">
        <is>
          <t>GÄVLE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46302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46302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46302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46302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46302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46302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46302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46302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46302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46302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46302</v>
      </c>
      <c r="F180" t="inlineStr">
        <is>
          <t>GÄVLEBORGS LÄN</t>
        </is>
      </c>
      <c r="G180" t="inlineStr">
        <is>
          <t>GÄVLE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46302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46302</v>
      </c>
      <c r="F182" t="inlineStr">
        <is>
          <t>GÄVLEBORGS LÄN</t>
        </is>
      </c>
      <c r="G182" t="inlineStr">
        <is>
          <t>GÄVLE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45454</v>
      </c>
      <c r="E183" s="1" t="n">
        <v>46302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45014</v>
      </c>
      <c r="E184" s="1" t="n">
        <v>46302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46302</v>
      </c>
      <c r="F185" t="inlineStr">
        <is>
          <t>GÄVLEBORGS LÄN</t>
        </is>
      </c>
      <c r="G185" t="inlineStr">
        <is>
          <t>GÄVLE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46302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46302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46302</v>
      </c>
      <c r="F188" t="inlineStr">
        <is>
          <t>GÄVLEBORGS LÄN</t>
        </is>
      </c>
      <c r="G188" t="inlineStr">
        <is>
          <t>GÄVLE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44637</v>
      </c>
      <c r="E189" s="1" t="n">
        <v>46302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46302</v>
      </c>
      <c r="F190" t="inlineStr">
        <is>
          <t>GÄVLEBORGS LÄN</t>
        </is>
      </c>
      <c r="G190" t="inlineStr">
        <is>
          <t>GÄVLE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46302</v>
      </c>
      <c r="F191" t="inlineStr">
        <is>
          <t>GÄVLEBORGS LÄN</t>
        </is>
      </c>
      <c r="G191" t="inlineStr">
        <is>
          <t>GÄVLE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46302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46302</v>
      </c>
      <c r="F193" t="inlineStr">
        <is>
          <t>GÄVLEBORGS LÄN</t>
        </is>
      </c>
      <c r="G193" t="inlineStr">
        <is>
          <t>GÄVLE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46302</v>
      </c>
      <c r="F194" t="inlineStr">
        <is>
          <t>GÄVLEBORGS LÄN</t>
        </is>
      </c>
      <c r="G194" t="inlineStr">
        <is>
          <t>GÄVLE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46302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46302</v>
      </c>
      <c r="F196" t="inlineStr">
        <is>
          <t>GÄVLEBORGS LÄN</t>
        </is>
      </c>
      <c r="G196" t="inlineStr">
        <is>
          <t>GÄVLE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45158</v>
      </c>
      <c r="E197" s="1" t="n">
        <v>46302</v>
      </c>
      <c r="F197" t="inlineStr">
        <is>
          <t>GÄVLEBORGS LÄN</t>
        </is>
      </c>
      <c r="G197" t="inlineStr">
        <is>
          <t>GÄVLE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46302</v>
      </c>
      <c r="F198" t="inlineStr">
        <is>
          <t>GÄVLEBORGS LÄN</t>
        </is>
      </c>
      <c r="G198" t="inlineStr">
        <is>
          <t>GÄVLE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46302</v>
      </c>
      <c r="F199" t="inlineStr">
        <is>
          <t>GÄVLEBORGS LÄN</t>
        </is>
      </c>
      <c r="G199" t="inlineStr">
        <is>
          <t>GÄVLE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44708</v>
      </c>
      <c r="E200" s="1" t="n">
        <v>46302</v>
      </c>
      <c r="F200" t="inlineStr">
        <is>
          <t>GÄVLEBORGS LÄN</t>
        </is>
      </c>
      <c r="G200" t="inlineStr">
        <is>
          <t>GÄVLE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46302</v>
      </c>
      <c r="F201" t="inlineStr">
        <is>
          <t>GÄVLEBORGS LÄN</t>
        </is>
      </c>
      <c r="G201" t="inlineStr">
        <is>
          <t>GÄVLE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46302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46302</v>
      </c>
      <c r="F203" t="inlineStr">
        <is>
          <t>GÄVLEBORGS LÄN</t>
        </is>
      </c>
      <c r="G203" t="inlineStr">
        <is>
          <t>GÄVLE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46302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44942</v>
      </c>
      <c r="E205" s="1" t="n">
        <v>46302</v>
      </c>
      <c r="F205" t="inlineStr">
        <is>
          <t>GÄVLEBORGS LÄN</t>
        </is>
      </c>
      <c r="G205" t="inlineStr">
        <is>
          <t>GÄVLE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19095-2022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44691</v>
      </c>
      <c r="E206" s="1" t="n">
        <v>46302</v>
      </c>
      <c r="F206" t="inlineStr">
        <is>
          <t>GÄVLEBORGS LÄN</t>
        </is>
      </c>
      <c r="G206" t="inlineStr">
        <is>
          <t>GÄVLE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45184</v>
      </c>
      <c r="E207" s="1" t="n">
        <v>46302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46302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46302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46302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46302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44756</v>
      </c>
      <c r="E212" s="1" t="n">
        <v>46302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46302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45084</v>
      </c>
      <c r="E214" s="1" t="n">
        <v>46302</v>
      </c>
      <c r="F214" t="inlineStr">
        <is>
          <t>GÄVLEBORGS LÄN</t>
        </is>
      </c>
      <c r="G214" t="inlineStr">
        <is>
          <t>GÄVLE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50871-2022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44867</v>
      </c>
      <c r="E215" s="1" t="n">
        <v>46302</v>
      </c>
      <c r="F215" t="inlineStr">
        <is>
          <t>GÄVLEBORGS LÄN</t>
        </is>
      </c>
      <c r="G215" t="inlineStr">
        <is>
          <t>GÄVLE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44693</v>
      </c>
      <c r="E216" s="1" t="n">
        <v>46302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46302</v>
      </c>
      <c r="F217" t="inlineStr">
        <is>
          <t>GÄVLEBORGS LÄN</t>
        </is>
      </c>
      <c r="G217" t="inlineStr">
        <is>
          <t>GÄVLE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46302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46302</v>
      </c>
      <c r="F219" t="inlineStr">
        <is>
          <t>GÄVLEBORGS LÄN</t>
        </is>
      </c>
      <c r="G219" t="inlineStr">
        <is>
          <t>GÄVLE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46302</v>
      </c>
      <c r="F220" t="inlineStr">
        <is>
          <t>GÄVLEBORGS LÄN</t>
        </is>
      </c>
      <c r="G220" t="inlineStr">
        <is>
          <t>GÄVLE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46302</v>
      </c>
      <c r="F221" t="inlineStr">
        <is>
          <t>GÄVLEBORGS LÄN</t>
        </is>
      </c>
      <c r="G221" t="inlineStr">
        <is>
          <t>GÄVLE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26564-2022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44739</v>
      </c>
      <c r="E222" s="1" t="n">
        <v>46302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46302</v>
      </c>
      <c r="F223" t="inlineStr">
        <is>
          <t>GÄVLEBORGS LÄN</t>
        </is>
      </c>
      <c r="G223" t="inlineStr">
        <is>
          <t>GÄVLE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37258-2024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46302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44733</v>
      </c>
      <c r="E225" s="1" t="n">
        <v>46302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46302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46302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45652</v>
      </c>
      <c r="E228" s="1" t="n">
        <v>46302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46041</v>
      </c>
      <c r="E229" s="1" t="n">
        <v>46302</v>
      </c>
      <c r="F229" t="inlineStr">
        <is>
          <t>GÄVLEBORGS LÄN</t>
        </is>
      </c>
      <c r="G229" t="inlineStr">
        <is>
          <t>GÄVLE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46302</v>
      </c>
      <c r="F230" t="inlineStr">
        <is>
          <t>GÄVLEBORGS LÄN</t>
        </is>
      </c>
      <c r="G230" t="inlineStr">
        <is>
          <t>GÄVLE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46302</v>
      </c>
      <c r="F231" t="inlineStr">
        <is>
          <t>GÄVLEBORGS LÄN</t>
        </is>
      </c>
      <c r="G231" t="inlineStr">
        <is>
          <t>GÄVLE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45884</v>
      </c>
      <c r="E232" s="1" t="n">
        <v>46302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46302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46302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45030</v>
      </c>
      <c r="E235" s="1" t="n">
        <v>46302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46302</v>
      </c>
      <c r="F236" t="inlineStr">
        <is>
          <t>GÄVLEBORGS LÄN</t>
        </is>
      </c>
      <c r="G236" t="inlineStr">
        <is>
          <t>GÄVLE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46302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46302</v>
      </c>
      <c r="F238" t="inlineStr">
        <is>
          <t>GÄVLEBORGS LÄN</t>
        </is>
      </c>
      <c r="G238" t="inlineStr">
        <is>
          <t>GÄVLE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46302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46302</v>
      </c>
      <c r="F240" t="inlineStr">
        <is>
          <t>GÄVLEBORGS LÄN</t>
        </is>
      </c>
      <c r="G240" t="inlineStr">
        <is>
          <t>GÄVLE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44589</v>
      </c>
      <c r="E241" s="1" t="n">
        <v>46302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46302</v>
      </c>
      <c r="F242" t="inlineStr">
        <is>
          <t>GÄVLEBORGS LÄN</t>
        </is>
      </c>
      <c r="G242" t="inlineStr">
        <is>
          <t>GÄVLE</t>
        </is>
      </c>
      <c r="H242" t="inlineStr">
        <is>
          <t>Kyrkan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40297-2025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45895</v>
      </c>
      <c r="E243" s="1" t="n">
        <v>46302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46302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46302</v>
      </c>
      <c r="F245" t="inlineStr">
        <is>
          <t>GÄVLEBORGS LÄN</t>
        </is>
      </c>
      <c r="G245" t="inlineStr">
        <is>
          <t>GÄVLE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46052</v>
      </c>
      <c r="E246" s="1" t="n">
        <v>46302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46052</v>
      </c>
      <c r="E247" s="1" t="n">
        <v>46302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46302</v>
      </c>
      <c r="F248" t="inlineStr">
        <is>
          <t>GÄVLEBORGS LÄN</t>
        </is>
      </c>
      <c r="G248" t="inlineStr">
        <is>
          <t>GÄVLE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46302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46302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46056</v>
      </c>
      <c r="E251" s="1" t="n">
        <v>46302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6681-2026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46302</v>
      </c>
      <c r="F252" t="inlineStr">
        <is>
          <t>GÄVLEBORGS LÄN</t>
        </is>
      </c>
      <c r="G252" t="inlineStr">
        <is>
          <t>GÄVLE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45146</v>
      </c>
      <c r="E253" s="1" t="n">
        <v>46302</v>
      </c>
      <c r="F253" t="inlineStr">
        <is>
          <t>GÄVLEBORGS LÄN</t>
        </is>
      </c>
      <c r="G253" t="inlineStr">
        <is>
          <t>GÄVLE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46302</v>
      </c>
      <c r="F254" t="inlineStr">
        <is>
          <t>GÄVLEBORGS LÄN</t>
        </is>
      </c>
      <c r="G254" t="inlineStr">
        <is>
          <t>GÄVLE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46302</v>
      </c>
      <c r="F255" t="inlineStr">
        <is>
          <t>GÄVLEBORGS LÄN</t>
        </is>
      </c>
      <c r="G255" t="inlineStr">
        <is>
          <t>GÄVLE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46302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46302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45468</v>
      </c>
      <c r="E258" s="1" t="n">
        <v>46302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46302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35206-2024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46302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46302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46302</v>
      </c>
      <c r="F262" t="inlineStr">
        <is>
          <t>GÄVLEBORGS LÄN</t>
        </is>
      </c>
      <c r="G262" t="inlineStr">
        <is>
          <t>GÄVLE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46302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46302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46302</v>
      </c>
      <c r="F266" t="inlineStr">
        <is>
          <t>GÄVLEBORGS LÄN</t>
        </is>
      </c>
      <c r="G266" t="inlineStr">
        <is>
          <t>GÄVLE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46302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46302</v>
      </c>
      <c r="F268" t="inlineStr">
        <is>
          <t>GÄVLEBORGS LÄN</t>
        </is>
      </c>
      <c r="G268" t="inlineStr">
        <is>
          <t>GÄVLE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46100</v>
      </c>
      <c r="E269" s="1" t="n">
        <v>46302</v>
      </c>
      <c r="F269" t="inlineStr">
        <is>
          <t>GÄVLEBORGS LÄN</t>
        </is>
      </c>
      <c r="G269" t="inlineStr">
        <is>
          <t>GÄVLE</t>
        </is>
      </c>
      <c r="H269" t="inlineStr">
        <is>
          <t>Övriga statliga verk och myndigheter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46302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46302</v>
      </c>
      <c r="F271" t="inlineStr">
        <is>
          <t>GÄVLEBORGS LÄN</t>
        </is>
      </c>
      <c r="G271" t="inlineStr">
        <is>
          <t>GÄVLE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46302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46302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46302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46302</v>
      </c>
      <c r="F275" t="inlineStr">
        <is>
          <t>GÄVLEBORGS LÄN</t>
        </is>
      </c>
      <c r="G275" t="inlineStr">
        <is>
          <t>GÄVLE</t>
        </is>
      </c>
      <c r="H275" t="inlineStr">
        <is>
          <t>Kyrkan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46302</v>
      </c>
      <c r="F276" t="inlineStr">
        <is>
          <t>GÄVLEBORGS LÄN</t>
        </is>
      </c>
      <c r="G276" t="inlineStr">
        <is>
          <t>GÄVLE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46302</v>
      </c>
      <c r="F277" t="inlineStr">
        <is>
          <t>GÄVLEBORGS LÄN</t>
        </is>
      </c>
      <c r="G277" t="inlineStr">
        <is>
          <t>GÄVLE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46302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46302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46302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45909</v>
      </c>
      <c r="E281" s="1" t="n">
        <v>46302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46302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46302</v>
      </c>
      <c r="F283" t="inlineStr">
        <is>
          <t>GÄVLEBORGS LÄN</t>
        </is>
      </c>
      <c r="G283" t="inlineStr">
        <is>
          <t>GÄVLE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46302</v>
      </c>
      <c r="F284" t="inlineStr">
        <is>
          <t>GÄVLEBORGS LÄN</t>
        </is>
      </c>
      <c r="G284" t="inlineStr">
        <is>
          <t>GÄVLE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46302</v>
      </c>
      <c r="F285" t="inlineStr">
        <is>
          <t>GÄVLEBORGS LÄN</t>
        </is>
      </c>
      <c r="G285" t="inlineStr">
        <is>
          <t>GÄVLE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46302</v>
      </c>
      <c r="F286" t="inlineStr">
        <is>
          <t>GÄVLEBORGS LÄN</t>
        </is>
      </c>
      <c r="G286" t="inlineStr">
        <is>
          <t>GÄVLE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46302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46302</v>
      </c>
      <c r="F288" t="inlineStr">
        <is>
          <t>GÄVLEBORGS LÄN</t>
        </is>
      </c>
      <c r="G288" t="inlineStr">
        <is>
          <t>GÄVLE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46302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46302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46302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46302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46302</v>
      </c>
      <c r="F293" t="inlineStr">
        <is>
          <t>GÄVLEBORGS LÄN</t>
        </is>
      </c>
      <c r="G293" t="inlineStr">
        <is>
          <t>GÄVLE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46076</v>
      </c>
      <c r="E294" s="1" t="n">
        <v>46302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45850-2025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45923</v>
      </c>
      <c r="E295" s="1" t="n">
        <v>46302</v>
      </c>
      <c r="F295" t="inlineStr">
        <is>
          <t>GÄVLEBORGS LÄN</t>
        </is>
      </c>
      <c r="G295" t="inlineStr">
        <is>
          <t>GÄVLE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46302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46302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45827</v>
      </c>
      <c r="E298" s="1" t="n">
        <v>46302</v>
      </c>
      <c r="F298" t="inlineStr">
        <is>
          <t>GÄVLEBORGS LÄN</t>
        </is>
      </c>
      <c r="G298" t="inlineStr">
        <is>
          <t>GÄVLE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30202-2025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45827</v>
      </c>
      <c r="E299" s="1" t="n">
        <v>46302</v>
      </c>
      <c r="F299" t="inlineStr">
        <is>
          <t>GÄVLEBORGS LÄN</t>
        </is>
      </c>
      <c r="G299" t="inlineStr">
        <is>
          <t>GÄVLE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46302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46302</v>
      </c>
      <c r="F301" t="inlineStr">
        <is>
          <t>GÄVLEBORGS LÄN</t>
        </is>
      </c>
      <c r="G301" t="inlineStr">
        <is>
          <t>GÄVLE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46302</v>
      </c>
      <c r="F302" t="inlineStr">
        <is>
          <t>GÄVLEBORGS LÄN</t>
        </is>
      </c>
      <c r="G302" t="inlineStr">
        <is>
          <t>GÄVLE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46302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46302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45463</v>
      </c>
      <c r="E305" s="1" t="n">
        <v>46302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46302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46302</v>
      </c>
      <c r="F307" t="inlineStr">
        <is>
          <t>GÄVLEBORGS LÄN</t>
        </is>
      </c>
      <c r="G307" t="inlineStr">
        <is>
          <t>GÄVLE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46302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46302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46302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46302</v>
      </c>
      <c r="F311" t="inlineStr">
        <is>
          <t>GÄVLEBORGS LÄN</t>
        </is>
      </c>
      <c r="G311" t="inlineStr">
        <is>
          <t>GÄVLE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46302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46302</v>
      </c>
      <c r="F313" t="inlineStr">
        <is>
          <t>GÄVLEBORGS LÄN</t>
        </is>
      </c>
      <c r="G313" t="inlineStr">
        <is>
          <t>GÄVLE</t>
        </is>
      </c>
      <c r="H313" t="inlineStr">
        <is>
          <t>Kyrkan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45420</v>
      </c>
      <c r="E314" s="1" t="n">
        <v>46302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46302</v>
      </c>
      <c r="F315" t="inlineStr">
        <is>
          <t>GÄVLEBORGS LÄN</t>
        </is>
      </c>
      <c r="G315" t="inlineStr">
        <is>
          <t>GÄVLE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46302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46302</v>
      </c>
      <c r="F317" t="inlineStr">
        <is>
          <t>GÄVLEBORGS LÄN</t>
        </is>
      </c>
      <c r="G317" t="inlineStr">
        <is>
          <t>GÄVLE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46302</v>
      </c>
      <c r="F318" t="inlineStr">
        <is>
          <t>GÄVLEBORGS LÄN</t>
        </is>
      </c>
      <c r="G318" t="inlineStr">
        <is>
          <t>GÄVLE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46302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46302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47171-2025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46302</v>
      </c>
      <c r="F321" t="inlineStr">
        <is>
          <t>GÄVLEBORGS LÄN</t>
        </is>
      </c>
      <c r="G321" t="inlineStr">
        <is>
          <t>GÄVLE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46302</v>
      </c>
      <c r="F322" t="inlineStr">
        <is>
          <t>GÄVLEBORGS LÄN</t>
        </is>
      </c>
      <c r="G322" t="inlineStr">
        <is>
          <t>GÄVLE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46302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46302</v>
      </c>
      <c r="F324" t="inlineStr">
        <is>
          <t>GÄVLEBORGS LÄN</t>
        </is>
      </c>
      <c r="G324" t="inlineStr">
        <is>
          <t>GÄVLE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46302</v>
      </c>
      <c r="F325" t="inlineStr">
        <is>
          <t>GÄVLEBORGS LÄN</t>
        </is>
      </c>
      <c r="G325" t="inlineStr">
        <is>
          <t>GÄVLE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46302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46302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46302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46302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46302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46302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46302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46302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13389-2026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46302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46302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46302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46302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45932</v>
      </c>
      <c r="E338" s="1" t="n">
        <v>46302</v>
      </c>
      <c r="F338" t="inlineStr">
        <is>
          <t>GÄVLEBORGS LÄN</t>
        </is>
      </c>
      <c r="G338" t="inlineStr">
        <is>
          <t>GÄVLE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46302</v>
      </c>
      <c r="F339" t="inlineStr">
        <is>
          <t>GÄVLEBORGS LÄN</t>
        </is>
      </c>
      <c r="G339" t="inlineStr">
        <is>
          <t>GÄVLE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46302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46302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46302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45834</v>
      </c>
      <c r="E343" s="1" t="n">
        <v>46302</v>
      </c>
      <c r="F343" t="inlineStr">
        <is>
          <t>GÄVLEBORGS LÄN</t>
        </is>
      </c>
      <c r="G343" t="inlineStr">
        <is>
          <t>GÄVLE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46302</v>
      </c>
      <c r="F344" t="inlineStr">
        <is>
          <t>GÄVLEBORGS LÄN</t>
        </is>
      </c>
      <c r="G344" t="inlineStr">
        <is>
          <t>GÄVLE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10352-2025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45720</v>
      </c>
      <c r="E345" s="1" t="n">
        <v>46302</v>
      </c>
      <c r="F345" t="inlineStr">
        <is>
          <t>GÄVLEBORGS LÄN</t>
        </is>
      </c>
      <c r="G345" t="inlineStr">
        <is>
          <t>GÄVLE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46302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46302</v>
      </c>
      <c r="F347" t="inlineStr">
        <is>
          <t>GÄVLEBORGS LÄN</t>
        </is>
      </c>
      <c r="G347" t="inlineStr">
        <is>
          <t>GÄVLE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46302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46302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46302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49384-2025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46302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46302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44369-2025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45916</v>
      </c>
      <c r="E353" s="1" t="n">
        <v>46302</v>
      </c>
      <c r="F353" t="inlineStr">
        <is>
          <t>GÄVLEBORGS LÄN</t>
        </is>
      </c>
      <c r="G353" t="inlineStr">
        <is>
          <t>GÄVLE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44960</v>
      </c>
      <c r="E354" s="1" t="n">
        <v>46302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46302</v>
      </c>
      <c r="F355" t="inlineStr">
        <is>
          <t>GÄVLEBORGS LÄN</t>
        </is>
      </c>
      <c r="G355" t="inlineStr">
        <is>
          <t>GÄVLE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24720-2023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46302</v>
      </c>
      <c r="F356" t="inlineStr">
        <is>
          <t>GÄVLEBORGS LÄN</t>
        </is>
      </c>
      <c r="G356" t="inlineStr">
        <is>
          <t>GÄVLE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46302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46302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46302</v>
      </c>
      <c r="F359" t="inlineStr">
        <is>
          <t>GÄVLEBORGS LÄN</t>
        </is>
      </c>
      <c r="G359" t="inlineStr">
        <is>
          <t>GÄVLE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45940</v>
      </c>
      <c r="E360" s="1" t="n">
        <v>46302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46302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46302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46302</v>
      </c>
      <c r="F363" t="inlineStr">
        <is>
          <t>GÄVLEBORGS LÄN</t>
        </is>
      </c>
      <c r="G363" t="inlineStr">
        <is>
          <t>GÄVLE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45784</v>
      </c>
      <c r="E364" s="1" t="n">
        <v>46302</v>
      </c>
      <c r="F364" t="inlineStr">
        <is>
          <t>GÄVLEBORGS LÄN</t>
        </is>
      </c>
      <c r="G364" t="inlineStr">
        <is>
          <t>GÄVLE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65879-2021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44517</v>
      </c>
      <c r="E365" s="1" t="n">
        <v>46302</v>
      </c>
      <c r="F365" t="inlineStr">
        <is>
          <t>GÄVLEBORGS LÄN</t>
        </is>
      </c>
      <c r="G365" t="inlineStr">
        <is>
          <t>GÄVLE</t>
        </is>
      </c>
      <c r="H365" t="inlineStr">
        <is>
          <t>Kyrkan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46302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46302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46302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46302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46302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70043-2021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44533</v>
      </c>
      <c r="E371" s="1" t="n">
        <v>46302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46302</v>
      </c>
      <c r="F372" t="inlineStr">
        <is>
          <t>GÄVLEBORGS LÄN</t>
        </is>
      </c>
      <c r="G372" t="inlineStr">
        <is>
          <t>GÄVLE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45848</v>
      </c>
      <c r="E373" s="1" t="n">
        <v>46302</v>
      </c>
      <c r="F373" t="inlineStr">
        <is>
          <t>GÄVLEBORGS LÄN</t>
        </is>
      </c>
      <c r="G373" t="inlineStr">
        <is>
          <t>GÄVLE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46302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46302</v>
      </c>
      <c r="F375" t="inlineStr">
        <is>
          <t>GÄVLEBORGS LÄN</t>
        </is>
      </c>
      <c r="G375" t="inlineStr">
        <is>
          <t>GÄVLE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45540</v>
      </c>
      <c r="E376" s="1" t="n">
        <v>46302</v>
      </c>
      <c r="F376" t="inlineStr">
        <is>
          <t>GÄVLEBORGS LÄN</t>
        </is>
      </c>
      <c r="G376" t="inlineStr">
        <is>
          <t>GÄVLE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45526</v>
      </c>
      <c r="E377" s="1" t="n">
        <v>46302</v>
      </c>
      <c r="F377" t="inlineStr">
        <is>
          <t>GÄVLEBORGS LÄN</t>
        </is>
      </c>
      <c r="G377" t="inlineStr">
        <is>
          <t>GÄVLE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46302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48834-2024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46302</v>
      </c>
      <c r="F379" t="inlineStr">
        <is>
          <t>GÄVLEBORGS LÄN</t>
        </is>
      </c>
      <c r="G379" t="inlineStr">
        <is>
          <t>GÄVLE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45854</v>
      </c>
      <c r="E380" s="1" t="n">
        <v>46302</v>
      </c>
      <c r="F380" t="inlineStr">
        <is>
          <t>GÄVLEBORGS LÄN</t>
        </is>
      </c>
      <c r="G380" t="inlineStr">
        <is>
          <t>GÄVLE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51893-2025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45952</v>
      </c>
      <c r="E381" s="1" t="n">
        <v>46302</v>
      </c>
      <c r="F381" t="inlineStr">
        <is>
          <t>GÄVLEBORGS LÄN</t>
        </is>
      </c>
      <c r="G381" t="inlineStr">
        <is>
          <t>GÄVLE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52156-2025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46302</v>
      </c>
      <c r="F382" t="inlineStr">
        <is>
          <t>GÄVLEBORGS LÄN</t>
        </is>
      </c>
      <c r="G382" t="inlineStr">
        <is>
          <t>GÄVLE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46302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46302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45859</v>
      </c>
      <c r="E385" s="1" t="n">
        <v>46302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45862</v>
      </c>
      <c r="E386" s="1" t="n">
        <v>46302</v>
      </c>
      <c r="F386" t="inlineStr">
        <is>
          <t>GÄVLEBORGS LÄN</t>
        </is>
      </c>
      <c r="G386" t="inlineStr">
        <is>
          <t>GÄVLE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45862</v>
      </c>
      <c r="E387" s="1" t="n">
        <v>46302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35919-2025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45862</v>
      </c>
      <c r="E388" s="1" t="n">
        <v>46302</v>
      </c>
      <c r="F388" t="inlineStr">
        <is>
          <t>GÄVLEBORGS LÄN</t>
        </is>
      </c>
      <c r="G388" t="inlineStr">
        <is>
          <t>GÄVLE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52970-2025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45957</v>
      </c>
      <c r="E389" s="1" t="n">
        <v>46302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46302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46302</v>
      </c>
      <c r="F391" t="inlineStr">
        <is>
          <t>GÄVLEBORGS LÄN</t>
        </is>
      </c>
      <c r="G391" t="inlineStr">
        <is>
          <t>GÄVLE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45869</v>
      </c>
      <c r="E392" s="1" t="n">
        <v>46302</v>
      </c>
      <c r="F392" t="inlineStr">
        <is>
          <t>GÄVLEBORGS LÄN</t>
        </is>
      </c>
      <c r="G392" t="inlineStr">
        <is>
          <t>GÄVLE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45869</v>
      </c>
      <c r="E393" s="1" t="n">
        <v>46302</v>
      </c>
      <c r="F393" t="inlineStr">
        <is>
          <t>GÄVLEBORGS LÄN</t>
        </is>
      </c>
      <c r="G393" t="inlineStr">
        <is>
          <t>GÄVLE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52897-2025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45957</v>
      </c>
      <c r="E394" s="1" t="n">
        <v>46302</v>
      </c>
      <c r="F394" t="inlineStr">
        <is>
          <t>GÄVLEBORGS LÄN</t>
        </is>
      </c>
      <c r="G394" t="inlineStr">
        <is>
          <t>GÄVLE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46302</v>
      </c>
      <c r="F395" t="inlineStr">
        <is>
          <t>GÄVLEBORGS LÄN</t>
        </is>
      </c>
      <c r="G395" t="inlineStr">
        <is>
          <t>GÄVLE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46302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45873</v>
      </c>
      <c r="E398" s="1" t="n">
        <v>46302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46302</v>
      </c>
      <c r="F399" t="inlineStr">
        <is>
          <t>GÄVLEBORGS LÄN</t>
        </is>
      </c>
      <c r="G399" t="inlineStr">
        <is>
          <t>GÄVLE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46302</v>
      </c>
      <c r="F400" t="inlineStr">
        <is>
          <t>GÄVLEBORGS LÄN</t>
        </is>
      </c>
      <c r="G400" t="inlineStr">
        <is>
          <t>GÄVLE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46302</v>
      </c>
      <c r="F401" t="inlineStr">
        <is>
          <t>GÄVLEBORGS LÄN</t>
        </is>
      </c>
      <c r="G401" t="inlineStr">
        <is>
          <t>GÄVLE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46302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46302</v>
      </c>
      <c r="F403" t="inlineStr">
        <is>
          <t>GÄVLEBORGS LÄN</t>
        </is>
      </c>
      <c r="G403" t="inlineStr">
        <is>
          <t>GÄVLE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46124</v>
      </c>
      <c r="E404" s="1" t="n">
        <v>46302</v>
      </c>
      <c r="F404" t="inlineStr">
        <is>
          <t>GÄVLEBORGS LÄN</t>
        </is>
      </c>
      <c r="G404" t="inlineStr">
        <is>
          <t>GÄVLE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46124</v>
      </c>
      <c r="E405" s="1" t="n">
        <v>46302</v>
      </c>
      <c r="F405" t="inlineStr">
        <is>
          <t>GÄVLEBORGS LÄN</t>
        </is>
      </c>
      <c r="G405" t="inlineStr">
        <is>
          <t>GÄVLE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46124</v>
      </c>
      <c r="E406" s="1" t="n">
        <v>46302</v>
      </c>
      <c r="F406" t="inlineStr">
        <is>
          <t>GÄVLEBORGS LÄN</t>
        </is>
      </c>
      <c r="G406" t="inlineStr">
        <is>
          <t>GÄVLE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13046-2026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46302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46128</v>
      </c>
      <c r="E408" s="1" t="n">
        <v>46302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46302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46302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18162-2022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44684</v>
      </c>
      <c r="E411" s="1" t="n">
        <v>46302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46302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45545</v>
      </c>
      <c r="E413" s="1" t="n">
        <v>46302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46302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46302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46302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46302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46302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46302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36.3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45740</v>
      </c>
      <c r="E421" s="1" t="n">
        <v>46302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46132</v>
      </c>
      <c r="E422" s="1" t="n">
        <v>46302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46302</v>
      </c>
      <c r="F423" t="inlineStr">
        <is>
          <t>GÄVLEBORGS LÄN</t>
        </is>
      </c>
      <c r="G423" t="inlineStr">
        <is>
          <t>GÄVLE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46302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46302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45971</v>
      </c>
      <c r="E426" s="1" t="n">
        <v>46302</v>
      </c>
      <c r="F426" t="inlineStr">
        <is>
          <t>GÄVLEBORGS LÄN</t>
        </is>
      </c>
      <c r="G426" t="inlineStr">
        <is>
          <t>GÄVLE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46302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46302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46302</v>
      </c>
      <c r="F429" t="inlineStr">
        <is>
          <t>GÄVLEBORGS LÄN</t>
        </is>
      </c>
      <c r="G429" t="inlineStr">
        <is>
          <t>GÄVLE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46302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46302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46302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46302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46134</v>
      </c>
      <c r="E434" s="1" t="n">
        <v>46302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46302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46302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46302</v>
      </c>
      <c r="F437" t="inlineStr">
        <is>
          <t>GÄVLEBORGS LÄN</t>
        </is>
      </c>
      <c r="G437" t="inlineStr">
        <is>
          <t>GÄVLE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46302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46302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46302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46302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46302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31062-2023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45113</v>
      </c>
      <c r="E443" s="1" t="n">
        <v>46302</v>
      </c>
      <c r="F443" t="inlineStr">
        <is>
          <t>GÄVLEBORGS LÄN</t>
        </is>
      </c>
      <c r="G443" t="inlineStr">
        <is>
          <t>GÄVLE</t>
        </is>
      </c>
      <c r="H443" t="inlineStr">
        <is>
          <t>Kommuner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46302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46302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46302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46302</v>
      </c>
      <c r="F447" t="inlineStr">
        <is>
          <t>GÄVLEBORGS LÄN</t>
        </is>
      </c>
      <c r="G447" t="inlineStr">
        <is>
          <t>GÄVLE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44735</v>
      </c>
      <c r="E448" s="1" t="n">
        <v>46302</v>
      </c>
      <c r="F448" t="inlineStr">
        <is>
          <t>GÄVLEBORGS LÄN</t>
        </is>
      </c>
      <c r="G448" t="inlineStr">
        <is>
          <t>GÄVLE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46302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46302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46302</v>
      </c>
      <c r="F451" t="inlineStr">
        <is>
          <t>GÄVLEBORGS LÄN</t>
        </is>
      </c>
      <c r="G451" t="inlineStr">
        <is>
          <t>GÄVLE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46302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46302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46302</v>
      </c>
      <c r="F454" t="inlineStr">
        <is>
          <t>GÄVLEBORGS LÄN</t>
        </is>
      </c>
      <c r="G454" t="inlineStr">
        <is>
          <t>GÄVLE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46302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46302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46302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46302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44693</v>
      </c>
      <c r="E459" s="1" t="n">
        <v>46302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46302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46302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45401</v>
      </c>
      <c r="E462" s="1" t="n">
        <v>46302</v>
      </c>
      <c r="F462" t="inlineStr">
        <is>
          <t>GÄVLEBORGS LÄN</t>
        </is>
      </c>
      <c r="G462" t="inlineStr">
        <is>
          <t>GÄVLE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46302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45686</v>
      </c>
      <c r="E464" s="1" t="n">
        <v>46302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46302</v>
      </c>
      <c r="F465" t="inlineStr">
        <is>
          <t>GÄVLEBORGS LÄN</t>
        </is>
      </c>
      <c r="G465" t="inlineStr">
        <is>
          <t>GÄVLE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15801-2026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46107</v>
      </c>
      <c r="E466" s="1" t="n">
        <v>46302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45454</v>
      </c>
      <c r="E467" s="1" t="n">
        <v>46302</v>
      </c>
      <c r="F467" t="inlineStr">
        <is>
          <t>GÄVLEBORGS LÄN</t>
        </is>
      </c>
      <c r="G467" t="inlineStr">
        <is>
          <t>GÄVLE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46302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46302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56776-2025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46302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26094-2025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45805</v>
      </c>
      <c r="E471" s="1" t="n">
        <v>46302</v>
      </c>
      <c r="F471" t="inlineStr">
        <is>
          <t>GÄVLEBORGS LÄN</t>
        </is>
      </c>
      <c r="G471" t="inlineStr">
        <is>
          <t>GÄVLE</t>
        </is>
      </c>
      <c r="I471" t="n">
        <v>12.4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46302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45595</v>
      </c>
      <c r="E473" s="1" t="n">
        <v>46302</v>
      </c>
      <c r="F473" t="inlineStr">
        <is>
          <t>GÄVLEBORGS LÄN</t>
        </is>
      </c>
      <c r="G473" t="inlineStr">
        <is>
          <t>GÄVLE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46302</v>
      </c>
      <c r="F474" t="inlineStr">
        <is>
          <t>GÄVLEBORGS LÄN</t>
        </is>
      </c>
      <c r="G474" t="inlineStr">
        <is>
          <t>GÄVLE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46302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44585</v>
      </c>
      <c r="E476" s="1" t="n">
        <v>46302</v>
      </c>
      <c r="F476" t="inlineStr">
        <is>
          <t>GÄVLEBORGS LÄN</t>
        </is>
      </c>
      <c r="G476" t="inlineStr">
        <is>
          <t>GÄVLE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45862</v>
      </c>
      <c r="E477" s="1" t="n">
        <v>46302</v>
      </c>
      <c r="F477" t="inlineStr">
        <is>
          <t>GÄVLEBORGS LÄN</t>
        </is>
      </c>
      <c r="G477" t="inlineStr">
        <is>
          <t>GÄVLE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46302</v>
      </c>
      <c r="F478" t="inlineStr">
        <is>
          <t>GÄVLEBORGS LÄN</t>
        </is>
      </c>
      <c r="G478" t="inlineStr">
        <is>
          <t>GÄVLE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45744</v>
      </c>
      <c r="E479" s="1" t="n">
        <v>46302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42592-2025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45905</v>
      </c>
      <c r="E480" s="1" t="n">
        <v>46302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43771-2025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46302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46302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46302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46302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45922</v>
      </c>
      <c r="E485" s="1" t="n">
        <v>46302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46302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46302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46302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22.4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45912</v>
      </c>
      <c r="E489" s="1" t="n">
        <v>46302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46302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46302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46302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45546-2025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46302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46302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46302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45922</v>
      </c>
      <c r="E496" s="1" t="n">
        <v>46302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46302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46302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5.6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46302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45912</v>
      </c>
      <c r="E500" s="1" t="n">
        <v>46302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45744</v>
      </c>
      <c r="E501" s="1" t="n">
        <v>46302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46302</v>
      </c>
      <c r="F502" t="inlineStr">
        <is>
          <t>GÄVLEBORGS LÄN</t>
        </is>
      </c>
      <c r="G502" t="inlineStr">
        <is>
          <t>GÄVLE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46302</v>
      </c>
      <c r="F503" t="inlineStr">
        <is>
          <t>GÄVLEBORGS LÄN</t>
        </is>
      </c>
      <c r="G503" t="inlineStr">
        <is>
          <t>GÄVLE</t>
        </is>
      </c>
      <c r="I503" t="n">
        <v>9.5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46302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46302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15.2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45992</v>
      </c>
      <c r="E506" s="1" t="n">
        <v>46302</v>
      </c>
      <c r="F506" t="inlineStr">
        <is>
          <t>GÄVLEBORGS LÄN</t>
        </is>
      </c>
      <c r="G506" t="inlineStr">
        <is>
          <t>GÄVLE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45993</v>
      </c>
      <c r="E507" s="1" t="n">
        <v>46302</v>
      </c>
      <c r="F507" t="inlineStr">
        <is>
          <t>GÄVLEBORGS LÄN</t>
        </is>
      </c>
      <c r="G507" t="inlineStr">
        <is>
          <t>GÄVLE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46302</v>
      </c>
      <c r="F508" t="inlineStr">
        <is>
          <t>GÄVLEBORGS LÄN</t>
        </is>
      </c>
      <c r="G508" t="inlineStr">
        <is>
          <t>GÄVLE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46069</v>
      </c>
      <c r="E509" s="1" t="n">
        <v>46302</v>
      </c>
      <c r="F509" t="inlineStr">
        <is>
          <t>GÄVLEBORGS LÄN</t>
        </is>
      </c>
      <c r="G509" t="inlineStr">
        <is>
          <t>GÄVLE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60105-2025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46302</v>
      </c>
      <c r="F510" t="inlineStr">
        <is>
          <t>GÄVLEBORGS LÄN</t>
        </is>
      </c>
      <c r="G510" t="inlineStr">
        <is>
          <t>GÄVLE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46302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46302</v>
      </c>
      <c r="F512" t="inlineStr">
        <is>
          <t>GÄVLEBORGS LÄN</t>
        </is>
      </c>
      <c r="G512" t="inlineStr">
        <is>
          <t>GÄVLE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55217-2025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45968</v>
      </c>
      <c r="E513" s="1" t="n">
        <v>46302</v>
      </c>
      <c r="F513" t="inlineStr">
        <is>
          <t>GÄVLEBORGS LÄN</t>
        </is>
      </c>
      <c r="G513" t="inlineStr">
        <is>
          <t>GÄVLE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46302</v>
      </c>
      <c r="F514" t="inlineStr">
        <is>
          <t>GÄVLEBORGS LÄN</t>
        </is>
      </c>
      <c r="G514" t="inlineStr">
        <is>
          <t>GÄVLE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45869</v>
      </c>
      <c r="E515" s="1" t="n">
        <v>46302</v>
      </c>
      <c r="F515" t="inlineStr">
        <is>
          <t>GÄVLEBORGS LÄN</t>
        </is>
      </c>
      <c r="G515" t="inlineStr">
        <is>
          <t>GÄVLE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46100</v>
      </c>
      <c r="E516" s="1" t="n">
        <v>46302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46302</v>
      </c>
      <c r="F517" t="inlineStr">
        <is>
          <t>GÄVLEBORGS LÄN</t>
        </is>
      </c>
      <c r="G517" t="inlineStr">
        <is>
          <t>GÄVLE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61093-2025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46000</v>
      </c>
      <c r="E518" s="1" t="n">
        <v>46302</v>
      </c>
      <c r="F518" t="inlineStr">
        <is>
          <t>GÄVLEBORGS LÄN</t>
        </is>
      </c>
      <c r="G518" t="inlineStr">
        <is>
          <t>GÄVLE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46302</v>
      </c>
      <c r="F519" t="inlineStr">
        <is>
          <t>GÄVLEBORGS LÄN</t>
        </is>
      </c>
      <c r="G519" t="inlineStr">
        <is>
          <t>GÄVLE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46302</v>
      </c>
      <c r="F520" t="inlineStr">
        <is>
          <t>GÄVLEBORGS LÄN</t>
        </is>
      </c>
      <c r="G520" t="inlineStr">
        <is>
          <t>GÄVLE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61651-2025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46302</v>
      </c>
      <c r="F521" t="inlineStr">
        <is>
          <t>GÄVLEBORGS LÄN</t>
        </is>
      </c>
      <c r="G521" t="inlineStr">
        <is>
          <t>GÄVLE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62226-2025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46302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44600</v>
      </c>
      <c r="E523" s="1" t="n">
        <v>46302</v>
      </c>
      <c r="F523" t="inlineStr">
        <is>
          <t>GÄVLEBORGS LÄN</t>
        </is>
      </c>
      <c r="G523" t="inlineStr">
        <is>
          <t>GÄVLE</t>
        </is>
      </c>
      <c r="H523" t="inlineStr">
        <is>
          <t>Kyrkan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46302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46302</v>
      </c>
      <c r="F525" t="inlineStr">
        <is>
          <t>GÄVLEBORGS LÄN</t>
        </is>
      </c>
      <c r="G525" t="inlineStr">
        <is>
          <t>GÄVLE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46302</v>
      </c>
      <c r="F526" t="inlineStr">
        <is>
          <t>GÄVLEBORGS LÄN</t>
        </is>
      </c>
      <c r="G526" t="inlineStr">
        <is>
          <t>GÄVLE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46302</v>
      </c>
      <c r="F527" t="inlineStr">
        <is>
          <t>GÄVLEBORGS LÄN</t>
        </is>
      </c>
      <c r="G527" t="inlineStr">
        <is>
          <t>GÄVLE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46302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46302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46302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46302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46141</v>
      </c>
      <c r="E532" s="1" t="n">
        <v>46302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46033</v>
      </c>
      <c r="E533" s="1" t="n">
        <v>46302</v>
      </c>
      <c r="F533" t="inlineStr">
        <is>
          <t>GÄVLEBORGS LÄN</t>
        </is>
      </c>
      <c r="G533" t="inlineStr">
        <is>
          <t>GÄVLE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20785-2026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46141</v>
      </c>
      <c r="E534" s="1" t="n">
        <v>46302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45705</v>
      </c>
      <c r="E535" s="1" t="n">
        <v>46302</v>
      </c>
      <c r="F535" t="inlineStr">
        <is>
          <t>GÄVLEBORGS LÄN</t>
        </is>
      </c>
      <c r="G535" t="inlineStr">
        <is>
          <t>GÄVLE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45855</v>
      </c>
      <c r="E536" s="1" t="n">
        <v>46302</v>
      </c>
      <c r="F536" t="inlineStr">
        <is>
          <t>GÄVLEBORGS LÄN</t>
        </is>
      </c>
      <c r="G536" t="inlineStr">
        <is>
          <t>GÄVLE</t>
        </is>
      </c>
      <c r="I536" t="n">
        <v>8.199999999999999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46019</v>
      </c>
      <c r="E537" s="1" t="n">
        <v>46302</v>
      </c>
      <c r="F537" t="inlineStr">
        <is>
          <t>GÄVLEBORGS LÄN</t>
        </is>
      </c>
      <c r="G537" t="inlineStr">
        <is>
          <t>GÄVLE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45967</v>
      </c>
      <c r="E538" s="1" t="n">
        <v>46302</v>
      </c>
      <c r="F538" t="inlineStr">
        <is>
          <t>GÄVLEBORGS LÄN</t>
        </is>
      </c>
      <c r="G538" t="inlineStr">
        <is>
          <t>GÄVLE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45932</v>
      </c>
      <c r="E539" s="1" t="n">
        <v>46302</v>
      </c>
      <c r="F539" t="inlineStr">
        <is>
          <t>GÄVLEBORGS LÄN</t>
        </is>
      </c>
      <c r="G539" t="inlineStr">
        <is>
          <t>GÄVLE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46302</v>
      </c>
      <c r="F540" t="inlineStr">
        <is>
          <t>GÄVLEBORGS LÄN</t>
        </is>
      </c>
      <c r="G540" t="inlineStr">
        <is>
          <t>GÄVLE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46019</v>
      </c>
      <c r="E541" s="1" t="n">
        <v>46302</v>
      </c>
      <c r="F541" t="inlineStr">
        <is>
          <t>GÄVLEBORGS LÄN</t>
        </is>
      </c>
      <c r="G541" t="inlineStr">
        <is>
          <t>GÄVLE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42788-2025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45908</v>
      </c>
      <c r="E542" s="1" t="n">
        <v>46302</v>
      </c>
      <c r="F542" t="inlineStr">
        <is>
          <t>GÄVLEBORGS LÄN</t>
        </is>
      </c>
      <c r="G542" t="inlineStr">
        <is>
          <t>GÄVLE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48928-2025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45937</v>
      </c>
      <c r="E543" s="1" t="n">
        <v>46302</v>
      </c>
      <c r="F543" t="inlineStr">
        <is>
          <t>GÄVLEBORGS LÄN</t>
        </is>
      </c>
      <c r="G543" t="inlineStr">
        <is>
          <t>GÄVLE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45937</v>
      </c>
      <c r="E544" s="1" t="n">
        <v>46302</v>
      </c>
      <c r="F544" t="inlineStr">
        <is>
          <t>GÄVLEBORGS LÄN</t>
        </is>
      </c>
      <c r="G544" t="inlineStr">
        <is>
          <t>GÄVLE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45908</v>
      </c>
      <c r="E545" s="1" t="n">
        <v>46302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47694-2025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46302</v>
      </c>
      <c r="F546" t="inlineStr">
        <is>
          <t>GÄVLEBORGS LÄN</t>
        </is>
      </c>
      <c r="G546" t="inlineStr">
        <is>
          <t>GÄVLE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45932</v>
      </c>
      <c r="E547" s="1" t="n">
        <v>46302</v>
      </c>
      <c r="F547" t="inlineStr">
        <is>
          <t>GÄVLEBORGS LÄN</t>
        </is>
      </c>
      <c r="G547" t="inlineStr">
        <is>
          <t>GÄVLE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64142-2025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46022</v>
      </c>
      <c r="E548" s="1" t="n">
        <v>46302</v>
      </c>
      <c r="F548" t="inlineStr">
        <is>
          <t>GÄVLEBORGS LÄN</t>
        </is>
      </c>
      <c r="G548" t="inlineStr">
        <is>
          <t>GÄVLE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46302</v>
      </c>
      <c r="F549" t="inlineStr">
        <is>
          <t>GÄVLEBORGS LÄN</t>
        </is>
      </c>
      <c r="G549" t="inlineStr">
        <is>
          <t>GÄVLE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26334-2022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44735</v>
      </c>
      <c r="E550" s="1" t="n">
        <v>46302</v>
      </c>
      <c r="F550" t="inlineStr">
        <is>
          <t>GÄVLEBORGS LÄN</t>
        </is>
      </c>
      <c r="G550" t="inlineStr">
        <is>
          <t>GÄVLE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46302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46302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46302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20905-2026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46302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46302</v>
      </c>
      <c r="F555" t="inlineStr">
        <is>
          <t>GÄVLEBORGS LÄN</t>
        </is>
      </c>
      <c r="G555" t="inlineStr">
        <is>
          <t>GÄVLE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46302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21033-2026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46302</v>
      </c>
      <c r="F557" t="inlineStr">
        <is>
          <t>GÄVLEBORGS LÄN</t>
        </is>
      </c>
      <c r="G557" t="inlineStr">
        <is>
          <t>GÄVLE</t>
        </is>
      </c>
      <c r="H557" t="inlineStr">
        <is>
          <t>Kyrkan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46302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16144-2026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46302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46302</v>
      </c>
      <c r="F560" t="inlineStr">
        <is>
          <t>GÄVLEBORGS LÄN</t>
        </is>
      </c>
      <c r="G560" t="inlineStr">
        <is>
          <t>GÄVLE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20999-2022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44701</v>
      </c>
      <c r="E561" s="1" t="n">
        <v>46302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26.3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22075-2026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46153</v>
      </c>
      <c r="E562" s="1" t="n">
        <v>46302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46155</v>
      </c>
      <c r="E563" s="1" t="n">
        <v>46302</v>
      </c>
      <c r="F563" t="inlineStr">
        <is>
          <t>GÄVLEBORGS LÄN</t>
        </is>
      </c>
      <c r="G563" t="inlineStr">
        <is>
          <t>GÄVLE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46302</v>
      </c>
      <c r="F564" t="inlineStr">
        <is>
          <t>GÄVLEBORGS LÄN</t>
        </is>
      </c>
      <c r="G564" t="inlineStr">
        <is>
          <t>GÄVLE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15158-2026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46105</v>
      </c>
      <c r="E565" s="1" t="n">
        <v>46302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46302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46155</v>
      </c>
      <c r="E567" s="1" t="n">
        <v>46302</v>
      </c>
      <c r="F567" t="inlineStr">
        <is>
          <t>GÄVLEBORGS LÄN</t>
        </is>
      </c>
      <c r="G567" t="inlineStr">
        <is>
          <t>GÄVLE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46302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46101</v>
      </c>
      <c r="E569" s="1" t="n">
        <v>46302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46302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15790-2026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46107</v>
      </c>
      <c r="E571" s="1" t="n">
        <v>46302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46302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45312</v>
      </c>
      <c r="E573" s="1" t="n">
        <v>46302</v>
      </c>
      <c r="F573" t="inlineStr">
        <is>
          <t>GÄVLEBORGS LÄN</t>
        </is>
      </c>
      <c r="G573" t="inlineStr">
        <is>
          <t>GÄVLE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46106</v>
      </c>
      <c r="E574" s="1" t="n">
        <v>46302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15167-2026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46105</v>
      </c>
      <c r="E575" s="1" t="n">
        <v>46302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46302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46302</v>
      </c>
      <c r="F577" t="inlineStr">
        <is>
          <t>GÄVLEBORGS LÄN</t>
        </is>
      </c>
      <c r="G577" t="inlineStr">
        <is>
          <t>GÄVLE</t>
        </is>
      </c>
      <c r="H577" t="inlineStr">
        <is>
          <t>Kyrkan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23591-2026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46163</v>
      </c>
      <c r="E578" s="1" t="n">
        <v>46302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23956-2026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46302</v>
      </c>
      <c r="F579" t="inlineStr">
        <is>
          <t>GÄVLEBORGS LÄN</t>
        </is>
      </c>
      <c r="G579" t="inlineStr">
        <is>
          <t>GÄVLE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46169</v>
      </c>
      <c r="E580" s="1" t="n">
        <v>46302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45511</v>
      </c>
      <c r="E581" s="1" t="n">
        <v>46302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24398-2026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46169</v>
      </c>
      <c r="E582" s="1" t="n">
        <v>46302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24400-2026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46169</v>
      </c>
      <c r="E583" s="1" t="n">
        <v>46302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46169</v>
      </c>
      <c r="E584" s="1" t="n">
        <v>46302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24306-2026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46302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46302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46302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46302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46302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46302</v>
      </c>
      <c r="F590" t="inlineStr">
        <is>
          <t>GÄVLEBORGS LÄN</t>
        </is>
      </c>
      <c r="G590" t="inlineStr">
        <is>
          <t>GÄVLE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24456-2026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46302</v>
      </c>
      <c r="F591" t="inlineStr">
        <is>
          <t>GÄVLEBORGS LÄN</t>
        </is>
      </c>
      <c r="G591" t="inlineStr">
        <is>
          <t>GÄVLE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46173</v>
      </c>
      <c r="E592" s="1" t="n">
        <v>46302</v>
      </c>
      <c r="F592" t="inlineStr">
        <is>
          <t>GÄVLEBORGS LÄN</t>
        </is>
      </c>
      <c r="G592" t="inlineStr">
        <is>
          <t>GÄVLE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46176</v>
      </c>
      <c r="E593" s="1" t="n">
        <v>46302</v>
      </c>
      <c r="F593" t="inlineStr">
        <is>
          <t>GÄVLEBORGS LÄN</t>
        </is>
      </c>
      <c r="G593" t="inlineStr">
        <is>
          <t>GÄVLE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46302</v>
      </c>
      <c r="F594" t="inlineStr">
        <is>
          <t>GÄVLEBORGS LÄN</t>
        </is>
      </c>
      <c r="G594" t="inlineStr">
        <is>
          <t>GÄVLE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46141</v>
      </c>
      <c r="E595" s="1" t="n">
        <v>46302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46302</v>
      </c>
      <c r="F596" t="inlineStr">
        <is>
          <t>GÄVLEBORGS LÄN</t>
        </is>
      </c>
      <c r="G596" t="inlineStr">
        <is>
          <t>GÄVLE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46302</v>
      </c>
      <c r="F597" t="inlineStr">
        <is>
          <t>GÄVLEBORGS LÄN</t>
        </is>
      </c>
      <c r="G597" t="inlineStr">
        <is>
          <t>GÄVLE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25623-2026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46302</v>
      </c>
      <c r="F598" t="inlineStr">
        <is>
          <t>GÄVLEBORGS LÄN</t>
        </is>
      </c>
      <c r="G598" t="inlineStr">
        <is>
          <t>GÄVLE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18168-2022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44684</v>
      </c>
      <c r="E599" s="1" t="n">
        <v>46302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46183</v>
      </c>
      <c r="E600" s="1" t="n">
        <v>46302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46302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46302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46302</v>
      </c>
      <c r="F603" t="inlineStr">
        <is>
          <t>GÄVLEBORGS LÄN</t>
        </is>
      </c>
      <c r="G603" t="inlineStr">
        <is>
          <t>GÄVLE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44694</v>
      </c>
      <c r="E604" s="1" t="n">
        <v>46302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46302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46302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27067-2026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46302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46302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46302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45138</v>
      </c>
      <c r="E610" s="1" t="n">
        <v>46302</v>
      </c>
      <c r="F610" t="inlineStr">
        <is>
          <t>GÄVLEBORGS LÄN</t>
        </is>
      </c>
      <c r="G610" t="inlineStr">
        <is>
          <t>GÄVLE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45168</v>
      </c>
      <c r="E611" s="1" t="n">
        <v>46302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27057-2026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46302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46302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46302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46302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3714-2023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44951</v>
      </c>
      <c r="E616" s="1" t="n">
        <v>46302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44951</v>
      </c>
      <c r="E617" s="1" t="n">
        <v>46302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27042-2026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46302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46302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46302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27069-2026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46302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27359-2026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46302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27360-2026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46302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46302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46302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46302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46302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27061-2026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46302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59322-2022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44904</v>
      </c>
      <c r="E629" s="1" t="n">
        <v>46302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44962</v>
      </c>
      <c r="E630" s="1" t="n">
        <v>46302</v>
      </c>
      <c r="F630" t="inlineStr">
        <is>
          <t>GÄVLEBORGS LÄN</t>
        </is>
      </c>
      <c r="G630" t="inlineStr">
        <is>
          <t>GÄVLE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45660</v>
      </c>
      <c r="E631" s="1" t="n">
        <v>46302</v>
      </c>
      <c r="F631" t="inlineStr">
        <is>
          <t>GÄVLEBORGS LÄN</t>
        </is>
      </c>
      <c r="G631" t="inlineStr">
        <is>
          <t>GÄVLE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44942</v>
      </c>
      <c r="E632" s="1" t="n">
        <v>46302</v>
      </c>
      <c r="F632" t="inlineStr">
        <is>
          <t>GÄVLEBORGS LÄN</t>
        </is>
      </c>
      <c r="G632" t="inlineStr">
        <is>
          <t>GÄVLE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45586</v>
      </c>
      <c r="E633" s="1" t="n">
        <v>46302</v>
      </c>
      <c r="F633" t="inlineStr">
        <is>
          <t>GÄVLEBORGS LÄN</t>
        </is>
      </c>
      <c r="G633" t="inlineStr">
        <is>
          <t>GÄVLE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21300-2024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45440</v>
      </c>
      <c r="E634" s="1" t="n">
        <v>46302</v>
      </c>
      <c r="F634" t="inlineStr">
        <is>
          <t>GÄVLEBORGS LÄN</t>
        </is>
      </c>
      <c r="G634" t="inlineStr">
        <is>
          <t>GÄVLE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47746-2023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45203</v>
      </c>
      <c r="E635" s="1" t="n">
        <v>46302</v>
      </c>
      <c r="F635" t="inlineStr">
        <is>
          <t>GÄVLEBORGS LÄN</t>
        </is>
      </c>
      <c r="G635" t="inlineStr">
        <is>
          <t>GÄVLE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45632</v>
      </c>
      <c r="E636" s="1" t="n">
        <v>46302</v>
      </c>
      <c r="F636" t="inlineStr">
        <is>
          <t>GÄVLEBORGS LÄN</t>
        </is>
      </c>
      <c r="G636" t="inlineStr">
        <is>
          <t>GÄVLE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46302</v>
      </c>
      <c r="F637" t="inlineStr">
        <is>
          <t>GÄVLEBORGS LÄN</t>
        </is>
      </c>
      <c r="G637" t="inlineStr">
        <is>
          <t>GÄVLE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34668-2024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45526</v>
      </c>
      <c r="E638" s="1" t="n">
        <v>46302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46302</v>
      </c>
      <c r="F639" t="inlineStr">
        <is>
          <t>GÄVLEBORGS LÄN</t>
        </is>
      </c>
      <c r="G639" t="inlineStr">
        <is>
          <t>GÄVLE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20689-2024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45436</v>
      </c>
      <c r="E640" s="1" t="n">
        <v>46302</v>
      </c>
      <c r="F640" t="inlineStr">
        <is>
          <t>GÄVLEBORGS LÄN</t>
        </is>
      </c>
      <c r="G640" t="inlineStr">
        <is>
          <t>GÄVLE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28332-2026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46196</v>
      </c>
      <c r="E641" s="1" t="n">
        <v>46302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46196</v>
      </c>
      <c r="E642" s="1" t="n">
        <v>46302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32353-2023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45120</v>
      </c>
      <c r="E643" s="1" t="n">
        <v>46302</v>
      </c>
      <c r="F643" t="inlineStr">
        <is>
          <t>GÄVLEBORGS LÄN</t>
        </is>
      </c>
      <c r="G643" t="inlineStr">
        <is>
          <t>GÄVLE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46196</v>
      </c>
      <c r="E644" s="1" t="n">
        <v>46302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28331-2026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46302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46302</v>
      </c>
      <c r="F646" t="inlineStr">
        <is>
          <t>GÄVLEBORGS LÄN</t>
        </is>
      </c>
      <c r="G646" t="inlineStr">
        <is>
          <t>GÄVLE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61301-2024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46302</v>
      </c>
      <c r="F647" t="inlineStr">
        <is>
          <t>GÄVLEBORGS LÄN</t>
        </is>
      </c>
      <c r="G647" t="inlineStr">
        <is>
          <t>GÄVLE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46302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väst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29494-2026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46302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29506-2026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46198</v>
      </c>
      <c r="E650" s="1" t="n">
        <v>46302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52.7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64868-2023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45282</v>
      </c>
      <c r="E651" s="1" t="n">
        <v>46302</v>
      </c>
      <c r="F651" t="inlineStr">
        <is>
          <t>GÄVLEBORGS LÄN</t>
        </is>
      </c>
      <c r="G651" t="inlineStr">
        <is>
          <t>GÄVLE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28654-2026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46302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1974-2025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45672</v>
      </c>
      <c r="E653" s="1" t="n">
        <v>46302</v>
      </c>
      <c r="F653" t="inlineStr">
        <is>
          <t>GÄVLEBORGS LÄN</t>
        </is>
      </c>
      <c r="G653" t="inlineStr">
        <is>
          <t>GÄVLE</t>
        </is>
      </c>
      <c r="H653" t="inlineStr">
        <is>
          <t>Kyrkan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46302</v>
      </c>
      <c r="F654" t="inlineStr">
        <is>
          <t>GÄVLEBORGS LÄN</t>
        </is>
      </c>
      <c r="G654" t="inlineStr">
        <is>
          <t>GÄVLE</t>
        </is>
      </c>
      <c r="H654" t="inlineStr">
        <is>
          <t>BillerudKorsnäs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46302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46302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61016-2024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46302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18361-2024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45422</v>
      </c>
      <c r="E658" s="1" t="n">
        <v>46302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28655-2026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46302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28657-2026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46302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28658-2026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46302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46302</v>
      </c>
      <c r="F662" t="inlineStr">
        <is>
          <t>GÄVLEBORGS LÄN</t>
        </is>
      </c>
      <c r="G662" t="inlineStr">
        <is>
          <t>GÄVLE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20682-2023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45058</v>
      </c>
      <c r="E663" s="1" t="n">
        <v>46302</v>
      </c>
      <c r="F663" t="inlineStr">
        <is>
          <t>GÄVLEBORGS LÄN</t>
        </is>
      </c>
      <c r="G663" t="inlineStr">
        <is>
          <t>GÄVLE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46302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46202</v>
      </c>
      <c r="E665" s="1" t="n">
        <v>46302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46302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45658</v>
      </c>
      <c r="E667" s="1" t="n">
        <v>46302</v>
      </c>
      <c r="F667" t="inlineStr">
        <is>
          <t>GÄVLEBORGS LÄN</t>
        </is>
      </c>
      <c r="G667" t="inlineStr">
        <is>
          <t>GÄVLE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66351-2021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44518</v>
      </c>
      <c r="E668" s="1" t="n">
        <v>46302</v>
      </c>
      <c r="F668" t="inlineStr">
        <is>
          <t>GÄVLEBORGS LÄN</t>
        </is>
      </c>
      <c r="G668" t="inlineStr">
        <is>
          <t>GÄVLE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45084</v>
      </c>
      <c r="E669" s="1" t="n">
        <v>46302</v>
      </c>
      <c r="F669" t="inlineStr">
        <is>
          <t>GÄVLEBORGS LÄN</t>
        </is>
      </c>
      <c r="G669" t="inlineStr">
        <is>
          <t>GÄVLE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29364-2026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46302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29929-2022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44756</v>
      </c>
      <c r="E671" s="1" t="n">
        <v>46302</v>
      </c>
      <c r="F671" t="inlineStr">
        <is>
          <t>GÄVLEBORGS LÄN</t>
        </is>
      </c>
      <c r="G671" t="inlineStr">
        <is>
          <t>GÄVLE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45547</v>
      </c>
      <c r="E672" s="1" t="n">
        <v>46302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44936</v>
      </c>
      <c r="E673" s="1" t="n">
        <v>46302</v>
      </c>
      <c r="F673" t="inlineStr">
        <is>
          <t>GÄVLEBORGS LÄN</t>
        </is>
      </c>
      <c r="G673" t="inlineStr">
        <is>
          <t>GÄVLE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46302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51758-2025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45950</v>
      </c>
      <c r="E675" s="1" t="n">
        <v>46302</v>
      </c>
      <c r="F675" t="inlineStr">
        <is>
          <t>GÄVLEBORGS LÄN</t>
        </is>
      </c>
      <c r="G675" t="inlineStr">
        <is>
          <t>GÄVLE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60442-2022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44911</v>
      </c>
      <c r="E676" s="1" t="n">
        <v>46302</v>
      </c>
      <c r="F676" t="inlineStr">
        <is>
          <t>GÄVLEBORGS LÄN</t>
        </is>
      </c>
      <c r="G676" t="inlineStr">
        <is>
          <t>GÄVLE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50314-2024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46302</v>
      </c>
      <c r="F677" t="inlineStr">
        <is>
          <t>GÄVLEBORGS LÄN</t>
        </is>
      </c>
      <c r="G677" t="inlineStr">
        <is>
          <t>GÄVLE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31019-2026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46302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30324-2026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46207</v>
      </c>
      <c r="E679" s="1" t="n">
        <v>46302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46154</v>
      </c>
      <c r="E680" s="1" t="n">
        <v>46302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61786-2024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45649</v>
      </c>
      <c r="E681" s="1" t="n">
        <v>46302</v>
      </c>
      <c r="F681" t="inlineStr">
        <is>
          <t>GÄVLEBORGS LÄN</t>
        </is>
      </c>
      <c r="G681" t="inlineStr">
        <is>
          <t>GÄVLE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45320</v>
      </c>
      <c r="E682" s="1" t="n">
        <v>46302</v>
      </c>
      <c r="F682" t="inlineStr">
        <is>
          <t>GÄVLEBORGS LÄN</t>
        </is>
      </c>
      <c r="G682" t="inlineStr">
        <is>
          <t>GÄVLE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46210</v>
      </c>
      <c r="E683" s="1" t="n">
        <v>46302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32255-2023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45120</v>
      </c>
      <c r="E684" s="1" t="n">
        <v>46302</v>
      </c>
      <c r="F684" t="inlineStr">
        <is>
          <t>GÄVLEBORGS LÄN</t>
        </is>
      </c>
      <c r="G684" t="inlineStr">
        <is>
          <t>GÄVLE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30967-2026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46213</v>
      </c>
      <c r="E685" s="1" t="n">
        <v>46302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45574</v>
      </c>
      <c r="E686" s="1" t="n">
        <v>46302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31445-2026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46302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30969-2026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46213</v>
      </c>
      <c r="E688" s="1" t="n">
        <v>46302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30951-2026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46213</v>
      </c>
      <c r="E689" s="1" t="n">
        <v>46302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45312</v>
      </c>
      <c r="E690" s="1" t="n">
        <v>46302</v>
      </c>
      <c r="F690" t="inlineStr">
        <is>
          <t>GÄVLEBORGS LÄN</t>
        </is>
      </c>
      <c r="G690" t="inlineStr">
        <is>
          <t>GÄVLE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46302</v>
      </c>
      <c r="F691" t="inlineStr">
        <is>
          <t>GÄVLEBORGS LÄN</t>
        </is>
      </c>
      <c r="G691" t="inlineStr">
        <is>
          <t>GÄVLE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46302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59817-2023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45257</v>
      </c>
      <c r="E693" s="1" t="n">
        <v>46302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46302</v>
      </c>
      <c r="F694" t="inlineStr">
        <is>
          <t>GÄVLEBORGS LÄN</t>
        </is>
      </c>
      <c r="G694" t="inlineStr">
        <is>
          <t>GÄVLE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14173-2022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44651</v>
      </c>
      <c r="E695" s="1" t="n">
        <v>46302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35302-2026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46261</v>
      </c>
      <c r="E696" s="1" t="n">
        <v>46302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35326-2026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46261</v>
      </c>
      <c r="E697" s="1" t="n">
        <v>46302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46302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42876-2023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45182</v>
      </c>
      <c r="E699" s="1" t="n">
        <v>46302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22.7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35780-2026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46265</v>
      </c>
      <c r="E700" s="1" t="n">
        <v>46302</v>
      </c>
      <c r="F700" t="inlineStr">
        <is>
          <t>GÄVLEBORGS LÄN</t>
        </is>
      </c>
      <c r="G700" t="inlineStr">
        <is>
          <t>GÄVLE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46302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46220</v>
      </c>
      <c r="E702" s="1" t="n">
        <v>46302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17404-2025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45757</v>
      </c>
      <c r="E703" s="1" t="n">
        <v>46302</v>
      </c>
      <c r="F703" t="inlineStr">
        <is>
          <t>GÄVLEBORGS LÄN</t>
        </is>
      </c>
      <c r="G703" t="inlineStr">
        <is>
          <t>GÄVLE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37146-2024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45539</v>
      </c>
      <c r="E704" s="1" t="n">
        <v>46302</v>
      </c>
      <c r="F704" t="inlineStr">
        <is>
          <t>GÄVLEBORGS LÄN</t>
        </is>
      </c>
      <c r="G704" t="inlineStr">
        <is>
          <t>GÄVLE</t>
        </is>
      </c>
      <c r="I704" t="n">
        <v>9.4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45660</v>
      </c>
      <c r="E705" s="1" t="n">
        <v>46302</v>
      </c>
      <c r="F705" t="inlineStr">
        <is>
          <t>GÄVLEBORGS LÄN</t>
        </is>
      </c>
      <c r="G705" t="inlineStr">
        <is>
          <t>GÄVLE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46262</v>
      </c>
      <c r="E706" s="1" t="n">
        <v>46302</v>
      </c>
      <c r="F706" t="inlineStr">
        <is>
          <t>GÄVLEBORGS LÄN</t>
        </is>
      </c>
      <c r="G706" t="inlineStr">
        <is>
          <t>GÄVLE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35818-2026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46265</v>
      </c>
      <c r="E707" s="1" t="n">
        <v>46302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31566-2026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46223</v>
      </c>
      <c r="E708" s="1" t="n">
        <v>46302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10.2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35577-2026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46302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35561-2026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46262</v>
      </c>
      <c r="E710" s="1" t="n">
        <v>46302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36091-2026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46267</v>
      </c>
      <c r="E711" s="1" t="n">
        <v>46302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36132-2026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46267</v>
      </c>
      <c r="E712" s="1" t="n">
        <v>46302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36089-2026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46267</v>
      </c>
      <c r="E713" s="1" t="n">
        <v>46302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36093-2026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46267</v>
      </c>
      <c r="E714" s="1" t="n">
        <v>46302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46302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45673</v>
      </c>
      <c r="E716" s="1" t="n">
        <v>46302</v>
      </c>
      <c r="F716" t="inlineStr">
        <is>
          <t>GÄVLEBORGS LÄN</t>
        </is>
      </c>
      <c r="G716" t="inlineStr">
        <is>
          <t>GÄVLE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45673</v>
      </c>
      <c r="E717" s="1" t="n">
        <v>46302</v>
      </c>
      <c r="F717" t="inlineStr">
        <is>
          <t>GÄVLEBORGS LÄN</t>
        </is>
      </c>
      <c r="G717" t="inlineStr">
        <is>
          <t>GÄVLE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36512-2026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46269</v>
      </c>
      <c r="E718" s="1" t="n">
        <v>46302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36522-2026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46269</v>
      </c>
      <c r="E719" s="1" t="n">
        <v>46302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61501-2024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45646</v>
      </c>
      <c r="E720" s="1" t="n">
        <v>46302</v>
      </c>
      <c r="F720" t="inlineStr">
        <is>
          <t>GÄVLEBORGS LÄN</t>
        </is>
      </c>
      <c r="G720" t="inlineStr">
        <is>
          <t>GÄVLE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47458-2022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44853</v>
      </c>
      <c r="E721" s="1" t="n">
        <v>46302</v>
      </c>
      <c r="F721" t="inlineStr">
        <is>
          <t>GÄVLEBORGS LÄN</t>
        </is>
      </c>
      <c r="G721" t="inlineStr">
        <is>
          <t>GÄVLE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44938-2022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44841</v>
      </c>
      <c r="E722" s="1" t="n">
        <v>46302</v>
      </c>
      <c r="F722" t="inlineStr">
        <is>
          <t>GÄVLEBORGS LÄN</t>
        </is>
      </c>
      <c r="G722" t="inlineStr">
        <is>
          <t>GÄVLE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45330</v>
      </c>
      <c r="E723" s="1" t="n">
        <v>46302</v>
      </c>
      <c r="F723" t="inlineStr">
        <is>
          <t>GÄVLEBORGS LÄN</t>
        </is>
      </c>
      <c r="G723" t="inlineStr">
        <is>
          <t>GÄVLE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36558-2026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46302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50582-2023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45217</v>
      </c>
      <c r="E725" s="1" t="n">
        <v>46302</v>
      </c>
      <c r="F725" t="inlineStr">
        <is>
          <t>GÄVLEBORGS LÄN</t>
        </is>
      </c>
      <c r="G725" t="inlineStr">
        <is>
          <t>GÄVLE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36530-2026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46302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9235-2022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44616</v>
      </c>
      <c r="E727" s="1" t="n">
        <v>46302</v>
      </c>
      <c r="F727" t="inlineStr">
        <is>
          <t>GÄVLEBORGS LÄN</t>
        </is>
      </c>
      <c r="G727" t="inlineStr">
        <is>
          <t>GÄVLE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53082-2022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44876</v>
      </c>
      <c r="E728" s="1" t="n">
        <v>46302</v>
      </c>
      <c r="F728" t="inlineStr">
        <is>
          <t>GÄVLEBORGS LÄN</t>
        </is>
      </c>
      <c r="G728" t="inlineStr">
        <is>
          <t>GÄVLE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72734-2021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44546</v>
      </c>
      <c r="E729" s="1" t="n">
        <v>46302</v>
      </c>
      <c r="F729" t="inlineStr">
        <is>
          <t>GÄVLEBORGS LÄN</t>
        </is>
      </c>
      <c r="G729" t="inlineStr">
        <is>
          <t>GÄVLE</t>
        </is>
      </c>
      <c r="H729" t="inlineStr">
        <is>
          <t>Kommuner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58445-2021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44488</v>
      </c>
      <c r="E730" s="1" t="n">
        <v>46302</v>
      </c>
      <c r="F730" t="inlineStr">
        <is>
          <t>GÄVLEBORGS LÄN</t>
        </is>
      </c>
      <c r="G730" t="inlineStr">
        <is>
          <t>GÄVLE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66493-2021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44519</v>
      </c>
      <c r="E731" s="1" t="n">
        <v>46302</v>
      </c>
      <c r="F731" t="inlineStr">
        <is>
          <t>GÄVLEBORGS LÄN</t>
        </is>
      </c>
      <c r="G731" t="inlineStr">
        <is>
          <t>GÄVLE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46273</v>
      </c>
      <c r="E732" s="1" t="n">
        <v>46302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46273</v>
      </c>
      <c r="E733" s="1" t="n">
        <v>46302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46273</v>
      </c>
      <c r="E734" s="1" t="n">
        <v>46302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36962-2026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46273</v>
      </c>
      <c r="E735" s="1" t="n">
        <v>46302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36920-2026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46273</v>
      </c>
      <c r="E736" s="1" t="n">
        <v>46302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25812-2023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45090</v>
      </c>
      <c r="E737" s="1" t="n">
        <v>46302</v>
      </c>
      <c r="F737" t="inlineStr">
        <is>
          <t>GÄVLEBORGS LÄN</t>
        </is>
      </c>
      <c r="G737" t="inlineStr">
        <is>
          <t>GÄVLE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36739-2026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46272</v>
      </c>
      <c r="E738" s="1" t="n">
        <v>46302</v>
      </c>
      <c r="F738" t="inlineStr">
        <is>
          <t>GÄVLEBORGS LÄN</t>
        </is>
      </c>
      <c r="G738" t="inlineStr">
        <is>
          <t>GÄVLE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44936</v>
      </c>
      <c r="E739" s="1" t="n">
        <v>46302</v>
      </c>
      <c r="F739" t="inlineStr">
        <is>
          <t>GÄVLEBORGS LÄN</t>
        </is>
      </c>
      <c r="G739" t="inlineStr">
        <is>
          <t>GÄVLE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36732-2026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46272</v>
      </c>
      <c r="E740" s="1" t="n">
        <v>46302</v>
      </c>
      <c r="F740" t="inlineStr">
        <is>
          <t>GÄVLEBORGS LÄN</t>
        </is>
      </c>
      <c r="G740" t="inlineStr">
        <is>
          <t>GÄVLE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36935-2026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46273</v>
      </c>
      <c r="E741" s="1" t="n">
        <v>46302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36784-2026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46272</v>
      </c>
      <c r="E742" s="1" t="n">
        <v>46302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46274</v>
      </c>
      <c r="E743" s="1" t="n">
        <v>46302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45312</v>
      </c>
      <c r="E744" s="1" t="n">
        <v>46302</v>
      </c>
      <c r="F744" t="inlineStr">
        <is>
          <t>GÄVLEBORGS LÄN</t>
        </is>
      </c>
      <c r="G744" t="inlineStr">
        <is>
          <t>GÄVLE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46275</v>
      </c>
      <c r="E745" s="1" t="n">
        <v>46302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46275</v>
      </c>
      <c r="E746" s="1" t="n">
        <v>46302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19.1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46274</v>
      </c>
      <c r="E747" s="1" t="n">
        <v>46302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51071-2023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45218</v>
      </c>
      <c r="E748" s="1" t="n">
        <v>46302</v>
      </c>
      <c r="F748" t="inlineStr">
        <is>
          <t>GÄVLEBORGS LÄN</t>
        </is>
      </c>
      <c r="G748" t="inlineStr">
        <is>
          <t>GÄVLE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46302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37611-2026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46276</v>
      </c>
      <c r="E750" s="1" t="n">
        <v>46302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17113-2024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45412</v>
      </c>
      <c r="E751" s="1" t="n">
        <v>46302</v>
      </c>
      <c r="F751" t="inlineStr">
        <is>
          <t>GÄVLEBORGS LÄN</t>
        </is>
      </c>
      <c r="G751" t="inlineStr">
        <is>
          <t>GÄVLE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46276</v>
      </c>
      <c r="E752" s="1" t="n">
        <v>46302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49401-2024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45595</v>
      </c>
      <c r="E753" s="1" t="n">
        <v>46302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37573-2026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46276</v>
      </c>
      <c r="E754" s="1" t="n">
        <v>46302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väst AB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37759-2026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46279</v>
      </c>
      <c r="E755" s="1" t="n">
        <v>46302</v>
      </c>
      <c r="F755" t="inlineStr">
        <is>
          <t>GÄVLEBORGS LÄN</t>
        </is>
      </c>
      <c r="G755" t="inlineStr">
        <is>
          <t>GÄVLE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37553-2026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46276</v>
      </c>
      <c r="E756" s="1" t="n">
        <v>46302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46279</v>
      </c>
      <c r="E757" s="1" t="n">
        <v>46302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38012-2026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46280</v>
      </c>
      <c r="E758" s="1" t="n">
        <v>46302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46302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64871-2023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45282</v>
      </c>
      <c r="E760" s="1" t="n">
        <v>46302</v>
      </c>
      <c r="F760" t="inlineStr">
        <is>
          <t>GÄVLEBORGS LÄN</t>
        </is>
      </c>
      <c r="G760" t="inlineStr">
        <is>
          <t>GÄVLE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64875-2023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45282</v>
      </c>
      <c r="E761" s="1" t="n">
        <v>46302</v>
      </c>
      <c r="F761" t="inlineStr">
        <is>
          <t>GÄVLEBORGS LÄN</t>
        </is>
      </c>
      <c r="G761" t="inlineStr">
        <is>
          <t>GÄVLE</t>
        </is>
      </c>
      <c r="I761" t="n">
        <v>0.1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64878-2023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45282</v>
      </c>
      <c r="E762" s="1" t="n">
        <v>46302</v>
      </c>
      <c r="F762" t="inlineStr">
        <is>
          <t>GÄVLEBORGS LÄN</t>
        </is>
      </c>
      <c r="G762" t="inlineStr">
        <is>
          <t>GÄVLE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37938-2026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46280</v>
      </c>
      <c r="E763" s="1" t="n">
        <v>46302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37935-2026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46280</v>
      </c>
      <c r="E764" s="1" t="n">
        <v>46302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37937-2026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46280</v>
      </c>
      <c r="E765" s="1" t="n">
        <v>46302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38130-2026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46281</v>
      </c>
      <c r="E766" s="1" t="n">
        <v>46302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38049-2026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46280</v>
      </c>
      <c r="E767" s="1" t="n">
        <v>46302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37934-2026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46280</v>
      </c>
      <c r="E768" s="1" t="n">
        <v>46302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38144-2026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46281</v>
      </c>
      <c r="E769" s="1" t="n">
        <v>46302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42934-2023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46302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36638-2022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44804</v>
      </c>
      <c r="E771" s="1" t="n">
        <v>46302</v>
      </c>
      <c r="F771" t="inlineStr">
        <is>
          <t>GÄVLEBORGS LÄN</t>
        </is>
      </c>
      <c r="G771" t="inlineStr">
        <is>
          <t>GÄVLE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45628-2022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44845</v>
      </c>
      <c r="E772" s="1" t="n">
        <v>46302</v>
      </c>
      <c r="F772" t="inlineStr">
        <is>
          <t>GÄVLEBORGS LÄN</t>
        </is>
      </c>
      <c r="G772" t="inlineStr">
        <is>
          <t>GÄVLE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38014-2026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46302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38331-2026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46282</v>
      </c>
      <c r="E774" s="1" t="n">
        <v>46302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46239</v>
      </c>
      <c r="E775" s="1" t="n">
        <v>46302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38524-2026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46283</v>
      </c>
      <c r="E776" s="1" t="n">
        <v>46302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60792-2024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45644</v>
      </c>
      <c r="E777" s="1" t="n">
        <v>46302</v>
      </c>
      <c r="F777" t="inlineStr">
        <is>
          <t>GÄVLEBORGS LÄN</t>
        </is>
      </c>
      <c r="G777" t="inlineStr">
        <is>
          <t>GÄVLE</t>
        </is>
      </c>
      <c r="H777" t="inlineStr">
        <is>
          <t>Kyrkan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60801-2024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46302</v>
      </c>
      <c r="F778" t="inlineStr">
        <is>
          <t>GÄVLEBORGS LÄN</t>
        </is>
      </c>
      <c r="G778" t="inlineStr">
        <is>
          <t>GÄVLE</t>
        </is>
      </c>
      <c r="H778" t="inlineStr">
        <is>
          <t>Kyrkan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38336-2026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46302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46239</v>
      </c>
      <c r="E780" s="1" t="n">
        <v>46302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38552-2026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46283</v>
      </c>
      <c r="E781" s="1" t="n">
        <v>46302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38612-2026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46283</v>
      </c>
      <c r="E782" s="1" t="n">
        <v>46302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38568-2026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46283</v>
      </c>
      <c r="E783" s="1" t="n">
        <v>46302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38562-2026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46302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38582-2026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46283</v>
      </c>
      <c r="E785" s="1" t="n">
        <v>46302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46302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46302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38386-2026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46282</v>
      </c>
      <c r="E788" s="1" t="n">
        <v>46302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38333-2026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46282</v>
      </c>
      <c r="E789" s="1" t="n">
        <v>46302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46282</v>
      </c>
      <c r="E790" s="1" t="n">
        <v>46302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46302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38393-2026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46302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19.8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46302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46302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38623-2026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46302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8.5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38624-2026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46283</v>
      </c>
      <c r="E796" s="1" t="n">
        <v>46302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38653-2026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46283</v>
      </c>
      <c r="E797" s="1" t="n">
        <v>46302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38588-2026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46283</v>
      </c>
      <c r="E798" s="1" t="n">
        <v>46302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46283</v>
      </c>
      <c r="E799" s="1" t="n">
        <v>46302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46286</v>
      </c>
      <c r="E800" s="1" t="n">
        <v>46302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22577-2022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44713</v>
      </c>
      <c r="E801" s="1" t="n">
        <v>46302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46302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39031-2026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46302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57168-2023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45245</v>
      </c>
      <c r="E804" s="1" t="n">
        <v>46302</v>
      </c>
      <c r="F804" t="inlineStr">
        <is>
          <t>GÄVLEBORGS LÄN</t>
        </is>
      </c>
      <c r="G804" t="inlineStr">
        <is>
          <t>GÄVLE</t>
        </is>
      </c>
      <c r="H804" t="inlineStr">
        <is>
          <t>Kyrkan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39227-2026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46302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39120-2026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46287</v>
      </c>
      <c r="E806" s="1" t="n">
        <v>46302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38997-2026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46302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15207-2024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45400</v>
      </c>
      <c r="E808" s="1" t="n">
        <v>46302</v>
      </c>
      <c r="F808" t="inlineStr">
        <is>
          <t>GÄVLEBORGS LÄN</t>
        </is>
      </c>
      <c r="G808" t="inlineStr">
        <is>
          <t>GÄVLE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39083-2026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46302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32888-2026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46302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46244</v>
      </c>
      <c r="E811" s="1" t="n">
        <v>46302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60396-2022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44910</v>
      </c>
      <c r="E812" s="1" t="n">
        <v>46302</v>
      </c>
      <c r="F812" t="inlineStr">
        <is>
          <t>GÄVLEBORGS LÄN</t>
        </is>
      </c>
      <c r="G812" t="inlineStr">
        <is>
          <t>GÄVLE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45462</v>
      </c>
      <c r="E813" s="1" t="n">
        <v>46302</v>
      </c>
      <c r="F813" t="inlineStr">
        <is>
          <t>GÄVLEBORGS LÄN</t>
        </is>
      </c>
      <c r="G813" t="inlineStr">
        <is>
          <t>GÄVLE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39021-2026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46287</v>
      </c>
      <c r="E814" s="1" t="n">
        <v>46302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45660</v>
      </c>
      <c r="E815" s="1" t="n">
        <v>46302</v>
      </c>
      <c r="F815" t="inlineStr">
        <is>
          <t>GÄVLEBORGS LÄN</t>
        </is>
      </c>
      <c r="G815" t="inlineStr">
        <is>
          <t>GÄVLE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45660</v>
      </c>
      <c r="E816" s="1" t="n">
        <v>46302</v>
      </c>
      <c r="F816" t="inlineStr">
        <is>
          <t>GÄVLEBORGS LÄN</t>
        </is>
      </c>
      <c r="G816" t="inlineStr">
        <is>
          <t>GÄVLE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27182-2022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44741</v>
      </c>
      <c r="E817" s="1" t="n">
        <v>46302</v>
      </c>
      <c r="F817" t="inlineStr">
        <is>
          <t>GÄVLEBORGS LÄN</t>
        </is>
      </c>
      <c r="G817" t="inlineStr">
        <is>
          <t>GÄVLE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33231-2026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46246</v>
      </c>
      <c r="E818" s="1" t="n">
        <v>46302</v>
      </c>
      <c r="F818" t="inlineStr">
        <is>
          <t>GÄVLEBORGS LÄN</t>
        </is>
      </c>
      <c r="G818" t="inlineStr">
        <is>
          <t>GÄVLE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46302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46302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8031-2024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45350</v>
      </c>
      <c r="E821" s="1" t="n">
        <v>46302</v>
      </c>
      <c r="F821" t="inlineStr">
        <is>
          <t>GÄVLEBORGS LÄN</t>
        </is>
      </c>
      <c r="G821" t="inlineStr">
        <is>
          <t>GÄVLE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39684-2026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46289</v>
      </c>
      <c r="E822" s="1" t="n">
        <v>46302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61351-2021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44498</v>
      </c>
      <c r="E823" s="1" t="n">
        <v>46302</v>
      </c>
      <c r="F823" t="inlineStr">
        <is>
          <t>GÄVLEBORGS LÄN</t>
        </is>
      </c>
      <c r="G823" t="inlineStr">
        <is>
          <t>GÄVLE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46302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46246</v>
      </c>
      <c r="E825" s="1" t="n">
        <v>46302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39685-2026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46289</v>
      </c>
      <c r="E826" s="1" t="n">
        <v>46302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53281-2024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45614</v>
      </c>
      <c r="E827" s="1" t="n">
        <v>46302</v>
      </c>
      <c r="F827" t="inlineStr">
        <is>
          <t>GÄVLEBORGS LÄN</t>
        </is>
      </c>
      <c r="G827" t="inlineStr">
        <is>
          <t>GÄVLE</t>
        </is>
      </c>
      <c r="I827" t="n">
        <v>6.5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39534-2026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46289</v>
      </c>
      <c r="E828" s="1" t="n">
        <v>46302</v>
      </c>
      <c r="F828" t="inlineStr">
        <is>
          <t>GÄVLEBORGS LÄN</t>
        </is>
      </c>
      <c r="G828" t="inlineStr">
        <is>
          <t>GÄVLE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33265-2026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46246</v>
      </c>
      <c r="E829" s="1" t="n">
        <v>46302</v>
      </c>
      <c r="F829" t="inlineStr">
        <is>
          <t>GÄVLEBORGS LÄN</t>
        </is>
      </c>
      <c r="G829" t="inlineStr">
        <is>
          <t>GÄVLE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60879-2023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45261</v>
      </c>
      <c r="E830" s="1" t="n">
        <v>46302</v>
      </c>
      <c r="F830" t="inlineStr">
        <is>
          <t>GÄVLEBORGS LÄN</t>
        </is>
      </c>
      <c r="G830" t="inlineStr">
        <is>
          <t>GÄVLE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46246</v>
      </c>
      <c r="E831" s="1" t="n">
        <v>46302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39437-2026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46288</v>
      </c>
      <c r="E832" s="1" t="n">
        <v>46302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15312-2023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45019</v>
      </c>
      <c r="E833" s="1" t="n">
        <v>46302</v>
      </c>
      <c r="F833" t="inlineStr">
        <is>
          <t>GÄVLEBORGS LÄN</t>
        </is>
      </c>
      <c r="G833" t="inlineStr">
        <is>
          <t>GÄVLE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33662-2026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46248</v>
      </c>
      <c r="E834" s="1" t="n">
        <v>46302</v>
      </c>
      <c r="F834" t="inlineStr">
        <is>
          <t>GÄVLEBORGS LÄN</t>
        </is>
      </c>
      <c r="G834" t="inlineStr">
        <is>
          <t>GÄVLE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33664-2026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46248</v>
      </c>
      <c r="E835" s="1" t="n">
        <v>46302</v>
      </c>
      <c r="F835" t="inlineStr">
        <is>
          <t>GÄVLEBORGS LÄN</t>
        </is>
      </c>
      <c r="G835" t="inlineStr">
        <is>
          <t>GÄVLE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28624-2025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45819</v>
      </c>
      <c r="E836" s="1" t="n">
        <v>46302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33586-2026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46248</v>
      </c>
      <c r="E837" s="1" t="n">
        <v>46302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52387-2022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44874</v>
      </c>
      <c r="E838" s="1" t="n">
        <v>46302</v>
      </c>
      <c r="F838" t="inlineStr">
        <is>
          <t>GÄVLEBORGS LÄN</t>
        </is>
      </c>
      <c r="G838" t="inlineStr">
        <is>
          <t>GÄVLE</t>
        </is>
      </c>
      <c r="H838" t="inlineStr">
        <is>
          <t>Kommuner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31011-2023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45113</v>
      </c>
      <c r="E839" s="1" t="n">
        <v>46302</v>
      </c>
      <c r="F839" t="inlineStr">
        <is>
          <t>GÄVLEBORGS LÄN</t>
        </is>
      </c>
      <c r="G839" t="inlineStr">
        <is>
          <t>GÄVLE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40173-2026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46293</v>
      </c>
      <c r="E840" s="1" t="n">
        <v>46302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27048-2026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46302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22466-2023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45070</v>
      </c>
      <c r="E842" s="1" t="n">
        <v>46302</v>
      </c>
      <c r="F842" t="inlineStr">
        <is>
          <t>GÄVLEBORGS LÄN</t>
        </is>
      </c>
      <c r="G842" t="inlineStr">
        <is>
          <t>GÄVLE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40180-2026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46302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33585-2026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46248</v>
      </c>
      <c r="E844" s="1" t="n">
        <v>46302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16023-2023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45026</v>
      </c>
      <c r="E845" s="1" t="n">
        <v>46302</v>
      </c>
      <c r="F845" t="inlineStr">
        <is>
          <t>GÄVLEBORGS LÄN</t>
        </is>
      </c>
      <c r="G845" t="inlineStr">
        <is>
          <t>GÄVLE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39729-2026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46290</v>
      </c>
      <c r="E846" s="1" t="n">
        <v>46302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20.9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25829-2024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45467</v>
      </c>
      <c r="E847" s="1" t="n">
        <v>46302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39766-2026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46290</v>
      </c>
      <c r="E848" s="1" t="n">
        <v>46302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7235-2025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45702</v>
      </c>
      <c r="E849" s="1" t="n">
        <v>46302</v>
      </c>
      <c r="F849" t="inlineStr">
        <is>
          <t>GÄVLEBORGS LÄN</t>
        </is>
      </c>
      <c r="G849" t="inlineStr">
        <is>
          <t>GÄVLE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39805-2026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46290</v>
      </c>
      <c r="E850" s="1" t="n">
        <v>46302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7.4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71215-2021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44539</v>
      </c>
      <c r="E851" s="1" t="n">
        <v>46302</v>
      </c>
      <c r="F851" t="inlineStr">
        <is>
          <t>GÄVLEBORGS LÄN</t>
        </is>
      </c>
      <c r="G851" t="inlineStr">
        <is>
          <t>GÄVLE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39891-2026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46290</v>
      </c>
      <c r="E852" s="1" t="n">
        <v>46302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40118-2026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46293</v>
      </c>
      <c r="E853" s="1" t="n">
        <v>46302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39702-2026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46290</v>
      </c>
      <c r="E854" s="1" t="n">
        <v>46302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40052-2026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46293</v>
      </c>
      <c r="E855" s="1" t="n">
        <v>46302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61879-2024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45652</v>
      </c>
      <c r="E856" s="1" t="n">
        <v>46302</v>
      </c>
      <c r="F856" t="inlineStr">
        <is>
          <t>GÄVLEBORGS LÄN</t>
        </is>
      </c>
      <c r="G856" t="inlineStr">
        <is>
          <t>GÄVLE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24367-2026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46169</v>
      </c>
      <c r="E857" s="1" t="n">
        <v>46302</v>
      </c>
      <c r="F857" t="inlineStr">
        <is>
          <t>GÄVLEBORGS LÄN</t>
        </is>
      </c>
      <c r="G857" t="inlineStr">
        <is>
          <t>GÄVLE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40505-2026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46295</v>
      </c>
      <c r="E858" s="1" t="n">
        <v>46302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19712-2022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44694</v>
      </c>
      <c r="E859" s="1" t="n">
        <v>46302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39509-2022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44818</v>
      </c>
      <c r="E860" s="1" t="n">
        <v>46302</v>
      </c>
      <c r="F860" t="inlineStr">
        <is>
          <t>GÄVLEBORGS LÄN</t>
        </is>
      </c>
      <c r="G860" t="inlineStr">
        <is>
          <t>GÄVLE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40507-2026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46295</v>
      </c>
      <c r="E861" s="1" t="n">
        <v>46302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33719-2026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46302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30662-2022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44763</v>
      </c>
      <c r="E863" s="1" t="n">
        <v>46302</v>
      </c>
      <c r="F863" t="inlineStr">
        <is>
          <t>GÄVLEBORGS LÄN</t>
        </is>
      </c>
      <c r="G863" t="inlineStr">
        <is>
          <t>GÄVLE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37352-2024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45540</v>
      </c>
      <c r="E864" s="1" t="n">
        <v>46302</v>
      </c>
      <c r="F864" t="inlineStr">
        <is>
          <t>GÄVLEBORGS LÄN</t>
        </is>
      </c>
      <c r="G864" t="inlineStr">
        <is>
          <t>GÄVLE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17605-2025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45757</v>
      </c>
      <c r="E865" s="1" t="n">
        <v>46302</v>
      </c>
      <c r="F865" t="inlineStr">
        <is>
          <t>GÄVLEBORGS LÄN</t>
        </is>
      </c>
      <c r="G865" t="inlineStr">
        <is>
          <t>GÄVLE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17607-2025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45757</v>
      </c>
      <c r="E866" s="1" t="n">
        <v>46302</v>
      </c>
      <c r="F866" t="inlineStr">
        <is>
          <t>GÄVLEBORGS LÄN</t>
        </is>
      </c>
      <c r="G866" t="inlineStr">
        <is>
          <t>GÄVLE</t>
        </is>
      </c>
      <c r="I866" t="n">
        <v>7.6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40504-2026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46295</v>
      </c>
      <c r="E867" s="1" t="n">
        <v>46302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5.2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56487-2023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45243</v>
      </c>
      <c r="E868" s="1" t="n">
        <v>46302</v>
      </c>
      <c r="F868" t="inlineStr">
        <is>
          <t>GÄVLEBORGS LÄN</t>
        </is>
      </c>
      <c r="G868" t="inlineStr">
        <is>
          <t>GÄVLE</t>
        </is>
      </c>
      <c r="I868" t="n">
        <v>8.699999999999999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9307-2022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44616</v>
      </c>
      <c r="E869" s="1" t="n">
        <v>46302</v>
      </c>
      <c r="F869" t="inlineStr">
        <is>
          <t>GÄVLEBORGS LÄN</t>
        </is>
      </c>
      <c r="G869" t="inlineStr">
        <is>
          <t>GÄVLE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34033-2026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46252</v>
      </c>
      <c r="E870" s="1" t="n">
        <v>46302</v>
      </c>
      <c r="F870" t="inlineStr">
        <is>
          <t>GÄVLEBORGS LÄN</t>
        </is>
      </c>
      <c r="G870" t="inlineStr">
        <is>
          <t>GÄVLE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13193-2025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45735</v>
      </c>
      <c r="E871" s="1" t="n">
        <v>46302</v>
      </c>
      <c r="F871" t="inlineStr">
        <is>
          <t>GÄVLEBORGS LÄN</t>
        </is>
      </c>
      <c r="G871" t="inlineStr">
        <is>
          <t>GÄVLE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31866-2023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45106</v>
      </c>
      <c r="E872" s="1" t="n">
        <v>46302</v>
      </c>
      <c r="F872" t="inlineStr">
        <is>
          <t>GÄVLEBORGS LÄN</t>
        </is>
      </c>
      <c r="G872" t="inlineStr">
        <is>
          <t>GÄVLE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14807-2023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45014</v>
      </c>
      <c r="E873" s="1" t="n">
        <v>46302</v>
      </c>
      <c r="F873" t="inlineStr">
        <is>
          <t>GÄVLEBORGS LÄN</t>
        </is>
      </c>
      <c r="G873" t="inlineStr">
        <is>
          <t>GÄVLE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14974-2026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46302</v>
      </c>
      <c r="F874" t="inlineStr">
        <is>
          <t>GÄVLEBORGS LÄN</t>
        </is>
      </c>
      <c r="G874" t="inlineStr">
        <is>
          <t>GÄVLE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23117-2026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46161</v>
      </c>
      <c r="E875" s="1" t="n">
        <v>46302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40375-2026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46294</v>
      </c>
      <c r="E876" s="1" t="n">
        <v>46302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33880-2022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44790</v>
      </c>
      <c r="E877" s="1" t="n">
        <v>46302</v>
      </c>
      <c r="F877" t="inlineStr">
        <is>
          <t>GÄVLEBORGS LÄN</t>
        </is>
      </c>
      <c r="G877" t="inlineStr">
        <is>
          <t>GÄVLE</t>
        </is>
      </c>
      <c r="I877" t="n">
        <v>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40943-2026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46297</v>
      </c>
      <c r="E878" s="1" t="n">
        <v>46302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40947-2026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46297</v>
      </c>
      <c r="E879" s="1" t="n">
        <v>46302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6370-2025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45699</v>
      </c>
      <c r="E880" s="1" t="n">
        <v>46302</v>
      </c>
      <c r="F880" t="inlineStr">
        <is>
          <t>GÄVLEBORGS LÄN</t>
        </is>
      </c>
      <c r="G880" t="inlineStr">
        <is>
          <t>GÄVLE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40896-2026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46297</v>
      </c>
      <c r="E881" s="1" t="n">
        <v>46302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34415-2026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46254</v>
      </c>
      <c r="E882" s="1" t="n">
        <v>46302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27051-2026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46302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11691-2024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45373</v>
      </c>
      <c r="E884" s="1" t="n">
        <v>46302</v>
      </c>
      <c r="F884" t="inlineStr">
        <is>
          <t>GÄVLEBORGS LÄN</t>
        </is>
      </c>
      <c r="G884" t="inlineStr">
        <is>
          <t>GÄVLE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62766-2022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44885</v>
      </c>
      <c r="E885" s="1" t="n">
        <v>46302</v>
      </c>
      <c r="F885" t="inlineStr">
        <is>
          <t>GÄVLEBORGS LÄN</t>
        </is>
      </c>
      <c r="G885" t="inlineStr">
        <is>
          <t>GÄVLE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40791-2026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46296</v>
      </c>
      <c r="E886" s="1" t="n">
        <v>46302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64873-2023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45282</v>
      </c>
      <c r="E887" s="1" t="n">
        <v>46302</v>
      </c>
      <c r="F887" t="inlineStr">
        <is>
          <t>GÄVLEBORGS LÄN</t>
        </is>
      </c>
      <c r="G887" t="inlineStr">
        <is>
          <t>GÄVLE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47143-2024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45586</v>
      </c>
      <c r="E888" s="1" t="n">
        <v>46302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29862-2023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45107</v>
      </c>
      <c r="E889" s="1" t="n">
        <v>46302</v>
      </c>
      <c r="F889" t="inlineStr">
        <is>
          <t>GÄVLEBORGS LÄN</t>
        </is>
      </c>
      <c r="G889" t="inlineStr">
        <is>
          <t>GÄVLE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8298-2026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46063</v>
      </c>
      <c r="E890" s="1" t="n">
        <v>46302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54959-2025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45967</v>
      </c>
      <c r="E891" s="1" t="n">
        <v>46302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40790-2026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46296</v>
      </c>
      <c r="E892" s="1" t="n">
        <v>46302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34432-2026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46254</v>
      </c>
      <c r="E893" s="1" t="n">
        <v>46302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24478-2023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45082</v>
      </c>
      <c r="E894" s="1" t="n">
        <v>46302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40938-2026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46297</v>
      </c>
      <c r="E895" s="1" t="n">
        <v>46302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40941-2026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46297</v>
      </c>
      <c r="E896" s="1" t="n">
        <v>46302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40948-2026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46297</v>
      </c>
      <c r="E897" s="1" t="n">
        <v>46302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40949-2026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46297</v>
      </c>
      <c r="E898" s="1" t="n">
        <v>46302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50345-2025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45944</v>
      </c>
      <c r="E899" s="1" t="n">
        <v>46302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54960-2025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45967</v>
      </c>
      <c r="E900" s="1" t="n">
        <v>46302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17088-2023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45034</v>
      </c>
      <c r="E901" s="1" t="n">
        <v>46302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7792-2023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44973</v>
      </c>
      <c r="E902" s="1" t="n">
        <v>46302</v>
      </c>
      <c r="F902" t="inlineStr">
        <is>
          <t>GÄVLEBORGS LÄN</t>
        </is>
      </c>
      <c r="G902" t="inlineStr">
        <is>
          <t>GÄVLE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14735-2024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45397</v>
      </c>
      <c r="E903" s="1" t="n">
        <v>46302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35761-2022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44800</v>
      </c>
      <c r="E904" s="1" t="n">
        <v>46302</v>
      </c>
      <c r="F904" t="inlineStr">
        <is>
          <t>GÄVLEBORGS LÄN</t>
        </is>
      </c>
      <c r="G904" t="inlineStr">
        <is>
          <t>GÄVLE</t>
        </is>
      </c>
      <c r="I904" t="n">
        <v>8.199999999999999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34822-2026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46302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34686-2026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46258</v>
      </c>
      <c r="E906" s="1" t="n">
        <v>46302</v>
      </c>
      <c r="F906" t="inlineStr">
        <is>
          <t>GÄVLEBORGS LÄN</t>
        </is>
      </c>
      <c r="G906" t="inlineStr">
        <is>
          <t>GÄVLE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25808-2026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46178</v>
      </c>
      <c r="E907" s="1" t="n">
        <v>46302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58925-2025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45987</v>
      </c>
      <c r="E908" s="1" t="n">
        <v>46302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27040-2026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46185</v>
      </c>
      <c r="E909" s="1" t="n">
        <v>46302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5.5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41542-2026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46301</v>
      </c>
      <c r="E910" s="1" t="n">
        <v>46302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5.7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34591-2026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46255</v>
      </c>
      <c r="E911" s="1" t="n">
        <v>46302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41543-2026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46301</v>
      </c>
      <c r="E912" s="1" t="n">
        <v>46302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41106-2026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46300</v>
      </c>
      <c r="E913" s="1" t="n">
        <v>46302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21367-2026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46147</v>
      </c>
      <c r="E914" s="1" t="n">
        <v>46302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30600-2026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46210</v>
      </c>
      <c r="E915" s="1" t="n">
        <v>46302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13500-2026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46094</v>
      </c>
      <c r="E916" s="1" t="n">
        <v>46302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38191-2026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46281</v>
      </c>
      <c r="E917" s="1" t="n">
        <v>46302</v>
      </c>
      <c r="F917" t="inlineStr">
        <is>
          <t>GÄVLEBORGS LÄN</t>
        </is>
      </c>
      <c r="G917" t="inlineStr">
        <is>
          <t>GÄVLE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21365-2026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46147</v>
      </c>
      <c r="E918" s="1" t="n">
        <v>46302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26016-2026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46181</v>
      </c>
      <c r="E919" s="1" t="n">
        <v>46302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61918-2023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45266</v>
      </c>
      <c r="E920" s="1" t="n">
        <v>46302</v>
      </c>
      <c r="F920" t="inlineStr">
        <is>
          <t>GÄVLEBORGS LÄN</t>
        </is>
      </c>
      <c r="G920" t="inlineStr">
        <is>
          <t>GÄVLE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17245-2024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45414</v>
      </c>
      <c r="E921" s="1" t="n">
        <v>46302</v>
      </c>
      <c r="F921" t="inlineStr">
        <is>
          <t>GÄVLEBORGS LÄN</t>
        </is>
      </c>
      <c r="G921" t="inlineStr">
        <is>
          <t>GÄVLE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38051-2026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46280</v>
      </c>
      <c r="E922" s="1" t="n">
        <v>46302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41544-2026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46301</v>
      </c>
      <c r="E923" s="1" t="n">
        <v>46302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62255-2022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44922</v>
      </c>
      <c r="E924" s="1" t="n">
        <v>46302</v>
      </c>
      <c r="F924" t="inlineStr">
        <is>
          <t>GÄVLEBORGS LÄN</t>
        </is>
      </c>
      <c r="G924" t="inlineStr">
        <is>
          <t>GÄVLE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34590-2026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46255</v>
      </c>
      <c r="E925" s="1" t="n">
        <v>46302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34593-2026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46255</v>
      </c>
      <c r="E926" s="1" t="n">
        <v>46302</v>
      </c>
      <c r="F926" t="inlineStr">
        <is>
          <t>GÄVLEBORGS LÄN</t>
        </is>
      </c>
      <c r="G926" t="inlineStr">
        <is>
          <t>GÄVLE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57928-2024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45631</v>
      </c>
      <c r="E927" s="1" t="n">
        <v>46302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9422-2025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45715</v>
      </c>
      <c r="E928" s="1" t="n">
        <v>46302</v>
      </c>
      <c r="F928" t="inlineStr">
        <is>
          <t>GÄVLEBORGS LÄN</t>
        </is>
      </c>
      <c r="G928" t="inlineStr">
        <is>
          <t>GÄVLE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61843-2023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45266</v>
      </c>
      <c r="E929" s="1" t="n">
        <v>46302</v>
      </c>
      <c r="F929" t="inlineStr">
        <is>
          <t>GÄVLEBORGS LÄN</t>
        </is>
      </c>
      <c r="G929" t="inlineStr">
        <is>
          <t>GÄVLE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45660</v>
      </c>
      <c r="E930" s="1" t="n">
        <v>46302</v>
      </c>
      <c r="F930" t="inlineStr">
        <is>
          <t>GÄVLEBORGS LÄN</t>
        </is>
      </c>
      <c r="G930" t="inlineStr">
        <is>
          <t>GÄVLE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33449-2024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45519</v>
      </c>
      <c r="E931" s="1" t="n">
        <v>46302</v>
      </c>
      <c r="F931" t="inlineStr">
        <is>
          <t>GÄVLEBORGS LÄN</t>
        </is>
      </c>
      <c r="G931" t="inlineStr">
        <is>
          <t>GÄVLE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35440-2023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45146</v>
      </c>
      <c r="E932" s="1" t="n">
        <v>46302</v>
      </c>
      <c r="F932" t="inlineStr">
        <is>
          <t>GÄVLEBORGS LÄN</t>
        </is>
      </c>
      <c r="G932" t="inlineStr">
        <is>
          <t>GÄVLE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3662-2022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44586</v>
      </c>
      <c r="E933" s="1" t="n">
        <v>46302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7410-2025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45705</v>
      </c>
      <c r="E934" s="1" t="n">
        <v>46302</v>
      </c>
      <c r="F934" t="inlineStr">
        <is>
          <t>GÄVLEBORGS LÄN</t>
        </is>
      </c>
      <c r="G934" t="inlineStr">
        <is>
          <t>GÄVLE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35331-2024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45530</v>
      </c>
      <c r="E935" s="1" t="n">
        <v>46302</v>
      </c>
      <c r="F935" t="inlineStr">
        <is>
          <t>GÄVLEBORGS LÄN</t>
        </is>
      </c>
      <c r="G935" t="inlineStr">
        <is>
          <t>GÄVLE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44927</v>
      </c>
      <c r="E936" s="1" t="n">
        <v>46302</v>
      </c>
      <c r="F936" t="inlineStr">
        <is>
          <t>GÄVLEBORGS LÄN</t>
        </is>
      </c>
      <c r="G936" t="inlineStr">
        <is>
          <t>GÄVLE</t>
        </is>
      </c>
      <c r="I936" t="n">
        <v>4.4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44806-2024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45574</v>
      </c>
      <c r="E937" s="1" t="n">
        <v>46302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52250-2024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45608</v>
      </c>
      <c r="E938" s="1" t="n">
        <v>46302</v>
      </c>
      <c r="F938" t="inlineStr">
        <is>
          <t>GÄVLEBORGS LÄN</t>
        </is>
      </c>
      <c r="G938" t="inlineStr">
        <is>
          <t>GÄVLE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30875-2022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44767</v>
      </c>
      <c r="E939" s="1" t="n">
        <v>46302</v>
      </c>
      <c r="F939" t="inlineStr">
        <is>
          <t>GÄVLEBORGS LÄN</t>
        </is>
      </c>
      <c r="G939" t="inlineStr">
        <is>
          <t>GÄVLE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60349-2022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44910</v>
      </c>
      <c r="E940" s="1" t="n">
        <v>46302</v>
      </c>
      <c r="F940" t="inlineStr">
        <is>
          <t>GÄVLEBORGS LÄN</t>
        </is>
      </c>
      <c r="G940" t="inlineStr">
        <is>
          <t>GÄVLE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41100-2024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45559</v>
      </c>
      <c r="E941" s="1" t="n">
        <v>46302</v>
      </c>
      <c r="F941" t="inlineStr">
        <is>
          <t>GÄVLEBORGS LÄN</t>
        </is>
      </c>
      <c r="G941" t="inlineStr">
        <is>
          <t>GÄVLE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35205-2024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45530</v>
      </c>
      <c r="E942" s="1" t="n">
        <v>46302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16401-2025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45751</v>
      </c>
      <c r="E943" s="1" t="n">
        <v>46302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väst AB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5633-2024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45334</v>
      </c>
      <c r="E944" s="1" t="n">
        <v>46302</v>
      </c>
      <c r="F944" t="inlineStr">
        <is>
          <t>GÄVLEBORGS LÄN</t>
        </is>
      </c>
      <c r="G944" t="inlineStr">
        <is>
          <t>GÄVLE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13961-2024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45392</v>
      </c>
      <c r="E945" s="1" t="n">
        <v>46302</v>
      </c>
      <c r="F945" t="inlineStr">
        <is>
          <t>GÄVLEBORGS LÄN</t>
        </is>
      </c>
      <c r="G945" t="inlineStr">
        <is>
          <t>GÄVLE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25466-2023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45089</v>
      </c>
      <c r="E946" s="1" t="n">
        <v>46302</v>
      </c>
      <c r="F946" t="inlineStr">
        <is>
          <t>GÄVLEBORGS LÄN</t>
        </is>
      </c>
      <c r="G946" t="inlineStr">
        <is>
          <t>GÄVLE</t>
        </is>
      </c>
      <c r="I946" t="n">
        <v>5.5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7060-2022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44603</v>
      </c>
      <c r="E947" s="1" t="n">
        <v>46302</v>
      </c>
      <c r="F947" t="inlineStr">
        <is>
          <t>GÄVLEBORGS LÄN</t>
        </is>
      </c>
      <c r="G947" t="inlineStr">
        <is>
          <t>GÄVLE</t>
        </is>
      </c>
      <c r="I947" t="n">
        <v>10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41708-2023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45176</v>
      </c>
      <c r="E948" s="1" t="n">
        <v>46302</v>
      </c>
      <c r="F948" t="inlineStr">
        <is>
          <t>GÄVLEBORGS LÄN</t>
        </is>
      </c>
      <c r="G948" t="inlineStr">
        <is>
          <t>GÄVLE</t>
        </is>
      </c>
      <c r="I948" t="n">
        <v>6.5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41712-2023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45176</v>
      </c>
      <c r="E949" s="1" t="n">
        <v>46302</v>
      </c>
      <c r="F949" t="inlineStr">
        <is>
          <t>GÄVLEBORGS LÄN</t>
        </is>
      </c>
      <c r="G949" t="inlineStr">
        <is>
          <t>GÄVLE</t>
        </is>
      </c>
      <c r="I949" t="n">
        <v>7.8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5413-2023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44959</v>
      </c>
      <c r="E950" s="1" t="n">
        <v>46302</v>
      </c>
      <c r="F950" t="inlineStr">
        <is>
          <t>GÄVLEBORGS LÄN</t>
        </is>
      </c>
      <c r="G950" t="inlineStr">
        <is>
          <t>GÄVLE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4235-2025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45685</v>
      </c>
      <c r="E951" s="1" t="n">
        <v>46302</v>
      </c>
      <c r="F951" t="inlineStr">
        <is>
          <t>GÄVLEBORGS LÄN</t>
        </is>
      </c>
      <c r="G951" t="inlineStr">
        <is>
          <t>GÄVLE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45660</v>
      </c>
      <c r="E952" s="1" t="n">
        <v>46302</v>
      </c>
      <c r="F952" t="inlineStr">
        <is>
          <t>GÄVLEBORGS LÄN</t>
        </is>
      </c>
      <c r="G952" t="inlineStr">
        <is>
          <t>GÄVLE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56138-2023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45240</v>
      </c>
      <c r="E953" s="1" t="n">
        <v>46302</v>
      </c>
      <c r="F953" t="inlineStr">
        <is>
          <t>GÄVLEBORGS LÄN</t>
        </is>
      </c>
      <c r="G953" t="inlineStr">
        <is>
          <t>GÄVLE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33635-2024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45520</v>
      </c>
      <c r="E954" s="1" t="n">
        <v>46302</v>
      </c>
      <c r="F954" t="inlineStr">
        <is>
          <t>GÄVLEBORGS LÄN</t>
        </is>
      </c>
      <c r="G954" t="inlineStr">
        <is>
          <t>GÄVLE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33637-2024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45520</v>
      </c>
      <c r="E955" s="1" t="n">
        <v>46302</v>
      </c>
      <c r="F955" t="inlineStr">
        <is>
          <t>GÄVLEBORGS LÄN</t>
        </is>
      </c>
      <c r="G955" t="inlineStr">
        <is>
          <t>GÄVLE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25645-2023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45089</v>
      </c>
      <c r="E956" s="1" t="n">
        <v>46302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7998-2023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44973</v>
      </c>
      <c r="E957" s="1" t="n">
        <v>46302</v>
      </c>
      <c r="F957" t="inlineStr">
        <is>
          <t>GÄVLEBORGS LÄN</t>
        </is>
      </c>
      <c r="G957" t="inlineStr">
        <is>
          <t>GÄVLE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54207-2023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45232</v>
      </c>
      <c r="E958" s="1" t="n">
        <v>46302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15935-2025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45749</v>
      </c>
      <c r="E959" s="1" t="n">
        <v>46302</v>
      </c>
      <c r="F959" t="inlineStr">
        <is>
          <t>GÄVLEBORGS LÄN</t>
        </is>
      </c>
      <c r="G959" t="inlineStr">
        <is>
          <t>GÄVLE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25814-2023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45090</v>
      </c>
      <c r="E960" s="1" t="n">
        <v>46302</v>
      </c>
      <c r="F960" t="inlineStr">
        <is>
          <t>GÄVLEBORGS LÄN</t>
        </is>
      </c>
      <c r="G960" t="inlineStr">
        <is>
          <t>GÄVLE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14792-2023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45014</v>
      </c>
      <c r="E961" s="1" t="n">
        <v>46302</v>
      </c>
      <c r="F961" t="inlineStr">
        <is>
          <t>GÄVLEBORGS LÄN</t>
        </is>
      </c>
      <c r="G961" t="inlineStr">
        <is>
          <t>GÄVLE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12079-2025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45728</v>
      </c>
      <c r="E962" s="1" t="n">
        <v>46302</v>
      </c>
      <c r="F962" t="inlineStr">
        <is>
          <t>GÄVLEBORGS LÄN</t>
        </is>
      </c>
      <c r="G962" t="inlineStr">
        <is>
          <t>GÄVLE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1594-2024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45306</v>
      </c>
      <c r="E963" s="1" t="n">
        <v>46302</v>
      </c>
      <c r="F963" t="inlineStr">
        <is>
          <t>GÄVLEBORGS LÄN</t>
        </is>
      </c>
      <c r="G963" t="inlineStr">
        <is>
          <t>GÄVLE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62983-2023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45272</v>
      </c>
      <c r="E964" s="1" t="n">
        <v>46302</v>
      </c>
      <c r="F964" t="inlineStr">
        <is>
          <t>GÄVLEBORGS LÄN</t>
        </is>
      </c>
      <c r="G964" t="inlineStr">
        <is>
          <t>GÄVLE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33901-2024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45523</v>
      </c>
      <c r="E965" s="1" t="n">
        <v>46302</v>
      </c>
      <c r="F965" t="inlineStr">
        <is>
          <t>GÄVLEBORGS LÄN</t>
        </is>
      </c>
      <c r="G965" t="inlineStr">
        <is>
          <t>GÄVLE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20621-2025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45776</v>
      </c>
      <c r="E966" s="1" t="n">
        <v>46302</v>
      </c>
      <c r="F966" t="inlineStr">
        <is>
          <t>GÄVLEBORGS LÄN</t>
        </is>
      </c>
      <c r="G966" t="inlineStr">
        <is>
          <t>GÄVLE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45938-2024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45580</v>
      </c>
      <c r="E967" s="1" t="n">
        <v>46302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21431-2025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45782</v>
      </c>
      <c r="E968" s="1" t="n">
        <v>46302</v>
      </c>
      <c r="F968" t="inlineStr">
        <is>
          <t>GÄVLEBORGS LÄN</t>
        </is>
      </c>
      <c r="G968" t="inlineStr">
        <is>
          <t>GÄVLE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7202-2025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45702</v>
      </c>
      <c r="E969" s="1" t="n">
        <v>46302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59044-2023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45252</v>
      </c>
      <c r="E970" s="1" t="n">
        <v>46302</v>
      </c>
      <c r="F970" t="inlineStr">
        <is>
          <t>GÄVLEBORGS LÄN</t>
        </is>
      </c>
      <c r="G970" t="inlineStr">
        <is>
          <t>GÄVLE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7451-2025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45705</v>
      </c>
      <c r="E971" s="1" t="n">
        <v>46302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23291-2025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45791</v>
      </c>
      <c r="E972" s="1" t="n">
        <v>46302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23232-2025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45791</v>
      </c>
      <c r="E973" s="1" t="n">
        <v>46302</v>
      </c>
      <c r="F973" t="inlineStr">
        <is>
          <t>GÄVLEBORGS LÄN</t>
        </is>
      </c>
      <c r="G973" t="inlineStr">
        <is>
          <t>GÄVLE</t>
        </is>
      </c>
      <c r="I973" t="n">
        <v>10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22879-2025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45790</v>
      </c>
      <c r="E974" s="1" t="n">
        <v>46302</v>
      </c>
      <c r="F974" t="inlineStr">
        <is>
          <t>GÄVLEBORGS LÄN</t>
        </is>
      </c>
      <c r="G974" t="inlineStr">
        <is>
          <t>GÄVLE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23324-2025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45791</v>
      </c>
      <c r="E975" s="1" t="n">
        <v>46302</v>
      </c>
      <c r="F975" t="inlineStr">
        <is>
          <t>GÄVLEBORGS LÄN</t>
        </is>
      </c>
      <c r="G975" t="inlineStr">
        <is>
          <t>GÄVLE</t>
        </is>
      </c>
      <c r="I975" t="n">
        <v>6.2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22923-2025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45790</v>
      </c>
      <c r="E976" s="1" t="n">
        <v>46302</v>
      </c>
      <c r="F976" t="inlineStr">
        <is>
          <t>GÄVLEBORGS LÄN</t>
        </is>
      </c>
      <c r="G976" t="inlineStr">
        <is>
          <t>GÄVLE</t>
        </is>
      </c>
      <c r="I976" t="n">
        <v>20.8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45660</v>
      </c>
      <c r="E977" s="1" t="n">
        <v>46302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24228-2025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45797</v>
      </c>
      <c r="E978" s="1" t="n">
        <v>46302</v>
      </c>
      <c r="F978" t="inlineStr">
        <is>
          <t>GÄVLEBORGS LÄN</t>
        </is>
      </c>
      <c r="G978" t="inlineStr">
        <is>
          <t>GÄVLE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55878-2024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45623</v>
      </c>
      <c r="E979" s="1" t="n">
        <v>46302</v>
      </c>
      <c r="F979" t="inlineStr">
        <is>
          <t>GÄVLEBORGS LÄN</t>
        </is>
      </c>
      <c r="G979" t="inlineStr">
        <is>
          <t>GÄVLE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48913-2024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45594</v>
      </c>
      <c r="E980" s="1" t="n">
        <v>46302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24225-2025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45797</v>
      </c>
      <c r="E981" s="1" t="n">
        <v>46302</v>
      </c>
      <c r="F981" t="inlineStr">
        <is>
          <t>GÄVLEBORGS LÄN</t>
        </is>
      </c>
      <c r="G981" t="inlineStr">
        <is>
          <t>GÄVLE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58373-2024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45632</v>
      </c>
      <c r="E982" s="1" t="n">
        <v>46302</v>
      </c>
      <c r="F982" t="inlineStr">
        <is>
          <t>GÄVLEBORGS LÄN</t>
        </is>
      </c>
      <c r="G982" t="inlineStr">
        <is>
          <t>GÄVLE</t>
        </is>
      </c>
      <c r="I982" t="n">
        <v>13.1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31367-2024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45505</v>
      </c>
      <c r="E983" s="1" t="n">
        <v>46302</v>
      </c>
      <c r="F983" t="inlineStr">
        <is>
          <t>GÄVLEBORGS LÄN</t>
        </is>
      </c>
      <c r="G983" t="inlineStr">
        <is>
          <t>GÄVLE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45798</v>
      </c>
      <c r="E984" s="1" t="n">
        <v>46302</v>
      </c>
      <c r="F984" t="inlineStr">
        <is>
          <t>GÄVLEBORGS LÄN</t>
        </is>
      </c>
      <c r="G984" t="inlineStr">
        <is>
          <t>GÄVLE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3425-2023</t>
        </is>
      </c>
      <c r="B985" t="inlineStr">
        <is>
          <t>samrådsanmälan</t>
        </is>
      </c>
      <c r="C985" t="inlineStr">
        <is>
          <t>Annan skogsbruksåtgärd</t>
        </is>
      </c>
      <c r="D985" s="1" t="n">
        <v>45205</v>
      </c>
      <c r="E985" s="1" t="n">
        <v>46302</v>
      </c>
      <c r="F985" t="inlineStr">
        <is>
          <t>GÄVLEBORGS LÄN</t>
        </is>
      </c>
      <c r="G985" t="inlineStr">
        <is>
          <t>GÄVLE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HYPERLINK("https://klasma.github.io/Logging_2180/knärot/S 3425-2023 karta knärot.png", "S 3425-2023")</f>
        <v/>
      </c>
      <c r="AA985">
        <f>HYPERLINK("https://klasma.github.io/Logging_2180/klagomål/S 3425-2023 FSC-klagomål.docx", "S 3425-2023")</f>
        <v/>
      </c>
      <c r="AB985">
        <f>HYPERLINK("https://klasma.github.io/Logging_2180/klagomålsmail/S 3425-2023 FSC-klagomål mail.docx", "S 3425-2023")</f>
        <v/>
      </c>
      <c r="AC985">
        <f>HYPERLINK("https://klasma.github.io/Logging_2180/tillsyn/S 3425-2023 tillsynsbegäran.docx", "S 3425-2023")</f>
        <v/>
      </c>
      <c r="AD985">
        <f>HYPERLINK("https://klasma.github.io/Logging_2180/tillsynsmail/S 3425-2023 tillsynsbegäran mail.docx", "S 3425-2023")</f>
        <v/>
      </c>
    </row>
    <row r="986" ht="15" customHeight="1">
      <c r="A986" t="inlineStr">
        <is>
          <t>S 889-2023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44995</v>
      </c>
      <c r="E986" s="1" t="n">
        <v>46302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886-2024</t>
        </is>
      </c>
      <c r="B987" t="inlineStr">
        <is>
          <t>samrådsanmälan</t>
        </is>
      </c>
      <c r="C987" t="inlineStr">
        <is>
          <t>Annan skogsbruksåtgärd</t>
        </is>
      </c>
      <c r="D987" s="1" t="n">
        <v>45376</v>
      </c>
      <c r="E987" s="1" t="n">
        <v>46302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S 2464-2024</t>
        </is>
      </c>
      <c r="B988" t="inlineStr">
        <is>
          <t>samrådsanmälan</t>
        </is>
      </c>
      <c r="C988" t="inlineStr">
        <is>
          <t>Skogsbilväg</t>
        </is>
      </c>
      <c r="D988" s="1" t="n">
        <v>45470</v>
      </c>
      <c r="E988" s="1" t="n">
        <v>46302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>
      <c r="A989" t="inlineStr">
        <is>
          <t>S 644-2026</t>
        </is>
      </c>
      <c r="B989" t="inlineStr">
        <is>
          <t>samrådsanmälan</t>
        </is>
      </c>
      <c r="C989" t="inlineStr">
        <is>
          <t>Skogsgödsling</t>
        </is>
      </c>
      <c r="D989" s="1" t="n">
        <v>46089</v>
      </c>
      <c r="E989" s="1" t="n">
        <v>46302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29.2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2026-10-07T02:02:48Z</dcterms:created>
  <dcterms:modified xmlns:dcterms="http://purl.org/dc/terms/" xmlns:xsi="http://www.w3.org/2001/XMLSchema-instance" xsi:type="dcterms:W3CDTF">2026-10-07T02:02:49Z</dcterms:modified>
</cp:coreProperties>
</file>