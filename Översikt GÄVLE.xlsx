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46316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46316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46316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46316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46316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46316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46316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46316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46316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46316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46316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46316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46316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46316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46316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46316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46316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3193-2026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46316</v>
      </c>
      <c r="F27" t="inlineStr">
        <is>
          <t>GÄVLEBORGS LÄN</t>
        </is>
      </c>
      <c r="G27" t="inlineStr">
        <is>
          <t>GÄVLE</t>
        </is>
      </c>
      <c r="I27" t="n">
        <v>10.3</v>
      </c>
      <c r="J27" t="n">
        <v>4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Trastsångare
Enkelbeckasin
Buskskvätta
Trana</t>
        </is>
      </c>
      <c r="W27">
        <f>HYPERLINK("https://klasma.github.io/Logging_2180/artfynd/A 3193-2026 artfynd.xlsx", "A 3193-2026")</f>
        <v/>
      </c>
      <c r="X27">
        <f>HYPERLINK("https://klasma.github.io/Logging_2180/kartor/A 3193-2026 karta.png", "A 3193-2026")</f>
        <v/>
      </c>
      <c r="Y27">
        <f>HYPERLINK("https://klasma.github.io/Logging_2180/kartor_geotiff/A 3193-2026 georefererad karta.tif", "A 3193-2026")</f>
        <v/>
      </c>
      <c r="AA27">
        <f>HYPERLINK("https://klasma.github.io/Logging_2180/klagomål/A 3193-2026 FSC-klagomål.docx", "A 3193-2026")</f>
        <v/>
      </c>
      <c r="AB27">
        <f>HYPERLINK("https://klasma.github.io/Logging_2180/klagomålsmail/A 3193-2026 FSC-klagomål mail.docx", "A 3193-2026")</f>
        <v/>
      </c>
      <c r="AC27">
        <f>HYPERLINK("https://klasma.github.io/Logging_2180/tillsyn/A 3193-2026 tillsynsbegäran.docx", "A 3193-2026")</f>
        <v/>
      </c>
      <c r="AD27">
        <f>HYPERLINK("https://klasma.github.io/Logging_2180/tillsynsmail/A 3193-2026 tillsynsbegäran mail.docx", "A 3193-2026")</f>
        <v/>
      </c>
      <c r="AE27">
        <f>HYPERLINK("https://klasma.github.io/Logging_2180/fåglar/A 3193-2026 prioriterade fågelarter.docx", "A 3193-2026")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46316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46316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46316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38344-2026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46282</v>
      </c>
      <c r="E31" s="1" t="n">
        <v>46316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3.9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38344-2026 artfynd.xlsx", "A 38344-2026")</f>
        <v/>
      </c>
      <c r="X31">
        <f>HYPERLINK("https://klasma.github.io/Logging_2180/kartor/A 38344-2026 karta.png", "A 38344-2026")</f>
        <v/>
      </c>
      <c r="Y31">
        <f>HYPERLINK("https://klasma.github.io/Logging_2180/kartor_geotiff/A 38344-2026 georefererad karta.tif", "A 38344-2026")</f>
        <v/>
      </c>
      <c r="AA31">
        <f>HYPERLINK("https://klasma.github.io/Logging_2180/klagomål/A 38344-2026 FSC-klagomål.docx", "A 38344-2026")</f>
        <v/>
      </c>
      <c r="AB31">
        <f>HYPERLINK("https://klasma.github.io/Logging_2180/klagomålsmail/A 38344-2026 FSC-klagomål mail.docx", "A 38344-2026")</f>
        <v/>
      </c>
      <c r="AC31">
        <f>HYPERLINK("https://klasma.github.io/Logging_2180/tillsyn/A 38344-2026 tillsynsbegäran.docx", "A 38344-2026")</f>
        <v/>
      </c>
      <c r="AD31">
        <f>HYPERLINK("https://klasma.github.io/Logging_2180/tillsynsmail/A 38344-2026 tillsynsbegäran mail.docx", "A 38344-2026")</f>
        <v/>
      </c>
    </row>
    <row r="32" ht="15" customHeight="1">
      <c r="A32" t="inlineStr">
        <is>
          <t>A 20006-2026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46316</v>
      </c>
      <c r="F32" t="inlineStr">
        <is>
          <t>GÄVLEBORGS LÄN</t>
        </is>
      </c>
      <c r="G32" t="inlineStr">
        <is>
          <t>GÄVLE</t>
        </is>
      </c>
      <c r="I32" t="n">
        <v>1.2</v>
      </c>
      <c r="J32" t="n">
        <v>0</v>
      </c>
      <c r="K32" t="n">
        <v>2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Ask
Sårläka
Myskmadra
Mörk husmossa</t>
        </is>
      </c>
      <c r="W32">
        <f>HYPERLINK("https://klasma.github.io/Logging_2180/artfynd/A 20006-2026 artfynd.xlsx", "A 20006-2026")</f>
        <v/>
      </c>
      <c r="X32">
        <f>HYPERLINK("https://klasma.github.io/Logging_2180/kartor/A 20006-2026 karta.png", "A 20006-2026")</f>
        <v/>
      </c>
      <c r="Y32">
        <f>HYPERLINK("https://klasma.github.io/Logging_2180/kartor_geotiff/A 20006-2026 georefererad karta.tif", "A 20006-2026")</f>
        <v/>
      </c>
      <c r="AA32">
        <f>HYPERLINK("https://klasma.github.io/Logging_2180/klagomål/A 20006-2026 FSC-klagomål.docx", "A 20006-2026")</f>
        <v/>
      </c>
      <c r="AB32">
        <f>HYPERLINK("https://klasma.github.io/Logging_2180/klagomålsmail/A 20006-2026 FSC-klagomål mail.docx", "A 20006-2026")</f>
        <v/>
      </c>
      <c r="AC32">
        <f>HYPERLINK("https://klasma.github.io/Logging_2180/tillsyn/A 20006-2026 tillsynsbegäran.docx", "A 20006-2026")</f>
        <v/>
      </c>
      <c r="AD32">
        <f>HYPERLINK("https://klasma.github.io/Logging_2180/tillsynsmail/A 20006-2026 tillsynsbegäran mail.docx", "A 20006-2026")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46316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46316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1</v>
      </c>
      <c r="V34" s="2" t="inlineStr">
        <is>
          <t>Dropptaggsvamp
Tallticka
Vedskivlav
Vågbandad barkbock</t>
        </is>
      </c>
      <c r="W34">
        <f>HYPERLINK("https://klasma.github.io/Logging_2180/artfynd/A 1100-2024 artfynd.xlsx", "A 1100-2024")</f>
        <v/>
      </c>
      <c r="X34">
        <f>HYPERLINK("https://klasma.github.io/Logging_2180/kartor/A 1100-2024 karta.png", "A 1100-2024")</f>
        <v/>
      </c>
      <c r="Y34">
        <f>HYPERLINK("https://klasma.github.io/Logging_2180/kartor_geotiff/A 1100-2024 georefererad karta.tif", "A 1100-2024")</f>
        <v/>
      </c>
      <c r="AA34">
        <f>HYPERLINK("https://klasma.github.io/Logging_2180/klagomål/A 1100-2024 FSC-klagomål.docx", "A 1100-2024")</f>
        <v/>
      </c>
      <c r="AB34">
        <f>HYPERLINK("https://klasma.github.io/Logging_2180/klagomålsmail/A 1100-2024 FSC-klagomål mail.docx", "A 1100-2024")</f>
        <v/>
      </c>
      <c r="AC34">
        <f>HYPERLINK("https://klasma.github.io/Logging_2180/tillsyn/A 1100-2024 tillsynsbegäran.docx", "A 1100-2024")</f>
        <v/>
      </c>
      <c r="AD34">
        <f>HYPERLINK("https://klasma.github.io/Logging_2180/tillsynsmail/A 1100-2024 tillsynsbegäran mail.docx", "A 1100-2024")</f>
        <v/>
      </c>
    </row>
    <row r="35" ht="15" customHeight="1">
      <c r="A35" t="inlineStr">
        <is>
          <t>A 42114-2026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46304</v>
      </c>
      <c r="E35" s="1" t="n">
        <v>46316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13</v>
      </c>
      <c r="J35" t="n">
        <v>1</v>
      </c>
      <c r="K35" t="n">
        <v>1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Ask
Gullpudra
Svart trolldruva
Blåsippa</t>
        </is>
      </c>
      <c r="W35">
        <f>HYPERLINK("https://klasma.github.io/Logging_2180/artfynd/A 42114-2026 artfynd.xlsx", "A 42114-2026")</f>
        <v/>
      </c>
      <c r="X35">
        <f>HYPERLINK("https://klasma.github.io/Logging_2180/kartor/A 42114-2026 karta.png", "A 42114-2026")</f>
        <v/>
      </c>
      <c r="Y35">
        <f>HYPERLINK("https://klasma.github.io/Logging_2180/kartor_geotiff/A 42114-2026 georefererad karta.tif", "A 42114-2026")</f>
        <v/>
      </c>
      <c r="AA35">
        <f>HYPERLINK("https://klasma.github.io/Logging_2180/klagomål/A 42114-2026 FSC-klagomål.docx", "A 42114-2026")</f>
        <v/>
      </c>
      <c r="AB35">
        <f>HYPERLINK("https://klasma.github.io/Logging_2180/klagomålsmail/A 42114-2026 FSC-klagomål mail.docx", "A 42114-2026")</f>
        <v/>
      </c>
      <c r="AC35">
        <f>HYPERLINK("https://klasma.github.io/Logging_2180/tillsyn/A 42114-2026 tillsynsbegäran.docx", "A 42114-2026")</f>
        <v/>
      </c>
      <c r="AD35">
        <f>HYPERLINK("https://klasma.github.io/Logging_2180/tillsynsmail/A 42114-2026 tillsynsbegäran mail.docx", "A 42114-2026")</f>
        <v/>
      </c>
    </row>
    <row r="36" ht="15" customHeight="1">
      <c r="A36" t="inlineStr">
        <is>
          <t>A 9570-2025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46316</v>
      </c>
      <c r="F36" t="inlineStr">
        <is>
          <t>GÄVLEBORGS LÄN</t>
        </is>
      </c>
      <c r="G36" t="inlineStr">
        <is>
          <t>GÄVLE</t>
        </is>
      </c>
      <c r="I36" t="n">
        <v>3.8</v>
      </c>
      <c r="J36" t="n">
        <v>2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22</v>
      </c>
      <c r="U36" t="n">
        <v>22</v>
      </c>
      <c r="V36" s="2" t="inlineStr">
        <is>
          <t>Knärot
Lunglav
Tallticka
Tretåig hackspett</t>
        </is>
      </c>
      <c r="W36">
        <f>HYPERLINK("https://klasma.github.io/Logging_2180/artfynd/A 9570-2025 artfynd.xlsx", "A 9570-2025")</f>
        <v/>
      </c>
      <c r="X36">
        <f>HYPERLINK("https://klasma.github.io/Logging_2180/kartor/A 9570-2025 karta.png", "A 9570-2025")</f>
        <v/>
      </c>
      <c r="Y36">
        <f>HYPERLINK("https://klasma.github.io/Logging_2180/kartor_geotiff/A 9570-2025 georefererad karta.tif", "A 9570-2025")</f>
        <v/>
      </c>
      <c r="Z36">
        <f>HYPERLINK("https://klasma.github.io/Logging_2180/knärot/A 9570-2025 karta knärot.png", "A 9570-2025")</f>
        <v/>
      </c>
      <c r="AA36">
        <f>HYPERLINK("https://klasma.github.io/Logging_2180/klagomål/A 9570-2025 FSC-klagomål.docx", "A 9570-2025")</f>
        <v/>
      </c>
      <c r="AB36">
        <f>HYPERLINK("https://klasma.github.io/Logging_2180/klagomålsmail/A 9570-2025 FSC-klagomål mail.docx", "A 9570-2025")</f>
        <v/>
      </c>
      <c r="AC36">
        <f>HYPERLINK("https://klasma.github.io/Logging_2180/tillsyn/A 9570-2025 tillsynsbegäran.docx", "A 9570-2025")</f>
        <v/>
      </c>
      <c r="AD36">
        <f>HYPERLINK("https://klasma.github.io/Logging_2180/tillsynsmail/A 9570-2025 tillsynsbegäran mail.docx", "A 9570-2025")</f>
        <v/>
      </c>
      <c r="AE36">
        <f>HYPERLINK("https://klasma.github.io/Logging_2180/fåglar/A 9570-2025 prioriterade fågelarter.docx", "A 9570-2025")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46316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46316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46316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46316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46316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46316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46316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37764-2026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46316</v>
      </c>
      <c r="F44" t="inlineStr">
        <is>
          <t>GÄVLEBORGS LÄN</t>
        </is>
      </c>
      <c r="G44" t="inlineStr">
        <is>
          <t>GÄVLE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Vårärt
Blåsippa
Gullviva</t>
        </is>
      </c>
      <c r="W44">
        <f>HYPERLINK("https://klasma.github.io/Logging_2180/artfynd/A 37764-2026 artfynd.xlsx", "A 37764-2026")</f>
        <v/>
      </c>
      <c r="X44">
        <f>HYPERLINK("https://klasma.github.io/Logging_2180/kartor/A 37764-2026 karta.png", "A 37764-2026")</f>
        <v/>
      </c>
      <c r="Y44">
        <f>HYPERLINK("https://klasma.github.io/Logging_2180/kartor_geotiff/A 37764-2026 georefererad karta.tif", "A 37764-2026")</f>
        <v/>
      </c>
      <c r="AA44">
        <f>HYPERLINK("https://klasma.github.io/Logging_2180/klagomål/A 37764-2026 FSC-klagomål.docx", "A 37764-2026")</f>
        <v/>
      </c>
      <c r="AB44">
        <f>HYPERLINK("https://klasma.github.io/Logging_2180/klagomålsmail/A 37764-2026 FSC-klagomål mail.docx", "A 37764-2026")</f>
        <v/>
      </c>
      <c r="AC44">
        <f>HYPERLINK("https://klasma.github.io/Logging_2180/tillsyn/A 37764-2026 tillsynsbegäran.docx", "A 37764-2026")</f>
        <v/>
      </c>
      <c r="AD44">
        <f>HYPERLINK("https://klasma.github.io/Logging_2180/tillsynsmail/A 37764-2026 tillsynsbegäran mail.docx", "A 37764-2026")</f>
        <v/>
      </c>
    </row>
    <row r="45" ht="15" customHeight="1">
      <c r="A45" t="inlineStr">
        <is>
          <t>A 18215-2024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46316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68.59999999999999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Brunklöver
Tjäder
Huggorm</t>
        </is>
      </c>
      <c r="W45">
        <f>HYPERLINK("https://klasma.github.io/Logging_2180/artfynd/A 18215-2024 artfynd.xlsx", "A 18215-2024")</f>
        <v/>
      </c>
      <c r="X45">
        <f>HYPERLINK("https://klasma.github.io/Logging_2180/kartor/A 18215-2024 karta.png", "A 18215-2024")</f>
        <v/>
      </c>
      <c r="Y45">
        <f>HYPERLINK("https://klasma.github.io/Logging_2180/kartor_geotiff/A 18215-2024 georefererad karta.tif", "A 18215-2024")</f>
        <v/>
      </c>
      <c r="AA45">
        <f>HYPERLINK("https://klasma.github.io/Logging_2180/klagomål/A 18215-2024 FSC-klagomål.docx", "A 18215-2024")</f>
        <v/>
      </c>
      <c r="AB45">
        <f>HYPERLINK("https://klasma.github.io/Logging_2180/klagomålsmail/A 18215-2024 FSC-klagomål mail.docx", "A 18215-2024")</f>
        <v/>
      </c>
      <c r="AC45">
        <f>HYPERLINK("https://klasma.github.io/Logging_2180/tillsyn/A 18215-2024 tillsynsbegäran.docx", "A 18215-2024")</f>
        <v/>
      </c>
      <c r="AD45">
        <f>HYPERLINK("https://klasma.github.io/Logging_2180/tillsynsmail/A 18215-2024 tillsynsbegäran mail.docx", "A 18215-2024")</f>
        <v/>
      </c>
      <c r="AE45">
        <f>HYPERLINK("https://klasma.github.io/Logging_2180/fåglar/A 18215-2024 prioriterade fågelarter.docx", "A 18215-2024")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46316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46316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46316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46316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46316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46316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23447-2025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46316</v>
      </c>
      <c r="F52" t="inlineStr">
        <is>
          <t>GÄVLEBORGS LÄN</t>
        </is>
      </c>
      <c r="G52" t="inlineStr">
        <is>
          <t>GÄVLE</t>
        </is>
      </c>
      <c r="I52" t="n">
        <v>1.1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Kopparödla
Fläcknycklar</t>
        </is>
      </c>
      <c r="W52">
        <f>HYPERLINK("https://klasma.github.io/Logging_2180/artfynd/A 23447-2025 artfynd.xlsx", "A 23447-2025")</f>
        <v/>
      </c>
      <c r="X52">
        <f>HYPERLINK("https://klasma.github.io/Logging_2180/kartor/A 23447-2025 karta.png", "A 23447-2025")</f>
        <v/>
      </c>
      <c r="Y52">
        <f>HYPERLINK("https://klasma.github.io/Logging_2180/kartor_geotiff/A 23447-2025 georefererad karta.tif", "A 23447-2025")</f>
        <v/>
      </c>
      <c r="AA52">
        <f>HYPERLINK("https://klasma.github.io/Logging_2180/klagomål/A 23447-2025 FSC-klagomål.docx", "A 23447-2025")</f>
        <v/>
      </c>
      <c r="AB52">
        <f>HYPERLINK("https://klasma.github.io/Logging_2180/klagomålsmail/A 23447-2025 FSC-klagomål mail.docx", "A 23447-2025")</f>
        <v/>
      </c>
      <c r="AC52">
        <f>HYPERLINK("https://klasma.github.io/Logging_2180/tillsyn/A 23447-2025 tillsynsbegäran.docx", "A 23447-2025")</f>
        <v/>
      </c>
      <c r="AD52">
        <f>HYPERLINK("https://klasma.github.io/Logging_2180/tillsynsmail/A 23447-2025 tillsynsbegäran mail.docx", "A 23447-2025")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46316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46316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46316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32328-2024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46316</v>
      </c>
      <c r="F56" t="inlineStr">
        <is>
          <t>GÄVLEBORGS LÄN</t>
        </is>
      </c>
      <c r="G56" t="inlineStr">
        <is>
          <t>GÄVLE</t>
        </is>
      </c>
      <c r="I56" t="n">
        <v>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Spillkråka
Orre</t>
        </is>
      </c>
      <c r="W56">
        <f>HYPERLINK("https://klasma.github.io/Logging_2180/artfynd/A 32328-2024 artfynd.xlsx", "A 32328-2024")</f>
        <v/>
      </c>
      <c r="X56">
        <f>HYPERLINK("https://klasma.github.io/Logging_2180/kartor/A 32328-2024 karta.png", "A 32328-2024")</f>
        <v/>
      </c>
      <c r="Y56">
        <f>HYPERLINK("https://klasma.github.io/Logging_2180/kartor_geotiff/A 32328-2024 georefererad karta.tif", "A 32328-2024")</f>
        <v/>
      </c>
      <c r="AA56">
        <f>HYPERLINK("https://klasma.github.io/Logging_2180/klagomål/A 32328-2024 FSC-klagomål.docx", "A 32328-2024")</f>
        <v/>
      </c>
      <c r="AB56">
        <f>HYPERLINK("https://klasma.github.io/Logging_2180/klagomålsmail/A 32328-2024 FSC-klagomål mail.docx", "A 32328-2024")</f>
        <v/>
      </c>
      <c r="AC56">
        <f>HYPERLINK("https://klasma.github.io/Logging_2180/tillsyn/A 32328-2024 tillsynsbegäran.docx", "A 32328-2024")</f>
        <v/>
      </c>
      <c r="AD56">
        <f>HYPERLINK("https://klasma.github.io/Logging_2180/tillsynsmail/A 32328-2024 tillsynsbegäran mail.docx", "A 32328-2024")</f>
        <v/>
      </c>
      <c r="AE56">
        <f>HYPERLINK("https://klasma.github.io/Logging_2180/fåglar/A 32328-2024 prioriterade fågelarter.docx", "A 32328-2024")</f>
        <v/>
      </c>
    </row>
    <row r="57" ht="15" customHeight="1">
      <c r="A57" t="inlineStr">
        <is>
          <t>A 19718-2026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46316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10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Rödvingetrast
Nattskärra</t>
        </is>
      </c>
      <c r="W57">
        <f>HYPERLINK("https://klasma.github.io/Logging_2180/artfynd/A 19718-2026 artfynd.xlsx", "A 19718-2026")</f>
        <v/>
      </c>
      <c r="X57">
        <f>HYPERLINK("https://klasma.github.io/Logging_2180/kartor/A 19718-2026 karta.png", "A 19718-2026")</f>
        <v/>
      </c>
      <c r="Y57">
        <f>HYPERLINK("https://klasma.github.io/Logging_2180/kartor_geotiff/A 19718-2026 georefererad karta.tif", "A 19718-2026")</f>
        <v/>
      </c>
      <c r="AA57">
        <f>HYPERLINK("https://klasma.github.io/Logging_2180/klagomål/A 19718-2026 FSC-klagomål.docx", "A 19718-2026")</f>
        <v/>
      </c>
      <c r="AB57">
        <f>HYPERLINK("https://klasma.github.io/Logging_2180/klagomålsmail/A 19718-2026 FSC-klagomål mail.docx", "A 19718-2026")</f>
        <v/>
      </c>
      <c r="AC57">
        <f>HYPERLINK("https://klasma.github.io/Logging_2180/tillsyn/A 19718-2026 tillsynsbegäran.docx", "A 19718-2026")</f>
        <v/>
      </c>
      <c r="AD57">
        <f>HYPERLINK("https://klasma.github.io/Logging_2180/tillsynsmail/A 19718-2026 tillsynsbegäran mail.docx", "A 19718-2026")</f>
        <v/>
      </c>
      <c r="AE57">
        <f>HYPERLINK("https://klasma.github.io/Logging_2180/fåglar/A 19718-2026 prioriterade fågelarter.docx", "A 19718-2026")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46316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20323-2026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46316</v>
      </c>
      <c r="F59" t="inlineStr">
        <is>
          <t>GÄVLEBORGS LÄN</t>
        </is>
      </c>
      <c r="G59" t="inlineStr">
        <is>
          <t>GÄVLE</t>
        </is>
      </c>
      <c r="I59" t="n">
        <v>1.4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Grön sköldmossa
Tjäder</t>
        </is>
      </c>
      <c r="W59">
        <f>HYPERLINK("https://klasma.github.io/Logging_2180/artfynd/A 20323-2026 artfynd.xlsx", "A 20323-2026")</f>
        <v/>
      </c>
      <c r="X59">
        <f>HYPERLINK("https://klasma.github.io/Logging_2180/kartor/A 20323-2026 karta.png", "A 20323-2026")</f>
        <v/>
      </c>
      <c r="Y59">
        <f>HYPERLINK("https://klasma.github.io/Logging_2180/kartor_geotiff/A 20323-2026 georefererad karta.tif", "A 20323-2026")</f>
        <v/>
      </c>
      <c r="AA59">
        <f>HYPERLINK("https://klasma.github.io/Logging_2180/klagomål/A 20323-2026 FSC-klagomål.docx", "A 20323-2026")</f>
        <v/>
      </c>
      <c r="AB59">
        <f>HYPERLINK("https://klasma.github.io/Logging_2180/klagomålsmail/A 20323-2026 FSC-klagomål mail.docx", "A 20323-2026")</f>
        <v/>
      </c>
      <c r="AC59">
        <f>HYPERLINK("https://klasma.github.io/Logging_2180/tillsyn/A 20323-2026 tillsynsbegäran.docx", "A 20323-2026")</f>
        <v/>
      </c>
      <c r="AD59">
        <f>HYPERLINK("https://klasma.github.io/Logging_2180/tillsynsmail/A 20323-2026 tillsynsbegäran mail.docx", "A 20323-2026")</f>
        <v/>
      </c>
      <c r="AE59">
        <f>HYPERLINK("https://klasma.github.io/Logging_2180/fåglar/A 20323-2026 prioriterade fågelarter.docx", "A 20323-2026")</f>
        <v/>
      </c>
    </row>
    <row r="60" ht="15" customHeight="1">
      <c r="A60" t="inlineStr">
        <is>
          <t>A 56538-2022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46316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Dropptaggsvamp
Blåsippa</t>
        </is>
      </c>
      <c r="W60">
        <f>HYPERLINK("https://klasma.github.io/Logging_2180/artfynd/A 56538-2022 artfynd.xlsx", "A 56538-2022")</f>
        <v/>
      </c>
      <c r="X60">
        <f>HYPERLINK("https://klasma.github.io/Logging_2180/kartor/A 56538-2022 karta.png", "A 56538-2022")</f>
        <v/>
      </c>
      <c r="Y60">
        <f>HYPERLINK("https://klasma.github.io/Logging_2180/kartor_geotiff/A 56538-2022 georefererad karta.tif", "A 56538-2022")</f>
        <v/>
      </c>
      <c r="AA60">
        <f>HYPERLINK("https://klasma.github.io/Logging_2180/klagomål/A 56538-2022 FSC-klagomål.docx", "A 56538-2022")</f>
        <v/>
      </c>
      <c r="AB60">
        <f>HYPERLINK("https://klasma.github.io/Logging_2180/klagomålsmail/A 56538-2022 FSC-klagomål mail.docx", "A 56538-2022")</f>
        <v/>
      </c>
      <c r="AC60">
        <f>HYPERLINK("https://klasma.github.io/Logging_2180/tillsyn/A 56538-2022 tillsynsbegäran.docx", "A 56538-2022")</f>
        <v/>
      </c>
      <c r="AD60">
        <f>HYPERLINK("https://klasma.github.io/Logging_2180/tillsynsmail/A 56538-2022 tillsynsbegäran mail.docx", "A 56538-2022")</f>
        <v/>
      </c>
    </row>
    <row r="61" ht="15" customHeight="1">
      <c r="A61" t="inlineStr">
        <is>
          <t>A 18218-2024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46316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väst AB</t>
        </is>
      </c>
      <c r="I61" t="n">
        <v>13.1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Blåsippa
Havsörn</t>
        </is>
      </c>
      <c r="W61">
        <f>HYPERLINK("https://klasma.github.io/Logging_2180/artfynd/A 18218-2024 artfynd.xlsx", "A 18218-2024")</f>
        <v/>
      </c>
      <c r="X61">
        <f>HYPERLINK("https://klasma.github.io/Logging_2180/kartor/A 18218-2024 karta.png", "A 18218-2024")</f>
        <v/>
      </c>
      <c r="Y61">
        <f>HYPERLINK("https://klasma.github.io/Logging_2180/kartor_geotiff/A 18218-2024 georefererad karta.tif", "A 18218-2024")</f>
        <v/>
      </c>
      <c r="AA61">
        <f>HYPERLINK("https://klasma.github.io/Logging_2180/klagomål/A 18218-2024 FSC-klagomål.docx", "A 18218-2024")</f>
        <v/>
      </c>
      <c r="AB61">
        <f>HYPERLINK("https://klasma.github.io/Logging_2180/klagomålsmail/A 18218-2024 FSC-klagomål mail.docx", "A 18218-2024")</f>
        <v/>
      </c>
      <c r="AC61">
        <f>HYPERLINK("https://klasma.github.io/Logging_2180/tillsyn/A 18218-2024 tillsynsbegäran.docx", "A 18218-2024")</f>
        <v/>
      </c>
      <c r="AD61">
        <f>HYPERLINK("https://klasma.github.io/Logging_2180/tillsynsmail/A 18218-2024 tillsynsbegäran mail.docx", "A 18218-2024")</f>
        <v/>
      </c>
      <c r="AE61">
        <f>HYPERLINK("https://klasma.github.io/Logging_2180/fåglar/A 18218-2024 prioriterade fågelarter.docx", "A 18218-2024")</f>
        <v/>
      </c>
    </row>
    <row r="62" ht="15" customHeight="1">
      <c r="A62" t="inlineStr">
        <is>
          <t>A 64533-2023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46316</v>
      </c>
      <c r="F62" t="inlineStr">
        <is>
          <t>GÄVLEBORGS LÄN</t>
        </is>
      </c>
      <c r="G62" t="inlineStr">
        <is>
          <t>GÄVLE</t>
        </is>
      </c>
      <c r="I62" t="n">
        <v>1.1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4</v>
      </c>
      <c r="U62" t="n">
        <v>0</v>
      </c>
      <c r="V62" s="2" t="inlineStr">
        <is>
          <t>Aspvedgnagare
Jättesvampmal</t>
        </is>
      </c>
      <c r="W62">
        <f>HYPERLINK("https://klasma.github.io/Logging_2180/artfynd/A 64533-2023 artfynd.xlsx", "A 64533-2023")</f>
        <v/>
      </c>
      <c r="X62">
        <f>HYPERLINK("https://klasma.github.io/Logging_2180/kartor/A 64533-2023 karta.png", "A 64533-2023")</f>
        <v/>
      </c>
      <c r="Y62">
        <f>HYPERLINK("https://klasma.github.io/Logging_2180/kartor_geotiff/A 64533-2023 georefererad karta.tif", "A 64533-2023")</f>
        <v/>
      </c>
      <c r="AA62">
        <f>HYPERLINK("https://klasma.github.io/Logging_2180/klagomål/A 64533-2023 FSC-klagomål.docx", "A 64533-2023")</f>
        <v/>
      </c>
      <c r="AB62">
        <f>HYPERLINK("https://klasma.github.io/Logging_2180/klagomålsmail/A 64533-2023 FSC-klagomål mail.docx", "A 64533-2023")</f>
        <v/>
      </c>
      <c r="AC62">
        <f>HYPERLINK("https://klasma.github.io/Logging_2180/tillsyn/A 64533-2023 tillsynsbegäran.docx", "A 64533-2023")</f>
        <v/>
      </c>
      <c r="AD62">
        <f>HYPERLINK("https://klasma.github.io/Logging_2180/tillsynsmail/A 64533-2023 tillsynsbegäran mail.docx", "A 64533-2023")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46316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Tjäder
Fläcknycklar</t>
        </is>
      </c>
      <c r="W63">
        <f>HYPERLINK("https://klasma.github.io/Logging_2180/artfynd/A 14701-2026 artfynd.xlsx", "A 14701-2026")</f>
        <v/>
      </c>
      <c r="X63">
        <f>HYPERLINK("https://klasma.github.io/Logging_2180/kartor/A 14701-2026 karta.png", "A 14701-2026")</f>
        <v/>
      </c>
      <c r="Y63">
        <f>HYPERLINK("https://klasma.github.io/Logging_2180/kartor_geotiff/A 14701-2026 georefererad karta.tif", "A 14701-2026")</f>
        <v/>
      </c>
      <c r="AA63">
        <f>HYPERLINK("https://klasma.github.io/Logging_2180/klagomål/A 14701-2026 FSC-klagomål.docx", "A 14701-2026")</f>
        <v/>
      </c>
      <c r="AB63">
        <f>HYPERLINK("https://klasma.github.io/Logging_2180/klagomålsmail/A 14701-2026 FSC-klagomål mail.docx", "A 14701-2026")</f>
        <v/>
      </c>
      <c r="AC63">
        <f>HYPERLINK("https://klasma.github.io/Logging_2180/tillsyn/A 14701-2026 tillsynsbegäran.docx", "A 14701-2026")</f>
        <v/>
      </c>
      <c r="AD63">
        <f>HYPERLINK("https://klasma.github.io/Logging_2180/tillsynsmail/A 14701-2026 tillsynsbegäran mail.docx", "A 14701-2026")</f>
        <v/>
      </c>
      <c r="AE63">
        <f>HYPERLINK("https://klasma.github.io/Logging_2180/fåglar/A 14701-2026 prioriterade fågelarter.docx", "A 14701-2026")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46316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22149-2026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46153</v>
      </c>
      <c r="E65" s="1" t="n">
        <v>46316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Vedtrappmossa
Rödgul trumpetsvamp</t>
        </is>
      </c>
      <c r="W65">
        <f>HYPERLINK("https://klasma.github.io/Logging_2180/artfynd/A 22149-2026 artfynd.xlsx", "A 22149-2026")</f>
        <v/>
      </c>
      <c r="X65">
        <f>HYPERLINK("https://klasma.github.io/Logging_2180/kartor/A 22149-2026 karta.png", "A 22149-2026")</f>
        <v/>
      </c>
      <c r="Y65">
        <f>HYPERLINK("https://klasma.github.io/Logging_2180/kartor_geotiff/A 22149-2026 georefererad karta.tif", "A 22149-2026")</f>
        <v/>
      </c>
      <c r="AA65">
        <f>HYPERLINK("https://klasma.github.io/Logging_2180/klagomål/A 22149-2026 FSC-klagomål.docx", "A 22149-2026")</f>
        <v/>
      </c>
      <c r="AB65">
        <f>HYPERLINK("https://klasma.github.io/Logging_2180/klagomålsmail/A 22149-2026 FSC-klagomål mail.docx", "A 22149-2026")</f>
        <v/>
      </c>
      <c r="AC65">
        <f>HYPERLINK("https://klasma.github.io/Logging_2180/tillsyn/A 22149-2026 tillsynsbegäran.docx", "A 22149-2026")</f>
        <v/>
      </c>
      <c r="AD65">
        <f>HYPERLINK("https://klasma.github.io/Logging_2180/tillsynsmail/A 22149-2026 tillsynsbegäran mail.docx", "A 22149-2026")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46316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6473-2024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46316</v>
      </c>
      <c r="F67" t="inlineStr">
        <is>
          <t>GÄVLEBORGS LÄN</t>
        </is>
      </c>
      <c r="G67" t="inlineStr">
        <is>
          <t>GÄVLE</t>
        </is>
      </c>
      <c r="I67" t="n">
        <v>4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Tibast
Nattviol</t>
        </is>
      </c>
      <c r="W67">
        <f>HYPERLINK("https://klasma.github.io/Logging_2180/artfynd/A 6473-2024 artfynd.xlsx", "A 6473-2024")</f>
        <v/>
      </c>
      <c r="X67">
        <f>HYPERLINK("https://klasma.github.io/Logging_2180/kartor/A 6473-2024 karta.png", "A 6473-2024")</f>
        <v/>
      </c>
      <c r="Y67">
        <f>HYPERLINK("https://klasma.github.io/Logging_2180/kartor_geotiff/A 6473-2024 georefererad karta.tif", "A 6473-2024")</f>
        <v/>
      </c>
      <c r="AA67">
        <f>HYPERLINK("https://klasma.github.io/Logging_2180/klagomål/A 6473-2024 FSC-klagomål.docx", "A 6473-2024")</f>
        <v/>
      </c>
      <c r="AB67">
        <f>HYPERLINK("https://klasma.github.io/Logging_2180/klagomålsmail/A 6473-2024 FSC-klagomål mail.docx", "A 6473-2024")</f>
        <v/>
      </c>
      <c r="AC67">
        <f>HYPERLINK("https://klasma.github.io/Logging_2180/tillsyn/A 6473-2024 tillsynsbegäran.docx", "A 6473-2024")</f>
        <v/>
      </c>
      <c r="AD67">
        <f>HYPERLINK("https://klasma.github.io/Logging_2180/tillsynsmail/A 6473-2024 tillsynsbegäran mail.docx", "A 6473-2024")</f>
        <v/>
      </c>
    </row>
    <row r="68" ht="15" customHeight="1">
      <c r="A68" t="inlineStr">
        <is>
          <t>A 27054-2026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46316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27054-2026 artfynd.xlsx", "A 27054-2026")</f>
        <v/>
      </c>
      <c r="X68">
        <f>HYPERLINK("https://klasma.github.io/Logging_2180/kartor/A 27054-2026 karta.png", "A 27054-2026")</f>
        <v/>
      </c>
      <c r="Y68">
        <f>HYPERLINK("https://klasma.github.io/Logging_2180/kartor_geotiff/A 27054-2026 georefererad karta.tif", "A 27054-2026")</f>
        <v/>
      </c>
      <c r="AA68">
        <f>HYPERLINK("https://klasma.github.io/Logging_2180/klagomål/A 27054-2026 FSC-klagomål.docx", "A 27054-2026")</f>
        <v/>
      </c>
      <c r="AB68">
        <f>HYPERLINK("https://klasma.github.io/Logging_2180/klagomålsmail/A 27054-2026 FSC-klagomål mail.docx", "A 27054-2026")</f>
        <v/>
      </c>
      <c r="AC68">
        <f>HYPERLINK("https://klasma.github.io/Logging_2180/tillsyn/A 27054-2026 tillsynsbegäran.docx", "A 27054-2026")</f>
        <v/>
      </c>
      <c r="AD68">
        <f>HYPERLINK("https://klasma.github.io/Logging_2180/tillsynsmail/A 27054-2026 tillsynsbegäran mail.docx", "A 27054-2026")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46316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Brunag
Strandlummer</t>
        </is>
      </c>
      <c r="W69">
        <f>HYPERLINK("https://klasma.github.io/Logging_2180/artfynd/A 29634-2026 artfynd.xlsx", "A 29634-2026")</f>
        <v/>
      </c>
      <c r="X69">
        <f>HYPERLINK("https://klasma.github.io/Logging_2180/kartor/A 29634-2026 karta.png", "A 29634-2026")</f>
        <v/>
      </c>
      <c r="Y69">
        <f>HYPERLINK("https://klasma.github.io/Logging_2180/kartor_geotiff/A 29634-2026 georefererad karta.tif", "A 29634-2026")</f>
        <v/>
      </c>
      <c r="AA69">
        <f>HYPERLINK("https://klasma.github.io/Logging_2180/klagomål/A 29634-2026 FSC-klagomål.docx", "A 29634-2026")</f>
        <v/>
      </c>
      <c r="AB69">
        <f>HYPERLINK("https://klasma.github.io/Logging_2180/klagomålsmail/A 29634-2026 FSC-klagomål mail.docx", "A 29634-2026")</f>
        <v/>
      </c>
      <c r="AC69">
        <f>HYPERLINK("https://klasma.github.io/Logging_2180/tillsyn/A 29634-2026 tillsynsbegäran.docx", "A 29634-2026")</f>
        <v/>
      </c>
      <c r="AD69">
        <f>HYPERLINK("https://klasma.github.io/Logging_2180/tillsynsmail/A 29634-2026 tillsynsbegäran mail.docx", "A 29634-2026")</f>
        <v/>
      </c>
    </row>
    <row r="70" ht="15" customHeight="1">
      <c r="A70" t="inlineStr">
        <is>
          <t>A 38046-2026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46316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4.3</v>
      </c>
      <c r="J70" t="n">
        <v>1</v>
      </c>
      <c r="K70" t="n">
        <v>0</v>
      </c>
      <c r="L70" t="n">
        <v>0</v>
      </c>
      <c r="M70" t="n">
        <v>2</v>
      </c>
      <c r="N70" t="n">
        <v>0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Garnlav
Knärot</t>
        </is>
      </c>
      <c r="W70">
        <f>HYPERLINK("https://klasma.github.io/Logging_2180/artfynd/A 38046-2026 artfynd.xlsx", "A 38046-2026")</f>
        <v/>
      </c>
      <c r="X70">
        <f>HYPERLINK("https://klasma.github.io/Logging_2180/kartor/A 38046-2026 karta.png", "A 38046-2026")</f>
        <v/>
      </c>
      <c r="Y70">
        <f>HYPERLINK("https://klasma.github.io/Logging_2180/kartor_geotiff/A 38046-2026 georefererad karta.tif", "A 38046-2026")</f>
        <v/>
      </c>
      <c r="Z70">
        <f>HYPERLINK("https://klasma.github.io/Logging_2180/knärot/A 38046-2026 karta knärot.png", "A 38046-2026")</f>
        <v/>
      </c>
      <c r="AA70">
        <f>HYPERLINK("https://klasma.github.io/Logging_2180/klagomål/A 38046-2026 FSC-klagomål.docx", "A 38046-2026")</f>
        <v/>
      </c>
      <c r="AB70">
        <f>HYPERLINK("https://klasma.github.io/Logging_2180/klagomålsmail/A 38046-2026 FSC-klagomål mail.docx", "A 38046-2026")</f>
        <v/>
      </c>
      <c r="AC70">
        <f>HYPERLINK("https://klasma.github.io/Logging_2180/tillsyn/A 38046-2026 tillsynsbegäran.docx", "A 38046-2026")</f>
        <v/>
      </c>
      <c r="AD70">
        <f>HYPERLINK("https://klasma.github.io/Logging_2180/tillsynsmail/A 38046-2026 tillsynsbegäran mail.docx", "A 38046-2026")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46316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46316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14554-2026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46316</v>
      </c>
      <c r="F73" t="inlineStr">
        <is>
          <t>GÄVLEBORGS LÄN</t>
        </is>
      </c>
      <c r="G73" t="inlineStr">
        <is>
          <t>GÄVLE</t>
        </is>
      </c>
      <c r="H73" t="inlineStr">
        <is>
          <t>Övriga statliga verk och myndigheter</t>
        </is>
      </c>
      <c r="I73" t="n">
        <v>6.6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127</v>
      </c>
      <c r="U73" t="n">
        <v>6</v>
      </c>
      <c r="V73" s="2" t="inlineStr">
        <is>
          <t>Väddnätfjäril
Sotnätfjäril</t>
        </is>
      </c>
      <c r="W73">
        <f>HYPERLINK("https://klasma.github.io/Logging_2180/artfynd/A 14554-2026 artfynd.xlsx", "A 14554-2026")</f>
        <v/>
      </c>
      <c r="X73">
        <f>HYPERLINK("https://klasma.github.io/Logging_2180/kartor/A 14554-2026 karta.png", "A 14554-2026")</f>
        <v/>
      </c>
      <c r="Y73">
        <f>HYPERLINK("https://klasma.github.io/Logging_2180/kartor_geotiff/A 14554-2026 georefererad karta.tif", "A 14554-2026")</f>
        <v/>
      </c>
      <c r="AA73">
        <f>HYPERLINK("https://klasma.github.io/Logging_2180/klagomål/A 14554-2026 FSC-klagomål.docx", "A 14554-2026")</f>
        <v/>
      </c>
      <c r="AB73">
        <f>HYPERLINK("https://klasma.github.io/Logging_2180/klagomålsmail/A 14554-2026 FSC-klagomål mail.docx", "A 14554-2026")</f>
        <v/>
      </c>
      <c r="AC73">
        <f>HYPERLINK("https://klasma.github.io/Logging_2180/tillsyn/A 14554-2026 tillsynsbegäran.docx", "A 14554-2026")</f>
        <v/>
      </c>
      <c r="AD73">
        <f>HYPERLINK("https://klasma.github.io/Logging_2180/tillsynsmail/A 14554-2026 tillsynsbegäran mail.docx", "A 14554-2026")</f>
        <v/>
      </c>
    </row>
    <row r="74" ht="15" customHeight="1">
      <c r="A74" t="inlineStr">
        <is>
          <t>A 13248-2026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46316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2.8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Kattfotslav
Fläcknycklar</t>
        </is>
      </c>
      <c r="W74">
        <f>HYPERLINK("https://klasma.github.io/Logging_2180/artfynd/A 13248-2026 artfynd.xlsx", "A 13248-2026")</f>
        <v/>
      </c>
      <c r="X74">
        <f>HYPERLINK("https://klasma.github.io/Logging_2180/kartor/A 13248-2026 karta.png", "A 13248-2026")</f>
        <v/>
      </c>
      <c r="Y74">
        <f>HYPERLINK("https://klasma.github.io/Logging_2180/kartor_geotiff/A 13248-2026 georefererad karta.tif", "A 13248-2026")</f>
        <v/>
      </c>
      <c r="AA74">
        <f>HYPERLINK("https://klasma.github.io/Logging_2180/klagomål/A 13248-2026 FSC-klagomål.docx", "A 13248-2026")</f>
        <v/>
      </c>
      <c r="AB74">
        <f>HYPERLINK("https://klasma.github.io/Logging_2180/klagomålsmail/A 13248-2026 FSC-klagomål mail.docx", "A 13248-2026")</f>
        <v/>
      </c>
      <c r="AC74">
        <f>HYPERLINK("https://klasma.github.io/Logging_2180/tillsyn/A 13248-2026 tillsynsbegäran.docx", "A 13248-2026")</f>
        <v/>
      </c>
      <c r="AD74">
        <f>HYPERLINK("https://klasma.github.io/Logging_2180/tillsynsmail/A 13248-2026 tillsynsbegäran mail.docx", "A 13248-2026")</f>
        <v/>
      </c>
    </row>
    <row r="75" ht="15" customHeight="1">
      <c r="A75" t="inlineStr">
        <is>
          <t>A 35989-2024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46316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3.1</v>
      </c>
      <c r="J75" t="n">
        <v>1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Jättesvampmal</t>
        </is>
      </c>
      <c r="W75">
        <f>HYPERLINK("https://klasma.github.io/Logging_2180/artfynd/A 35989-2024 artfynd.xlsx", "A 35989-2024")</f>
        <v/>
      </c>
      <c r="X75">
        <f>HYPERLINK("https://klasma.github.io/Logging_2180/kartor/A 35989-2024 karta.png", "A 35989-2024")</f>
        <v/>
      </c>
      <c r="Y75">
        <f>HYPERLINK("https://klasma.github.io/Logging_2180/kartor_geotiff/A 35989-2024 georefererad karta.tif", "A 35989-2024")</f>
        <v/>
      </c>
      <c r="Z75">
        <f>HYPERLINK("https://klasma.github.io/Logging_2180/knärot/A 35989-2024 karta knärot.png", "A 35989-2024")</f>
        <v/>
      </c>
      <c r="AA75">
        <f>HYPERLINK("https://klasma.github.io/Logging_2180/klagomål/A 35989-2024 FSC-klagomål.docx", "A 35989-2024")</f>
        <v/>
      </c>
      <c r="AB75">
        <f>HYPERLINK("https://klasma.github.io/Logging_2180/klagomålsmail/A 35989-2024 FSC-klagomål mail.docx", "A 35989-2024")</f>
        <v/>
      </c>
      <c r="AC75">
        <f>HYPERLINK("https://klasma.github.io/Logging_2180/tillsyn/A 35989-2024 tillsynsbegäran.docx", "A 35989-2024")</f>
        <v/>
      </c>
      <c r="AD75">
        <f>HYPERLINK("https://klasma.github.io/Logging_2180/tillsynsmail/A 35989-2024 tillsynsbegäran mail.docx", "A 35989-2024")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46316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46316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46316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46316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46316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46316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HYPERLINK("https://klasma.github.io/Logging_2180/artfynd/A 33812-2022 artfynd.xlsx", "A 33812-2022")</f>
        <v/>
      </c>
      <c r="X82">
        <f>HYPERLINK("https://klasma.github.io/Logging_2180/kartor/A 33812-2022 karta.png", "A 33812-2022")</f>
        <v/>
      </c>
      <c r="Y82">
        <f>HYPERLINK("https://klasma.github.io/Logging_2180/kartor_geotiff/A 33812-2022 georefererad karta.tif", "A 33812-2022")</f>
        <v/>
      </c>
      <c r="AA82">
        <f>HYPERLINK("https://klasma.github.io/Logging_2180/klagomål/A 33812-2022 FSC-klagomål.docx", "A 33812-2022")</f>
        <v/>
      </c>
      <c r="AB82">
        <f>HYPERLINK("https://klasma.github.io/Logging_2180/klagomålsmail/A 33812-2022 FSC-klagomål mail.docx", "A 33812-2022")</f>
        <v/>
      </c>
      <c r="AC82">
        <f>HYPERLINK("https://klasma.github.io/Logging_2180/tillsyn/A 33812-2022 tillsynsbegäran.docx", "A 33812-2022")</f>
        <v/>
      </c>
      <c r="AD82">
        <f>HYPERLINK("https://klasma.github.io/Logging_2180/tillsynsmail/A 33812-2022 tillsynsbegäran mail.docx", "A 33812-2022")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46316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46316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46316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46316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Orre</t>
        </is>
      </c>
      <c r="W86">
        <f>HYPERLINK("https://klasma.github.io/Logging_2180/artfynd/A 47642-2024 artfynd.xlsx", "A 47642-2024")</f>
        <v/>
      </c>
      <c r="X86">
        <f>HYPERLINK("https://klasma.github.io/Logging_2180/kartor/A 47642-2024 karta.png", "A 47642-2024")</f>
        <v/>
      </c>
      <c r="Y86">
        <f>HYPERLINK("https://klasma.github.io/Logging_2180/kartor_geotiff/A 47642-2024 georefererad karta.tif", "A 47642-2024")</f>
        <v/>
      </c>
      <c r="AA86">
        <f>HYPERLINK("https://klasma.github.io/Logging_2180/klagomål/A 47642-2024 FSC-klagomål.docx", "A 47642-2024")</f>
        <v/>
      </c>
      <c r="AB86">
        <f>HYPERLINK("https://klasma.github.io/Logging_2180/klagomålsmail/A 47642-2024 FSC-klagomål mail.docx", "A 47642-2024")</f>
        <v/>
      </c>
      <c r="AC86">
        <f>HYPERLINK("https://klasma.github.io/Logging_2180/tillsyn/A 47642-2024 tillsynsbegäran.docx", "A 47642-2024")</f>
        <v/>
      </c>
      <c r="AD86">
        <f>HYPERLINK("https://klasma.github.io/Logging_2180/tillsynsmail/A 47642-2024 tillsynsbegäran mail.docx", "A 47642-2024")</f>
        <v/>
      </c>
      <c r="AE86">
        <f>HYPERLINK("https://klasma.github.io/Logging_2180/fåglar/A 47642-2024 prioriterade fågelarter.docx", "A 47642-2024")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46316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HYPERLINK("https://klasma.github.io/Logging_2180/artfynd/A 38550-2025 artfynd.xlsx", "A 38550-2025")</f>
        <v/>
      </c>
      <c r="X87">
        <f>HYPERLINK("https://klasma.github.io/Logging_2180/kartor/A 38550-2025 karta.png", "A 38550-2025")</f>
        <v/>
      </c>
      <c r="Y87">
        <f>HYPERLINK("https://klasma.github.io/Logging_2180/kartor_geotiff/A 38550-2025 georefererad karta.tif", "A 38550-2025")</f>
        <v/>
      </c>
      <c r="AA87">
        <f>HYPERLINK("https://klasma.github.io/Logging_2180/klagomål/A 38550-2025 FSC-klagomål.docx", "A 38550-2025")</f>
        <v/>
      </c>
      <c r="AB87">
        <f>HYPERLINK("https://klasma.github.io/Logging_2180/klagomålsmail/A 38550-2025 FSC-klagomål mail.docx", "A 38550-2025")</f>
        <v/>
      </c>
      <c r="AC87">
        <f>HYPERLINK("https://klasma.github.io/Logging_2180/tillsyn/A 38550-2025 tillsynsbegäran.docx", "A 38550-2025")</f>
        <v/>
      </c>
      <c r="AD87">
        <f>HYPERLINK("https://klasma.github.io/Logging_2180/tillsynsmail/A 38550-2025 tillsynsbegäran mail.docx", "A 38550-2025")</f>
        <v/>
      </c>
    </row>
    <row r="88" ht="15" customHeight="1">
      <c r="A88" t="inlineStr">
        <is>
          <t>A 12338-2025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46316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6.8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Skogsklocka</t>
        </is>
      </c>
      <c r="W88">
        <f>HYPERLINK("https://klasma.github.io/Logging_2180/artfynd/A 12338-2025 artfynd.xlsx", "A 12338-2025")</f>
        <v/>
      </c>
      <c r="X88">
        <f>HYPERLINK("https://klasma.github.io/Logging_2180/kartor/A 12338-2025 karta.png", "A 12338-2025")</f>
        <v/>
      </c>
      <c r="Y88">
        <f>HYPERLINK("https://klasma.github.io/Logging_2180/kartor_geotiff/A 12338-2025 georefererad karta.tif", "A 12338-2025")</f>
        <v/>
      </c>
      <c r="AA88">
        <f>HYPERLINK("https://klasma.github.io/Logging_2180/klagomål/A 12338-2025 FSC-klagomål.docx", "A 12338-2025")</f>
        <v/>
      </c>
      <c r="AB88">
        <f>HYPERLINK("https://klasma.github.io/Logging_2180/klagomålsmail/A 12338-2025 FSC-klagomål mail.docx", "A 12338-2025")</f>
        <v/>
      </c>
      <c r="AC88">
        <f>HYPERLINK("https://klasma.github.io/Logging_2180/tillsyn/A 12338-2025 tillsynsbegäran.docx", "A 12338-2025")</f>
        <v/>
      </c>
      <c r="AD88">
        <f>HYPERLINK("https://klasma.github.io/Logging_2180/tillsynsmail/A 12338-2025 tillsynsbegäran mail.docx", "A 12338-2025")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46316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30302-2025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45827</v>
      </c>
      <c r="E90" s="1" t="n">
        <v>46316</v>
      </c>
      <c r="F90" t="inlineStr">
        <is>
          <t>GÄVLEBORGS LÄN</t>
        </is>
      </c>
      <c r="G90" t="inlineStr">
        <is>
          <t>GÄVLE</t>
        </is>
      </c>
      <c r="I90" t="n">
        <v>1.4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Fläcknycklar</t>
        </is>
      </c>
      <c r="W90">
        <f>HYPERLINK("https://klasma.github.io/Logging_2180/artfynd/A 30302-2025 artfynd.xlsx", "A 30302-2025")</f>
        <v/>
      </c>
      <c r="X90">
        <f>HYPERLINK("https://klasma.github.io/Logging_2180/kartor/A 30302-2025 karta.png", "A 30302-2025")</f>
        <v/>
      </c>
      <c r="Y90">
        <f>HYPERLINK("https://klasma.github.io/Logging_2180/kartor_geotiff/A 30302-2025 georefererad karta.tif", "A 30302-2025")</f>
        <v/>
      </c>
      <c r="AA90">
        <f>HYPERLINK("https://klasma.github.io/Logging_2180/klagomål/A 30302-2025 FSC-klagomål.docx", "A 30302-2025")</f>
        <v/>
      </c>
      <c r="AB90">
        <f>HYPERLINK("https://klasma.github.io/Logging_2180/klagomålsmail/A 30302-2025 FSC-klagomål mail.docx", "A 30302-2025")</f>
        <v/>
      </c>
      <c r="AC90">
        <f>HYPERLINK("https://klasma.github.io/Logging_2180/tillsyn/A 30302-2025 tillsynsbegäran.docx", "A 30302-2025")</f>
        <v/>
      </c>
      <c r="AD90">
        <f>HYPERLINK("https://klasma.github.io/Logging_2180/tillsynsmail/A 30302-2025 tillsynsbegäran mail.docx", "A 30302-2025")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46316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50052-2025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46316</v>
      </c>
      <c r="F92" t="inlineStr">
        <is>
          <t>GÄVLEBORGS LÄN</t>
        </is>
      </c>
      <c r="G92" t="inlineStr">
        <is>
          <t>GÄVLE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Mosippa</t>
        </is>
      </c>
      <c r="W92">
        <f>HYPERLINK("https://klasma.github.io/Logging_2180/artfynd/A 50052-2025 artfynd.xlsx", "A 50052-2025")</f>
        <v/>
      </c>
      <c r="X92">
        <f>HYPERLINK("https://klasma.github.io/Logging_2180/kartor/A 50052-2025 karta.png", "A 50052-2025")</f>
        <v/>
      </c>
      <c r="Y92">
        <f>HYPERLINK("https://klasma.github.io/Logging_2180/kartor_geotiff/A 50052-2025 georefererad karta.tif", "A 50052-2025")</f>
        <v/>
      </c>
      <c r="AA92">
        <f>HYPERLINK("https://klasma.github.io/Logging_2180/klagomål/A 50052-2025 FSC-klagomål.docx", "A 50052-2025")</f>
        <v/>
      </c>
      <c r="AB92">
        <f>HYPERLINK("https://klasma.github.io/Logging_2180/klagomålsmail/A 50052-2025 FSC-klagomål mail.docx", "A 50052-2025")</f>
        <v/>
      </c>
      <c r="AC92">
        <f>HYPERLINK("https://klasma.github.io/Logging_2180/tillsyn/A 50052-2025 tillsynsbegäran.docx", "A 50052-2025")</f>
        <v/>
      </c>
      <c r="AD92">
        <f>HYPERLINK("https://klasma.github.io/Logging_2180/tillsynsmail/A 50052-2025 tillsynsbegäran mail.docx", "A 50052-2025")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46316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13684-2026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46316</v>
      </c>
      <c r="F94" t="inlineStr">
        <is>
          <t>GÄVLEBORGS LÄN</t>
        </is>
      </c>
      <c r="G94" t="inlineStr">
        <is>
          <t>GÄVLE</t>
        </is>
      </c>
      <c r="I94" t="n">
        <v>21.3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Igelkott</t>
        </is>
      </c>
      <c r="W94">
        <f>HYPERLINK("https://klasma.github.io/Logging_2180/artfynd/A 13684-2026 artfynd.xlsx", "A 13684-2026")</f>
        <v/>
      </c>
      <c r="X94">
        <f>HYPERLINK("https://klasma.github.io/Logging_2180/kartor/A 13684-2026 karta.png", "A 13684-2026")</f>
        <v/>
      </c>
      <c r="Y94">
        <f>HYPERLINK("https://klasma.github.io/Logging_2180/kartor_geotiff/A 13684-2026 georefererad karta.tif", "A 13684-2026")</f>
        <v/>
      </c>
      <c r="AA94">
        <f>HYPERLINK("https://klasma.github.io/Logging_2180/klagomål/A 13684-2026 FSC-klagomål.docx", "A 13684-2026")</f>
        <v/>
      </c>
      <c r="AB94">
        <f>HYPERLINK("https://klasma.github.io/Logging_2180/klagomålsmail/A 13684-2026 FSC-klagomål mail.docx", "A 13684-2026")</f>
        <v/>
      </c>
      <c r="AC94">
        <f>HYPERLINK("https://klasma.github.io/Logging_2180/tillsyn/A 13684-2026 tillsynsbegäran.docx", "A 13684-2026")</f>
        <v/>
      </c>
      <c r="AD94">
        <f>HYPERLINK("https://klasma.github.io/Logging_2180/tillsynsmail/A 13684-2026 tillsynsbegäran mail.docx", "A 13684-2026")</f>
        <v/>
      </c>
    </row>
    <row r="95" ht="15" customHeight="1">
      <c r="A95" t="inlineStr">
        <is>
          <t>A 45241-2022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46316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22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HYPERLINK("https://klasma.github.io/Logging_2180/artfynd/A 45241-2022 artfynd.xlsx", "A 45241-2022")</f>
        <v/>
      </c>
      <c r="X95">
        <f>HYPERLINK("https://klasma.github.io/Logging_2180/kartor/A 45241-2022 karta.png", "A 45241-2022")</f>
        <v/>
      </c>
      <c r="Y95">
        <f>HYPERLINK("https://klasma.github.io/Logging_2180/kartor_geotiff/A 45241-2022 georefererad karta.tif", "A 45241-2022")</f>
        <v/>
      </c>
      <c r="AA95">
        <f>HYPERLINK("https://klasma.github.io/Logging_2180/klagomål/A 45241-2022 FSC-klagomål.docx", "A 45241-2022")</f>
        <v/>
      </c>
      <c r="AB95">
        <f>HYPERLINK("https://klasma.github.io/Logging_2180/klagomålsmail/A 45241-2022 FSC-klagomål mail.docx", "A 45241-2022")</f>
        <v/>
      </c>
      <c r="AC95">
        <f>HYPERLINK("https://klasma.github.io/Logging_2180/tillsyn/A 45241-2022 tillsynsbegäran.docx", "A 45241-2022")</f>
        <v/>
      </c>
      <c r="AD95">
        <f>HYPERLINK("https://klasma.github.io/Logging_2180/tillsynsmail/A 45241-2022 tillsynsbegäran mail.docx", "A 45241-2022")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46316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46316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HYPERLINK("https://klasma.github.io/Logging_2180/artfynd/A 58204-2025 artfynd.xlsx", "A 58204-2025")</f>
        <v/>
      </c>
      <c r="X97">
        <f>HYPERLINK("https://klasma.github.io/Logging_2180/kartor/A 58204-2025 karta.png", "A 58204-2025")</f>
        <v/>
      </c>
      <c r="Y97">
        <f>HYPERLINK("https://klasma.github.io/Logging_2180/kartor_geotiff/A 58204-2025 georefererad karta.tif", "A 58204-2025")</f>
        <v/>
      </c>
      <c r="AA97">
        <f>HYPERLINK("https://klasma.github.io/Logging_2180/klagomål/A 58204-2025 FSC-klagomål.docx", "A 58204-2025")</f>
        <v/>
      </c>
      <c r="AB97">
        <f>HYPERLINK("https://klasma.github.io/Logging_2180/klagomålsmail/A 58204-2025 FSC-klagomål mail.docx", "A 58204-2025")</f>
        <v/>
      </c>
      <c r="AC97">
        <f>HYPERLINK("https://klasma.github.io/Logging_2180/tillsyn/A 58204-2025 tillsynsbegäran.docx", "A 58204-2025")</f>
        <v/>
      </c>
      <c r="AD97">
        <f>HYPERLINK("https://klasma.github.io/Logging_2180/tillsynsmail/A 58204-2025 tillsynsbegäran mail.docx", "A 58204-2025")</f>
        <v/>
      </c>
      <c r="AE97">
        <f>HYPERLINK("https://klasma.github.io/Logging_2180/fåglar/A 58204-2025 prioriterade fågelarter.docx", "A 58204-2025")</f>
        <v/>
      </c>
    </row>
    <row r="98" ht="15" customHeight="1">
      <c r="A98" t="inlineStr">
        <is>
          <t>A 13396-2026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46316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Fläcknycklar</t>
        </is>
      </c>
      <c r="W98">
        <f>HYPERLINK("https://klasma.github.io/Logging_2180/artfynd/A 13396-2026 artfynd.xlsx", "A 13396-2026")</f>
        <v/>
      </c>
      <c r="X98">
        <f>HYPERLINK("https://klasma.github.io/Logging_2180/kartor/A 13396-2026 karta.png", "A 13396-2026")</f>
        <v/>
      </c>
      <c r="Y98">
        <f>HYPERLINK("https://klasma.github.io/Logging_2180/kartor_geotiff/A 13396-2026 georefererad karta.tif", "A 13396-2026")</f>
        <v/>
      </c>
      <c r="AA98">
        <f>HYPERLINK("https://klasma.github.io/Logging_2180/klagomål/A 13396-2026 FSC-klagomål.docx", "A 13396-2026")</f>
        <v/>
      </c>
      <c r="AB98">
        <f>HYPERLINK("https://klasma.github.io/Logging_2180/klagomålsmail/A 13396-2026 FSC-klagomål mail.docx", "A 13396-2026")</f>
        <v/>
      </c>
      <c r="AC98">
        <f>HYPERLINK("https://klasma.github.io/Logging_2180/tillsyn/A 13396-2026 tillsynsbegäran.docx", "A 13396-2026")</f>
        <v/>
      </c>
      <c r="AD98">
        <f>HYPERLINK("https://klasma.github.io/Logging_2180/tillsynsmail/A 13396-2026 tillsynsbegäran mail.docx", "A 13396-2026")</f>
        <v/>
      </c>
    </row>
    <row r="99" ht="15" customHeight="1">
      <c r="A99" t="inlineStr">
        <is>
          <t>A 14730-2026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46316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8.199999999999999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14730-2026 artfynd.xlsx", "A 14730-2026")</f>
        <v/>
      </c>
      <c r="X99">
        <f>HYPERLINK("https://klasma.github.io/Logging_2180/kartor/A 14730-2026 karta.png", "A 14730-2026")</f>
        <v/>
      </c>
      <c r="Y99">
        <f>HYPERLINK("https://klasma.github.io/Logging_2180/kartor_geotiff/A 14730-2026 georefererad karta.tif", "A 14730-2026")</f>
        <v/>
      </c>
      <c r="AA99">
        <f>HYPERLINK("https://klasma.github.io/Logging_2180/klagomål/A 14730-2026 FSC-klagomål.docx", "A 14730-2026")</f>
        <v/>
      </c>
      <c r="AB99">
        <f>HYPERLINK("https://klasma.github.io/Logging_2180/klagomålsmail/A 14730-2026 FSC-klagomål mail.docx", "A 14730-2026")</f>
        <v/>
      </c>
      <c r="AC99">
        <f>HYPERLINK("https://klasma.github.io/Logging_2180/tillsyn/A 14730-2026 tillsynsbegäran.docx", "A 14730-2026")</f>
        <v/>
      </c>
      <c r="AD99">
        <f>HYPERLINK("https://klasma.github.io/Logging_2180/tillsynsmail/A 14730-2026 tillsynsbegäran mail.docx", "A 14730-2026")</f>
        <v/>
      </c>
      <c r="AE99">
        <f>HYPERLINK("https://klasma.github.io/Logging_2180/fåglar/A 14730-2026 prioriterade fågelarter.docx", "A 14730-2026")</f>
        <v/>
      </c>
    </row>
    <row r="100" ht="15" customHeight="1">
      <c r="A100" t="inlineStr">
        <is>
          <t>A 14714-2026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46316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Tjäder</t>
        </is>
      </c>
      <c r="W100">
        <f>HYPERLINK("https://klasma.github.io/Logging_2180/artfynd/A 14714-2026 artfynd.xlsx", "A 14714-2026")</f>
        <v/>
      </c>
      <c r="X100">
        <f>HYPERLINK("https://klasma.github.io/Logging_2180/kartor/A 14714-2026 karta.png", "A 14714-2026")</f>
        <v/>
      </c>
      <c r="Y100">
        <f>HYPERLINK("https://klasma.github.io/Logging_2180/kartor_geotiff/A 14714-2026 georefererad karta.tif", "A 14714-2026")</f>
        <v/>
      </c>
      <c r="AA100">
        <f>HYPERLINK("https://klasma.github.io/Logging_2180/klagomål/A 14714-2026 FSC-klagomål.docx", "A 14714-2026")</f>
        <v/>
      </c>
      <c r="AB100">
        <f>HYPERLINK("https://klasma.github.io/Logging_2180/klagomålsmail/A 14714-2026 FSC-klagomål mail.docx", "A 14714-2026")</f>
        <v/>
      </c>
      <c r="AC100">
        <f>HYPERLINK("https://klasma.github.io/Logging_2180/tillsyn/A 14714-2026 tillsynsbegäran.docx", "A 14714-2026")</f>
        <v/>
      </c>
      <c r="AD100">
        <f>HYPERLINK("https://klasma.github.io/Logging_2180/tillsynsmail/A 14714-2026 tillsynsbegäran mail.docx", "A 14714-2026")</f>
        <v/>
      </c>
      <c r="AE100">
        <f>HYPERLINK("https://klasma.github.io/Logging_2180/fåglar/A 14714-2026 prioriterade fågelarter.docx", "A 14714-2026")</f>
        <v/>
      </c>
    </row>
    <row r="101" ht="15" customHeight="1">
      <c r="A101" t="inlineStr">
        <is>
          <t>A 11411-2025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46316</v>
      </c>
      <c r="F101" t="inlineStr">
        <is>
          <t>GÄVLEBORGS LÄN</t>
        </is>
      </c>
      <c r="G101" t="inlineStr">
        <is>
          <t>GÄVLE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11411-2025 artfynd.xlsx", "A 11411-2025")</f>
        <v/>
      </c>
      <c r="X101">
        <f>HYPERLINK("https://klasma.github.io/Logging_2180/kartor/A 11411-2025 karta.png", "A 11411-2025")</f>
        <v/>
      </c>
      <c r="Y101">
        <f>HYPERLINK("https://klasma.github.io/Logging_2180/kartor_geotiff/A 11411-2025 georefererad karta.tif", "A 11411-2025")</f>
        <v/>
      </c>
      <c r="AA101">
        <f>HYPERLINK("https://klasma.github.io/Logging_2180/klagomål/A 11411-2025 FSC-klagomål.docx", "A 11411-2025")</f>
        <v/>
      </c>
      <c r="AB101">
        <f>HYPERLINK("https://klasma.github.io/Logging_2180/klagomålsmail/A 11411-2025 FSC-klagomål mail.docx", "A 11411-2025")</f>
        <v/>
      </c>
      <c r="AC101">
        <f>HYPERLINK("https://klasma.github.io/Logging_2180/tillsyn/A 11411-2025 tillsynsbegäran.docx", "A 11411-2025")</f>
        <v/>
      </c>
      <c r="AD101">
        <f>HYPERLINK("https://klasma.github.io/Logging_2180/tillsynsmail/A 11411-2025 tillsynsbegäran mail.docx", "A 11411-2025")</f>
        <v/>
      </c>
    </row>
    <row r="102" ht="15" customHeight="1">
      <c r="A102" t="inlineStr">
        <is>
          <t>A 14711-2026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46316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Blanksvart spiklav</t>
        </is>
      </c>
      <c r="W102">
        <f>HYPERLINK("https://klasma.github.io/Logging_2180/artfynd/A 14711-2026 artfynd.xlsx", "A 14711-2026")</f>
        <v/>
      </c>
      <c r="X102">
        <f>HYPERLINK("https://klasma.github.io/Logging_2180/kartor/A 14711-2026 karta.png", "A 14711-2026")</f>
        <v/>
      </c>
      <c r="Y102">
        <f>HYPERLINK("https://klasma.github.io/Logging_2180/kartor_geotiff/A 14711-2026 georefererad karta.tif", "A 14711-2026")</f>
        <v/>
      </c>
      <c r="AA102">
        <f>HYPERLINK("https://klasma.github.io/Logging_2180/klagomål/A 14711-2026 FSC-klagomål.docx", "A 14711-2026")</f>
        <v/>
      </c>
      <c r="AB102">
        <f>HYPERLINK("https://klasma.github.io/Logging_2180/klagomålsmail/A 14711-2026 FSC-klagomål mail.docx", "A 14711-2026")</f>
        <v/>
      </c>
      <c r="AC102">
        <f>HYPERLINK("https://klasma.github.io/Logging_2180/tillsyn/A 14711-2026 tillsynsbegäran.docx", "A 14711-2026")</f>
        <v/>
      </c>
      <c r="AD102">
        <f>HYPERLINK("https://klasma.github.io/Logging_2180/tillsynsmail/A 14711-2026 tillsynsbegäran mail.docx", "A 14711-2026")</f>
        <v/>
      </c>
    </row>
    <row r="103" ht="15" customHeight="1">
      <c r="A103" t="inlineStr">
        <is>
          <t>A 10064-2025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46316</v>
      </c>
      <c r="F103" t="inlineStr">
        <is>
          <t>GÄVLEBORGS LÄN</t>
        </is>
      </c>
      <c r="G103" t="inlineStr">
        <is>
          <t>GÄVLE</t>
        </is>
      </c>
      <c r="I103" t="n">
        <v>4.6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HYPERLINK("https://klasma.github.io/Logging_2180/artfynd/A 10064-2025 artfynd.xlsx", "A 10064-2025")</f>
        <v/>
      </c>
      <c r="X103">
        <f>HYPERLINK("https://klasma.github.io/Logging_2180/kartor/A 10064-2025 karta.png", "A 10064-2025")</f>
        <v/>
      </c>
      <c r="Y103">
        <f>HYPERLINK("https://klasma.github.io/Logging_2180/kartor_geotiff/A 10064-2025 georefererad karta.tif", "A 10064-2025")</f>
        <v/>
      </c>
      <c r="AA103">
        <f>HYPERLINK("https://klasma.github.io/Logging_2180/klagomål/A 10064-2025 FSC-klagomål.docx", "A 10064-2025")</f>
        <v/>
      </c>
      <c r="AB103">
        <f>HYPERLINK("https://klasma.github.io/Logging_2180/klagomålsmail/A 10064-2025 FSC-klagomål mail.docx", "A 10064-2025")</f>
        <v/>
      </c>
      <c r="AC103">
        <f>HYPERLINK("https://klasma.github.io/Logging_2180/tillsyn/A 10064-2025 tillsynsbegäran.docx", "A 10064-2025")</f>
        <v/>
      </c>
      <c r="AD103">
        <f>HYPERLINK("https://klasma.github.io/Logging_2180/tillsynsmail/A 10064-2025 tillsynsbegäran mail.docx", "A 10064-2025")</f>
        <v/>
      </c>
    </row>
    <row r="104" ht="15" customHeight="1">
      <c r="A104" t="inlineStr">
        <is>
          <t>A 20734-2026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46316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HYPERLINK("https://klasma.github.io/Logging_2180/artfynd/A 20734-2026 artfynd.xlsx", "A 20734-2026")</f>
        <v/>
      </c>
      <c r="X104">
        <f>HYPERLINK("https://klasma.github.io/Logging_2180/kartor/A 20734-2026 karta.png", "A 20734-2026")</f>
        <v/>
      </c>
      <c r="Y104">
        <f>HYPERLINK("https://klasma.github.io/Logging_2180/kartor_geotiff/A 20734-2026 georefererad karta.tif", "A 20734-2026")</f>
        <v/>
      </c>
      <c r="AA104">
        <f>HYPERLINK("https://klasma.github.io/Logging_2180/klagomål/A 20734-2026 FSC-klagomål.docx", "A 20734-2026")</f>
        <v/>
      </c>
      <c r="AB104">
        <f>HYPERLINK("https://klasma.github.io/Logging_2180/klagomålsmail/A 20734-2026 FSC-klagomål mail.docx", "A 20734-2026")</f>
        <v/>
      </c>
      <c r="AC104">
        <f>HYPERLINK("https://klasma.github.io/Logging_2180/tillsyn/A 20734-2026 tillsynsbegäran.docx", "A 20734-2026")</f>
        <v/>
      </c>
      <c r="AD104">
        <f>HYPERLINK("https://klasma.github.io/Logging_2180/tillsynsmail/A 20734-2026 tillsynsbegäran mail.docx", "A 20734-2026")</f>
        <v/>
      </c>
    </row>
    <row r="105" ht="15" customHeight="1">
      <c r="A105" t="inlineStr">
        <is>
          <t>A 14703-2026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46316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HYPERLINK("https://klasma.github.io/Logging_2180/artfynd/A 14703-2026 artfynd.xlsx", "A 14703-2026")</f>
        <v/>
      </c>
      <c r="X105">
        <f>HYPERLINK("https://klasma.github.io/Logging_2180/kartor/A 14703-2026 karta.png", "A 14703-2026")</f>
        <v/>
      </c>
      <c r="Y105">
        <f>HYPERLINK("https://klasma.github.io/Logging_2180/kartor_geotiff/A 14703-2026 georefererad karta.tif", "A 14703-2026")</f>
        <v/>
      </c>
      <c r="AA105">
        <f>HYPERLINK("https://klasma.github.io/Logging_2180/klagomål/A 14703-2026 FSC-klagomål.docx", "A 14703-2026")</f>
        <v/>
      </c>
      <c r="AB105">
        <f>HYPERLINK("https://klasma.github.io/Logging_2180/klagomålsmail/A 14703-2026 FSC-klagomål mail.docx", "A 14703-2026")</f>
        <v/>
      </c>
      <c r="AC105">
        <f>HYPERLINK("https://klasma.github.io/Logging_2180/tillsyn/A 14703-2026 tillsynsbegäran.docx", "A 14703-2026")</f>
        <v/>
      </c>
      <c r="AD105">
        <f>HYPERLINK("https://klasma.github.io/Logging_2180/tillsynsmail/A 14703-2026 tillsynsbegäran mail.docx", "A 14703-2026")</f>
        <v/>
      </c>
      <c r="AE105">
        <f>HYPERLINK("https://klasma.github.io/Logging_2180/fåglar/A 14703-2026 prioriterade fågelarter.docx", "A 14703-2026")</f>
        <v/>
      </c>
    </row>
    <row r="106" ht="15" customHeight="1">
      <c r="A106" t="inlineStr">
        <is>
          <t>A 22052-2026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46316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Gullpudra</t>
        </is>
      </c>
      <c r="W106">
        <f>HYPERLINK("https://klasma.github.io/Logging_2180/artfynd/A 22052-2026 artfynd.xlsx", "A 22052-2026")</f>
        <v/>
      </c>
      <c r="X106">
        <f>HYPERLINK("https://klasma.github.io/Logging_2180/kartor/A 22052-2026 karta.png", "A 22052-2026")</f>
        <v/>
      </c>
      <c r="Y106">
        <f>HYPERLINK("https://klasma.github.io/Logging_2180/kartor_geotiff/A 22052-2026 georefererad karta.tif", "A 22052-2026")</f>
        <v/>
      </c>
      <c r="AA106">
        <f>HYPERLINK("https://klasma.github.io/Logging_2180/klagomål/A 22052-2026 FSC-klagomål.docx", "A 22052-2026")</f>
        <v/>
      </c>
      <c r="AB106">
        <f>HYPERLINK("https://klasma.github.io/Logging_2180/klagomålsmail/A 22052-2026 FSC-klagomål mail.docx", "A 22052-2026")</f>
        <v/>
      </c>
      <c r="AC106">
        <f>HYPERLINK("https://klasma.github.io/Logging_2180/tillsyn/A 22052-2026 tillsynsbegäran.docx", "A 22052-2026")</f>
        <v/>
      </c>
      <c r="AD106">
        <f>HYPERLINK("https://klasma.github.io/Logging_2180/tillsynsmail/A 22052-2026 tillsynsbegäran mail.docx", "A 22052-2026")</f>
        <v/>
      </c>
    </row>
    <row r="107" ht="15" customHeight="1">
      <c r="A107" t="inlineStr">
        <is>
          <t>A 22892-2026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46316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22892-2026 artfynd.xlsx", "A 22892-2026")</f>
        <v/>
      </c>
      <c r="X107">
        <f>HYPERLINK("https://klasma.github.io/Logging_2180/kartor/A 22892-2026 karta.png", "A 22892-2026")</f>
        <v/>
      </c>
      <c r="Y107">
        <f>HYPERLINK("https://klasma.github.io/Logging_2180/kartor_geotiff/A 22892-2026 georefererad karta.tif", "A 22892-2026")</f>
        <v/>
      </c>
      <c r="AA107">
        <f>HYPERLINK("https://klasma.github.io/Logging_2180/klagomål/A 22892-2026 FSC-klagomål.docx", "A 22892-2026")</f>
        <v/>
      </c>
      <c r="AB107">
        <f>HYPERLINK("https://klasma.github.io/Logging_2180/klagomålsmail/A 22892-2026 FSC-klagomål mail.docx", "A 22892-2026")</f>
        <v/>
      </c>
      <c r="AC107">
        <f>HYPERLINK("https://klasma.github.io/Logging_2180/tillsyn/A 22892-2026 tillsynsbegäran.docx", "A 22892-2026")</f>
        <v/>
      </c>
      <c r="AD107">
        <f>HYPERLINK("https://klasma.github.io/Logging_2180/tillsynsmail/A 22892-2026 tillsynsbegäran mail.docx", "A 22892-2026")</f>
        <v/>
      </c>
      <c r="AE107">
        <f>HYPERLINK("https://klasma.github.io/Logging_2180/fåglar/A 22892-2026 prioriterade fågelarter.docx", "A 22892-2026")</f>
        <v/>
      </c>
    </row>
    <row r="108" ht="15" customHeight="1">
      <c r="A108" t="inlineStr">
        <is>
          <t>A 51508-2024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45604</v>
      </c>
      <c r="E108" s="1" t="n">
        <v>46316</v>
      </c>
      <c r="F108" t="inlineStr">
        <is>
          <t>GÄVLEBORGS LÄN</t>
        </is>
      </c>
      <c r="G108" t="inlineStr">
        <is>
          <t>GÄVLE</t>
        </is>
      </c>
      <c r="I108" t="n">
        <v>0.9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Tibast</t>
        </is>
      </c>
      <c r="W108">
        <f>HYPERLINK("https://klasma.github.io/Logging_2180/artfynd/A 51508-2024 artfynd.xlsx", "A 51508-2024")</f>
        <v/>
      </c>
      <c r="X108">
        <f>HYPERLINK("https://klasma.github.io/Logging_2180/kartor/A 51508-2024 karta.png", "A 51508-2024")</f>
        <v/>
      </c>
      <c r="Y108">
        <f>HYPERLINK("https://klasma.github.io/Logging_2180/kartor_geotiff/A 51508-2024 georefererad karta.tif", "A 51508-2024")</f>
        <v/>
      </c>
      <c r="AA108">
        <f>HYPERLINK("https://klasma.github.io/Logging_2180/klagomål/A 51508-2024 FSC-klagomål.docx", "A 51508-2024")</f>
        <v/>
      </c>
      <c r="AB108">
        <f>HYPERLINK("https://klasma.github.io/Logging_2180/klagomålsmail/A 51508-2024 FSC-klagomål mail.docx", "A 51508-2024")</f>
        <v/>
      </c>
      <c r="AC108">
        <f>HYPERLINK("https://klasma.github.io/Logging_2180/tillsyn/A 51508-2024 tillsynsbegäran.docx", "A 51508-2024")</f>
        <v/>
      </c>
      <c r="AD108">
        <f>HYPERLINK("https://klasma.github.io/Logging_2180/tillsynsmail/A 51508-2024 tillsynsbegäran mail.docx", "A 51508-2024")</f>
        <v/>
      </c>
    </row>
    <row r="109" ht="15" customHeight="1">
      <c r="A109" t="inlineStr">
        <is>
          <t>A 12437-2024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45379</v>
      </c>
      <c r="E109" s="1" t="n">
        <v>46316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Mindre bastardsvärmare</t>
        </is>
      </c>
      <c r="W109">
        <f>HYPERLINK("https://klasma.github.io/Logging_2180/artfynd/A 12437-2024 artfynd.xlsx", "A 12437-2024")</f>
        <v/>
      </c>
      <c r="X109">
        <f>HYPERLINK("https://klasma.github.io/Logging_2180/kartor/A 12437-2024 karta.png", "A 12437-2024")</f>
        <v/>
      </c>
      <c r="Y109">
        <f>HYPERLINK("https://klasma.github.io/Logging_2180/kartor_geotiff/A 12437-2024 georefererad karta.tif", "A 12437-2024")</f>
        <v/>
      </c>
      <c r="AA109">
        <f>HYPERLINK("https://klasma.github.io/Logging_2180/klagomål/A 12437-2024 FSC-klagomål.docx", "A 12437-2024")</f>
        <v/>
      </c>
      <c r="AB109">
        <f>HYPERLINK("https://klasma.github.io/Logging_2180/klagomålsmail/A 12437-2024 FSC-klagomål mail.docx", "A 12437-2024")</f>
        <v/>
      </c>
      <c r="AC109">
        <f>HYPERLINK("https://klasma.github.io/Logging_2180/tillsyn/A 12437-2024 tillsynsbegäran.docx", "A 12437-2024")</f>
        <v/>
      </c>
      <c r="AD109">
        <f>HYPERLINK("https://klasma.github.io/Logging_2180/tillsynsmail/A 12437-2024 tillsynsbegäran mail.docx", "A 12437-2024")</f>
        <v/>
      </c>
    </row>
    <row r="110" ht="15" customHeight="1">
      <c r="A110" t="inlineStr">
        <is>
          <t>A 10333-2025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45720</v>
      </c>
      <c r="E110" s="1" t="n">
        <v>46316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0.9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Tjäder</t>
        </is>
      </c>
      <c r="W110">
        <f>HYPERLINK("https://klasma.github.io/Logging_2180/artfynd/A 10333-2025 artfynd.xlsx", "A 10333-2025")</f>
        <v/>
      </c>
      <c r="X110">
        <f>HYPERLINK("https://klasma.github.io/Logging_2180/kartor/A 10333-2025 karta.png", "A 10333-2025")</f>
        <v/>
      </c>
      <c r="Y110">
        <f>HYPERLINK("https://klasma.github.io/Logging_2180/kartor_geotiff/A 10333-2025 georefererad karta.tif", "A 10333-2025")</f>
        <v/>
      </c>
      <c r="AA110">
        <f>HYPERLINK("https://klasma.github.io/Logging_2180/klagomål/A 10333-2025 FSC-klagomål.docx", "A 10333-2025")</f>
        <v/>
      </c>
      <c r="AB110">
        <f>HYPERLINK("https://klasma.github.io/Logging_2180/klagomålsmail/A 10333-2025 FSC-klagomål mail.docx", "A 10333-2025")</f>
        <v/>
      </c>
      <c r="AC110">
        <f>HYPERLINK("https://klasma.github.io/Logging_2180/tillsyn/A 10333-2025 tillsynsbegäran.docx", "A 10333-2025")</f>
        <v/>
      </c>
      <c r="AD110">
        <f>HYPERLINK("https://klasma.github.io/Logging_2180/tillsynsmail/A 10333-2025 tillsynsbegäran mail.docx", "A 10333-2025")</f>
        <v/>
      </c>
      <c r="AE110">
        <f>HYPERLINK("https://klasma.github.io/Logging_2180/fåglar/A 10333-2025 prioriterade fågelarter.docx", "A 10333-2025")</f>
        <v/>
      </c>
    </row>
    <row r="111" ht="15" customHeight="1">
      <c r="A111" t="inlineStr">
        <is>
          <t>A 27063-2026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46316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27063-2026 artfynd.xlsx", "A 27063-2026")</f>
        <v/>
      </c>
      <c r="X111">
        <f>HYPERLINK("https://klasma.github.io/Logging_2180/kartor/A 27063-2026 karta.png", "A 27063-2026")</f>
        <v/>
      </c>
      <c r="Y111">
        <f>HYPERLINK("https://klasma.github.io/Logging_2180/kartor_geotiff/A 27063-2026 georefererad karta.tif", "A 27063-2026")</f>
        <v/>
      </c>
      <c r="AA111">
        <f>HYPERLINK("https://klasma.github.io/Logging_2180/klagomål/A 27063-2026 FSC-klagomål.docx", "A 27063-2026")</f>
        <v/>
      </c>
      <c r="AB111">
        <f>HYPERLINK("https://klasma.github.io/Logging_2180/klagomålsmail/A 27063-2026 FSC-klagomål mail.docx", "A 27063-2026")</f>
        <v/>
      </c>
      <c r="AC111">
        <f>HYPERLINK("https://klasma.github.io/Logging_2180/tillsyn/A 27063-2026 tillsynsbegäran.docx", "A 27063-2026")</f>
        <v/>
      </c>
      <c r="AD111">
        <f>HYPERLINK("https://klasma.github.io/Logging_2180/tillsynsmail/A 27063-2026 tillsynsbegäran mail.docx", "A 27063-2026")</f>
        <v/>
      </c>
    </row>
    <row r="112" ht="15" customHeight="1">
      <c r="A112" t="inlineStr">
        <is>
          <t>A 27058-2026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46316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27058-2026 artfynd.xlsx", "A 27058-2026")</f>
        <v/>
      </c>
      <c r="X112">
        <f>HYPERLINK("https://klasma.github.io/Logging_2180/kartor/A 27058-2026 karta.png", "A 27058-2026")</f>
        <v/>
      </c>
      <c r="Y112">
        <f>HYPERLINK("https://klasma.github.io/Logging_2180/kartor_geotiff/A 27058-2026 georefererad karta.tif", "A 27058-2026")</f>
        <v/>
      </c>
      <c r="AA112">
        <f>HYPERLINK("https://klasma.github.io/Logging_2180/klagomål/A 27058-2026 FSC-klagomål.docx", "A 27058-2026")</f>
        <v/>
      </c>
      <c r="AB112">
        <f>HYPERLINK("https://klasma.github.io/Logging_2180/klagomålsmail/A 27058-2026 FSC-klagomål mail.docx", "A 27058-2026")</f>
        <v/>
      </c>
      <c r="AC112">
        <f>HYPERLINK("https://klasma.github.io/Logging_2180/tillsyn/A 27058-2026 tillsynsbegäran.docx", "A 27058-2026")</f>
        <v/>
      </c>
      <c r="AD112">
        <f>HYPERLINK("https://klasma.github.io/Logging_2180/tillsynsmail/A 27058-2026 tillsynsbegäran mail.docx", "A 27058-2026")</f>
        <v/>
      </c>
    </row>
    <row r="113" ht="15" customHeight="1">
      <c r="A113" t="inlineStr">
        <is>
          <t>A 27043-2026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46316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27043-2026 artfynd.xlsx", "A 27043-2026")</f>
        <v/>
      </c>
      <c r="X113">
        <f>HYPERLINK("https://klasma.github.io/Logging_2180/kartor/A 27043-2026 karta.png", "A 27043-2026")</f>
        <v/>
      </c>
      <c r="Y113">
        <f>HYPERLINK("https://klasma.github.io/Logging_2180/kartor_geotiff/A 27043-2026 georefererad karta.tif", "A 27043-2026")</f>
        <v/>
      </c>
      <c r="AA113">
        <f>HYPERLINK("https://klasma.github.io/Logging_2180/klagomål/A 27043-2026 FSC-klagomål.docx", "A 27043-2026")</f>
        <v/>
      </c>
      <c r="AB113">
        <f>HYPERLINK("https://klasma.github.io/Logging_2180/klagomålsmail/A 27043-2026 FSC-klagomål mail.docx", "A 27043-2026")</f>
        <v/>
      </c>
      <c r="AC113">
        <f>HYPERLINK("https://klasma.github.io/Logging_2180/tillsyn/A 27043-2026 tillsynsbegäran.docx", "A 27043-2026")</f>
        <v/>
      </c>
      <c r="AD113">
        <f>HYPERLINK("https://klasma.github.io/Logging_2180/tillsynsmail/A 27043-2026 tillsynsbegäran mail.docx", "A 27043-2026")</f>
        <v/>
      </c>
    </row>
    <row r="114" ht="15" customHeight="1">
      <c r="A114" t="inlineStr">
        <is>
          <t>A 28546-2026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46316</v>
      </c>
      <c r="F114" t="inlineStr">
        <is>
          <t>GÄVLEBORGS LÄN</t>
        </is>
      </c>
      <c r="G114" t="inlineStr">
        <is>
          <t>GÄVLE</t>
        </is>
      </c>
      <c r="H114" t="inlineStr">
        <is>
          <t>BillerudKorsnäs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Fiskgjuse</t>
        </is>
      </c>
      <c r="W114">
        <f>HYPERLINK("https://klasma.github.io/Logging_2180/artfynd/A 28546-2026 artfynd.xlsx", "A 28546-2026")</f>
        <v/>
      </c>
      <c r="X114">
        <f>HYPERLINK("https://klasma.github.io/Logging_2180/kartor/A 28546-2026 karta.png", "A 28546-2026")</f>
        <v/>
      </c>
      <c r="Y114">
        <f>HYPERLINK("https://klasma.github.io/Logging_2180/kartor_geotiff/A 28546-2026 georefererad karta.tif", "A 28546-2026")</f>
        <v/>
      </c>
      <c r="AA114">
        <f>HYPERLINK("https://klasma.github.io/Logging_2180/klagomål/A 28546-2026 FSC-klagomål.docx", "A 28546-2026")</f>
        <v/>
      </c>
      <c r="AB114">
        <f>HYPERLINK("https://klasma.github.io/Logging_2180/klagomålsmail/A 28546-2026 FSC-klagomål mail.docx", "A 28546-2026")</f>
        <v/>
      </c>
      <c r="AC114">
        <f>HYPERLINK("https://klasma.github.io/Logging_2180/tillsyn/A 28546-2026 tillsynsbegäran.docx", "A 28546-2026")</f>
        <v/>
      </c>
      <c r="AD114">
        <f>HYPERLINK("https://klasma.github.io/Logging_2180/tillsynsmail/A 28546-2026 tillsynsbegäran mail.docx", "A 28546-2026")</f>
        <v/>
      </c>
      <c r="AE114">
        <f>HYPERLINK("https://klasma.github.io/Logging_2180/fåglar/A 28546-2026 prioriterade fågelarter.docx", "A 28546-2026")</f>
        <v/>
      </c>
    </row>
    <row r="115" ht="15" customHeight="1">
      <c r="A115" t="inlineStr">
        <is>
          <t>A 12381-2023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44999</v>
      </c>
      <c r="E115" s="1" t="n">
        <v>46316</v>
      </c>
      <c r="F115" t="inlineStr">
        <is>
          <t>GÄVLEBORGS LÄN</t>
        </is>
      </c>
      <c r="G115" t="inlineStr">
        <is>
          <t>GÄVLE</t>
        </is>
      </c>
      <c r="I115" t="n">
        <v>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Brunlångöra</t>
        </is>
      </c>
      <c r="W115">
        <f>HYPERLINK("https://klasma.github.io/Logging_2180/artfynd/A 12381-2023 artfynd.xlsx", "A 12381-2023")</f>
        <v/>
      </c>
      <c r="X115">
        <f>HYPERLINK("https://klasma.github.io/Logging_2180/kartor/A 12381-2023 karta.png", "A 12381-2023")</f>
        <v/>
      </c>
      <c r="Y115">
        <f>HYPERLINK("https://klasma.github.io/Logging_2180/kartor_geotiff/A 12381-2023 georefererad karta.tif", "A 12381-2023")</f>
        <v/>
      </c>
      <c r="AA115">
        <f>HYPERLINK("https://klasma.github.io/Logging_2180/klagomål/A 12381-2023 FSC-klagomål.docx", "A 12381-2023")</f>
        <v/>
      </c>
      <c r="AB115">
        <f>HYPERLINK("https://klasma.github.io/Logging_2180/klagomålsmail/A 12381-2023 FSC-klagomål mail.docx", "A 12381-2023")</f>
        <v/>
      </c>
      <c r="AC115">
        <f>HYPERLINK("https://klasma.github.io/Logging_2180/tillsyn/A 12381-2023 tillsynsbegäran.docx", "A 12381-2023")</f>
        <v/>
      </c>
      <c r="AD115">
        <f>HYPERLINK("https://klasma.github.io/Logging_2180/tillsynsmail/A 12381-2023 tillsynsbegäran mail.docx", "A 12381-2023")</f>
        <v/>
      </c>
    </row>
    <row r="116" ht="15" customHeight="1">
      <c r="A116" t="inlineStr">
        <is>
          <t>A 21282-2024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45440</v>
      </c>
      <c r="E116" s="1" t="n">
        <v>46316</v>
      </c>
      <c r="F116" t="inlineStr">
        <is>
          <t>GÄVLEBORGS LÄN</t>
        </is>
      </c>
      <c r="G116" t="inlineStr">
        <is>
          <t>GÄVLE</t>
        </is>
      </c>
      <c r="I116" t="n">
        <v>7.4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1</v>
      </c>
      <c r="V116" s="2" t="inlineStr">
        <is>
          <t>Skogsklocka</t>
        </is>
      </c>
      <c r="W116">
        <f>HYPERLINK("https://klasma.github.io/Logging_2180/artfynd/A 21282-2024 artfynd.xlsx", "A 21282-2024")</f>
        <v/>
      </c>
      <c r="X116">
        <f>HYPERLINK("https://klasma.github.io/Logging_2180/kartor/A 21282-2024 karta.png", "A 21282-2024")</f>
        <v/>
      </c>
      <c r="Y116">
        <f>HYPERLINK("https://klasma.github.io/Logging_2180/kartor_geotiff/A 21282-2024 georefererad karta.tif", "A 21282-2024")</f>
        <v/>
      </c>
      <c r="AA116">
        <f>HYPERLINK("https://klasma.github.io/Logging_2180/klagomål/A 21282-2024 FSC-klagomål.docx", "A 21282-2024")</f>
        <v/>
      </c>
      <c r="AB116">
        <f>HYPERLINK("https://klasma.github.io/Logging_2180/klagomålsmail/A 21282-2024 FSC-klagomål mail.docx", "A 21282-2024")</f>
        <v/>
      </c>
      <c r="AC116">
        <f>HYPERLINK("https://klasma.github.io/Logging_2180/tillsyn/A 21282-2024 tillsynsbegäran.docx", "A 21282-2024")</f>
        <v/>
      </c>
      <c r="AD116">
        <f>HYPERLINK("https://klasma.github.io/Logging_2180/tillsynsmail/A 21282-2024 tillsynsbegäran mail.docx", "A 21282-2024")</f>
        <v/>
      </c>
    </row>
    <row r="117" ht="15" customHeight="1">
      <c r="A117" t="inlineStr">
        <is>
          <t>A 57932-2024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45631</v>
      </c>
      <c r="E117" s="1" t="n">
        <v>46316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48.7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Tjäder</t>
        </is>
      </c>
      <c r="W117">
        <f>HYPERLINK("https://klasma.github.io/Logging_2180/artfynd/A 57932-2024 artfynd.xlsx", "A 57932-2024")</f>
        <v/>
      </c>
      <c r="X117">
        <f>HYPERLINK("https://klasma.github.io/Logging_2180/kartor/A 57932-2024 karta.png", "A 57932-2024")</f>
        <v/>
      </c>
      <c r="Y117">
        <f>HYPERLINK("https://klasma.github.io/Logging_2180/kartor_geotiff/A 57932-2024 georefererad karta.tif", "A 57932-2024")</f>
        <v/>
      </c>
      <c r="AA117">
        <f>HYPERLINK("https://klasma.github.io/Logging_2180/klagomål/A 57932-2024 FSC-klagomål.docx", "A 57932-2024")</f>
        <v/>
      </c>
      <c r="AB117">
        <f>HYPERLINK("https://klasma.github.io/Logging_2180/klagomålsmail/A 57932-2024 FSC-klagomål mail.docx", "A 57932-2024")</f>
        <v/>
      </c>
      <c r="AC117">
        <f>HYPERLINK("https://klasma.github.io/Logging_2180/tillsyn/A 57932-2024 tillsynsbegäran.docx", "A 57932-2024")</f>
        <v/>
      </c>
      <c r="AD117">
        <f>HYPERLINK("https://klasma.github.io/Logging_2180/tillsynsmail/A 57932-2024 tillsynsbegäran mail.docx", "A 57932-2024")</f>
        <v/>
      </c>
      <c r="AE117">
        <f>HYPERLINK("https://klasma.github.io/Logging_2180/fåglar/A 57932-2024 prioriterade fågelarter.docx", "A 57932-2024")</f>
        <v/>
      </c>
    </row>
    <row r="118" ht="15" customHeight="1">
      <c r="A118" t="inlineStr">
        <is>
          <t>A 31448-2026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46217</v>
      </c>
      <c r="E118" s="1" t="n">
        <v>46316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6.8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tåtelsmygare</t>
        </is>
      </c>
      <c r="W118">
        <f>HYPERLINK("https://klasma.github.io/Logging_2180/artfynd/A 31448-2026 artfynd.xlsx", "A 31448-2026")</f>
        <v/>
      </c>
      <c r="X118">
        <f>HYPERLINK("https://klasma.github.io/Logging_2180/kartor/A 31448-2026 karta.png", "A 31448-2026")</f>
        <v/>
      </c>
      <c r="Y118">
        <f>HYPERLINK("https://klasma.github.io/Logging_2180/kartor_geotiff/A 31448-2026 georefererad karta.tif", "A 31448-2026")</f>
        <v/>
      </c>
      <c r="AA118">
        <f>HYPERLINK("https://klasma.github.io/Logging_2180/klagomål/A 31448-2026 FSC-klagomål.docx", "A 31448-2026")</f>
        <v/>
      </c>
      <c r="AB118">
        <f>HYPERLINK("https://klasma.github.io/Logging_2180/klagomålsmail/A 31448-2026 FSC-klagomål mail.docx", "A 31448-2026")</f>
        <v/>
      </c>
      <c r="AC118">
        <f>HYPERLINK("https://klasma.github.io/Logging_2180/tillsyn/A 31448-2026 tillsynsbegäran.docx", "A 31448-2026")</f>
        <v/>
      </c>
      <c r="AD118">
        <f>HYPERLINK("https://klasma.github.io/Logging_2180/tillsynsmail/A 31448-2026 tillsynsbegäran mail.docx", "A 31448-2026")</f>
        <v/>
      </c>
    </row>
    <row r="119" ht="15" customHeight="1">
      <c r="A119" t="inlineStr">
        <is>
          <t>A 37220-2026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46274</v>
      </c>
      <c r="E119" s="1" t="n">
        <v>46316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5.1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HYPERLINK("https://klasma.github.io/Logging_2180/artfynd/A 37220-2026 artfynd.xlsx", "A 37220-2026")</f>
        <v/>
      </c>
      <c r="X119">
        <f>HYPERLINK("https://klasma.github.io/Logging_2180/kartor/A 37220-2026 karta.png", "A 37220-2026")</f>
        <v/>
      </c>
      <c r="Y119">
        <f>HYPERLINK("https://klasma.github.io/Logging_2180/kartor_geotiff/A 37220-2026 georefererad karta.tif", "A 37220-2026")</f>
        <v/>
      </c>
      <c r="AA119">
        <f>HYPERLINK("https://klasma.github.io/Logging_2180/klagomål/A 37220-2026 FSC-klagomål.docx", "A 37220-2026")</f>
        <v/>
      </c>
      <c r="AB119">
        <f>HYPERLINK("https://klasma.github.io/Logging_2180/klagomålsmail/A 37220-2026 FSC-klagomål mail.docx", "A 37220-2026")</f>
        <v/>
      </c>
      <c r="AC119">
        <f>HYPERLINK("https://klasma.github.io/Logging_2180/tillsyn/A 37220-2026 tillsynsbegäran.docx", "A 37220-2026")</f>
        <v/>
      </c>
      <c r="AD119">
        <f>HYPERLINK("https://klasma.github.io/Logging_2180/tillsynsmail/A 37220-2026 tillsynsbegäran mail.docx", "A 37220-2026")</f>
        <v/>
      </c>
    </row>
    <row r="120" ht="15" customHeight="1">
      <c r="A120" t="inlineStr">
        <is>
          <t>A 38571-2026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46283</v>
      </c>
      <c r="E120" s="1" t="n">
        <v>46316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Platt spretmossa</t>
        </is>
      </c>
      <c r="W120">
        <f>HYPERLINK("https://klasma.github.io/Logging_2180/artfynd/A 38571-2026 artfynd.xlsx", "A 38571-2026")</f>
        <v/>
      </c>
      <c r="X120">
        <f>HYPERLINK("https://klasma.github.io/Logging_2180/kartor/A 38571-2026 karta.png", "A 38571-2026")</f>
        <v/>
      </c>
      <c r="Y120">
        <f>HYPERLINK("https://klasma.github.io/Logging_2180/kartor_geotiff/A 38571-2026 georefererad karta.tif", "A 38571-2026")</f>
        <v/>
      </c>
      <c r="AA120">
        <f>HYPERLINK("https://klasma.github.io/Logging_2180/klagomål/A 38571-2026 FSC-klagomål.docx", "A 38571-2026")</f>
        <v/>
      </c>
      <c r="AB120">
        <f>HYPERLINK("https://klasma.github.io/Logging_2180/klagomålsmail/A 38571-2026 FSC-klagomål mail.docx", "A 38571-2026")</f>
        <v/>
      </c>
      <c r="AC120">
        <f>HYPERLINK("https://klasma.github.io/Logging_2180/tillsyn/A 38571-2026 tillsynsbegäran.docx", "A 38571-2026")</f>
        <v/>
      </c>
      <c r="AD120">
        <f>HYPERLINK("https://klasma.github.io/Logging_2180/tillsynsmail/A 38571-2026 tillsynsbegäran mail.docx", "A 38571-2026")</f>
        <v/>
      </c>
    </row>
    <row r="121" ht="15" customHeight="1">
      <c r="A121" t="inlineStr">
        <is>
          <t>A 38300-2026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46282</v>
      </c>
      <c r="E121" s="1" t="n">
        <v>46316</v>
      </c>
      <c r="F121" t="inlineStr">
        <is>
          <t>GÄVLEBORGS LÄN</t>
        </is>
      </c>
      <c r="G121" t="inlineStr">
        <is>
          <t>GÄVLE</t>
        </is>
      </c>
      <c r="I121" t="n">
        <v>3.7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Sparvuggla</t>
        </is>
      </c>
      <c r="W121">
        <f>HYPERLINK("https://klasma.github.io/Logging_2180/artfynd/A 38300-2026 artfynd.xlsx", "A 38300-2026")</f>
        <v/>
      </c>
      <c r="X121">
        <f>HYPERLINK("https://klasma.github.io/Logging_2180/kartor/A 38300-2026 karta.png", "A 38300-2026")</f>
        <v/>
      </c>
      <c r="Y121">
        <f>HYPERLINK("https://klasma.github.io/Logging_2180/kartor_geotiff/A 38300-2026 georefererad karta.tif", "A 38300-2026")</f>
        <v/>
      </c>
      <c r="AA121">
        <f>HYPERLINK("https://klasma.github.io/Logging_2180/klagomål/A 38300-2026 FSC-klagomål.docx", "A 38300-2026")</f>
        <v/>
      </c>
      <c r="AB121">
        <f>HYPERLINK("https://klasma.github.io/Logging_2180/klagomålsmail/A 38300-2026 FSC-klagomål mail.docx", "A 38300-2026")</f>
        <v/>
      </c>
      <c r="AC121">
        <f>HYPERLINK("https://klasma.github.io/Logging_2180/tillsyn/A 38300-2026 tillsynsbegäran.docx", "A 38300-2026")</f>
        <v/>
      </c>
      <c r="AD121">
        <f>HYPERLINK("https://klasma.github.io/Logging_2180/tillsynsmail/A 38300-2026 tillsynsbegäran mail.docx", "A 38300-2026")</f>
        <v/>
      </c>
      <c r="AE121">
        <f>HYPERLINK("https://klasma.github.io/Logging_2180/fåglar/A 38300-2026 prioriterade fågelarter.docx", "A 38300-2026")</f>
        <v/>
      </c>
    </row>
    <row r="122" ht="15" customHeight="1">
      <c r="A122" t="inlineStr">
        <is>
          <t>A 26871-2026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46316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4.2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HYPERLINK("https://klasma.github.io/Logging_2180/artfynd/A 26871-2026 artfynd.xlsx", "A 26871-2026")</f>
        <v/>
      </c>
      <c r="X122">
        <f>HYPERLINK("https://klasma.github.io/Logging_2180/kartor/A 26871-2026 karta.png", "A 26871-2026")</f>
        <v/>
      </c>
      <c r="Y122">
        <f>HYPERLINK("https://klasma.github.io/Logging_2180/kartor_geotiff/A 26871-2026 georefererad karta.tif", "A 26871-2026")</f>
        <v/>
      </c>
      <c r="AA122">
        <f>HYPERLINK("https://klasma.github.io/Logging_2180/klagomål/A 26871-2026 FSC-klagomål.docx", "A 26871-2026")</f>
        <v/>
      </c>
      <c r="AB122">
        <f>HYPERLINK("https://klasma.github.io/Logging_2180/klagomålsmail/A 26871-2026 FSC-klagomål mail.docx", "A 26871-2026")</f>
        <v/>
      </c>
      <c r="AC122">
        <f>HYPERLINK("https://klasma.github.io/Logging_2180/tillsyn/A 26871-2026 tillsynsbegäran.docx", "A 26871-2026")</f>
        <v/>
      </c>
      <c r="AD122">
        <f>HYPERLINK("https://klasma.github.io/Logging_2180/tillsynsmail/A 26871-2026 tillsynsbegäran mail.docx", "A 26871-2026")</f>
        <v/>
      </c>
    </row>
    <row r="123" ht="15" customHeight="1">
      <c r="A123" t="inlineStr">
        <is>
          <t>A 39065-2026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46287</v>
      </c>
      <c r="E123" s="1" t="n">
        <v>46316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Vedskivlav</t>
        </is>
      </c>
      <c r="W123">
        <f>HYPERLINK("https://klasma.github.io/Logging_2180/artfynd/A 39065-2026 artfynd.xlsx", "A 39065-2026")</f>
        <v/>
      </c>
      <c r="X123">
        <f>HYPERLINK("https://klasma.github.io/Logging_2180/kartor/A 39065-2026 karta.png", "A 39065-2026")</f>
        <v/>
      </c>
      <c r="Y123">
        <f>HYPERLINK("https://klasma.github.io/Logging_2180/kartor_geotiff/A 39065-2026 georefererad karta.tif", "A 39065-2026")</f>
        <v/>
      </c>
      <c r="AA123">
        <f>HYPERLINK("https://klasma.github.io/Logging_2180/klagomål/A 39065-2026 FSC-klagomål.docx", "A 39065-2026")</f>
        <v/>
      </c>
      <c r="AB123">
        <f>HYPERLINK("https://klasma.github.io/Logging_2180/klagomålsmail/A 39065-2026 FSC-klagomål mail.docx", "A 39065-2026")</f>
        <v/>
      </c>
      <c r="AC123">
        <f>HYPERLINK("https://klasma.github.io/Logging_2180/tillsyn/A 39065-2026 tillsynsbegäran.docx", "A 39065-2026")</f>
        <v/>
      </c>
      <c r="AD123">
        <f>HYPERLINK("https://klasma.github.io/Logging_2180/tillsynsmail/A 39065-2026 tillsynsbegäran mail.docx", "A 39065-2026")</f>
        <v/>
      </c>
    </row>
    <row r="124" ht="15" customHeight="1">
      <c r="A124" t="inlineStr">
        <is>
          <t>A 39719-2026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46316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8.300000000000001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Plattlummer</t>
        </is>
      </c>
      <c r="W124">
        <f>HYPERLINK("https://klasma.github.io/Logging_2180/artfynd/A 39719-2026 artfynd.xlsx", "A 39719-2026")</f>
        <v/>
      </c>
      <c r="X124">
        <f>HYPERLINK("https://klasma.github.io/Logging_2180/kartor/A 39719-2026 karta.png", "A 39719-2026")</f>
        <v/>
      </c>
      <c r="Y124">
        <f>HYPERLINK("https://klasma.github.io/Logging_2180/kartor_geotiff/A 39719-2026 georefererad karta.tif", "A 39719-2026")</f>
        <v/>
      </c>
      <c r="AA124">
        <f>HYPERLINK("https://klasma.github.io/Logging_2180/klagomål/A 39719-2026 FSC-klagomål.docx", "A 39719-2026")</f>
        <v/>
      </c>
      <c r="AB124">
        <f>HYPERLINK("https://klasma.github.io/Logging_2180/klagomålsmail/A 39719-2026 FSC-klagomål mail.docx", "A 39719-2026")</f>
        <v/>
      </c>
      <c r="AC124">
        <f>HYPERLINK("https://klasma.github.io/Logging_2180/tillsyn/A 39719-2026 tillsynsbegäran.docx", "A 39719-2026")</f>
        <v/>
      </c>
      <c r="AD124">
        <f>HYPERLINK("https://klasma.github.io/Logging_2180/tillsynsmail/A 39719-2026 tillsynsbegäran mail.docx", "A 39719-2026")</f>
        <v/>
      </c>
    </row>
    <row r="125" ht="15" customHeight="1">
      <c r="A125" t="inlineStr">
        <is>
          <t>A 39763-2026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46290</v>
      </c>
      <c r="E125" s="1" t="n">
        <v>46316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HYPERLINK("https://klasma.github.io/Logging_2180/artfynd/A 39763-2026 artfynd.xlsx", "A 39763-2026")</f>
        <v/>
      </c>
      <c r="X125">
        <f>HYPERLINK("https://klasma.github.io/Logging_2180/kartor/A 39763-2026 karta.png", "A 39763-2026")</f>
        <v/>
      </c>
      <c r="Y125">
        <f>HYPERLINK("https://klasma.github.io/Logging_2180/kartor_geotiff/A 39763-2026 georefererad karta.tif", "A 39763-2026")</f>
        <v/>
      </c>
      <c r="AA125">
        <f>HYPERLINK("https://klasma.github.io/Logging_2180/klagomål/A 39763-2026 FSC-klagomål.docx", "A 39763-2026")</f>
        <v/>
      </c>
      <c r="AB125">
        <f>HYPERLINK("https://klasma.github.io/Logging_2180/klagomålsmail/A 39763-2026 FSC-klagomål mail.docx", "A 39763-2026")</f>
        <v/>
      </c>
      <c r="AC125">
        <f>HYPERLINK("https://klasma.github.io/Logging_2180/tillsyn/A 39763-2026 tillsynsbegäran.docx", "A 39763-2026")</f>
        <v/>
      </c>
      <c r="AD125">
        <f>HYPERLINK("https://klasma.github.io/Logging_2180/tillsynsmail/A 39763-2026 tillsynsbegäran mail.docx", "A 39763-2026")</f>
        <v/>
      </c>
    </row>
    <row r="126" ht="15" customHeight="1">
      <c r="A126" t="inlineStr">
        <is>
          <t>A 34086-2026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46252</v>
      </c>
      <c r="E126" s="1" t="n">
        <v>46316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6.1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Gullgröppa</t>
        </is>
      </c>
      <c r="W126">
        <f>HYPERLINK("https://klasma.github.io/Logging_2180/artfynd/A 34086-2026 artfynd.xlsx", "A 34086-2026")</f>
        <v/>
      </c>
      <c r="X126">
        <f>HYPERLINK("https://klasma.github.io/Logging_2180/kartor/A 34086-2026 karta.png", "A 34086-2026")</f>
        <v/>
      </c>
      <c r="Y126">
        <f>HYPERLINK("https://klasma.github.io/Logging_2180/kartor_geotiff/A 34086-2026 georefererad karta.tif", "A 34086-2026")</f>
        <v/>
      </c>
      <c r="AA126">
        <f>HYPERLINK("https://klasma.github.io/Logging_2180/klagomål/A 34086-2026 FSC-klagomål.docx", "A 34086-2026")</f>
        <v/>
      </c>
      <c r="AB126">
        <f>HYPERLINK("https://klasma.github.io/Logging_2180/klagomålsmail/A 34086-2026 FSC-klagomål mail.docx", "A 34086-2026")</f>
        <v/>
      </c>
      <c r="AC126">
        <f>HYPERLINK("https://klasma.github.io/Logging_2180/tillsyn/A 34086-2026 tillsynsbegäran.docx", "A 34086-2026")</f>
        <v/>
      </c>
      <c r="AD126">
        <f>HYPERLINK("https://klasma.github.io/Logging_2180/tillsynsmail/A 34086-2026 tillsynsbegäran mail.docx", "A 34086-2026")</f>
        <v/>
      </c>
    </row>
    <row r="127" ht="15" customHeight="1">
      <c r="A127" t="inlineStr">
        <is>
          <t>A 40279-2026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46294</v>
      </c>
      <c r="E127" s="1" t="n">
        <v>46316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Myggblomster</t>
        </is>
      </c>
      <c r="W127">
        <f>HYPERLINK("https://klasma.github.io/Logging_2180/artfynd/A 40279-2026 artfynd.xlsx", "A 40279-2026")</f>
        <v/>
      </c>
      <c r="X127">
        <f>HYPERLINK("https://klasma.github.io/Logging_2180/kartor/A 40279-2026 karta.png", "A 40279-2026")</f>
        <v/>
      </c>
      <c r="Y127">
        <f>HYPERLINK("https://klasma.github.io/Logging_2180/kartor_geotiff/A 40279-2026 georefererad karta.tif", "A 40279-2026")</f>
        <v/>
      </c>
      <c r="AA127">
        <f>HYPERLINK("https://klasma.github.io/Logging_2180/klagomål/A 40279-2026 FSC-klagomål.docx", "A 40279-2026")</f>
        <v/>
      </c>
      <c r="AB127">
        <f>HYPERLINK("https://klasma.github.io/Logging_2180/klagomålsmail/A 40279-2026 FSC-klagomål mail.docx", "A 40279-2026")</f>
        <v/>
      </c>
      <c r="AC127">
        <f>HYPERLINK("https://klasma.github.io/Logging_2180/tillsyn/A 40279-2026 tillsynsbegäran.docx", "A 40279-2026")</f>
        <v/>
      </c>
      <c r="AD127">
        <f>HYPERLINK("https://klasma.github.io/Logging_2180/tillsynsmail/A 40279-2026 tillsynsbegäran mail.docx", "A 40279-2026")</f>
        <v/>
      </c>
    </row>
    <row r="128" ht="15" customHeight="1">
      <c r="A128" t="inlineStr">
        <is>
          <t>A 33832-2026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46316</v>
      </c>
      <c r="F128" t="inlineStr">
        <is>
          <t>GÄVLEBORGS LÄN</t>
        </is>
      </c>
      <c r="G128" t="inlineStr">
        <is>
          <t>GÄVLE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HYPERLINK("https://klasma.github.io/Logging_2180/artfynd/A 33832-2026 artfynd.xlsx", "A 33832-2026")</f>
        <v/>
      </c>
      <c r="X128">
        <f>HYPERLINK("https://klasma.github.io/Logging_2180/kartor/A 33832-2026 karta.png", "A 33832-2026")</f>
        <v/>
      </c>
      <c r="Y128">
        <f>HYPERLINK("https://klasma.github.io/Logging_2180/kartor_geotiff/A 33832-2026 georefererad karta.tif", "A 33832-2026")</f>
        <v/>
      </c>
      <c r="AA128">
        <f>HYPERLINK("https://klasma.github.io/Logging_2180/klagomål/A 33832-2026 FSC-klagomål.docx", "A 33832-2026")</f>
        <v/>
      </c>
      <c r="AB128">
        <f>HYPERLINK("https://klasma.github.io/Logging_2180/klagomålsmail/A 33832-2026 FSC-klagomål mail.docx", "A 33832-2026")</f>
        <v/>
      </c>
      <c r="AC128">
        <f>HYPERLINK("https://klasma.github.io/Logging_2180/tillsyn/A 33832-2026 tillsynsbegäran.docx", "A 33832-2026")</f>
        <v/>
      </c>
      <c r="AD128">
        <f>HYPERLINK("https://klasma.github.io/Logging_2180/tillsynsmail/A 33832-2026 tillsynsbegäran mail.docx", "A 33832-2026")</f>
        <v/>
      </c>
    </row>
    <row r="129" ht="15" customHeight="1">
      <c r="A129" t="inlineStr">
        <is>
          <t>A 17251-2026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46316</v>
      </c>
      <c r="F129" t="inlineStr">
        <is>
          <t>GÄVLEBORGS LÄN</t>
        </is>
      </c>
      <c r="G129" t="inlineStr">
        <is>
          <t>GÄVLE</t>
        </is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HYPERLINK("https://klasma.github.io/Logging_2180/artfynd/A 17251-2026 artfynd.xlsx", "A 17251-2026")</f>
        <v/>
      </c>
      <c r="X129">
        <f>HYPERLINK("https://klasma.github.io/Logging_2180/kartor/A 17251-2026 karta.png", "A 17251-2026")</f>
        <v/>
      </c>
      <c r="Y129">
        <f>HYPERLINK("https://klasma.github.io/Logging_2180/kartor_geotiff/A 17251-2026 georefererad karta.tif", "A 17251-2026")</f>
        <v/>
      </c>
      <c r="AA129">
        <f>HYPERLINK("https://klasma.github.io/Logging_2180/klagomål/A 17251-2026 FSC-klagomål.docx", "A 17251-2026")</f>
        <v/>
      </c>
      <c r="AB129">
        <f>HYPERLINK("https://klasma.github.io/Logging_2180/klagomålsmail/A 17251-2026 FSC-klagomål mail.docx", "A 17251-2026")</f>
        <v/>
      </c>
      <c r="AC129">
        <f>HYPERLINK("https://klasma.github.io/Logging_2180/tillsyn/A 17251-2026 tillsynsbegäran.docx", "A 17251-2026")</f>
        <v/>
      </c>
      <c r="AD129">
        <f>HYPERLINK("https://klasma.github.io/Logging_2180/tillsynsmail/A 17251-2026 tillsynsbegäran mail.docx", "A 17251-2026")</f>
        <v/>
      </c>
    </row>
    <row r="130" ht="15" customHeight="1">
      <c r="A130" t="inlineStr">
        <is>
          <t>A 18216-2024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46316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Dofttaggsvamp</t>
        </is>
      </c>
      <c r="W130">
        <f>HYPERLINK("https://klasma.github.io/Logging_2180/artfynd/A 18216-2024 artfynd.xlsx", "A 18216-2024")</f>
        <v/>
      </c>
      <c r="X130">
        <f>HYPERLINK("https://klasma.github.io/Logging_2180/kartor/A 18216-2024 karta.png", "A 18216-2024")</f>
        <v/>
      </c>
      <c r="Y130">
        <f>HYPERLINK("https://klasma.github.io/Logging_2180/kartor_geotiff/A 18216-2024 georefererad karta.tif", "A 18216-2024")</f>
        <v/>
      </c>
      <c r="AA130">
        <f>HYPERLINK("https://klasma.github.io/Logging_2180/klagomål/A 18216-2024 FSC-klagomål.docx", "A 18216-2024")</f>
        <v/>
      </c>
      <c r="AB130">
        <f>HYPERLINK("https://klasma.github.io/Logging_2180/klagomålsmail/A 18216-2024 FSC-klagomål mail.docx", "A 18216-2024")</f>
        <v/>
      </c>
      <c r="AC130">
        <f>HYPERLINK("https://klasma.github.io/Logging_2180/tillsyn/A 18216-2024 tillsynsbegäran.docx", "A 18216-2024")</f>
        <v/>
      </c>
      <c r="AD130">
        <f>HYPERLINK("https://klasma.github.io/Logging_2180/tillsynsmail/A 18216-2024 tillsynsbegäran mail.docx", "A 18216-2024")</f>
        <v/>
      </c>
    </row>
    <row r="131" ht="15" customHeight="1">
      <c r="A131" t="inlineStr">
        <is>
          <t>A 34589-2026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46255</v>
      </c>
      <c r="E131" s="1" t="n">
        <v>46316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15.3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HYPERLINK("https://klasma.github.io/Logging_2180/artfynd/A 34589-2026 artfynd.xlsx", "A 34589-2026")</f>
        <v/>
      </c>
      <c r="X131">
        <f>HYPERLINK("https://klasma.github.io/Logging_2180/kartor/A 34589-2026 karta.png", "A 34589-2026")</f>
        <v/>
      </c>
      <c r="Y131">
        <f>HYPERLINK("https://klasma.github.io/Logging_2180/kartor_geotiff/A 34589-2026 georefererad karta.tif", "A 34589-2026")</f>
        <v/>
      </c>
      <c r="AA131">
        <f>HYPERLINK("https://klasma.github.io/Logging_2180/klagomål/A 34589-2026 FSC-klagomål.docx", "A 34589-2026")</f>
        <v/>
      </c>
      <c r="AB131">
        <f>HYPERLINK("https://klasma.github.io/Logging_2180/klagomålsmail/A 34589-2026 FSC-klagomål mail.docx", "A 34589-2026")</f>
        <v/>
      </c>
      <c r="AC131">
        <f>HYPERLINK("https://klasma.github.io/Logging_2180/tillsyn/A 34589-2026 tillsynsbegäran.docx", "A 34589-2026")</f>
        <v/>
      </c>
      <c r="AD131">
        <f>HYPERLINK("https://klasma.github.io/Logging_2180/tillsynsmail/A 34589-2026 tillsynsbegäran mail.docx", "A 34589-2026")</f>
        <v/>
      </c>
    </row>
    <row r="132" ht="15" customHeight="1">
      <c r="A132" t="inlineStr">
        <is>
          <t>A 13269-2026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46316</v>
      </c>
      <c r="F132" t="inlineStr">
        <is>
          <t>GÄVLEBORGS LÄN</t>
        </is>
      </c>
      <c r="G132" t="inlineStr">
        <is>
          <t>GÄVLE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Havsörn</t>
        </is>
      </c>
      <c r="W132">
        <f>HYPERLINK("https://klasma.github.io/Logging_2180/artfynd/A 13269-2026 artfynd.xlsx", "A 13269-2026")</f>
        <v/>
      </c>
      <c r="X132">
        <f>HYPERLINK("https://klasma.github.io/Logging_2180/kartor/A 13269-2026 karta.png", "A 13269-2026")</f>
        <v/>
      </c>
      <c r="Y132">
        <f>HYPERLINK("https://klasma.github.io/Logging_2180/kartor_geotiff/A 13269-2026 georefererad karta.tif", "A 13269-2026")</f>
        <v/>
      </c>
      <c r="AA132">
        <f>HYPERLINK("https://klasma.github.io/Logging_2180/klagomål/A 13269-2026 FSC-klagomål.docx", "A 13269-2026")</f>
        <v/>
      </c>
      <c r="AB132">
        <f>HYPERLINK("https://klasma.github.io/Logging_2180/klagomålsmail/A 13269-2026 FSC-klagomål mail.docx", "A 13269-2026")</f>
        <v/>
      </c>
      <c r="AC132">
        <f>HYPERLINK("https://klasma.github.io/Logging_2180/tillsyn/A 13269-2026 tillsynsbegäran.docx", "A 13269-2026")</f>
        <v/>
      </c>
      <c r="AD132">
        <f>HYPERLINK("https://klasma.github.io/Logging_2180/tillsynsmail/A 13269-2026 tillsynsbegäran mail.docx", "A 13269-2026")</f>
        <v/>
      </c>
      <c r="AE132">
        <f>HYPERLINK("https://klasma.github.io/Logging_2180/fåglar/A 13269-2026 prioriterade fågelarter.docx", "A 13269-2026")</f>
        <v/>
      </c>
    </row>
    <row r="133" ht="15" customHeight="1">
      <c r="A133" t="inlineStr">
        <is>
          <t>A 23003-2026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46160</v>
      </c>
      <c r="E133" s="1" t="n">
        <v>46316</v>
      </c>
      <c r="F133" t="inlineStr">
        <is>
          <t>GÄVLEBORGS LÄN</t>
        </is>
      </c>
      <c r="G133" t="inlineStr">
        <is>
          <t>GÄVLE</t>
        </is>
      </c>
      <c r="I133" t="n">
        <v>12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Tjäder</t>
        </is>
      </c>
      <c r="W133">
        <f>HYPERLINK("https://klasma.github.io/Logging_2180/artfynd/A 23003-2026 artfynd.xlsx", "A 23003-2026")</f>
        <v/>
      </c>
      <c r="X133">
        <f>HYPERLINK("https://klasma.github.io/Logging_2180/kartor/A 23003-2026 karta.png", "A 23003-2026")</f>
        <v/>
      </c>
      <c r="Y133">
        <f>HYPERLINK("https://klasma.github.io/Logging_2180/kartor_geotiff/A 23003-2026 georefererad karta.tif", "A 23003-2026")</f>
        <v/>
      </c>
      <c r="AA133">
        <f>HYPERLINK("https://klasma.github.io/Logging_2180/klagomål/A 23003-2026 FSC-klagomål.docx", "A 23003-2026")</f>
        <v/>
      </c>
      <c r="AB133">
        <f>HYPERLINK("https://klasma.github.io/Logging_2180/klagomålsmail/A 23003-2026 FSC-klagomål mail.docx", "A 23003-2026")</f>
        <v/>
      </c>
      <c r="AC133">
        <f>HYPERLINK("https://klasma.github.io/Logging_2180/tillsyn/A 23003-2026 tillsynsbegäran.docx", "A 23003-2026")</f>
        <v/>
      </c>
      <c r="AD133">
        <f>HYPERLINK("https://klasma.github.io/Logging_2180/tillsynsmail/A 23003-2026 tillsynsbegäran mail.docx", "A 23003-2026")</f>
        <v/>
      </c>
      <c r="AE133">
        <f>HYPERLINK("https://klasma.github.io/Logging_2180/fåglar/A 23003-2026 prioriterade fågelarter.docx", "A 23003-2026")</f>
        <v/>
      </c>
    </row>
    <row r="134" ht="15" customHeight="1">
      <c r="A134" t="inlineStr">
        <is>
          <t>A 19635-2026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46133</v>
      </c>
      <c r="E134" s="1" t="n">
        <v>46316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Skinnlav</t>
        </is>
      </c>
      <c r="W134">
        <f>HYPERLINK("https://klasma.github.io/Logging_2180/artfynd/A 19635-2026 artfynd.xlsx", "A 19635-2026")</f>
        <v/>
      </c>
      <c r="X134">
        <f>HYPERLINK("https://klasma.github.io/Logging_2180/kartor/A 19635-2026 karta.png", "A 19635-2026")</f>
        <v/>
      </c>
      <c r="Y134">
        <f>HYPERLINK("https://klasma.github.io/Logging_2180/kartor_geotiff/A 19635-2026 georefererad karta.tif", "A 19635-2026")</f>
        <v/>
      </c>
      <c r="AA134">
        <f>HYPERLINK("https://klasma.github.io/Logging_2180/klagomål/A 19635-2026 FSC-klagomål.docx", "A 19635-2026")</f>
        <v/>
      </c>
      <c r="AB134">
        <f>HYPERLINK("https://klasma.github.io/Logging_2180/klagomålsmail/A 19635-2026 FSC-klagomål mail.docx", "A 19635-2026")</f>
        <v/>
      </c>
      <c r="AC134">
        <f>HYPERLINK("https://klasma.github.io/Logging_2180/tillsyn/A 19635-2026 tillsynsbegäran.docx", "A 19635-2026")</f>
        <v/>
      </c>
      <c r="AD134">
        <f>HYPERLINK("https://klasma.github.io/Logging_2180/tillsynsmail/A 19635-2026 tillsynsbegäran mail.docx", "A 19635-2026")</f>
        <v/>
      </c>
    </row>
    <row r="135" ht="15" customHeight="1">
      <c r="A135" t="inlineStr">
        <is>
          <t>A 34890-2026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46259</v>
      </c>
      <c r="E135" s="1" t="n">
        <v>46316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18.3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4</v>
      </c>
      <c r="U135" t="n">
        <v>0</v>
      </c>
      <c r="V135" s="2" t="inlineStr">
        <is>
          <t>Spillkråka</t>
        </is>
      </c>
      <c r="W135">
        <f>HYPERLINK("https://klasma.github.io/Logging_2180/artfynd/A 34890-2026 artfynd.xlsx", "A 34890-2026")</f>
        <v/>
      </c>
      <c r="X135">
        <f>HYPERLINK("https://klasma.github.io/Logging_2180/kartor/A 34890-2026 karta.png", "A 34890-2026")</f>
        <v/>
      </c>
      <c r="Y135">
        <f>HYPERLINK("https://klasma.github.io/Logging_2180/kartor_geotiff/A 34890-2026 georefererad karta.tif", "A 34890-2026")</f>
        <v/>
      </c>
      <c r="AA135">
        <f>HYPERLINK("https://klasma.github.io/Logging_2180/klagomål/A 34890-2026 FSC-klagomål.docx", "A 34890-2026")</f>
        <v/>
      </c>
      <c r="AB135">
        <f>HYPERLINK("https://klasma.github.io/Logging_2180/klagomålsmail/A 34890-2026 FSC-klagomål mail.docx", "A 34890-2026")</f>
        <v/>
      </c>
      <c r="AC135">
        <f>HYPERLINK("https://klasma.github.io/Logging_2180/tillsyn/A 34890-2026 tillsynsbegäran.docx", "A 34890-2026")</f>
        <v/>
      </c>
      <c r="AD135">
        <f>HYPERLINK("https://klasma.github.io/Logging_2180/tillsynsmail/A 34890-2026 tillsynsbegäran mail.docx", "A 34890-2026")</f>
        <v/>
      </c>
      <c r="AE135">
        <f>HYPERLINK("https://klasma.github.io/Logging_2180/fåglar/A 34890-2026 prioriterade fågelarter.docx", "A 34890-2026")</f>
        <v/>
      </c>
    </row>
    <row r="136" ht="15" customHeight="1">
      <c r="A136" t="inlineStr">
        <is>
          <t>A 26094-2025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45805</v>
      </c>
      <c r="E136" s="1" t="n">
        <v>46316</v>
      </c>
      <c r="F136" t="inlineStr">
        <is>
          <t>GÄVLEBORGS LÄN</t>
        </is>
      </c>
      <c r="G136" t="inlineStr">
        <is>
          <t>GÄVLE</t>
        </is>
      </c>
      <c r="I136" t="n">
        <v>12.4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Gråsiska</t>
        </is>
      </c>
      <c r="W136">
        <f>HYPERLINK("https://klasma.github.io/Logging_2180/artfynd/A 26094-2025 artfynd.xlsx", "A 26094-2025")</f>
        <v/>
      </c>
      <c r="X136">
        <f>HYPERLINK("https://klasma.github.io/Logging_2180/kartor/A 26094-2025 karta.png", "A 26094-2025")</f>
        <v/>
      </c>
      <c r="Y136">
        <f>HYPERLINK("https://klasma.github.io/Logging_2180/kartor_geotiff/A 26094-2025 georefererad karta.tif", "A 26094-2025")</f>
        <v/>
      </c>
      <c r="AA136">
        <f>HYPERLINK("https://klasma.github.io/Logging_2180/klagomål/A 26094-2025 FSC-klagomål.docx", "A 26094-2025")</f>
        <v/>
      </c>
      <c r="AB136">
        <f>HYPERLINK("https://klasma.github.io/Logging_2180/klagomålsmail/A 26094-2025 FSC-klagomål mail.docx", "A 26094-2025")</f>
        <v/>
      </c>
      <c r="AC136">
        <f>HYPERLINK("https://klasma.github.io/Logging_2180/tillsyn/A 26094-2025 tillsynsbegäran.docx", "A 26094-2025")</f>
        <v/>
      </c>
      <c r="AD136">
        <f>HYPERLINK("https://klasma.github.io/Logging_2180/tillsynsmail/A 26094-2025 tillsynsbegäran mail.docx", "A 26094-2025")</f>
        <v/>
      </c>
    </row>
    <row r="137" ht="15" customHeight="1">
      <c r="A137" t="inlineStr">
        <is>
          <t>A 56123-2025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46316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10.5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Talltita</t>
        </is>
      </c>
      <c r="W137">
        <f>HYPERLINK("https://klasma.github.io/Logging_2180/artfynd/A 56123-2025 artfynd.xlsx", "A 56123-2025")</f>
        <v/>
      </c>
      <c r="X137">
        <f>HYPERLINK("https://klasma.github.io/Logging_2180/kartor/A 56123-2025 karta.png", "A 56123-2025")</f>
        <v/>
      </c>
      <c r="Y137">
        <f>HYPERLINK("https://klasma.github.io/Logging_2180/kartor_geotiff/A 56123-2025 georefererad karta.tif", "A 56123-2025")</f>
        <v/>
      </c>
      <c r="AA137">
        <f>HYPERLINK("https://klasma.github.io/Logging_2180/klagomål/A 56123-2025 FSC-klagomål.docx", "A 56123-2025")</f>
        <v/>
      </c>
      <c r="AB137">
        <f>HYPERLINK("https://klasma.github.io/Logging_2180/klagomålsmail/A 56123-2025 FSC-klagomål mail.docx", "A 56123-2025")</f>
        <v/>
      </c>
      <c r="AC137">
        <f>HYPERLINK("https://klasma.github.io/Logging_2180/tillsyn/A 56123-2025 tillsynsbegäran.docx", "A 56123-2025")</f>
        <v/>
      </c>
      <c r="AD137">
        <f>HYPERLINK("https://klasma.github.io/Logging_2180/tillsynsmail/A 56123-2025 tillsynsbegäran mail.docx", "A 56123-2025")</f>
        <v/>
      </c>
      <c r="AE137">
        <f>HYPERLINK("https://klasma.github.io/Logging_2180/fåglar/A 56123-2025 prioriterade fågelarter.docx", "A 56123-2025")</f>
        <v/>
      </c>
    </row>
    <row r="138" ht="15" customHeight="1">
      <c r="A138" t="inlineStr">
        <is>
          <t>A 35830-2026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46265</v>
      </c>
      <c r="E138" s="1" t="n">
        <v>46316</v>
      </c>
      <c r="F138" t="inlineStr">
        <is>
          <t>GÄVLEBORGS LÄN</t>
        </is>
      </c>
      <c r="G138" t="inlineStr">
        <is>
          <t>GÄVLE</t>
        </is>
      </c>
      <c r="I138" t="n">
        <v>1.4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Bredgentiana</t>
        </is>
      </c>
      <c r="W138">
        <f>HYPERLINK("https://klasma.github.io/Logging_2180/artfynd/A 35830-2026 artfynd.xlsx", "A 35830-2026")</f>
        <v/>
      </c>
      <c r="X138">
        <f>HYPERLINK("https://klasma.github.io/Logging_2180/kartor/A 35830-2026 karta.png", "A 35830-2026")</f>
        <v/>
      </c>
      <c r="Y138">
        <f>HYPERLINK("https://klasma.github.io/Logging_2180/kartor_geotiff/A 35830-2026 georefererad karta.tif", "A 35830-2026")</f>
        <v/>
      </c>
      <c r="AA138">
        <f>HYPERLINK("https://klasma.github.io/Logging_2180/klagomål/A 35830-2026 FSC-klagomål.docx", "A 35830-2026")</f>
        <v/>
      </c>
      <c r="AB138">
        <f>HYPERLINK("https://klasma.github.io/Logging_2180/klagomålsmail/A 35830-2026 FSC-klagomål mail.docx", "A 35830-2026")</f>
        <v/>
      </c>
      <c r="AC138">
        <f>HYPERLINK("https://klasma.github.io/Logging_2180/tillsyn/A 35830-2026 tillsynsbegäran.docx", "A 35830-2026")</f>
        <v/>
      </c>
      <c r="AD138">
        <f>HYPERLINK("https://klasma.github.io/Logging_2180/tillsynsmail/A 35830-2026 tillsynsbegäran mail.docx", "A 35830-2026")</f>
        <v/>
      </c>
    </row>
    <row r="139" ht="15" customHeight="1">
      <c r="A139" t="inlineStr">
        <is>
          <t>A 43068-2026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46311</v>
      </c>
      <c r="E139" s="1" t="n">
        <v>46316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5.9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Talltita</t>
        </is>
      </c>
      <c r="W139">
        <f>HYPERLINK("https://klasma.github.io/Logging_2180/artfynd/A 43068-2026 artfynd.xlsx", "A 43068-2026")</f>
        <v/>
      </c>
      <c r="X139">
        <f>HYPERLINK("https://klasma.github.io/Logging_2180/kartor/A 43068-2026 karta.png", "A 43068-2026")</f>
        <v/>
      </c>
      <c r="Y139">
        <f>HYPERLINK("https://klasma.github.io/Logging_2180/kartor_geotiff/A 43068-2026 georefererad karta.tif", "A 43068-2026")</f>
        <v/>
      </c>
      <c r="AA139">
        <f>HYPERLINK("https://klasma.github.io/Logging_2180/klagomål/A 43068-2026 FSC-klagomål.docx", "A 43068-2026")</f>
        <v/>
      </c>
      <c r="AB139">
        <f>HYPERLINK("https://klasma.github.io/Logging_2180/klagomålsmail/A 43068-2026 FSC-klagomål mail.docx", "A 43068-2026")</f>
        <v/>
      </c>
      <c r="AC139">
        <f>HYPERLINK("https://klasma.github.io/Logging_2180/tillsyn/A 43068-2026 tillsynsbegäran.docx", "A 43068-2026")</f>
        <v/>
      </c>
      <c r="AD139">
        <f>HYPERLINK("https://klasma.github.io/Logging_2180/tillsynsmail/A 43068-2026 tillsynsbegäran mail.docx", "A 43068-2026")</f>
        <v/>
      </c>
      <c r="AE139">
        <f>HYPERLINK("https://klasma.github.io/Logging_2180/fåglar/A 43068-2026 prioriterade fågelarter.docx", "A 43068-2026")</f>
        <v/>
      </c>
    </row>
    <row r="140" ht="15" customHeight="1">
      <c r="A140" t="inlineStr">
        <is>
          <t>A 37927-2022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46316</v>
      </c>
      <c r="F140" t="inlineStr">
        <is>
          <t>GÄVLEBORGS LÄN</t>
        </is>
      </c>
      <c r="G140" t="inlineStr">
        <is>
          <t>GÄVLE</t>
        </is>
      </c>
      <c r="I140" t="n">
        <v>1.6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10</v>
      </c>
      <c r="U140" t="n">
        <v>10</v>
      </c>
      <c r="V140" s="2" t="inlineStr">
        <is>
          <t>Knärot</t>
        </is>
      </c>
      <c r="W140">
        <f>HYPERLINK("https://klasma.github.io/Logging_2180/artfynd/A 37927-2022 artfynd.xlsx", "A 37927-2022")</f>
        <v/>
      </c>
      <c r="X140">
        <f>HYPERLINK("https://klasma.github.io/Logging_2180/kartor/A 37927-2022 karta.png", "A 37927-2022")</f>
        <v/>
      </c>
      <c r="Y140">
        <f>HYPERLINK("https://klasma.github.io/Logging_2180/kartor_geotiff/A 37927-2022 georefererad karta.tif", "A 37927-2022")</f>
        <v/>
      </c>
      <c r="Z140">
        <f>HYPERLINK("https://klasma.github.io/Logging_2180/knärot/A 37927-2022 karta knärot.png", "A 37927-2022")</f>
        <v/>
      </c>
      <c r="AA140">
        <f>HYPERLINK("https://klasma.github.io/Logging_2180/klagomål/A 37927-2022 FSC-klagomål.docx", "A 37927-2022")</f>
        <v/>
      </c>
      <c r="AB140">
        <f>HYPERLINK("https://klasma.github.io/Logging_2180/klagomålsmail/A 37927-2022 FSC-klagomål mail.docx", "A 37927-2022")</f>
        <v/>
      </c>
      <c r="AC140">
        <f>HYPERLINK("https://klasma.github.io/Logging_2180/tillsyn/A 37927-2022 tillsynsbegäran.docx", "A 37927-2022")</f>
        <v/>
      </c>
      <c r="AD140">
        <f>HYPERLINK("https://klasma.github.io/Logging_2180/tillsynsmail/A 37927-2022 tillsynsbegäran mail.docx", "A 37927-2022")</f>
        <v/>
      </c>
    </row>
    <row r="141" ht="15" customHeight="1">
      <c r="A141" t="inlineStr">
        <is>
          <t>A 36090-2026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46267</v>
      </c>
      <c r="E141" s="1" t="n">
        <v>46316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2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Tvåblad</t>
        </is>
      </c>
      <c r="W141">
        <f>HYPERLINK("https://klasma.github.io/Logging_2180/artfynd/A 36090-2026 artfynd.xlsx", "A 36090-2026")</f>
        <v/>
      </c>
      <c r="X141">
        <f>HYPERLINK("https://klasma.github.io/Logging_2180/kartor/A 36090-2026 karta.png", "A 36090-2026")</f>
        <v/>
      </c>
      <c r="Y141">
        <f>HYPERLINK("https://klasma.github.io/Logging_2180/kartor_geotiff/A 36090-2026 georefererad karta.tif", "A 36090-2026")</f>
        <v/>
      </c>
      <c r="AA141">
        <f>HYPERLINK("https://klasma.github.io/Logging_2180/klagomål/A 36090-2026 FSC-klagomål.docx", "A 36090-2026")</f>
        <v/>
      </c>
      <c r="AB141">
        <f>HYPERLINK("https://klasma.github.io/Logging_2180/klagomålsmail/A 36090-2026 FSC-klagomål mail.docx", "A 36090-2026")</f>
        <v/>
      </c>
      <c r="AC141">
        <f>HYPERLINK("https://klasma.github.io/Logging_2180/tillsyn/A 36090-2026 tillsynsbegäran.docx", "A 36090-2026")</f>
        <v/>
      </c>
      <c r="AD141">
        <f>HYPERLINK("https://klasma.github.io/Logging_2180/tillsynsmail/A 36090-2026 tillsynsbegäran mail.docx", "A 36090-2026")</f>
        <v/>
      </c>
    </row>
    <row r="142" ht="15" customHeight="1">
      <c r="A142" t="inlineStr">
        <is>
          <t>A 12083-2025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46316</v>
      </c>
      <c r="F142" t="inlineStr">
        <is>
          <t>GÄVLEBORGS LÄN</t>
        </is>
      </c>
      <c r="G142" t="inlineStr">
        <is>
          <t>GÄVLE</t>
        </is>
      </c>
      <c r="I142" t="n">
        <v>6.3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Grönsiska</t>
        </is>
      </c>
      <c r="W142">
        <f>HYPERLINK("https://klasma.github.io/Logging_2180/artfynd/A 12083-2025 artfynd.xlsx", "A 12083-2025")</f>
        <v/>
      </c>
      <c r="X142">
        <f>HYPERLINK("https://klasma.github.io/Logging_2180/kartor/A 12083-2025 karta.png", "A 12083-2025")</f>
        <v/>
      </c>
      <c r="Y142">
        <f>HYPERLINK("https://klasma.github.io/Logging_2180/kartor_geotiff/A 12083-2025 georefererad karta.tif", "A 12083-2025")</f>
        <v/>
      </c>
      <c r="AA142">
        <f>HYPERLINK("https://klasma.github.io/Logging_2180/klagomål/A 12083-2025 FSC-klagomål.docx", "A 12083-2025")</f>
        <v/>
      </c>
      <c r="AB142">
        <f>HYPERLINK("https://klasma.github.io/Logging_2180/klagomålsmail/A 12083-2025 FSC-klagomål mail.docx", "A 12083-2025")</f>
        <v/>
      </c>
      <c r="AC142">
        <f>HYPERLINK("https://klasma.github.io/Logging_2180/tillsyn/A 12083-2025 tillsynsbegäran.docx", "A 12083-2025")</f>
        <v/>
      </c>
      <c r="AD142">
        <f>HYPERLINK("https://klasma.github.io/Logging_2180/tillsynsmail/A 12083-2025 tillsynsbegäran mail.docx", "A 12083-2025")</f>
        <v/>
      </c>
    </row>
    <row r="143" ht="15" customHeight="1">
      <c r="A143" t="inlineStr">
        <is>
          <t>A 13227-2024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46316</v>
      </c>
      <c r="F143" t="inlineStr">
        <is>
          <t>GÄVLEBORGS LÄN</t>
        </is>
      </c>
      <c r="G143" t="inlineStr">
        <is>
          <t>GÄVLE</t>
        </is>
      </c>
      <c r="H143" t="inlineStr">
        <is>
          <t>Övriga statliga verk och myndigheter</t>
        </is>
      </c>
      <c r="I143" t="n">
        <v>5.9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Större vattensalamander</t>
        </is>
      </c>
      <c r="W143">
        <f>HYPERLINK("https://klasma.github.io/Logging_2180/artfynd/A 13227-2024 artfynd.xlsx", "A 13227-2024")</f>
        <v/>
      </c>
      <c r="X143">
        <f>HYPERLINK("https://klasma.github.io/Logging_2180/kartor/A 13227-2024 karta.png", "A 13227-2024")</f>
        <v/>
      </c>
      <c r="Y143">
        <f>HYPERLINK("https://klasma.github.io/Logging_2180/kartor_geotiff/A 13227-2024 georefererad karta.tif", "A 13227-2024")</f>
        <v/>
      </c>
      <c r="AA143">
        <f>HYPERLINK("https://klasma.github.io/Logging_2180/klagomål/A 13227-2024 FSC-klagomål.docx", "A 13227-2024")</f>
        <v/>
      </c>
      <c r="AB143">
        <f>HYPERLINK("https://klasma.github.io/Logging_2180/klagomålsmail/A 13227-2024 FSC-klagomål mail.docx", "A 13227-2024")</f>
        <v/>
      </c>
      <c r="AC143">
        <f>HYPERLINK("https://klasma.github.io/Logging_2180/tillsyn/A 13227-2024 tillsynsbegäran.docx", "A 13227-2024")</f>
        <v/>
      </c>
      <c r="AD143">
        <f>HYPERLINK("https://klasma.github.io/Logging_2180/tillsynsmail/A 13227-2024 tillsynsbegäran mail.docx", "A 13227-2024")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46316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46316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46316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20</v>
      </c>
      <c r="U146" t="n">
        <v>7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46316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28757-2022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46316</v>
      </c>
      <c r="F148" t="inlineStr">
        <is>
          <t>GÄVLEBORGS LÄN</t>
        </is>
      </c>
      <c r="G148" t="inlineStr">
        <is>
          <t>GÄVLE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44519</v>
      </c>
      <c r="E149" s="1" t="n">
        <v>46316</v>
      </c>
      <c r="F149" t="inlineStr">
        <is>
          <t>GÄVLEBORGS LÄN</t>
        </is>
      </c>
      <c r="G149" t="inlineStr">
        <is>
          <t>GÄVLE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46316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46316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46316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46316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46316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46316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46316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46316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46316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46316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46316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46316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46316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46316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46316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46316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44735</v>
      </c>
      <c r="E166" s="1" t="n">
        <v>46316</v>
      </c>
      <c r="F166" t="inlineStr">
        <is>
          <t>GÄVLEBORGS LÄN</t>
        </is>
      </c>
      <c r="G166" t="inlineStr">
        <is>
          <t>GÄVLE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46316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46316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46316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46316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46316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46316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46316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46316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46316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46316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46316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46316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46316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46316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59515-2021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44491</v>
      </c>
      <c r="E181" s="1" t="n">
        <v>46316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46316</v>
      </c>
      <c r="F182" t="inlineStr">
        <is>
          <t>GÄVLEBORGS LÄN</t>
        </is>
      </c>
      <c r="G182" t="inlineStr">
        <is>
          <t>GÄVLE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44889</v>
      </c>
      <c r="E183" s="1" t="n">
        <v>46316</v>
      </c>
      <c r="F183" t="inlineStr">
        <is>
          <t>GÄVLEBORGS LÄN</t>
        </is>
      </c>
      <c r="G183" t="inlineStr">
        <is>
          <t>GÄVLE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46316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45014</v>
      </c>
      <c r="E185" s="1" t="n">
        <v>46316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45454</v>
      </c>
      <c r="E186" s="1" t="n">
        <v>46316</v>
      </c>
      <c r="F186" t="inlineStr">
        <is>
          <t>GÄVLEBORGS LÄN</t>
        </is>
      </c>
      <c r="G186" t="inlineStr">
        <is>
          <t>GÄVLE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46316</v>
      </c>
      <c r="F187" t="inlineStr">
        <is>
          <t>GÄVLEBORGS LÄN</t>
        </is>
      </c>
      <c r="G187" t="inlineStr">
        <is>
          <t>GÄVLE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46316</v>
      </c>
      <c r="F188" t="inlineStr">
        <is>
          <t>GÄVLEBORGS LÄN</t>
        </is>
      </c>
      <c r="G188" t="inlineStr">
        <is>
          <t>GÄVLE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46316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väst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46316</v>
      </c>
      <c r="F190" t="inlineStr">
        <is>
          <t>GÄVLEBORGS LÄN</t>
        </is>
      </c>
      <c r="G190" t="inlineStr">
        <is>
          <t>GÄVLE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46316</v>
      </c>
      <c r="F191" t="inlineStr">
        <is>
          <t>GÄVLEBORGS LÄN</t>
        </is>
      </c>
      <c r="G191" t="inlineStr">
        <is>
          <t>GÄVLE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44637</v>
      </c>
      <c r="E192" s="1" t="n">
        <v>46316</v>
      </c>
      <c r="F192" t="inlineStr">
        <is>
          <t>GÄVLEBORGS LÄN</t>
        </is>
      </c>
      <c r="G192" t="inlineStr">
        <is>
          <t>GÄVLE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44656</v>
      </c>
      <c r="E193" s="1" t="n">
        <v>46316</v>
      </c>
      <c r="F193" t="inlineStr">
        <is>
          <t>GÄVLEBORGS LÄN</t>
        </is>
      </c>
      <c r="G193" t="inlineStr">
        <is>
          <t>GÄVLE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46316</v>
      </c>
      <c r="F194" t="inlineStr">
        <is>
          <t>GÄVLEBORGS LÄN</t>
        </is>
      </c>
      <c r="G194" t="inlineStr">
        <is>
          <t>GÄVLE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46316</v>
      </c>
      <c r="F195" t="inlineStr">
        <is>
          <t>GÄVLEBORGS LÄN</t>
        </is>
      </c>
      <c r="G195" t="inlineStr">
        <is>
          <t>GÄVLE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46316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46316</v>
      </c>
      <c r="F197" t="inlineStr">
        <is>
          <t>GÄVLEBORGS LÄN</t>
        </is>
      </c>
      <c r="G197" t="inlineStr">
        <is>
          <t>GÄVLE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45158</v>
      </c>
      <c r="E198" s="1" t="n">
        <v>46316</v>
      </c>
      <c r="F198" t="inlineStr">
        <is>
          <t>GÄVLEBORGS LÄN</t>
        </is>
      </c>
      <c r="G198" t="inlineStr">
        <is>
          <t>GÄVLE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46316</v>
      </c>
      <c r="F199" t="inlineStr">
        <is>
          <t>GÄVLEBORGS LÄN</t>
        </is>
      </c>
      <c r="G199" t="inlineStr">
        <is>
          <t>GÄVLE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46316</v>
      </c>
      <c r="F200" t="inlineStr">
        <is>
          <t>GÄVLEBORGS LÄN</t>
        </is>
      </c>
      <c r="G200" t="inlineStr">
        <is>
          <t>GÄVLE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46316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46316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46316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46316</v>
      </c>
      <c r="F204" t="inlineStr">
        <is>
          <t>GÄVLEBORGS LÄN</t>
        </is>
      </c>
      <c r="G204" t="inlineStr">
        <is>
          <t>GÄVLE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45791</v>
      </c>
      <c r="E205" s="1" t="n">
        <v>46316</v>
      </c>
      <c r="F205" t="inlineStr">
        <is>
          <t>GÄVLEBORGS LÄN</t>
        </is>
      </c>
      <c r="G205" t="inlineStr">
        <is>
          <t>GÄVLE</t>
        </is>
      </c>
      <c r="I205" t="n">
        <v>10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22879-2025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45790</v>
      </c>
      <c r="E206" s="1" t="n">
        <v>46316</v>
      </c>
      <c r="F206" t="inlineStr">
        <is>
          <t>GÄVLEBORGS LÄN</t>
        </is>
      </c>
      <c r="G206" t="inlineStr">
        <is>
          <t>GÄVLE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44840</v>
      </c>
      <c r="E207" s="1" t="n">
        <v>46316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45791</v>
      </c>
      <c r="E208" s="1" t="n">
        <v>46316</v>
      </c>
      <c r="F208" t="inlineStr">
        <is>
          <t>GÄVLEBORGS LÄN</t>
        </is>
      </c>
      <c r="G208" t="inlineStr">
        <is>
          <t>GÄVLE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46002</v>
      </c>
      <c r="E209" s="1" t="n">
        <v>46316</v>
      </c>
      <c r="F209" t="inlineStr">
        <is>
          <t>GÄVLEBORGS LÄN</t>
        </is>
      </c>
      <c r="G209" t="inlineStr">
        <is>
          <t>GÄVLE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45104</v>
      </c>
      <c r="E210" s="1" t="n">
        <v>46316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44862</v>
      </c>
      <c r="E211" s="1" t="n">
        <v>46316</v>
      </c>
      <c r="F211" t="inlineStr">
        <is>
          <t>GÄVLEBORGS LÄN</t>
        </is>
      </c>
      <c r="G211" t="inlineStr">
        <is>
          <t>GÄVLE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46002</v>
      </c>
      <c r="E212" s="1" t="n">
        <v>46316</v>
      </c>
      <c r="F212" t="inlineStr">
        <is>
          <t>GÄVLEBORGS LÄN</t>
        </is>
      </c>
      <c r="G212" t="inlineStr">
        <is>
          <t>GÄVLE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46316</v>
      </c>
      <c r="F213" t="inlineStr">
        <is>
          <t>GÄVLEBORGS LÄN</t>
        </is>
      </c>
      <c r="G213" t="inlineStr">
        <is>
          <t>GÄVLE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22923-2025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45790</v>
      </c>
      <c r="E214" s="1" t="n">
        <v>46316</v>
      </c>
      <c r="F214" t="inlineStr">
        <is>
          <t>GÄVLEBORGS LÄN</t>
        </is>
      </c>
      <c r="G214" t="inlineStr">
        <is>
          <t>GÄVLE</t>
        </is>
      </c>
      <c r="I214" t="n">
        <v>20.8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45660</v>
      </c>
      <c r="E215" s="1" t="n">
        <v>46316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45797</v>
      </c>
      <c r="E216" s="1" t="n">
        <v>46316</v>
      </c>
      <c r="F216" t="inlineStr">
        <is>
          <t>GÄVLEBORGS LÄN</t>
        </is>
      </c>
      <c r="G216" t="inlineStr">
        <is>
          <t>GÄVLE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46316</v>
      </c>
      <c r="F217" t="inlineStr">
        <is>
          <t>GÄVLEBORGS LÄN</t>
        </is>
      </c>
      <c r="G217" t="inlineStr">
        <is>
          <t>GÄVLE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46316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öst AB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45797</v>
      </c>
      <c r="E219" s="1" t="n">
        <v>46316</v>
      </c>
      <c r="F219" t="inlineStr">
        <is>
          <t>GÄVLEBORGS LÄN</t>
        </is>
      </c>
      <c r="G219" t="inlineStr">
        <is>
          <t>GÄVLE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46316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46316</v>
      </c>
      <c r="F221" t="inlineStr">
        <is>
          <t>GÄVLEBORGS LÄN</t>
        </is>
      </c>
      <c r="G221" t="inlineStr">
        <is>
          <t>GÄVLE</t>
        </is>
      </c>
      <c r="I221" t="n">
        <v>13.1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45505</v>
      </c>
      <c r="E222" s="1" t="n">
        <v>46316</v>
      </c>
      <c r="F222" t="inlineStr">
        <is>
          <t>GÄVLEBORGS LÄN</t>
        </is>
      </c>
      <c r="G222" t="inlineStr">
        <is>
          <t>GÄVLE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46316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2400-2023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44942</v>
      </c>
      <c r="E224" s="1" t="n">
        <v>46316</v>
      </c>
      <c r="F224" t="inlineStr">
        <is>
          <t>GÄVLEBORGS LÄN</t>
        </is>
      </c>
      <c r="G224" t="inlineStr">
        <is>
          <t>GÄVLE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46008</v>
      </c>
      <c r="E225" s="1" t="n">
        <v>46316</v>
      </c>
      <c r="F225" t="inlineStr">
        <is>
          <t>GÄVLEBORGS LÄN</t>
        </is>
      </c>
      <c r="G225" t="inlineStr">
        <is>
          <t>GÄVLE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26564-2022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44739</v>
      </c>
      <c r="E226" s="1" t="n">
        <v>46316</v>
      </c>
      <c r="F226" t="inlineStr">
        <is>
          <t>GÄVLEBORGS LÄN</t>
        </is>
      </c>
      <c r="G226" t="inlineStr">
        <is>
          <t>GÄVLE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46316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19095-2022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44691</v>
      </c>
      <c r="E228" s="1" t="n">
        <v>46316</v>
      </c>
      <c r="F228" t="inlineStr">
        <is>
          <t>GÄVLEBORGS LÄN</t>
        </is>
      </c>
      <c r="G228" t="inlineStr">
        <is>
          <t>GÄVLE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45804</v>
      </c>
      <c r="E229" s="1" t="n">
        <v>46316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46316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45855</v>
      </c>
      <c r="E231" s="1" t="n">
        <v>46316</v>
      </c>
      <c r="F231" t="inlineStr">
        <is>
          <t>GÄVLEBORGS LÄN</t>
        </is>
      </c>
      <c r="G231" t="inlineStr">
        <is>
          <t>GÄVLE</t>
        </is>
      </c>
      <c r="I231" t="n">
        <v>8.199999999999999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46019</v>
      </c>
      <c r="E232" s="1" t="n">
        <v>46316</v>
      </c>
      <c r="F232" t="inlineStr">
        <is>
          <t>GÄVLEBORGS LÄN</t>
        </is>
      </c>
      <c r="G232" t="inlineStr">
        <is>
          <t>GÄVLE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46316</v>
      </c>
      <c r="F233" t="inlineStr">
        <is>
          <t>GÄVLEBORGS LÄN</t>
        </is>
      </c>
      <c r="G233" t="inlineStr">
        <is>
          <t>GÄVLE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46316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46316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40297-2025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45895</v>
      </c>
      <c r="E236" s="1" t="n">
        <v>46316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46316</v>
      </c>
      <c r="F237" t="inlineStr">
        <is>
          <t>GÄVLEBORGS LÄN</t>
        </is>
      </c>
      <c r="G237" t="inlineStr">
        <is>
          <t>GÄVLE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46316</v>
      </c>
      <c r="F238" t="inlineStr">
        <is>
          <t>GÄVLEBORGS LÄN</t>
        </is>
      </c>
      <c r="G238" t="inlineStr">
        <is>
          <t>GÄVLE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45184</v>
      </c>
      <c r="E239" s="1" t="n">
        <v>46316</v>
      </c>
      <c r="F239" t="inlineStr">
        <is>
          <t>GÄVLEBORGS LÄN</t>
        </is>
      </c>
      <c r="G239" t="inlineStr">
        <is>
          <t>GÄVLE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46019</v>
      </c>
      <c r="E240" s="1" t="n">
        <v>46316</v>
      </c>
      <c r="F240" t="inlineStr">
        <is>
          <t>GÄVLEBORGS LÄN</t>
        </is>
      </c>
      <c r="G240" t="inlineStr">
        <is>
          <t>GÄVLE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45908</v>
      </c>
      <c r="E241" s="1" t="n">
        <v>46316</v>
      </c>
      <c r="F241" t="inlineStr">
        <is>
          <t>GÄVLEBORGS LÄN</t>
        </is>
      </c>
      <c r="G241" t="inlineStr">
        <is>
          <t>GÄVLE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46316</v>
      </c>
      <c r="F242" t="inlineStr">
        <is>
          <t>GÄVLEBORGS LÄN</t>
        </is>
      </c>
      <c r="G242" t="inlineStr">
        <is>
          <t>GÄVLE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46316</v>
      </c>
      <c r="F243" t="inlineStr">
        <is>
          <t>GÄVLEBORGS LÄN</t>
        </is>
      </c>
      <c r="G243" t="inlineStr">
        <is>
          <t>GÄVLE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46316</v>
      </c>
      <c r="F244" t="inlineStr">
        <is>
          <t>GÄVLEBORGS LÄN</t>
        </is>
      </c>
      <c r="G244" t="inlineStr">
        <is>
          <t>GÄVLE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42692-2025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45908</v>
      </c>
      <c r="E245" s="1" t="n">
        <v>46316</v>
      </c>
      <c r="F245" t="inlineStr">
        <is>
          <t>GÄVLEBORGS LÄN</t>
        </is>
      </c>
      <c r="G245" t="inlineStr">
        <is>
          <t>GÄVLE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46316</v>
      </c>
      <c r="F246" t="inlineStr">
        <is>
          <t>GÄVLEBORGS LÄN</t>
        </is>
      </c>
      <c r="G246" t="inlineStr">
        <is>
          <t>GÄVLE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46316</v>
      </c>
      <c r="F247" t="inlineStr">
        <is>
          <t>GÄVLEBORGS LÄN</t>
        </is>
      </c>
      <c r="G247" t="inlineStr">
        <is>
          <t>GÄVLE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46022</v>
      </c>
      <c r="E248" s="1" t="n">
        <v>46316</v>
      </c>
      <c r="F248" t="inlineStr">
        <is>
          <t>GÄVLEBORGS LÄN</t>
        </is>
      </c>
      <c r="G248" t="inlineStr">
        <is>
          <t>GÄVLE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46316</v>
      </c>
      <c r="F249" t="inlineStr">
        <is>
          <t>GÄVLEBORGS LÄN</t>
        </is>
      </c>
      <c r="G249" t="inlineStr">
        <is>
          <t>GÄVLE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45882</v>
      </c>
      <c r="E250" s="1" t="n">
        <v>46316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46316</v>
      </c>
      <c r="F251" t="inlineStr">
        <is>
          <t>GÄVLEBORGS LÄN</t>
        </is>
      </c>
      <c r="G251" t="inlineStr">
        <is>
          <t>GÄVLE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46316</v>
      </c>
      <c r="F252" t="inlineStr">
        <is>
          <t>GÄVLEBORGS LÄN</t>
        </is>
      </c>
      <c r="G252" t="inlineStr">
        <is>
          <t>GÄVLE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46316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45813</v>
      </c>
      <c r="E254" s="1" t="n">
        <v>46316</v>
      </c>
      <c r="F254" t="inlineStr">
        <is>
          <t>GÄVLEBORGS LÄN</t>
        </is>
      </c>
      <c r="G254" t="inlineStr">
        <is>
          <t>GÄVLE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29923-2022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44756</v>
      </c>
      <c r="E255" s="1" t="n">
        <v>46316</v>
      </c>
      <c r="F255" t="inlineStr">
        <is>
          <t>GÄVLEBORGS LÄN</t>
        </is>
      </c>
      <c r="G255" t="inlineStr">
        <is>
          <t>GÄVLE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44756</v>
      </c>
      <c r="E256" s="1" t="n">
        <v>46316</v>
      </c>
      <c r="F256" t="inlineStr">
        <is>
          <t>GÄVLEBORGS LÄN</t>
        </is>
      </c>
      <c r="G256" t="inlineStr">
        <is>
          <t>GÄVLE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46316</v>
      </c>
      <c r="F257" t="inlineStr">
        <is>
          <t>GÄVLEBORGS LÄN</t>
        </is>
      </c>
      <c r="G257" t="inlineStr">
        <is>
          <t>GÄVLE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46316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46316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46316</v>
      </c>
      <c r="F260" t="inlineStr">
        <is>
          <t>GÄVLEBORGS LÄN</t>
        </is>
      </c>
      <c r="G260" t="inlineStr">
        <is>
          <t>GÄVLE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46316</v>
      </c>
      <c r="F261" t="inlineStr">
        <is>
          <t>GÄVLEBORGS LÄN</t>
        </is>
      </c>
      <c r="G261" t="inlineStr">
        <is>
          <t>GÄVLE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46316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46316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46316</v>
      </c>
      <c r="F264" t="inlineStr">
        <is>
          <t>GÄVLEBORGS LÄN</t>
        </is>
      </c>
      <c r="G264" t="inlineStr">
        <is>
          <t>GÄVLE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46316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46316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46316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45485</v>
      </c>
      <c r="E268" s="1" t="n">
        <v>46316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46316</v>
      </c>
      <c r="F269" t="inlineStr">
        <is>
          <t>GÄVLEBORGS LÄN</t>
        </is>
      </c>
      <c r="G269" t="inlineStr">
        <is>
          <t>GÄVLE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46316</v>
      </c>
      <c r="F270" t="inlineStr">
        <is>
          <t>GÄVLEBORGS LÄN</t>
        </is>
      </c>
      <c r="G270" t="inlineStr">
        <is>
          <t>GÄVLE</t>
        </is>
      </c>
      <c r="I270" t="n">
        <v>13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46316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46316</v>
      </c>
      <c r="F272" t="inlineStr">
        <is>
          <t>GÄVLEBORGS LÄN</t>
        </is>
      </c>
      <c r="G272" t="inlineStr">
        <is>
          <t>GÄVLE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45905</v>
      </c>
      <c r="E273" s="1" t="n">
        <v>46316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45125</v>
      </c>
      <c r="E274" s="1" t="n">
        <v>46316</v>
      </c>
      <c r="F274" t="inlineStr">
        <is>
          <t>GÄVLEBORGS LÄN</t>
        </is>
      </c>
      <c r="G274" t="inlineStr">
        <is>
          <t>GÄVLE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46316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46316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46316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46316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46041</v>
      </c>
      <c r="E279" s="1" t="n">
        <v>46316</v>
      </c>
      <c r="F279" t="inlineStr">
        <is>
          <t>GÄVLEBORGS LÄN</t>
        </is>
      </c>
      <c r="G279" t="inlineStr">
        <is>
          <t>GÄVLE</t>
        </is>
      </c>
      <c r="I279" t="n">
        <v>9.699999999999999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71249-2021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44539</v>
      </c>
      <c r="E280" s="1" t="n">
        <v>46316</v>
      </c>
      <c r="F280" t="inlineStr">
        <is>
          <t>GÄVLEBORGS LÄN</t>
        </is>
      </c>
      <c r="G280" t="inlineStr">
        <is>
          <t>GÄVLE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45911</v>
      </c>
      <c r="E281" s="1" t="n">
        <v>46316</v>
      </c>
      <c r="F281" t="inlineStr">
        <is>
          <t>GÄVLEBORGS LÄN</t>
        </is>
      </c>
      <c r="G281" t="inlineStr">
        <is>
          <t>GÄVLE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42907-2025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46316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46316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44060-2025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46316</v>
      </c>
      <c r="F284" t="inlineStr">
        <is>
          <t>GÄVLEBORGS LÄN</t>
        </is>
      </c>
      <c r="G284" t="inlineStr">
        <is>
          <t>GÄVLE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46316</v>
      </c>
      <c r="F285" t="inlineStr">
        <is>
          <t>GÄVLEBORGS LÄN</t>
        </is>
      </c>
      <c r="G285" t="inlineStr">
        <is>
          <t>GÄVLE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50871-2022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44867</v>
      </c>
      <c r="E286" s="1" t="n">
        <v>46316</v>
      </c>
      <c r="F286" t="inlineStr">
        <is>
          <t>GÄVLEBORGS LÄN</t>
        </is>
      </c>
      <c r="G286" t="inlineStr">
        <is>
          <t>GÄVLE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19424-2022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44693</v>
      </c>
      <c r="E287" s="1" t="n">
        <v>46316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46316</v>
      </c>
      <c r="F288" t="inlineStr">
        <is>
          <t>GÄVLEBORGS LÄN</t>
        </is>
      </c>
      <c r="G288" t="inlineStr">
        <is>
          <t>GÄVLE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45850-2025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45923</v>
      </c>
      <c r="E289" s="1" t="n">
        <v>46316</v>
      </c>
      <c r="F289" t="inlineStr">
        <is>
          <t>GÄVLEBORGS LÄN</t>
        </is>
      </c>
      <c r="G289" t="inlineStr">
        <is>
          <t>GÄVLE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46316</v>
      </c>
      <c r="F290" t="inlineStr">
        <is>
          <t>GÄVLEBORGS LÄN</t>
        </is>
      </c>
      <c r="G290" t="inlineStr">
        <is>
          <t>GÄVLE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45632</v>
      </c>
      <c r="E291" s="1" t="n">
        <v>46316</v>
      </c>
      <c r="F291" t="inlineStr">
        <is>
          <t>GÄVLEBORGS LÄN</t>
        </is>
      </c>
      <c r="G291" t="inlineStr">
        <is>
          <t>GÄVLE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46316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38558-2023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46316</v>
      </c>
      <c r="F293" t="inlineStr">
        <is>
          <t>GÄVLEBORGS LÄN</t>
        </is>
      </c>
      <c r="G293" t="inlineStr">
        <is>
          <t>GÄVLE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45719</v>
      </c>
      <c r="E294" s="1" t="n">
        <v>46316</v>
      </c>
      <c r="F294" t="inlineStr">
        <is>
          <t>GÄVLEBORGS LÄN</t>
        </is>
      </c>
      <c r="G294" t="inlineStr">
        <is>
          <t>GÄVLE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46316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46316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46316</v>
      </c>
      <c r="F297" t="inlineStr">
        <is>
          <t>GÄVLEBORGS LÄN</t>
        </is>
      </c>
      <c r="G297" t="inlineStr">
        <is>
          <t>GÄVLE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46316</v>
      </c>
      <c r="F298" t="inlineStr">
        <is>
          <t>GÄVLEBORGS LÄN</t>
        </is>
      </c>
      <c r="G298" t="inlineStr">
        <is>
          <t>GÄVLE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46316</v>
      </c>
      <c r="F299" t="inlineStr">
        <is>
          <t>GÄVLEBORGS LÄN</t>
        </is>
      </c>
      <c r="G299" t="inlineStr">
        <is>
          <t>GÄVLE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46316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46316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46316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46316</v>
      </c>
      <c r="F303" t="inlineStr">
        <is>
          <t>GÄVLEBORGS LÄN</t>
        </is>
      </c>
      <c r="G303" t="inlineStr">
        <is>
          <t>GÄVLE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46316</v>
      </c>
      <c r="F304" t="inlineStr">
        <is>
          <t>GÄVLEBORGS LÄN</t>
        </is>
      </c>
      <c r="G304" t="inlineStr">
        <is>
          <t>GÄVLE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45540</v>
      </c>
      <c r="E305" s="1" t="n">
        <v>46316</v>
      </c>
      <c r="F305" t="inlineStr">
        <is>
          <t>GÄVLEBORGS LÄN</t>
        </is>
      </c>
      <c r="G305" t="inlineStr">
        <is>
          <t>GÄVLE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46552-2025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45926</v>
      </c>
      <c r="E306" s="1" t="n">
        <v>46316</v>
      </c>
      <c r="F306" t="inlineStr">
        <is>
          <t>GÄVLEBORGS LÄN</t>
        </is>
      </c>
      <c r="G306" t="inlineStr">
        <is>
          <t>GÄVLE</t>
        </is>
      </c>
      <c r="H306" t="inlineStr">
        <is>
          <t>Kyrkan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46063</v>
      </c>
      <c r="E307" s="1" t="n">
        <v>46316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44733</v>
      </c>
      <c r="E308" s="1" t="n">
        <v>46316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46062</v>
      </c>
      <c r="E309" s="1" t="n">
        <v>46316</v>
      </c>
      <c r="F309" t="inlineStr">
        <is>
          <t>GÄVLEBORGS LÄN</t>
        </is>
      </c>
      <c r="G309" t="inlineStr">
        <is>
          <t>GÄVLE</t>
        </is>
      </c>
      <c r="H309" t="inlineStr">
        <is>
          <t>Kyrkan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46316</v>
      </c>
      <c r="F310" t="inlineStr">
        <is>
          <t>GÄVLEBORGS LÄN</t>
        </is>
      </c>
      <c r="G310" t="inlineStr">
        <is>
          <t>GÄVLE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46316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46316</v>
      </c>
      <c r="F312" t="inlineStr">
        <is>
          <t>GÄVLEBORGS LÄN</t>
        </is>
      </c>
      <c r="G312" t="inlineStr">
        <is>
          <t>GÄVLE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46316</v>
      </c>
      <c r="F313" t="inlineStr">
        <is>
          <t>GÄVLEBORGS LÄN</t>
        </is>
      </c>
      <c r="G313" t="inlineStr">
        <is>
          <t>GÄVLE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46316</v>
      </c>
      <c r="F314" t="inlineStr">
        <is>
          <t>GÄVLEBORGS LÄN</t>
        </is>
      </c>
      <c r="G314" t="inlineStr">
        <is>
          <t>GÄVLE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45652</v>
      </c>
      <c r="E315" s="1" t="n">
        <v>46316</v>
      </c>
      <c r="F315" t="inlineStr">
        <is>
          <t>GÄVLEBORGS LÄN</t>
        </is>
      </c>
      <c r="G315" t="inlineStr">
        <is>
          <t>GÄVLE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45475</v>
      </c>
      <c r="E316" s="1" t="n">
        <v>46316</v>
      </c>
      <c r="F316" t="inlineStr">
        <is>
          <t>GÄVLEBORGS LÄN</t>
        </is>
      </c>
      <c r="G316" t="inlineStr">
        <is>
          <t>GÄVLE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46316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46316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46065</v>
      </c>
      <c r="E319" s="1" t="n">
        <v>46316</v>
      </c>
      <c r="F319" t="inlineStr">
        <is>
          <t>GÄVLEBORGS LÄN</t>
        </is>
      </c>
      <c r="G319" t="inlineStr">
        <is>
          <t>GÄVLE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44823</v>
      </c>
      <c r="E320" s="1" t="n">
        <v>46316</v>
      </c>
      <c r="F320" t="inlineStr">
        <is>
          <t>GÄVLEBORGS LÄN</t>
        </is>
      </c>
      <c r="G320" t="inlineStr">
        <is>
          <t>GÄVLE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46316</v>
      </c>
      <c r="F321" t="inlineStr">
        <is>
          <t>GÄVLEBORGS LÄN</t>
        </is>
      </c>
      <c r="G321" t="inlineStr">
        <is>
          <t>GÄVLE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46316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10577-2023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44988</v>
      </c>
      <c r="E323" s="1" t="n">
        <v>46316</v>
      </c>
      <c r="F323" t="inlineStr">
        <is>
          <t>GÄVLEBORGS LÄN</t>
        </is>
      </c>
      <c r="G323" t="inlineStr">
        <is>
          <t>GÄVLE</t>
        </is>
      </c>
      <c r="H323" t="inlineStr">
        <is>
          <t>Kyrkan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46316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46316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46316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45030</v>
      </c>
      <c r="E327" s="1" t="n">
        <v>46316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45827</v>
      </c>
      <c r="E328" s="1" t="n">
        <v>46316</v>
      </c>
      <c r="F328" t="inlineStr">
        <is>
          <t>GÄVLEBORGS LÄN</t>
        </is>
      </c>
      <c r="G328" t="inlineStr">
        <is>
          <t>GÄVLE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46316</v>
      </c>
      <c r="F329" t="inlineStr">
        <is>
          <t>GÄVLEBORGS LÄN</t>
        </is>
      </c>
      <c r="G329" t="inlineStr">
        <is>
          <t>GÄVLE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47994-2025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45932</v>
      </c>
      <c r="E330" s="1" t="n">
        <v>46316</v>
      </c>
      <c r="F330" t="inlineStr">
        <is>
          <t>GÄVLEBORGS LÄN</t>
        </is>
      </c>
      <c r="G330" t="inlineStr">
        <is>
          <t>GÄVLE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30202-2025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45827</v>
      </c>
      <c r="E331" s="1" t="n">
        <v>46316</v>
      </c>
      <c r="F331" t="inlineStr">
        <is>
          <t>GÄVLEBORGS LÄN</t>
        </is>
      </c>
      <c r="G331" t="inlineStr">
        <is>
          <t>GÄVLE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46316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46316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9779-2026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46072</v>
      </c>
      <c r="E334" s="1" t="n">
        <v>46316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46316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45726</v>
      </c>
      <c r="E336" s="1" t="n">
        <v>46316</v>
      </c>
      <c r="F336" t="inlineStr">
        <is>
          <t>GÄVLEBORGS LÄN</t>
        </is>
      </c>
      <c r="G336" t="inlineStr">
        <is>
          <t>GÄVLE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46316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44589</v>
      </c>
      <c r="E338" s="1" t="n">
        <v>46316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10257-2026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46316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49384-2025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46316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46316</v>
      </c>
      <c r="F341" t="inlineStr">
        <is>
          <t>GÄVLEBORGS LÄN</t>
        </is>
      </c>
      <c r="G341" t="inlineStr">
        <is>
          <t>GÄVLE</t>
        </is>
      </c>
      <c r="H341" t="inlineStr">
        <is>
          <t>Kyrkan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46316</v>
      </c>
      <c r="F342" t="inlineStr">
        <is>
          <t>GÄVLEBORGS LÄN</t>
        </is>
      </c>
      <c r="G342" t="inlineStr">
        <is>
          <t>GÄVLE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10504-2026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46077</v>
      </c>
      <c r="E343" s="1" t="n">
        <v>46316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46316</v>
      </c>
      <c r="F344" t="inlineStr">
        <is>
          <t>GÄVLEBORGS LÄN</t>
        </is>
      </c>
      <c r="G344" t="inlineStr">
        <is>
          <t>GÄVLE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45146</v>
      </c>
      <c r="E345" s="1" t="n">
        <v>46316</v>
      </c>
      <c r="F345" t="inlineStr">
        <is>
          <t>GÄVLEBORGS LÄN</t>
        </is>
      </c>
      <c r="G345" t="inlineStr">
        <is>
          <t>GÄVLE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46079</v>
      </c>
      <c r="E346" s="1" t="n">
        <v>46316</v>
      </c>
      <c r="F346" t="inlineStr">
        <is>
          <t>GÄVLEBORGS LÄN</t>
        </is>
      </c>
      <c r="G346" t="inlineStr">
        <is>
          <t>GÄVLE</t>
        </is>
      </c>
      <c r="H346" t="inlineStr">
        <is>
          <t>Kommuner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45468</v>
      </c>
      <c r="E347" s="1" t="n">
        <v>46316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49842-2025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45940</v>
      </c>
      <c r="E348" s="1" t="n">
        <v>46316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14563-2025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45741</v>
      </c>
      <c r="E349" s="1" t="n">
        <v>46316</v>
      </c>
      <c r="F349" t="inlineStr">
        <is>
          <t>GÄVLEBORGS LÄN</t>
        </is>
      </c>
      <c r="G349" t="inlineStr">
        <is>
          <t>GÄVLE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35206-2024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45530</v>
      </c>
      <c r="E350" s="1" t="n">
        <v>46316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45943</v>
      </c>
      <c r="E351" s="1" t="n">
        <v>46316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46083</v>
      </c>
      <c r="E352" s="1" t="n">
        <v>46316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45944</v>
      </c>
      <c r="E353" s="1" t="n">
        <v>46316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46316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46085</v>
      </c>
      <c r="E355" s="1" t="n">
        <v>46316</v>
      </c>
      <c r="F355" t="inlineStr">
        <is>
          <t>GÄVLEBORGS LÄN</t>
        </is>
      </c>
      <c r="G355" t="inlineStr">
        <is>
          <t>GÄVLE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45817</v>
      </c>
      <c r="E356" s="1" t="n">
        <v>46316</v>
      </c>
      <c r="F356" t="inlineStr">
        <is>
          <t>GÄVLEBORGS LÄN</t>
        </is>
      </c>
      <c r="G356" t="inlineStr">
        <is>
          <t>GÄVLE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45324</v>
      </c>
      <c r="E357" s="1" t="n">
        <v>46316</v>
      </c>
      <c r="F357" t="inlineStr">
        <is>
          <t>GÄVLEBORGS LÄN</t>
        </is>
      </c>
      <c r="G357" t="inlineStr">
        <is>
          <t>GÄVLE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45672</v>
      </c>
      <c r="E358" s="1" t="n">
        <v>46316</v>
      </c>
      <c r="F358" t="inlineStr">
        <is>
          <t>GÄVLEBORGS LÄN</t>
        </is>
      </c>
      <c r="G358" t="inlineStr">
        <is>
          <t>GÄVLE</t>
        </is>
      </c>
      <c r="H358" t="inlineStr">
        <is>
          <t>Kyrkan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60885-2023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45261</v>
      </c>
      <c r="E359" s="1" t="n">
        <v>46316</v>
      </c>
      <c r="F359" t="inlineStr">
        <is>
          <t>GÄVLEBORGS LÄN</t>
        </is>
      </c>
      <c r="G359" t="inlineStr">
        <is>
          <t>GÄVLE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46316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12952-2026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46316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46316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46316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46316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46316</v>
      </c>
      <c r="F365" t="inlineStr">
        <is>
          <t>GÄVLEBORGS LÄN</t>
        </is>
      </c>
      <c r="G365" t="inlineStr">
        <is>
          <t>GÄVLE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45827</v>
      </c>
      <c r="E366" s="1" t="n">
        <v>46316</v>
      </c>
      <c r="F366" t="inlineStr">
        <is>
          <t>GÄVLEBORGS LÄN</t>
        </is>
      </c>
      <c r="G366" t="inlineStr">
        <is>
          <t>GÄVLE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46316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46316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46316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13432-2026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46316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10.2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46316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46316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51893-2025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45952</v>
      </c>
      <c r="E373" s="1" t="n">
        <v>46316</v>
      </c>
      <c r="F373" t="inlineStr">
        <is>
          <t>GÄVLEBORGS LÄN</t>
        </is>
      </c>
      <c r="G373" t="inlineStr">
        <is>
          <t>GÄVLE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46316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46316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46316</v>
      </c>
      <c r="F376" t="inlineStr">
        <is>
          <t>GÄVLEBORGS LÄN</t>
        </is>
      </c>
      <c r="G376" t="inlineStr">
        <is>
          <t>GÄVLE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46095</v>
      </c>
      <c r="E377" s="1" t="n">
        <v>46316</v>
      </c>
      <c r="F377" t="inlineStr">
        <is>
          <t>GÄVLEBORGS LÄN</t>
        </is>
      </c>
      <c r="G377" t="inlineStr">
        <is>
          <t>GÄVLE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46316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52970-2025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45957</v>
      </c>
      <c r="E379" s="1" t="n">
        <v>46316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46316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17062-2023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45034</v>
      </c>
      <c r="E381" s="1" t="n">
        <v>46316</v>
      </c>
      <c r="F381" t="inlineStr">
        <is>
          <t>GÄVLEBORGS LÄN</t>
        </is>
      </c>
      <c r="G381" t="inlineStr">
        <is>
          <t>GÄVLE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46316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45957</v>
      </c>
      <c r="E383" s="1" t="n">
        <v>46316</v>
      </c>
      <c r="F383" t="inlineStr">
        <is>
          <t>GÄVLEBORGS LÄN</t>
        </is>
      </c>
      <c r="G383" t="inlineStr">
        <is>
          <t>GÄVLE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25593-2024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46316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14963-2026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46316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14583-2026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46101</v>
      </c>
      <c r="E386" s="1" t="n">
        <v>46316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15046-2026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46316</v>
      </c>
      <c r="F387" t="inlineStr">
        <is>
          <t>GÄVLEBORGS LÄN</t>
        </is>
      </c>
      <c r="G387" t="inlineStr">
        <is>
          <t>GÄVLE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44951</v>
      </c>
      <c r="E388" s="1" t="n">
        <v>46316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15669-2026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46316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53541-2025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45960</v>
      </c>
      <c r="E390" s="1" t="n">
        <v>46316</v>
      </c>
      <c r="F390" t="inlineStr">
        <is>
          <t>GÄVLEBORGS LÄN</t>
        </is>
      </c>
      <c r="G390" t="inlineStr">
        <is>
          <t>GÄVLE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46316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15097-2026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46316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30915-2025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46316</v>
      </c>
      <c r="F393" t="inlineStr">
        <is>
          <t>GÄVLEBORGS LÄN</t>
        </is>
      </c>
      <c r="G393" t="inlineStr">
        <is>
          <t>GÄVLE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54135-2025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45964</v>
      </c>
      <c r="E394" s="1" t="n">
        <v>46316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54480-2025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45965</v>
      </c>
      <c r="E395" s="1" t="n">
        <v>46316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44935</v>
      </c>
      <c r="E396" s="1" t="n">
        <v>46316</v>
      </c>
      <c r="F396" t="inlineStr">
        <is>
          <t>GÄVLEBORGS LÄN</t>
        </is>
      </c>
      <c r="G396" t="inlineStr">
        <is>
          <t>GÄVLE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46316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46316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46111</v>
      </c>
      <c r="E399" s="1" t="n">
        <v>46316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54599-2025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45965</v>
      </c>
      <c r="E400" s="1" t="n">
        <v>46316</v>
      </c>
      <c r="F400" t="inlineStr">
        <is>
          <t>GÄVLEBORGS LÄN</t>
        </is>
      </c>
      <c r="G400" t="inlineStr">
        <is>
          <t>GÄVLE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45971</v>
      </c>
      <c r="E401" s="1" t="n">
        <v>46316</v>
      </c>
      <c r="F401" t="inlineStr">
        <is>
          <t>GÄVLEBORGS LÄN</t>
        </is>
      </c>
      <c r="G401" t="inlineStr">
        <is>
          <t>GÄVLE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45834</v>
      </c>
      <c r="E402" s="1" t="n">
        <v>46316</v>
      </c>
      <c r="F402" t="inlineStr">
        <is>
          <t>GÄVLEBORGS LÄN</t>
        </is>
      </c>
      <c r="G402" t="inlineStr">
        <is>
          <t>GÄVLE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55221-2025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46316</v>
      </c>
      <c r="F403" t="inlineStr">
        <is>
          <t>GÄVLEBORGS LÄN</t>
        </is>
      </c>
      <c r="G403" t="inlineStr">
        <is>
          <t>GÄVLE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10352-2025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45720</v>
      </c>
      <c r="E404" s="1" t="n">
        <v>46316</v>
      </c>
      <c r="F404" t="inlineStr">
        <is>
          <t>GÄVLEBORGS LÄN</t>
        </is>
      </c>
      <c r="G404" t="inlineStr">
        <is>
          <t>GÄVLE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46316</v>
      </c>
      <c r="F405" t="inlineStr">
        <is>
          <t>GÄVLEBORGS LÄN</t>
        </is>
      </c>
      <c r="G405" t="inlineStr">
        <is>
          <t>GÄVLE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56121-2025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46316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46316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44960</v>
      </c>
      <c r="E408" s="1" t="n">
        <v>46316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46077</v>
      </c>
      <c r="E409" s="1" t="n">
        <v>46316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46316</v>
      </c>
      <c r="F410" t="inlineStr">
        <is>
          <t>GÄVLEBORGS LÄN</t>
        </is>
      </c>
      <c r="G410" t="inlineStr">
        <is>
          <t>GÄVLE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56120-2025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46316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46316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24720-2023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45084</v>
      </c>
      <c r="E413" s="1" t="n">
        <v>46316</v>
      </c>
      <c r="F413" t="inlineStr">
        <is>
          <t>GÄVLEBORGS LÄN</t>
        </is>
      </c>
      <c r="G413" t="inlineStr">
        <is>
          <t>GÄVLE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46316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56277-2025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46316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18173-2026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46125</v>
      </c>
      <c r="E416" s="1" t="n">
        <v>46316</v>
      </c>
      <c r="F416" t="inlineStr">
        <is>
          <t>GÄVLEBORGS LÄN</t>
        </is>
      </c>
      <c r="G416" t="inlineStr">
        <is>
          <t>GÄVLE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18175-2026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46125</v>
      </c>
      <c r="E417" s="1" t="n">
        <v>46316</v>
      </c>
      <c r="F417" t="inlineStr">
        <is>
          <t>GÄVLEBORGS LÄN</t>
        </is>
      </c>
      <c r="G417" t="inlineStr">
        <is>
          <t>GÄVLE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46124</v>
      </c>
      <c r="E418" s="1" t="n">
        <v>46316</v>
      </c>
      <c r="F418" t="inlineStr">
        <is>
          <t>GÄVLEBORGS LÄN</t>
        </is>
      </c>
      <c r="G418" t="inlineStr">
        <is>
          <t>GÄVLE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46316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46316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46316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17977-2026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46124</v>
      </c>
      <c r="E422" s="1" t="n">
        <v>46316</v>
      </c>
      <c r="F422" t="inlineStr">
        <is>
          <t>GÄVLEBORGS LÄN</t>
        </is>
      </c>
      <c r="G422" t="inlineStr">
        <is>
          <t>GÄVLE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46316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46124</v>
      </c>
      <c r="E424" s="1" t="n">
        <v>46316</v>
      </c>
      <c r="F424" t="inlineStr">
        <is>
          <t>GÄVLEBORGS LÄN</t>
        </is>
      </c>
      <c r="G424" t="inlineStr">
        <is>
          <t>GÄVLE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46316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46316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46316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46128</v>
      </c>
      <c r="E428" s="1" t="n">
        <v>46316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46316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46316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46316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46316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56773-2025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46316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8693-2024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45356</v>
      </c>
      <c r="E434" s="1" t="n">
        <v>46316</v>
      </c>
      <c r="F434" t="inlineStr">
        <is>
          <t>GÄVLEBORGS LÄN</t>
        </is>
      </c>
      <c r="G434" t="inlineStr">
        <is>
          <t>GÄVLE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18817-2026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46316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65879-2021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44517</v>
      </c>
      <c r="E436" s="1" t="n">
        <v>46316</v>
      </c>
      <c r="F436" t="inlineStr">
        <is>
          <t>GÄVLEBORGS LÄN</t>
        </is>
      </c>
      <c r="G436" t="inlineStr">
        <is>
          <t>GÄVLE</t>
        </is>
      </c>
      <c r="H436" t="inlineStr">
        <is>
          <t>Kyrkan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46316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15558-2026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46316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46316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46316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36.3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46316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46316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46316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46316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70043-2021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44533</v>
      </c>
      <c r="E445" s="1" t="n">
        <v>46316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46133</v>
      </c>
      <c r="E446" s="1" t="n">
        <v>46316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46316</v>
      </c>
      <c r="F447" t="inlineStr">
        <is>
          <t>GÄVLEBORGS LÄN</t>
        </is>
      </c>
      <c r="G447" t="inlineStr">
        <is>
          <t>GÄVLE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45681</v>
      </c>
      <c r="E448" s="1" t="n">
        <v>46316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46134</v>
      </c>
      <c r="E449" s="1" t="n">
        <v>46316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46134</v>
      </c>
      <c r="E450" s="1" t="n">
        <v>46316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12386-2026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46316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46134</v>
      </c>
      <c r="E452" s="1" t="n">
        <v>46316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46134</v>
      </c>
      <c r="E453" s="1" t="n">
        <v>46316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46316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34600-2024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45526</v>
      </c>
      <c r="E455" s="1" t="n">
        <v>46316</v>
      </c>
      <c r="F455" t="inlineStr">
        <is>
          <t>GÄVLEBORGS LÄN</t>
        </is>
      </c>
      <c r="G455" t="inlineStr">
        <is>
          <t>GÄVLE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46134</v>
      </c>
      <c r="E456" s="1" t="n">
        <v>46316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46316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19372-2026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46133</v>
      </c>
      <c r="E458" s="1" t="n">
        <v>46316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46316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43780-2025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45912</v>
      </c>
      <c r="E460" s="1" t="n">
        <v>46316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48834-2024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45593</v>
      </c>
      <c r="E461" s="1" t="n">
        <v>46316</v>
      </c>
      <c r="F461" t="inlineStr">
        <is>
          <t>GÄVLEBORGS LÄN</t>
        </is>
      </c>
      <c r="G461" t="inlineStr">
        <is>
          <t>GÄVLE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45448-2025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46316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46316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45548-2025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46316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46316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45442-2025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46316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46316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46316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19711-2026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46316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7.2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43774-2025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45912</v>
      </c>
      <c r="E470" s="1" t="n">
        <v>46316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46316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8.199999999999999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45546-2025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46316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45922</v>
      </c>
      <c r="E473" s="1" t="n">
        <v>46316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45922</v>
      </c>
      <c r="E474" s="1" t="n">
        <v>46316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46316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26131-2024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45468</v>
      </c>
      <c r="E476" s="1" t="n">
        <v>46316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45784</v>
      </c>
      <c r="E477" s="1" t="n">
        <v>46316</v>
      </c>
      <c r="F477" t="inlineStr">
        <is>
          <t>GÄVLEBORGS LÄN</t>
        </is>
      </c>
      <c r="G477" t="inlineStr">
        <is>
          <t>GÄVLE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46316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45915</v>
      </c>
      <c r="E479" s="1" t="n">
        <v>46316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46316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46316</v>
      </c>
      <c r="F481" t="inlineStr">
        <is>
          <t>GÄVLEBORGS LÄN</t>
        </is>
      </c>
      <c r="G481" t="inlineStr">
        <is>
          <t>GÄVLE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45245</v>
      </c>
      <c r="E482" s="1" t="n">
        <v>46316</v>
      </c>
      <c r="F482" t="inlineStr">
        <is>
          <t>GÄVLEBORGS LÄN</t>
        </is>
      </c>
      <c r="G482" t="inlineStr">
        <is>
          <t>GÄVLE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46316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34116-2025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45845</v>
      </c>
      <c r="E484" s="1" t="n">
        <v>46316</v>
      </c>
      <c r="F484" t="inlineStr">
        <is>
          <t>GÄVLEBORGS LÄN</t>
        </is>
      </c>
      <c r="G484" t="inlineStr">
        <is>
          <t>GÄVLE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34113-2025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45845</v>
      </c>
      <c r="E485" s="1" t="n">
        <v>46316</v>
      </c>
      <c r="F485" t="inlineStr">
        <is>
          <t>GÄVLEBORGS LÄN</t>
        </is>
      </c>
      <c r="G485" t="inlineStr">
        <is>
          <t>GÄVLE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34725-2025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45848</v>
      </c>
      <c r="E486" s="1" t="n">
        <v>46316</v>
      </c>
      <c r="F486" t="inlineStr">
        <is>
          <t>GÄVLEBORGS LÄN</t>
        </is>
      </c>
      <c r="G486" t="inlineStr">
        <is>
          <t>GÄVLE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18162-2022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44684</v>
      </c>
      <c r="E487" s="1" t="n">
        <v>46316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45686</v>
      </c>
      <c r="E488" s="1" t="n">
        <v>46316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45992</v>
      </c>
      <c r="E489" s="1" t="n">
        <v>46316</v>
      </c>
      <c r="F489" t="inlineStr">
        <is>
          <t>GÄVLEBORGS LÄN</t>
        </is>
      </c>
      <c r="G489" t="inlineStr">
        <is>
          <t>GÄVLE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34722-2025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45848</v>
      </c>
      <c r="E490" s="1" t="n">
        <v>46316</v>
      </c>
      <c r="F490" t="inlineStr">
        <is>
          <t>GÄVLEBORGS LÄN</t>
        </is>
      </c>
      <c r="G490" t="inlineStr">
        <is>
          <t>GÄVLE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60038-2025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45993</v>
      </c>
      <c r="E491" s="1" t="n">
        <v>46316</v>
      </c>
      <c r="F491" t="inlineStr">
        <is>
          <t>GÄVLEBORGS LÄN</t>
        </is>
      </c>
      <c r="G491" t="inlineStr">
        <is>
          <t>GÄVLE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50537-2025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45945</v>
      </c>
      <c r="E492" s="1" t="n">
        <v>46316</v>
      </c>
      <c r="F492" t="inlineStr">
        <is>
          <t>GÄVLEBORGS LÄN</t>
        </is>
      </c>
      <c r="G492" t="inlineStr">
        <is>
          <t>GÄVLE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59627-2025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45992</v>
      </c>
      <c r="E493" s="1" t="n">
        <v>46316</v>
      </c>
      <c r="F493" t="inlineStr">
        <is>
          <t>GÄVLEBORGS LÄN</t>
        </is>
      </c>
      <c r="G493" t="inlineStr">
        <is>
          <t>GÄVLE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46316</v>
      </c>
      <c r="F494" t="inlineStr">
        <is>
          <t>GÄVLEBORGS LÄN</t>
        </is>
      </c>
      <c r="G494" t="inlineStr">
        <is>
          <t>GÄVLE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60364-2025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46316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46107</v>
      </c>
      <c r="E496" s="1" t="n">
        <v>46316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37253-2024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45540</v>
      </c>
      <c r="E497" s="1" t="n">
        <v>46316</v>
      </c>
      <c r="F497" t="inlineStr">
        <is>
          <t>GÄVLEBORGS LÄN</t>
        </is>
      </c>
      <c r="G497" t="inlineStr">
        <is>
          <t>GÄVLE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55217-2025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45968</v>
      </c>
      <c r="E498" s="1" t="n">
        <v>46316</v>
      </c>
      <c r="F498" t="inlineStr">
        <is>
          <t>GÄVLEBORGS LÄN</t>
        </is>
      </c>
      <c r="G498" t="inlineStr">
        <is>
          <t>GÄVLE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60536-2025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46316</v>
      </c>
      <c r="F499" t="inlineStr">
        <is>
          <t>GÄVLEBORGS LÄN</t>
        </is>
      </c>
      <c r="G499" t="inlineStr">
        <is>
          <t>GÄVLE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13499-2026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46316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38255-2023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46316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35916-2025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45862</v>
      </c>
      <c r="E502" s="1" t="n">
        <v>46316</v>
      </c>
      <c r="F502" t="inlineStr">
        <is>
          <t>GÄVLEBORGS LÄN</t>
        </is>
      </c>
      <c r="G502" t="inlineStr">
        <is>
          <t>GÄVLE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46031</v>
      </c>
      <c r="E503" s="1" t="n">
        <v>46316</v>
      </c>
      <c r="F503" t="inlineStr">
        <is>
          <t>GÄVLEBORGS LÄN</t>
        </is>
      </c>
      <c r="G503" t="inlineStr">
        <is>
          <t>GÄVLE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61093-2025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46316</v>
      </c>
      <c r="F504" t="inlineStr">
        <is>
          <t>GÄVLEBORGS LÄN</t>
        </is>
      </c>
      <c r="G504" t="inlineStr">
        <is>
          <t>GÄVLE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31062-2023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45113</v>
      </c>
      <c r="E505" s="1" t="n">
        <v>46316</v>
      </c>
      <c r="F505" t="inlineStr">
        <is>
          <t>GÄVLEBORGS LÄN</t>
        </is>
      </c>
      <c r="G505" t="inlineStr">
        <is>
          <t>GÄVLE</t>
        </is>
      </c>
      <c r="H505" t="inlineStr">
        <is>
          <t>Kommuner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45744</v>
      </c>
      <c r="E506" s="1" t="n">
        <v>46316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42592-2025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45905</v>
      </c>
      <c r="E507" s="1" t="n">
        <v>46316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26249-2022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44735</v>
      </c>
      <c r="E508" s="1" t="n">
        <v>46316</v>
      </c>
      <c r="F508" t="inlineStr">
        <is>
          <t>GÄVLEBORGS LÄN</t>
        </is>
      </c>
      <c r="G508" t="inlineStr">
        <is>
          <t>GÄVLE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45854</v>
      </c>
      <c r="E509" s="1" t="n">
        <v>46316</v>
      </c>
      <c r="F509" t="inlineStr">
        <is>
          <t>GÄVLEBORGS LÄN</t>
        </is>
      </c>
      <c r="G509" t="inlineStr">
        <is>
          <t>GÄVLE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51876-2023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45223</v>
      </c>
      <c r="E510" s="1" t="n">
        <v>46316</v>
      </c>
      <c r="F510" t="inlineStr">
        <is>
          <t>GÄVLEBORGS LÄN</t>
        </is>
      </c>
      <c r="G510" t="inlineStr">
        <is>
          <t>GÄVLE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9419-2025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45715</v>
      </c>
      <c r="E511" s="1" t="n">
        <v>46316</v>
      </c>
      <c r="F511" t="inlineStr">
        <is>
          <t>GÄVLEBORGS LÄN</t>
        </is>
      </c>
      <c r="G511" t="inlineStr">
        <is>
          <t>GÄVLE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15536-2026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46316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46316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15799-2026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46107</v>
      </c>
      <c r="E514" s="1" t="n">
        <v>46316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15092-2026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46316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19555-2022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44693</v>
      </c>
      <c r="E516" s="1" t="n">
        <v>46316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35650-2025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45859</v>
      </c>
      <c r="E517" s="1" t="n">
        <v>46316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46316</v>
      </c>
      <c r="F518" t="inlineStr">
        <is>
          <t>GÄVLEBORGS LÄN</t>
        </is>
      </c>
      <c r="G518" t="inlineStr">
        <is>
          <t>GÄVLE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45744</v>
      </c>
      <c r="E519" s="1" t="n">
        <v>46316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35878-2025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45862</v>
      </c>
      <c r="E520" s="1" t="n">
        <v>46316</v>
      </c>
      <c r="F520" t="inlineStr">
        <is>
          <t>GÄVLEBORGS LÄN</t>
        </is>
      </c>
      <c r="G520" t="inlineStr">
        <is>
          <t>GÄVLE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35938-2025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45862</v>
      </c>
      <c r="E521" s="1" t="n">
        <v>46316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35919-2025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45862</v>
      </c>
      <c r="E522" s="1" t="n">
        <v>46316</v>
      </c>
      <c r="F522" t="inlineStr">
        <is>
          <t>GÄVLEBORGS LÄN</t>
        </is>
      </c>
      <c r="G522" t="inlineStr">
        <is>
          <t>GÄVLE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23638-2024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45454</v>
      </c>
      <c r="E523" s="1" t="n">
        <v>46316</v>
      </c>
      <c r="F523" t="inlineStr">
        <is>
          <t>GÄVLEBORGS LÄN</t>
        </is>
      </c>
      <c r="G523" t="inlineStr">
        <is>
          <t>GÄVLE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49380-2024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45595</v>
      </c>
      <c r="E524" s="1" t="n">
        <v>46316</v>
      </c>
      <c r="F524" t="inlineStr">
        <is>
          <t>GÄVLEBORGS LÄN</t>
        </is>
      </c>
      <c r="G524" t="inlineStr">
        <is>
          <t>GÄVLE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14606-2025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45742</v>
      </c>
      <c r="E525" s="1" t="n">
        <v>46316</v>
      </c>
      <c r="F525" t="inlineStr">
        <is>
          <t>GÄVLEBORGS LÄN</t>
        </is>
      </c>
      <c r="G525" t="inlineStr">
        <is>
          <t>GÄVLE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46070</v>
      </c>
      <c r="E526" s="1" t="n">
        <v>46316</v>
      </c>
      <c r="F526" t="inlineStr">
        <is>
          <t>GÄVLEBORGS LÄN</t>
        </is>
      </c>
      <c r="G526" t="inlineStr">
        <is>
          <t>GÄVLE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8568-2026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46065</v>
      </c>
      <c r="E527" s="1" t="n">
        <v>46316</v>
      </c>
      <c r="F527" t="inlineStr">
        <is>
          <t>GÄVLEBORGS LÄN</t>
        </is>
      </c>
      <c r="G527" t="inlineStr">
        <is>
          <t>GÄVLE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15689-2026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46316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36106-2025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45866</v>
      </c>
      <c r="E529" s="1" t="n">
        <v>46316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36255-2025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45867</v>
      </c>
      <c r="E530" s="1" t="n">
        <v>46316</v>
      </c>
      <c r="F530" t="inlineStr">
        <is>
          <t>GÄVLEBORGS LÄN</t>
        </is>
      </c>
      <c r="G530" t="inlineStr">
        <is>
          <t>GÄVLE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15275-2026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46105</v>
      </c>
      <c r="E531" s="1" t="n">
        <v>46316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44585</v>
      </c>
      <c r="E532" s="1" t="n">
        <v>46316</v>
      </c>
      <c r="F532" t="inlineStr">
        <is>
          <t>GÄVLEBORGS LÄN</t>
        </is>
      </c>
      <c r="G532" t="inlineStr">
        <is>
          <t>GÄVLE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36493-2025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45869</v>
      </c>
      <c r="E533" s="1" t="n">
        <v>46316</v>
      </c>
      <c r="F533" t="inlineStr">
        <is>
          <t>GÄVLEBORGS LÄN</t>
        </is>
      </c>
      <c r="G533" t="inlineStr">
        <is>
          <t>GÄVLE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46316</v>
      </c>
      <c r="F534" t="inlineStr">
        <is>
          <t>GÄVLEBORGS LÄN</t>
        </is>
      </c>
      <c r="G534" t="inlineStr">
        <is>
          <t>GÄVLE</t>
        </is>
      </c>
      <c r="I534" t="n">
        <v>12.7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36516-2025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45869</v>
      </c>
      <c r="E535" s="1" t="n">
        <v>46316</v>
      </c>
      <c r="F535" t="inlineStr">
        <is>
          <t>GÄVLEBORGS LÄN</t>
        </is>
      </c>
      <c r="G535" t="inlineStr">
        <is>
          <t>GÄVLE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44735</v>
      </c>
      <c r="E536" s="1" t="n">
        <v>46316</v>
      </c>
      <c r="F536" t="inlineStr">
        <is>
          <t>GÄVLEBORGS LÄN</t>
        </is>
      </c>
      <c r="G536" t="inlineStr">
        <is>
          <t>GÄVLE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36512-2025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45869</v>
      </c>
      <c r="E537" s="1" t="n">
        <v>46316</v>
      </c>
      <c r="F537" t="inlineStr">
        <is>
          <t>GÄVLEBORGS LÄN</t>
        </is>
      </c>
      <c r="G537" t="inlineStr">
        <is>
          <t>GÄVLE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20999-2022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44701</v>
      </c>
      <c r="E538" s="1" t="n">
        <v>46316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26.3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46316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32143-2024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45511</v>
      </c>
      <c r="E540" s="1" t="n">
        <v>46316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45873</v>
      </c>
      <c r="E541" s="1" t="n">
        <v>46316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57570-2024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45630</v>
      </c>
      <c r="E542" s="1" t="n">
        <v>46316</v>
      </c>
      <c r="F542" t="inlineStr">
        <is>
          <t>GÄVLEBORGS LÄN</t>
        </is>
      </c>
      <c r="G542" t="inlineStr">
        <is>
          <t>GÄVLE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6331-2022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44600</v>
      </c>
      <c r="E543" s="1" t="n">
        <v>46316</v>
      </c>
      <c r="F543" t="inlineStr">
        <is>
          <t>GÄVLEBORGS LÄN</t>
        </is>
      </c>
      <c r="G543" t="inlineStr">
        <is>
          <t>GÄVLE</t>
        </is>
      </c>
      <c r="H543" t="inlineStr">
        <is>
          <t>Kyrkan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46316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18168-2022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44684</v>
      </c>
      <c r="E545" s="1" t="n">
        <v>46316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20589-2026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46316</v>
      </c>
      <c r="F546" t="inlineStr">
        <is>
          <t>GÄVLEBORGS LÄN</t>
        </is>
      </c>
      <c r="G546" t="inlineStr">
        <is>
          <t>GÄVLE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46030</v>
      </c>
      <c r="E547" s="1" t="n">
        <v>46316</v>
      </c>
      <c r="F547" t="inlineStr">
        <is>
          <t>GÄVLEBORGS LÄN</t>
        </is>
      </c>
      <c r="G547" t="inlineStr">
        <is>
          <t>GÄVLE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10487-2026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46077</v>
      </c>
      <c r="E548" s="1" t="n">
        <v>46316</v>
      </c>
      <c r="F548" t="inlineStr">
        <is>
          <t>GÄVLEBORGS LÄN</t>
        </is>
      </c>
      <c r="G548" t="inlineStr">
        <is>
          <t>GÄVLE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16190-2026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46316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46111</v>
      </c>
      <c r="E550" s="1" t="n">
        <v>46316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16076-2026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46316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19730-2022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44694</v>
      </c>
      <c r="E552" s="1" t="n">
        <v>46316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34233-2023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45138</v>
      </c>
      <c r="E553" s="1" t="n">
        <v>46316</v>
      </c>
      <c r="F553" t="inlineStr">
        <is>
          <t>GÄVLEBORGS LÄN</t>
        </is>
      </c>
      <c r="G553" t="inlineStr">
        <is>
          <t>GÄVLE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20736-2026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46316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38240-2024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45545</v>
      </c>
      <c r="E555" s="1" t="n">
        <v>46316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40091-2023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45168</v>
      </c>
      <c r="E556" s="1" t="n">
        <v>46316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3714-2023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44951</v>
      </c>
      <c r="E557" s="1" t="n">
        <v>46316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44951</v>
      </c>
      <c r="E558" s="1" t="n">
        <v>46316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46033</v>
      </c>
      <c r="E559" s="1" t="n">
        <v>46316</v>
      </c>
      <c r="F559" t="inlineStr">
        <is>
          <t>GÄVLEBORGS LÄN</t>
        </is>
      </c>
      <c r="G559" t="inlineStr">
        <is>
          <t>GÄVLE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20785-2026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46316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45705</v>
      </c>
      <c r="E561" s="1" t="n">
        <v>46316</v>
      </c>
      <c r="F561" t="inlineStr">
        <is>
          <t>GÄVLEBORGS LÄN</t>
        </is>
      </c>
      <c r="G561" t="inlineStr">
        <is>
          <t>GÄVLE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46316</v>
      </c>
      <c r="F562" t="inlineStr">
        <is>
          <t>GÄVLEBORGS LÄN</t>
        </is>
      </c>
      <c r="G562" t="inlineStr">
        <is>
          <t>GÄVLE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14093-2025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45740</v>
      </c>
      <c r="E563" s="1" t="n">
        <v>46316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20685-2026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46141</v>
      </c>
      <c r="E564" s="1" t="n">
        <v>46316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20735-2026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46141</v>
      </c>
      <c r="E565" s="1" t="n">
        <v>46316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59322-2022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44904</v>
      </c>
      <c r="E566" s="1" t="n">
        <v>46316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44962</v>
      </c>
      <c r="E567" s="1" t="n">
        <v>46316</v>
      </c>
      <c r="F567" t="inlineStr">
        <is>
          <t>GÄVLEBORGS LÄN</t>
        </is>
      </c>
      <c r="G567" t="inlineStr">
        <is>
          <t>GÄVLE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45660</v>
      </c>
      <c r="E568" s="1" t="n">
        <v>46316</v>
      </c>
      <c r="F568" t="inlineStr">
        <is>
          <t>GÄVLEBORGS LÄN</t>
        </is>
      </c>
      <c r="G568" t="inlineStr">
        <is>
          <t>GÄVLE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46316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45884</v>
      </c>
      <c r="E570" s="1" t="n">
        <v>46316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46045</v>
      </c>
      <c r="E571" s="1" t="n">
        <v>46316</v>
      </c>
      <c r="F571" t="inlineStr">
        <is>
          <t>GÄVLEBORGS LÄN</t>
        </is>
      </c>
      <c r="G571" t="inlineStr">
        <is>
          <t>GÄVLE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2247-2023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44942</v>
      </c>
      <c r="E572" s="1" t="n">
        <v>46316</v>
      </c>
      <c r="F572" t="inlineStr">
        <is>
          <t>GÄVLEBORGS LÄN</t>
        </is>
      </c>
      <c r="G572" t="inlineStr">
        <is>
          <t>GÄVLE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47108-2024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45586</v>
      </c>
      <c r="E573" s="1" t="n">
        <v>46316</v>
      </c>
      <c r="F573" t="inlineStr">
        <is>
          <t>GÄVLEBORGS LÄN</t>
        </is>
      </c>
      <c r="G573" t="inlineStr">
        <is>
          <t>GÄVLE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46316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21300-2024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45440</v>
      </c>
      <c r="E575" s="1" t="n">
        <v>46316</v>
      </c>
      <c r="F575" t="inlineStr">
        <is>
          <t>GÄVLEBORGS LÄN</t>
        </is>
      </c>
      <c r="G575" t="inlineStr">
        <is>
          <t>GÄVLE</t>
        </is>
      </c>
      <c r="I575" t="n">
        <v>8.6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46146</v>
      </c>
      <c r="E576" s="1" t="n">
        <v>46316</v>
      </c>
      <c r="F576" t="inlineStr">
        <is>
          <t>GÄVLEBORGS LÄN</t>
        </is>
      </c>
      <c r="G576" t="inlineStr">
        <is>
          <t>GÄVLE</t>
        </is>
      </c>
      <c r="H576" t="inlineStr">
        <is>
          <t>Kyrkan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47746-2023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45203</v>
      </c>
      <c r="E577" s="1" t="n">
        <v>46316</v>
      </c>
      <c r="F577" t="inlineStr">
        <is>
          <t>GÄVLEBORGS LÄN</t>
        </is>
      </c>
      <c r="G577" t="inlineStr">
        <is>
          <t>GÄVLE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14707-2026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46316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46108</v>
      </c>
      <c r="E579" s="1" t="n">
        <v>46316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58192-2024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45632</v>
      </c>
      <c r="E580" s="1" t="n">
        <v>46316</v>
      </c>
      <c r="F580" t="inlineStr">
        <is>
          <t>GÄVLEBORGS LÄN</t>
        </is>
      </c>
      <c r="G580" t="inlineStr">
        <is>
          <t>GÄVLE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34668-2024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45526</v>
      </c>
      <c r="E581" s="1" t="n">
        <v>46316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1062-2025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45666</v>
      </c>
      <c r="E582" s="1" t="n">
        <v>46316</v>
      </c>
      <c r="F582" t="inlineStr">
        <is>
          <t>GÄVLEBORGS LÄN</t>
        </is>
      </c>
      <c r="G582" t="inlineStr">
        <is>
          <t>GÄVLE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20689-2024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45436</v>
      </c>
      <c r="E583" s="1" t="n">
        <v>46316</v>
      </c>
      <c r="F583" t="inlineStr">
        <is>
          <t>GÄVLEBORGS LÄN</t>
        </is>
      </c>
      <c r="G583" t="inlineStr">
        <is>
          <t>GÄVLE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22111-2026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46153</v>
      </c>
      <c r="E584" s="1" t="n">
        <v>46316</v>
      </c>
      <c r="F584" t="inlineStr">
        <is>
          <t>GÄVLEBORGS LÄN</t>
        </is>
      </c>
      <c r="G584" t="inlineStr">
        <is>
          <t>GÄVLE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45120</v>
      </c>
      <c r="E585" s="1" t="n">
        <v>46316</v>
      </c>
      <c r="F585" t="inlineStr">
        <is>
          <t>GÄVLEBORGS LÄN</t>
        </is>
      </c>
      <c r="G585" t="inlineStr">
        <is>
          <t>GÄVLE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22075-2026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46153</v>
      </c>
      <c r="E586" s="1" t="n">
        <v>46316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46316</v>
      </c>
      <c r="F587" t="inlineStr">
        <is>
          <t>GÄVLEBORGS LÄN</t>
        </is>
      </c>
      <c r="G587" t="inlineStr">
        <is>
          <t>GÄVLE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46119</v>
      </c>
      <c r="E588" s="1" t="n">
        <v>46316</v>
      </c>
      <c r="F588" t="inlineStr">
        <is>
          <t>GÄVLEBORGS LÄN</t>
        </is>
      </c>
      <c r="G588" t="inlineStr">
        <is>
          <t>GÄVLE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46105</v>
      </c>
      <c r="E589" s="1" t="n">
        <v>46316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22545-2026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46316</v>
      </c>
      <c r="F590" t="inlineStr">
        <is>
          <t>GÄVLEBORGS LÄN</t>
        </is>
      </c>
      <c r="G590" t="inlineStr">
        <is>
          <t>GÄVLE</t>
        </is>
      </c>
      <c r="H590" t="inlineStr">
        <is>
          <t>Kyrkan</t>
        </is>
      </c>
      <c r="I590" t="n">
        <v>10.1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46316</v>
      </c>
      <c r="F591" t="inlineStr">
        <is>
          <t>GÄVLEBORGS LÄN</t>
        </is>
      </c>
      <c r="G591" t="inlineStr">
        <is>
          <t>GÄVLE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61301-2024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45645</v>
      </c>
      <c r="E592" s="1" t="n">
        <v>46316</v>
      </c>
      <c r="F592" t="inlineStr">
        <is>
          <t>GÄVLEBORGS LÄN</t>
        </is>
      </c>
      <c r="G592" t="inlineStr">
        <is>
          <t>GÄVLE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46316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46101</v>
      </c>
      <c r="E594" s="1" t="n">
        <v>46316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22342-2026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46154</v>
      </c>
      <c r="E595" s="1" t="n">
        <v>46316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64868-2023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45282</v>
      </c>
      <c r="E596" s="1" t="n">
        <v>46316</v>
      </c>
      <c r="F596" t="inlineStr">
        <is>
          <t>GÄVLEBORGS LÄN</t>
        </is>
      </c>
      <c r="G596" t="inlineStr">
        <is>
          <t>GÄVLE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46316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46316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45312</v>
      </c>
      <c r="E599" s="1" t="n">
        <v>46316</v>
      </c>
      <c r="F599" t="inlineStr">
        <is>
          <t>GÄVLEBORGS LÄN</t>
        </is>
      </c>
      <c r="G599" t="inlineStr">
        <is>
          <t>GÄVLE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61016-2024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45645</v>
      </c>
      <c r="E600" s="1" t="n">
        <v>46316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18361-2024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45422</v>
      </c>
      <c r="E601" s="1" t="n">
        <v>46316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väst AB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46316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38495-2023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45162</v>
      </c>
      <c r="E603" s="1" t="n">
        <v>46316</v>
      </c>
      <c r="F603" t="inlineStr">
        <is>
          <t>GÄVLEBORGS LÄN</t>
        </is>
      </c>
      <c r="G603" t="inlineStr">
        <is>
          <t>GÄVLE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15167-2026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46316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15711-2026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46107</v>
      </c>
      <c r="E605" s="1" t="n">
        <v>46316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46316</v>
      </c>
      <c r="F606" t="inlineStr">
        <is>
          <t>GÄVLEBORGS LÄN</t>
        </is>
      </c>
      <c r="G606" t="inlineStr">
        <is>
          <t>GÄVLE</t>
        </is>
      </c>
      <c r="H606" t="inlineStr">
        <is>
          <t>Kyrkan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20682-2023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45058</v>
      </c>
      <c r="E607" s="1" t="n">
        <v>46316</v>
      </c>
      <c r="F607" t="inlineStr">
        <is>
          <t>GÄVLEBORGS LÄN</t>
        </is>
      </c>
      <c r="G607" t="inlineStr">
        <is>
          <t>GÄVLE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3639-2022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44586</v>
      </c>
      <c r="E608" s="1" t="n">
        <v>46316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23591-2026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46163</v>
      </c>
      <c r="E609" s="1" t="n">
        <v>46316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45658</v>
      </c>
      <c r="E610" s="1" t="n">
        <v>46316</v>
      </c>
      <c r="F610" t="inlineStr">
        <is>
          <t>GÄVLEBORGS LÄN</t>
        </is>
      </c>
      <c r="G610" t="inlineStr">
        <is>
          <t>GÄVLE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66351-2021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44518</v>
      </c>
      <c r="E611" s="1" t="n">
        <v>46316</v>
      </c>
      <c r="F611" t="inlineStr">
        <is>
          <t>GÄVLEBORGS LÄN</t>
        </is>
      </c>
      <c r="G611" t="inlineStr">
        <is>
          <t>GÄVLE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24724-2023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45084</v>
      </c>
      <c r="E612" s="1" t="n">
        <v>46316</v>
      </c>
      <c r="F612" t="inlineStr">
        <is>
          <t>GÄVLEBORGS LÄN</t>
        </is>
      </c>
      <c r="G612" t="inlineStr">
        <is>
          <t>GÄVLE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23956-2026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46167</v>
      </c>
      <c r="E613" s="1" t="n">
        <v>46316</v>
      </c>
      <c r="F613" t="inlineStr">
        <is>
          <t>GÄVLEBORGS LÄN</t>
        </is>
      </c>
      <c r="G613" t="inlineStr">
        <is>
          <t>GÄVLE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29929-2022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44756</v>
      </c>
      <c r="E614" s="1" t="n">
        <v>46316</v>
      </c>
      <c r="F614" t="inlineStr">
        <is>
          <t>GÄVLEBORGS LÄN</t>
        </is>
      </c>
      <c r="G614" t="inlineStr">
        <is>
          <t>GÄVLE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38673-2024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46316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44936</v>
      </c>
      <c r="E616" s="1" t="n">
        <v>46316</v>
      </c>
      <c r="F616" t="inlineStr">
        <is>
          <t>GÄVLEBORGS LÄN</t>
        </is>
      </c>
      <c r="G616" t="inlineStr">
        <is>
          <t>GÄVLE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46169</v>
      </c>
      <c r="E617" s="1" t="n">
        <v>46316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24400-2026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46169</v>
      </c>
      <c r="E618" s="1" t="n">
        <v>46316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24295-2026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46316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46316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46316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24294-2026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46169</v>
      </c>
      <c r="E622" s="1" t="n">
        <v>46316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60442-2022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44911</v>
      </c>
      <c r="E623" s="1" t="n">
        <v>46316</v>
      </c>
      <c r="F623" t="inlineStr">
        <is>
          <t>GÄVLEBORGS LÄN</t>
        </is>
      </c>
      <c r="G623" t="inlineStr">
        <is>
          <t>GÄVLE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50314-2024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45600</v>
      </c>
      <c r="E624" s="1" t="n">
        <v>46316</v>
      </c>
      <c r="F624" t="inlineStr">
        <is>
          <t>GÄVLEBORGS LÄN</t>
        </is>
      </c>
      <c r="G624" t="inlineStr">
        <is>
          <t>GÄVLE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46316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46316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61786-2024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45649</v>
      </c>
      <c r="E627" s="1" t="n">
        <v>46316</v>
      </c>
      <c r="F627" t="inlineStr">
        <is>
          <t>GÄVLEBORGS LÄN</t>
        </is>
      </c>
      <c r="G627" t="inlineStr">
        <is>
          <t>GÄVLE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46170</v>
      </c>
      <c r="E628" s="1" t="n">
        <v>46316</v>
      </c>
      <c r="F628" t="inlineStr">
        <is>
          <t>GÄVLEBORGS LÄN</t>
        </is>
      </c>
      <c r="G628" t="inlineStr">
        <is>
          <t>GÄVLE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24810-2026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46173</v>
      </c>
      <c r="E629" s="1" t="n">
        <v>46316</v>
      </c>
      <c r="F629" t="inlineStr">
        <is>
          <t>GÄVLEBORGS LÄN</t>
        </is>
      </c>
      <c r="G629" t="inlineStr">
        <is>
          <t>GÄVLE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3615-2024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45320</v>
      </c>
      <c r="E630" s="1" t="n">
        <v>46316</v>
      </c>
      <c r="F630" t="inlineStr">
        <is>
          <t>GÄVLEBORGS LÄN</t>
        </is>
      </c>
      <c r="G630" t="inlineStr">
        <is>
          <t>GÄVLE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25384-2026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46176</v>
      </c>
      <c r="E631" s="1" t="n">
        <v>46316</v>
      </c>
      <c r="F631" t="inlineStr">
        <is>
          <t>GÄVLEBORGS LÄN</t>
        </is>
      </c>
      <c r="G631" t="inlineStr">
        <is>
          <t>GÄVLE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25367-2026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46176</v>
      </c>
      <c r="E632" s="1" t="n">
        <v>46316</v>
      </c>
      <c r="F632" t="inlineStr">
        <is>
          <t>GÄVLEBORGS LÄN</t>
        </is>
      </c>
      <c r="G632" t="inlineStr">
        <is>
          <t>GÄVLE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32255-2023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45120</v>
      </c>
      <c r="E633" s="1" t="n">
        <v>46316</v>
      </c>
      <c r="F633" t="inlineStr">
        <is>
          <t>GÄVLEBORGS LÄN</t>
        </is>
      </c>
      <c r="G633" t="inlineStr">
        <is>
          <t>GÄVLE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20676-2026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46316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44800-2024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45574</v>
      </c>
      <c r="E635" s="1" t="n">
        <v>46316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25582-2026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46316</v>
      </c>
      <c r="F636" t="inlineStr">
        <is>
          <t>GÄVLEBORGS LÄN</t>
        </is>
      </c>
      <c r="G636" t="inlineStr">
        <is>
          <t>GÄVLE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46316</v>
      </c>
      <c r="F637" t="inlineStr">
        <is>
          <t>GÄVLEBORGS LÄN</t>
        </is>
      </c>
      <c r="G637" t="inlineStr">
        <is>
          <t>GÄVLE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25623-2026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46316</v>
      </c>
      <c r="F638" t="inlineStr">
        <is>
          <t>GÄVLEBORGS LÄN</t>
        </is>
      </c>
      <c r="G638" t="inlineStr">
        <is>
          <t>GÄVLE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45312</v>
      </c>
      <c r="E639" s="1" t="n">
        <v>46316</v>
      </c>
      <c r="F639" t="inlineStr">
        <is>
          <t>GÄVLEBORGS LÄN</t>
        </is>
      </c>
      <c r="G639" t="inlineStr">
        <is>
          <t>GÄVLE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59817-2023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45257</v>
      </c>
      <c r="E640" s="1" t="n">
        <v>46316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14173-2022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44651</v>
      </c>
      <c r="E641" s="1" t="n">
        <v>46316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väst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26600-2026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46316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42876-2023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45182</v>
      </c>
      <c r="E643" s="1" t="n">
        <v>46316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22.7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26599-2026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46316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46316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26991-2026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46316</v>
      </c>
      <c r="F646" t="inlineStr">
        <is>
          <t>GÄVLEBORGS LÄN</t>
        </is>
      </c>
      <c r="G646" t="inlineStr">
        <is>
          <t>GÄVLE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46316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46316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46316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27053-2026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46316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27060-2026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46316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17404-2025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45757</v>
      </c>
      <c r="E652" s="1" t="n">
        <v>46316</v>
      </c>
      <c r="F652" t="inlineStr">
        <is>
          <t>GÄVLEBORGS LÄN</t>
        </is>
      </c>
      <c r="G652" t="inlineStr">
        <is>
          <t>GÄVLE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27057-2026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46316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46316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46188</v>
      </c>
      <c r="E655" s="1" t="n">
        <v>46316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27041-2026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46316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27042-2026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46316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27056-2026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46316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27066-2026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46316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46316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27359-2026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46316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46316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46316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26942-2026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46316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37146-2024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45539</v>
      </c>
      <c r="E665" s="1" t="n">
        <v>46316</v>
      </c>
      <c r="F665" t="inlineStr">
        <is>
          <t>GÄVLEBORGS LÄN</t>
        </is>
      </c>
      <c r="G665" t="inlineStr">
        <is>
          <t>GÄVLE</t>
        </is>
      </c>
      <c r="I665" t="n">
        <v>9.4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46316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27059-2026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46316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46316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45660</v>
      </c>
      <c r="E669" s="1" t="n">
        <v>46316</v>
      </c>
      <c r="F669" t="inlineStr">
        <is>
          <t>GÄVLEBORGS LÄN</t>
        </is>
      </c>
      <c r="G669" t="inlineStr">
        <is>
          <t>GÄVLE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19164-2026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46132</v>
      </c>
      <c r="E670" s="1" t="n">
        <v>46316</v>
      </c>
      <c r="F670" t="inlineStr">
        <is>
          <t>GÄVLEBORGS LÄN</t>
        </is>
      </c>
      <c r="G670" t="inlineStr">
        <is>
          <t>GÄVLE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45673</v>
      </c>
      <c r="E671" s="1" t="n">
        <v>46316</v>
      </c>
      <c r="F671" t="inlineStr">
        <is>
          <t>GÄVLEBORGS LÄN</t>
        </is>
      </c>
      <c r="G671" t="inlineStr">
        <is>
          <t>GÄVLE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2374-2025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45673</v>
      </c>
      <c r="E672" s="1" t="n">
        <v>46316</v>
      </c>
      <c r="F672" t="inlineStr">
        <is>
          <t>GÄVLEBORGS LÄN</t>
        </is>
      </c>
      <c r="G672" t="inlineStr">
        <is>
          <t>GÄVLE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46196</v>
      </c>
      <c r="E673" s="1" t="n">
        <v>46316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28334-2026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46196</v>
      </c>
      <c r="E674" s="1" t="n">
        <v>46316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46316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28331-2026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46196</v>
      </c>
      <c r="E676" s="1" t="n">
        <v>46316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28140-2026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46316</v>
      </c>
      <c r="F677" t="inlineStr">
        <is>
          <t>GÄVLEBORGS LÄN</t>
        </is>
      </c>
      <c r="G677" t="inlineStr">
        <is>
          <t>GÄVLE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61501-2024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45646</v>
      </c>
      <c r="E678" s="1" t="n">
        <v>46316</v>
      </c>
      <c r="F678" t="inlineStr">
        <is>
          <t>GÄVLEBORGS LÄN</t>
        </is>
      </c>
      <c r="G678" t="inlineStr">
        <is>
          <t>GÄVLE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47458-2022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44853</v>
      </c>
      <c r="E679" s="1" t="n">
        <v>46316</v>
      </c>
      <c r="F679" t="inlineStr">
        <is>
          <t>GÄVLEBORGS LÄN</t>
        </is>
      </c>
      <c r="G679" t="inlineStr">
        <is>
          <t>GÄVLE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22968-2026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46160</v>
      </c>
      <c r="E680" s="1" t="n">
        <v>46316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29494-2026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46316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29506-2026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46316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52.7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28654-2026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46316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28485-2026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46316</v>
      </c>
      <c r="F684" t="inlineStr">
        <is>
          <t>GÄVLEBORGS LÄN</t>
        </is>
      </c>
      <c r="G684" t="inlineStr">
        <is>
          <t>GÄVLE</t>
        </is>
      </c>
      <c r="H684" t="inlineStr">
        <is>
          <t>BillerudKorsnäs AB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44938-2022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44841</v>
      </c>
      <c r="E685" s="1" t="n">
        <v>46316</v>
      </c>
      <c r="F685" t="inlineStr">
        <is>
          <t>GÄVLEBORGS LÄN</t>
        </is>
      </c>
      <c r="G685" t="inlineStr">
        <is>
          <t>GÄVLE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46316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28659-2026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46316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28655-2026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46198</v>
      </c>
      <c r="E688" s="1" t="n">
        <v>46316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46316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28658-2026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46198</v>
      </c>
      <c r="E690" s="1" t="n">
        <v>46316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5241-2024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45330</v>
      </c>
      <c r="E691" s="1" t="n">
        <v>46316</v>
      </c>
      <c r="F691" t="inlineStr">
        <is>
          <t>GÄVLEBORGS LÄN</t>
        </is>
      </c>
      <c r="G691" t="inlineStr">
        <is>
          <t>GÄVLE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29142-2026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46202</v>
      </c>
      <c r="E692" s="1" t="n">
        <v>46316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29333-2026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46202</v>
      </c>
      <c r="E693" s="1" t="n">
        <v>46316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50582-2023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45217</v>
      </c>
      <c r="E694" s="1" t="n">
        <v>46316</v>
      </c>
      <c r="F694" t="inlineStr">
        <is>
          <t>GÄVLEBORGS LÄN</t>
        </is>
      </c>
      <c r="G694" t="inlineStr">
        <is>
          <t>GÄVLE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29364-2026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46316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9235-2022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44616</v>
      </c>
      <c r="E696" s="1" t="n">
        <v>46316</v>
      </c>
      <c r="F696" t="inlineStr">
        <is>
          <t>GÄVLEBORGS LÄN</t>
        </is>
      </c>
      <c r="G696" t="inlineStr">
        <is>
          <t>GÄVLE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53082-2022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44876</v>
      </c>
      <c r="E697" s="1" t="n">
        <v>46316</v>
      </c>
      <c r="F697" t="inlineStr">
        <is>
          <t>GÄVLEBORGS LÄN</t>
        </is>
      </c>
      <c r="G697" t="inlineStr">
        <is>
          <t>GÄVLE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72734-2021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44546</v>
      </c>
      <c r="E698" s="1" t="n">
        <v>46316</v>
      </c>
      <c r="F698" t="inlineStr">
        <is>
          <t>GÄVLEBORGS LÄN</t>
        </is>
      </c>
      <c r="G698" t="inlineStr">
        <is>
          <t>GÄVLE</t>
        </is>
      </c>
      <c r="H698" t="inlineStr">
        <is>
          <t>Kommuner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15456-2026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46106</v>
      </c>
      <c r="E699" s="1" t="n">
        <v>46316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51758-2025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45950</v>
      </c>
      <c r="E700" s="1" t="n">
        <v>46316</v>
      </c>
      <c r="F700" t="inlineStr">
        <is>
          <t>GÄVLEBORGS LÄN</t>
        </is>
      </c>
      <c r="G700" t="inlineStr">
        <is>
          <t>GÄVLE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31019-2026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46206</v>
      </c>
      <c r="E701" s="1" t="n">
        <v>46316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30324-2026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46207</v>
      </c>
      <c r="E702" s="1" t="n">
        <v>46316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22363-2026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46154</v>
      </c>
      <c r="E703" s="1" t="n">
        <v>46316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66493-2021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44519</v>
      </c>
      <c r="E704" s="1" t="n">
        <v>46316</v>
      </c>
      <c r="F704" t="inlineStr">
        <is>
          <t>GÄVLEBORGS LÄN</t>
        </is>
      </c>
      <c r="G704" t="inlineStr">
        <is>
          <t>GÄVLE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46210</v>
      </c>
      <c r="E705" s="1" t="n">
        <v>46316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30967-2026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46213</v>
      </c>
      <c r="E706" s="1" t="n">
        <v>46316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25812-2023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45090</v>
      </c>
      <c r="E707" s="1" t="n">
        <v>46316</v>
      </c>
      <c r="F707" t="inlineStr">
        <is>
          <t>GÄVLEBORGS LÄN</t>
        </is>
      </c>
      <c r="G707" t="inlineStr">
        <is>
          <t>GÄVLE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31445-2026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46217</v>
      </c>
      <c r="E708" s="1" t="n">
        <v>46316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1238-2023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44936</v>
      </c>
      <c r="E709" s="1" t="n">
        <v>46316</v>
      </c>
      <c r="F709" t="inlineStr">
        <is>
          <t>GÄVLEBORGS LÄN</t>
        </is>
      </c>
      <c r="G709" t="inlineStr">
        <is>
          <t>GÄVLE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46213</v>
      </c>
      <c r="E710" s="1" t="n">
        <v>46316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31234-2026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46217</v>
      </c>
      <c r="E711" s="1" t="n">
        <v>46316</v>
      </c>
      <c r="F711" t="inlineStr">
        <is>
          <t>GÄVLEBORGS LÄN</t>
        </is>
      </c>
      <c r="G711" t="inlineStr">
        <is>
          <t>GÄVLE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45312</v>
      </c>
      <c r="E712" s="1" t="n">
        <v>46316</v>
      </c>
      <c r="F712" t="inlineStr">
        <is>
          <t>GÄVLEBORGS LÄN</t>
        </is>
      </c>
      <c r="G712" t="inlineStr">
        <is>
          <t>GÄVLE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46220</v>
      </c>
      <c r="E713" s="1" t="n">
        <v>46316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11.4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51071-2023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45218</v>
      </c>
      <c r="E714" s="1" t="n">
        <v>46316</v>
      </c>
      <c r="F714" t="inlineStr">
        <is>
          <t>GÄVLEBORGS LÄN</t>
        </is>
      </c>
      <c r="G714" t="inlineStr">
        <is>
          <t>GÄVLE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17113-2024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45412</v>
      </c>
      <c r="E715" s="1" t="n">
        <v>46316</v>
      </c>
      <c r="F715" t="inlineStr">
        <is>
          <t>GÄVLEBORGS LÄN</t>
        </is>
      </c>
      <c r="G715" t="inlineStr">
        <is>
          <t>GÄVLE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49401-2024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45595</v>
      </c>
      <c r="E716" s="1" t="n">
        <v>46316</v>
      </c>
      <c r="F716" t="inlineStr">
        <is>
          <t>GÄVLEBORGS LÄN</t>
        </is>
      </c>
      <c r="G716" t="inlineStr">
        <is>
          <t>GÄVLE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37223-2026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46274</v>
      </c>
      <c r="E717" s="1" t="n">
        <v>46316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37391-2026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46275</v>
      </c>
      <c r="E718" s="1" t="n">
        <v>46316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37401-2026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46275</v>
      </c>
      <c r="E719" s="1" t="n">
        <v>46316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19.1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64871-2023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45282</v>
      </c>
      <c r="E720" s="1" t="n">
        <v>46316</v>
      </c>
      <c r="F720" t="inlineStr">
        <is>
          <t>GÄVLEBORGS LÄN</t>
        </is>
      </c>
      <c r="G720" t="inlineStr">
        <is>
          <t>GÄVLE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64875-2023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45282</v>
      </c>
      <c r="E721" s="1" t="n">
        <v>46316</v>
      </c>
      <c r="F721" t="inlineStr">
        <is>
          <t>GÄVLEBORGS LÄN</t>
        </is>
      </c>
      <c r="G721" t="inlineStr">
        <is>
          <t>GÄVLE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64878-2023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45282</v>
      </c>
      <c r="E722" s="1" t="n">
        <v>46316</v>
      </c>
      <c r="F722" t="inlineStr">
        <is>
          <t>GÄVLEBORGS LÄN</t>
        </is>
      </c>
      <c r="G722" t="inlineStr">
        <is>
          <t>GÄVLE</t>
        </is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37134-2026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46274</v>
      </c>
      <c r="E723" s="1" t="n">
        <v>46316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väst AB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37150-2026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46274</v>
      </c>
      <c r="E724" s="1" t="n">
        <v>46316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37611-2026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46276</v>
      </c>
      <c r="E725" s="1" t="n">
        <v>46316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37640-2026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46276</v>
      </c>
      <c r="E726" s="1" t="n">
        <v>46316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42934-2023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45182</v>
      </c>
      <c r="E727" s="1" t="n">
        <v>46316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36638-2022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44804</v>
      </c>
      <c r="E728" s="1" t="n">
        <v>46316</v>
      </c>
      <c r="F728" t="inlineStr">
        <is>
          <t>GÄVLEBORGS LÄN</t>
        </is>
      </c>
      <c r="G728" t="inlineStr">
        <is>
          <t>GÄVLE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37573-2026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46276</v>
      </c>
      <c r="E729" s="1" t="n">
        <v>46316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37759-2026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46279</v>
      </c>
      <c r="E730" s="1" t="n">
        <v>46316</v>
      </c>
      <c r="F730" t="inlineStr">
        <is>
          <t>GÄVLEBORGS LÄN</t>
        </is>
      </c>
      <c r="G730" t="inlineStr">
        <is>
          <t>GÄVLE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45628-2022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44845</v>
      </c>
      <c r="E731" s="1" t="n">
        <v>46316</v>
      </c>
      <c r="F731" t="inlineStr">
        <is>
          <t>GÄVLEBORGS LÄN</t>
        </is>
      </c>
      <c r="G731" t="inlineStr">
        <is>
          <t>GÄVLE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37553-2026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46276</v>
      </c>
      <c r="E732" s="1" t="n">
        <v>46316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37765-2026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46279</v>
      </c>
      <c r="E733" s="1" t="n">
        <v>46316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38012-2026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46280</v>
      </c>
      <c r="E734" s="1" t="n">
        <v>46316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38045-2026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46280</v>
      </c>
      <c r="E735" s="1" t="n">
        <v>46316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37938-2026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46280</v>
      </c>
      <c r="E736" s="1" t="n">
        <v>46316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37935-2026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46280</v>
      </c>
      <c r="E737" s="1" t="n">
        <v>46316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37937-2026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46280</v>
      </c>
      <c r="E738" s="1" t="n">
        <v>46316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38130-2026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46281</v>
      </c>
      <c r="E739" s="1" t="n">
        <v>46316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5.8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38049-2026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46280</v>
      </c>
      <c r="E740" s="1" t="n">
        <v>46316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37934-2026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46280</v>
      </c>
      <c r="E741" s="1" t="n">
        <v>46316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38144-2026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46281</v>
      </c>
      <c r="E742" s="1" t="n">
        <v>46316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38014-2026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46280</v>
      </c>
      <c r="E743" s="1" t="n">
        <v>46316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60792-2024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45644</v>
      </c>
      <c r="E744" s="1" t="n">
        <v>46316</v>
      </c>
      <c r="F744" t="inlineStr">
        <is>
          <t>GÄVLEBORGS LÄN</t>
        </is>
      </c>
      <c r="G744" t="inlineStr">
        <is>
          <t>GÄVLE</t>
        </is>
      </c>
      <c r="H744" t="inlineStr">
        <is>
          <t>Kyrkan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60801-2024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45644</v>
      </c>
      <c r="E745" s="1" t="n">
        <v>46316</v>
      </c>
      <c r="F745" t="inlineStr">
        <is>
          <t>GÄVLEBORGS LÄN</t>
        </is>
      </c>
      <c r="G745" t="inlineStr">
        <is>
          <t>GÄVLE</t>
        </is>
      </c>
      <c r="H745" t="inlineStr">
        <is>
          <t>Kyrkan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38331-2026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46282</v>
      </c>
      <c r="E746" s="1" t="n">
        <v>46316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32437-2026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46239</v>
      </c>
      <c r="E747" s="1" t="n">
        <v>46316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38524-2026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46283</v>
      </c>
      <c r="E748" s="1" t="n">
        <v>46316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38336-2026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46282</v>
      </c>
      <c r="E749" s="1" t="n">
        <v>46316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32436-2026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46239</v>
      </c>
      <c r="E750" s="1" t="n">
        <v>46316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22577-2022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44713</v>
      </c>
      <c r="E751" s="1" t="n">
        <v>46316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10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38552-2026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46283</v>
      </c>
      <c r="E752" s="1" t="n">
        <v>46316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57168-2023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45245</v>
      </c>
      <c r="E753" s="1" t="n">
        <v>46316</v>
      </c>
      <c r="F753" t="inlineStr">
        <is>
          <t>GÄVLEBORGS LÄN</t>
        </is>
      </c>
      <c r="G753" t="inlineStr">
        <is>
          <t>GÄVLE</t>
        </is>
      </c>
      <c r="H753" t="inlineStr">
        <is>
          <t>Kyrkan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38612-2026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46283</v>
      </c>
      <c r="E754" s="1" t="n">
        <v>46316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15207-2024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45400</v>
      </c>
      <c r="E755" s="1" t="n">
        <v>46316</v>
      </c>
      <c r="F755" t="inlineStr">
        <is>
          <t>GÄVLEBORGS LÄN</t>
        </is>
      </c>
      <c r="G755" t="inlineStr">
        <is>
          <t>GÄVLE</t>
        </is>
      </c>
      <c r="I755" t="n">
        <v>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38568-2026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46283</v>
      </c>
      <c r="E756" s="1" t="n">
        <v>46316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38562-2026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46283</v>
      </c>
      <c r="E757" s="1" t="n">
        <v>46316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38582-2026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46283</v>
      </c>
      <c r="E758" s="1" t="n">
        <v>46316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38551-2026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46283</v>
      </c>
      <c r="E759" s="1" t="n">
        <v>46316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väst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38334-2026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46282</v>
      </c>
      <c r="E760" s="1" t="n">
        <v>46316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38386-2026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46282</v>
      </c>
      <c r="E761" s="1" t="n">
        <v>46316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38333-2026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46282</v>
      </c>
      <c r="E762" s="1" t="n">
        <v>46316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38335-2026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46282</v>
      </c>
      <c r="E763" s="1" t="n">
        <v>46316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38609-2026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46283</v>
      </c>
      <c r="E764" s="1" t="n">
        <v>46316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38393-2026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46282</v>
      </c>
      <c r="E765" s="1" t="n">
        <v>46316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19.8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46283</v>
      </c>
      <c r="E766" s="1" t="n">
        <v>46316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38587-2026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46283</v>
      </c>
      <c r="E767" s="1" t="n">
        <v>46316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38623-2026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46283</v>
      </c>
      <c r="E768" s="1" t="n">
        <v>46316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8.5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38624-2026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46283</v>
      </c>
      <c r="E769" s="1" t="n">
        <v>46316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38653-2026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46283</v>
      </c>
      <c r="E770" s="1" t="n">
        <v>46316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38588-2026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46283</v>
      </c>
      <c r="E771" s="1" t="n">
        <v>46316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38584-2026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46283</v>
      </c>
      <c r="E772" s="1" t="n">
        <v>46316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38979-2026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46286</v>
      </c>
      <c r="E773" s="1" t="n">
        <v>46316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46244</v>
      </c>
      <c r="E774" s="1" t="n">
        <v>46316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39031-2026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46287</v>
      </c>
      <c r="E775" s="1" t="n">
        <v>46316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39227-2026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46287</v>
      </c>
      <c r="E776" s="1" t="n">
        <v>46316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39120-2026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46287</v>
      </c>
      <c r="E777" s="1" t="n">
        <v>46316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38997-2026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46287</v>
      </c>
      <c r="E778" s="1" t="n">
        <v>46316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60396-2022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44910</v>
      </c>
      <c r="E779" s="1" t="n">
        <v>46316</v>
      </c>
      <c r="F779" t="inlineStr">
        <is>
          <t>GÄVLEBORGS LÄN</t>
        </is>
      </c>
      <c r="G779" t="inlineStr">
        <is>
          <t>GÄVLE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39083-2026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46287</v>
      </c>
      <c r="E780" s="1" t="n">
        <v>46316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25276-2024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45462</v>
      </c>
      <c r="E781" s="1" t="n">
        <v>46316</v>
      </c>
      <c r="F781" t="inlineStr">
        <is>
          <t>GÄVLEBORGS LÄN</t>
        </is>
      </c>
      <c r="G781" t="inlineStr">
        <is>
          <t>GÄVLE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45660</v>
      </c>
      <c r="E782" s="1" t="n">
        <v>46316</v>
      </c>
      <c r="F782" t="inlineStr">
        <is>
          <t>GÄVLEBORGS LÄN</t>
        </is>
      </c>
      <c r="G782" t="inlineStr">
        <is>
          <t>GÄVLE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45660</v>
      </c>
      <c r="E783" s="1" t="n">
        <v>46316</v>
      </c>
      <c r="F783" t="inlineStr">
        <is>
          <t>GÄVLEBORGS LÄN</t>
        </is>
      </c>
      <c r="G783" t="inlineStr">
        <is>
          <t>GÄVLE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32888-2026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46244</v>
      </c>
      <c r="E784" s="1" t="n">
        <v>46316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32887-2026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46244</v>
      </c>
      <c r="E785" s="1" t="n">
        <v>46316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27182-2022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44741</v>
      </c>
      <c r="E786" s="1" t="n">
        <v>46316</v>
      </c>
      <c r="F786" t="inlineStr">
        <is>
          <t>GÄVLEBORGS LÄN</t>
        </is>
      </c>
      <c r="G786" t="inlineStr">
        <is>
          <t>GÄVLE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39021-2026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46287</v>
      </c>
      <c r="E787" s="1" t="n">
        <v>46316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8031-2024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45350</v>
      </c>
      <c r="E788" s="1" t="n">
        <v>46316</v>
      </c>
      <c r="F788" t="inlineStr">
        <is>
          <t>GÄVLEBORGS LÄN</t>
        </is>
      </c>
      <c r="G788" t="inlineStr">
        <is>
          <t>GÄVLE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61351-2021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44498</v>
      </c>
      <c r="E789" s="1" t="n">
        <v>46316</v>
      </c>
      <c r="F789" t="inlineStr">
        <is>
          <t>GÄVLEBORGS LÄN</t>
        </is>
      </c>
      <c r="G789" t="inlineStr">
        <is>
          <t>GÄVLE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33231-2026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46246</v>
      </c>
      <c r="E790" s="1" t="n">
        <v>46316</v>
      </c>
      <c r="F790" t="inlineStr">
        <is>
          <t>GÄVLEBORGS LÄN</t>
        </is>
      </c>
      <c r="G790" t="inlineStr">
        <is>
          <t>GÄVLE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33346-2026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46246</v>
      </c>
      <c r="E791" s="1" t="n">
        <v>46316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33349-2026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46246</v>
      </c>
      <c r="E792" s="1" t="n">
        <v>46316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39684-2026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46289</v>
      </c>
      <c r="E793" s="1" t="n">
        <v>46316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33348-2026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46246</v>
      </c>
      <c r="E794" s="1" t="n">
        <v>46316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33350-2026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46246</v>
      </c>
      <c r="E795" s="1" t="n">
        <v>46316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39685-2026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46289</v>
      </c>
      <c r="E796" s="1" t="n">
        <v>46316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53281-2024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45614</v>
      </c>
      <c r="E797" s="1" t="n">
        <v>46316</v>
      </c>
      <c r="F797" t="inlineStr">
        <is>
          <t>GÄVLEBORGS LÄN</t>
        </is>
      </c>
      <c r="G797" t="inlineStr">
        <is>
          <t>GÄVLE</t>
        </is>
      </c>
      <c r="I797" t="n">
        <v>6.5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39534-2026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46289</v>
      </c>
      <c r="E798" s="1" t="n">
        <v>46316</v>
      </c>
      <c r="F798" t="inlineStr">
        <is>
          <t>GÄVLEBORGS LÄN</t>
        </is>
      </c>
      <c r="G798" t="inlineStr">
        <is>
          <t>GÄVLE</t>
        </is>
      </c>
      <c r="I798" t="n">
        <v>7.1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33265-2026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46246</v>
      </c>
      <c r="E799" s="1" t="n">
        <v>46316</v>
      </c>
      <c r="F799" t="inlineStr">
        <is>
          <t>GÄVLEBORGS LÄN</t>
        </is>
      </c>
      <c r="G799" t="inlineStr">
        <is>
          <t>GÄVLE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60879-2023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45261</v>
      </c>
      <c r="E800" s="1" t="n">
        <v>46316</v>
      </c>
      <c r="F800" t="inlineStr">
        <is>
          <t>GÄVLEBORGS LÄN</t>
        </is>
      </c>
      <c r="G800" t="inlineStr">
        <is>
          <t>GÄVLE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33347-2026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46246</v>
      </c>
      <c r="E801" s="1" t="n">
        <v>46316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39437-2026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46288</v>
      </c>
      <c r="E802" s="1" t="n">
        <v>46316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väst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33662-2026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46248</v>
      </c>
      <c r="E803" s="1" t="n">
        <v>46316</v>
      </c>
      <c r="F803" t="inlineStr">
        <is>
          <t>GÄVLEBORGS LÄN</t>
        </is>
      </c>
      <c r="G803" t="inlineStr">
        <is>
          <t>GÄVLE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33664-2026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46248</v>
      </c>
      <c r="E804" s="1" t="n">
        <v>46316</v>
      </c>
      <c r="F804" t="inlineStr">
        <is>
          <t>GÄVLEBORGS LÄN</t>
        </is>
      </c>
      <c r="G804" t="inlineStr">
        <is>
          <t>GÄVLE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15312-2023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45019</v>
      </c>
      <c r="E805" s="1" t="n">
        <v>46316</v>
      </c>
      <c r="F805" t="inlineStr">
        <is>
          <t>GÄVLEBORGS LÄN</t>
        </is>
      </c>
      <c r="G805" t="inlineStr">
        <is>
          <t>GÄVLE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28624-2025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45819</v>
      </c>
      <c r="E806" s="1" t="n">
        <v>46316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33586-2026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46248</v>
      </c>
      <c r="E807" s="1" t="n">
        <v>46316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40173-2026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46293</v>
      </c>
      <c r="E808" s="1" t="n">
        <v>46316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27048-2026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46185</v>
      </c>
      <c r="E809" s="1" t="n">
        <v>46316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52387-2022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44874</v>
      </c>
      <c r="E810" s="1" t="n">
        <v>46316</v>
      </c>
      <c r="F810" t="inlineStr">
        <is>
          <t>GÄVLEBORGS LÄN</t>
        </is>
      </c>
      <c r="G810" t="inlineStr">
        <is>
          <t>GÄVLE</t>
        </is>
      </c>
      <c r="H810" t="inlineStr">
        <is>
          <t>Kommuner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40180-2026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46293</v>
      </c>
      <c r="E811" s="1" t="n">
        <v>46316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33585-2026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46248</v>
      </c>
      <c r="E812" s="1" t="n">
        <v>46316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9.5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31011-2023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45113</v>
      </c>
      <c r="E813" s="1" t="n">
        <v>46316</v>
      </c>
      <c r="F813" t="inlineStr">
        <is>
          <t>GÄVLEBORGS LÄN</t>
        </is>
      </c>
      <c r="G813" t="inlineStr">
        <is>
          <t>GÄVLE</t>
        </is>
      </c>
      <c r="I813" t="n">
        <v>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39729-2026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46290</v>
      </c>
      <c r="E814" s="1" t="n">
        <v>46316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20.9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39766-2026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46290</v>
      </c>
      <c r="E815" s="1" t="n">
        <v>46316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22466-2023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45070</v>
      </c>
      <c r="E816" s="1" t="n">
        <v>46316</v>
      </c>
      <c r="F816" t="inlineStr">
        <is>
          <t>GÄVLEBORGS LÄN</t>
        </is>
      </c>
      <c r="G816" t="inlineStr">
        <is>
          <t>GÄVLE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39805-2026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46316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7.4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39891-2026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46290</v>
      </c>
      <c r="E818" s="1" t="n">
        <v>46316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40118-2026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46293</v>
      </c>
      <c r="E819" s="1" t="n">
        <v>46316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16023-2023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45026</v>
      </c>
      <c r="E820" s="1" t="n">
        <v>46316</v>
      </c>
      <c r="F820" t="inlineStr">
        <is>
          <t>GÄVLEBORGS LÄN</t>
        </is>
      </c>
      <c r="G820" t="inlineStr">
        <is>
          <t>GÄVLE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39702-2026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46290</v>
      </c>
      <c r="E821" s="1" t="n">
        <v>46316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25829-2024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45467</v>
      </c>
      <c r="E822" s="1" t="n">
        <v>46316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40052-2026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46316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7235-2025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45702</v>
      </c>
      <c r="E824" s="1" t="n">
        <v>46316</v>
      </c>
      <c r="F824" t="inlineStr">
        <is>
          <t>GÄVLEBORGS LÄN</t>
        </is>
      </c>
      <c r="G824" t="inlineStr">
        <is>
          <t>GÄVLE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71215-2021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44539</v>
      </c>
      <c r="E825" s="1" t="n">
        <v>46316</v>
      </c>
      <c r="F825" t="inlineStr">
        <is>
          <t>GÄVLEBORGS LÄN</t>
        </is>
      </c>
      <c r="G825" t="inlineStr">
        <is>
          <t>GÄVLE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24367-2026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46169</v>
      </c>
      <c r="E826" s="1" t="n">
        <v>46316</v>
      </c>
      <c r="F826" t="inlineStr">
        <is>
          <t>GÄVLEBORGS LÄN</t>
        </is>
      </c>
      <c r="G826" t="inlineStr">
        <is>
          <t>GÄVLE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40505-2026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46295</v>
      </c>
      <c r="E827" s="1" t="n">
        <v>46316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61879-2024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45652</v>
      </c>
      <c r="E828" s="1" t="n">
        <v>46316</v>
      </c>
      <c r="F828" t="inlineStr">
        <is>
          <t>GÄVLEBORGS LÄN</t>
        </is>
      </c>
      <c r="G828" t="inlineStr">
        <is>
          <t>GÄVLE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40507-2026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46295</v>
      </c>
      <c r="E829" s="1" t="n">
        <v>46316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33719-2026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46251</v>
      </c>
      <c r="E830" s="1" t="n">
        <v>46316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19712-2022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44694</v>
      </c>
      <c r="E831" s="1" t="n">
        <v>46316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39509-2022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44818</v>
      </c>
      <c r="E832" s="1" t="n">
        <v>46316</v>
      </c>
      <c r="F832" t="inlineStr">
        <is>
          <t>GÄVLEBORGS LÄN</t>
        </is>
      </c>
      <c r="G832" t="inlineStr">
        <is>
          <t>GÄVLE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40504-2026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46295</v>
      </c>
      <c r="E833" s="1" t="n">
        <v>46316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5.2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30662-2022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44763</v>
      </c>
      <c r="E834" s="1" t="n">
        <v>46316</v>
      </c>
      <c r="F834" t="inlineStr">
        <is>
          <t>GÄVLEBORGS LÄN</t>
        </is>
      </c>
      <c r="G834" t="inlineStr">
        <is>
          <t>GÄVLE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34033-2026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46252</v>
      </c>
      <c r="E835" s="1" t="n">
        <v>46316</v>
      </c>
      <c r="F835" t="inlineStr">
        <is>
          <t>GÄVLEBORGS LÄN</t>
        </is>
      </c>
      <c r="G835" t="inlineStr">
        <is>
          <t>GÄVLE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37352-2024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45540</v>
      </c>
      <c r="E836" s="1" t="n">
        <v>46316</v>
      </c>
      <c r="F836" t="inlineStr">
        <is>
          <t>GÄVLEBORGS LÄN</t>
        </is>
      </c>
      <c r="G836" t="inlineStr">
        <is>
          <t>GÄVLE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17605-2025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45757</v>
      </c>
      <c r="E837" s="1" t="n">
        <v>46316</v>
      </c>
      <c r="F837" t="inlineStr">
        <is>
          <t>GÄVLEBORGS LÄN</t>
        </is>
      </c>
      <c r="G837" t="inlineStr">
        <is>
          <t>GÄVLE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17607-2025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45757</v>
      </c>
      <c r="E838" s="1" t="n">
        <v>46316</v>
      </c>
      <c r="F838" t="inlineStr">
        <is>
          <t>GÄVLEBORGS LÄN</t>
        </is>
      </c>
      <c r="G838" t="inlineStr">
        <is>
          <t>GÄVLE</t>
        </is>
      </c>
      <c r="I838" t="n">
        <v>7.6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14974-2026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46316</v>
      </c>
      <c r="F839" t="inlineStr">
        <is>
          <t>GÄVLEBORGS LÄN</t>
        </is>
      </c>
      <c r="G839" t="inlineStr">
        <is>
          <t>GÄVLE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23117-2026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46161</v>
      </c>
      <c r="E840" s="1" t="n">
        <v>46316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40375-2026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46294</v>
      </c>
      <c r="E841" s="1" t="n">
        <v>46316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40943-2026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46297</v>
      </c>
      <c r="E842" s="1" t="n">
        <v>46316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40947-2026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46297</v>
      </c>
      <c r="E843" s="1" t="n">
        <v>46316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40896-2026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46297</v>
      </c>
      <c r="E844" s="1" t="n">
        <v>46316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34415-2026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46254</v>
      </c>
      <c r="E845" s="1" t="n">
        <v>46316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27051-2026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46316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56487-2023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45243</v>
      </c>
      <c r="E847" s="1" t="n">
        <v>46316</v>
      </c>
      <c r="F847" t="inlineStr">
        <is>
          <t>GÄVLEBORGS LÄN</t>
        </is>
      </c>
      <c r="G847" t="inlineStr">
        <is>
          <t>GÄVLE</t>
        </is>
      </c>
      <c r="I847" t="n">
        <v>8.699999999999999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9307-2022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44616</v>
      </c>
      <c r="E848" s="1" t="n">
        <v>46316</v>
      </c>
      <c r="F848" t="inlineStr">
        <is>
          <t>GÄVLEBORGS LÄN</t>
        </is>
      </c>
      <c r="G848" t="inlineStr">
        <is>
          <t>GÄVLE</t>
        </is>
      </c>
      <c r="I848" t="n">
        <v>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13193-2025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45735</v>
      </c>
      <c r="E849" s="1" t="n">
        <v>46316</v>
      </c>
      <c r="F849" t="inlineStr">
        <is>
          <t>GÄVLEBORGS LÄN</t>
        </is>
      </c>
      <c r="G849" t="inlineStr">
        <is>
          <t>GÄVLE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40791-2026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46296</v>
      </c>
      <c r="E850" s="1" t="n">
        <v>46316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31866-2023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45106</v>
      </c>
      <c r="E851" s="1" t="n">
        <v>46316</v>
      </c>
      <c r="F851" t="inlineStr">
        <is>
          <t>GÄVLEBORGS LÄN</t>
        </is>
      </c>
      <c r="G851" t="inlineStr">
        <is>
          <t>GÄVLE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8298-2026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46063</v>
      </c>
      <c r="E852" s="1" t="n">
        <v>46316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14807-2023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45014</v>
      </c>
      <c r="E853" s="1" t="n">
        <v>46316</v>
      </c>
      <c r="F853" t="inlineStr">
        <is>
          <t>GÄVLEBORGS LÄN</t>
        </is>
      </c>
      <c r="G853" t="inlineStr">
        <is>
          <t>GÄVLE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54959-2025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45967</v>
      </c>
      <c r="E854" s="1" t="n">
        <v>46316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34432-2026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46254</v>
      </c>
      <c r="E855" s="1" t="n">
        <v>46316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33880-2022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44790</v>
      </c>
      <c r="E856" s="1" t="n">
        <v>46316</v>
      </c>
      <c r="F856" t="inlineStr">
        <is>
          <t>GÄVLEBORGS LÄN</t>
        </is>
      </c>
      <c r="G856" t="inlineStr">
        <is>
          <t>GÄVLE</t>
        </is>
      </c>
      <c r="I856" t="n">
        <v>9.4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40938-2026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46297</v>
      </c>
      <c r="E857" s="1" t="n">
        <v>46316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40941-2026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46297</v>
      </c>
      <c r="E858" s="1" t="n">
        <v>46316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40948-2026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46297</v>
      </c>
      <c r="E859" s="1" t="n">
        <v>46316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40949-2026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46297</v>
      </c>
      <c r="E860" s="1" t="n">
        <v>46316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50345-2025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45944</v>
      </c>
      <c r="E861" s="1" t="n">
        <v>46316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54960-2025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45967</v>
      </c>
      <c r="E862" s="1" t="n">
        <v>46316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6370-2025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45699</v>
      </c>
      <c r="E863" s="1" t="n">
        <v>46316</v>
      </c>
      <c r="F863" t="inlineStr">
        <is>
          <t>GÄVLEBORGS LÄN</t>
        </is>
      </c>
      <c r="G863" t="inlineStr">
        <is>
          <t>GÄVLE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34822-2026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46258</v>
      </c>
      <c r="E864" s="1" t="n">
        <v>46316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11691-2024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45373</v>
      </c>
      <c r="E865" s="1" t="n">
        <v>46316</v>
      </c>
      <c r="F865" t="inlineStr">
        <is>
          <t>GÄVLEBORGS LÄN</t>
        </is>
      </c>
      <c r="G865" t="inlineStr">
        <is>
          <t>GÄVLE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34686-2026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46258</v>
      </c>
      <c r="E866" s="1" t="n">
        <v>46316</v>
      </c>
      <c r="F866" t="inlineStr">
        <is>
          <t>GÄVLEBORGS LÄN</t>
        </is>
      </c>
      <c r="G866" t="inlineStr">
        <is>
          <t>GÄVLE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62766-2022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44885</v>
      </c>
      <c r="E867" s="1" t="n">
        <v>46316</v>
      </c>
      <c r="F867" t="inlineStr">
        <is>
          <t>GÄVLEBORGS LÄN</t>
        </is>
      </c>
      <c r="G867" t="inlineStr">
        <is>
          <t>GÄVLE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25808-2026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46178</v>
      </c>
      <c r="E868" s="1" t="n">
        <v>46316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58925-2025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45987</v>
      </c>
      <c r="E869" s="1" t="n">
        <v>46316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64873-2023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45282</v>
      </c>
      <c r="E870" s="1" t="n">
        <v>46316</v>
      </c>
      <c r="F870" t="inlineStr">
        <is>
          <t>GÄVLEBORGS LÄN</t>
        </is>
      </c>
      <c r="G870" t="inlineStr">
        <is>
          <t>GÄVLE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27040-2026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46185</v>
      </c>
      <c r="E871" s="1" t="n">
        <v>46316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5.5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41542-2026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46301</v>
      </c>
      <c r="E872" s="1" t="n">
        <v>46316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5.7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34591-2026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46255</v>
      </c>
      <c r="E873" s="1" t="n">
        <v>46316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41543-2026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46301</v>
      </c>
      <c r="E874" s="1" t="n">
        <v>46316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41106-2026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46300</v>
      </c>
      <c r="E875" s="1" t="n">
        <v>46316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21367-2026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46147</v>
      </c>
      <c r="E876" s="1" t="n">
        <v>46316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30600-2026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46210</v>
      </c>
      <c r="E877" s="1" t="n">
        <v>46316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29862-2023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45107</v>
      </c>
      <c r="E878" s="1" t="n">
        <v>46316</v>
      </c>
      <c r="F878" t="inlineStr">
        <is>
          <t>GÄVLEBORGS LÄN</t>
        </is>
      </c>
      <c r="G878" t="inlineStr">
        <is>
          <t>GÄVLE</t>
        </is>
      </c>
      <c r="I878" t="n">
        <v>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13500-2026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46094</v>
      </c>
      <c r="E879" s="1" t="n">
        <v>46316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38191-2026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46281</v>
      </c>
      <c r="E880" s="1" t="n">
        <v>46316</v>
      </c>
      <c r="F880" t="inlineStr">
        <is>
          <t>GÄVLEBORGS LÄN</t>
        </is>
      </c>
      <c r="G880" t="inlineStr">
        <is>
          <t>GÄVLE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21365-2026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46147</v>
      </c>
      <c r="E881" s="1" t="n">
        <v>46316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26016-2026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46181</v>
      </c>
      <c r="E882" s="1" t="n">
        <v>46316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38051-2026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46280</v>
      </c>
      <c r="E883" s="1" t="n">
        <v>46316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24478-2023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45082</v>
      </c>
      <c r="E884" s="1" t="n">
        <v>46316</v>
      </c>
      <c r="F884" t="inlineStr">
        <is>
          <t>GÄVLEBORGS LÄN</t>
        </is>
      </c>
      <c r="G884" t="inlineStr">
        <is>
          <t>GÄVLE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41544-2026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46301</v>
      </c>
      <c r="E885" s="1" t="n">
        <v>46316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34590-2026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46255</v>
      </c>
      <c r="E886" s="1" t="n">
        <v>46316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34593-2026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46255</v>
      </c>
      <c r="E887" s="1" t="n">
        <v>46316</v>
      </c>
      <c r="F887" t="inlineStr">
        <is>
          <t>GÄVLEBORGS LÄN</t>
        </is>
      </c>
      <c r="G887" t="inlineStr">
        <is>
          <t>GÄVLE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17088-2023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45034</v>
      </c>
      <c r="E888" s="1" t="n">
        <v>46316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7792-2023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44973</v>
      </c>
      <c r="E889" s="1" t="n">
        <v>46316</v>
      </c>
      <c r="F889" t="inlineStr">
        <is>
          <t>GÄVLEBORGS LÄN</t>
        </is>
      </c>
      <c r="G889" t="inlineStr">
        <is>
          <t>GÄVLE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14735-2024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45397</v>
      </c>
      <c r="E890" s="1" t="n">
        <v>46316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35761-2022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44800</v>
      </c>
      <c r="E891" s="1" t="n">
        <v>46316</v>
      </c>
      <c r="F891" t="inlineStr">
        <is>
          <t>GÄVLEBORGS LÄN</t>
        </is>
      </c>
      <c r="G891" t="inlineStr">
        <is>
          <t>GÄVLE</t>
        </is>
      </c>
      <c r="I891" t="n">
        <v>8.199999999999999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11572-2026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46084</v>
      </c>
      <c r="E892" s="1" t="n">
        <v>46316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18217-2024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45420</v>
      </c>
      <c r="E893" s="1" t="n">
        <v>46316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14553-2026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46100</v>
      </c>
      <c r="E894" s="1" t="n">
        <v>46316</v>
      </c>
      <c r="F894" t="inlineStr">
        <is>
          <t>GÄVLEBORGS LÄN</t>
        </is>
      </c>
      <c r="G894" t="inlineStr">
        <is>
          <t>GÄVLE</t>
        </is>
      </c>
      <c r="H894" t="inlineStr">
        <is>
          <t>Övriga statliga verk och myndigheter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13046-2026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46093</v>
      </c>
      <c r="E895" s="1" t="n">
        <v>46316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40790-2026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46296</v>
      </c>
      <c r="E896" s="1" t="n">
        <v>46316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35120-2026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46260</v>
      </c>
      <c r="E897" s="1" t="n">
        <v>46316</v>
      </c>
      <c r="F897" t="inlineStr">
        <is>
          <t>GÄVLEBORGS LÄN</t>
        </is>
      </c>
      <c r="G897" t="inlineStr">
        <is>
          <t>GÄVLE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42029-2026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46304</v>
      </c>
      <c r="E898" s="1" t="n">
        <v>46316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35302-2026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46261</v>
      </c>
      <c r="E899" s="1" t="n">
        <v>46316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4.4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42112-2026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46304</v>
      </c>
      <c r="E900" s="1" t="n">
        <v>46316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7.3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35495-2026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46262</v>
      </c>
      <c r="E901" s="1" t="n">
        <v>46316</v>
      </c>
      <c r="F901" t="inlineStr">
        <is>
          <t>GÄVLEBORGS LÄN</t>
        </is>
      </c>
      <c r="G901" t="inlineStr">
        <is>
          <t>GÄVLE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35561-2026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46262</v>
      </c>
      <c r="E902" s="1" t="n">
        <v>46316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61918-2023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45266</v>
      </c>
      <c r="E903" s="1" t="n">
        <v>46316</v>
      </c>
      <c r="F903" t="inlineStr">
        <is>
          <t>GÄVLEBORGS LÄN</t>
        </is>
      </c>
      <c r="G903" t="inlineStr">
        <is>
          <t>GÄVLE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42080-2026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46304</v>
      </c>
      <c r="E904" s="1" t="n">
        <v>46316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35577-2026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46262</v>
      </c>
      <c r="E905" s="1" t="n">
        <v>46316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35326-2026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46261</v>
      </c>
      <c r="E906" s="1" t="n">
        <v>46316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17245-2024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45414</v>
      </c>
      <c r="E907" s="1" t="n">
        <v>46316</v>
      </c>
      <c r="F907" t="inlineStr">
        <is>
          <t>GÄVLEBORGS LÄN</t>
        </is>
      </c>
      <c r="G907" t="inlineStr">
        <is>
          <t>GÄVLE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42040-2026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46304</v>
      </c>
      <c r="E908" s="1" t="n">
        <v>46316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5.3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35387-2026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46261</v>
      </c>
      <c r="E909" s="1" t="n">
        <v>46316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35388-2026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46261</v>
      </c>
      <c r="E910" s="1" t="n">
        <v>46316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42046-2026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46304</v>
      </c>
      <c r="E911" s="1" t="n">
        <v>46316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41793-2026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46303</v>
      </c>
      <c r="E912" s="1" t="n">
        <v>46316</v>
      </c>
      <c r="F912" t="inlineStr">
        <is>
          <t>GÄVLEBORGS LÄN</t>
        </is>
      </c>
      <c r="G912" t="inlineStr">
        <is>
          <t>GÄVLE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48246-2025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45933</v>
      </c>
      <c r="E913" s="1" t="n">
        <v>46316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5.1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35541-2026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46262</v>
      </c>
      <c r="E914" s="1" t="n">
        <v>46316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42136-2026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46304</v>
      </c>
      <c r="E915" s="1" t="n">
        <v>46316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väst AB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62255-2022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44922</v>
      </c>
      <c r="E916" s="1" t="n">
        <v>46316</v>
      </c>
      <c r="F916" t="inlineStr">
        <is>
          <t>GÄVLEBORGS LÄN</t>
        </is>
      </c>
      <c r="G916" t="inlineStr">
        <is>
          <t>GÄVLE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57928-2024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45631</v>
      </c>
      <c r="E917" s="1" t="n">
        <v>46316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42061-2026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46304</v>
      </c>
      <c r="E918" s="1" t="n">
        <v>46316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väst AB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9422-2025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45715</v>
      </c>
      <c r="E919" s="1" t="n">
        <v>46316</v>
      </c>
      <c r="F919" t="inlineStr">
        <is>
          <t>GÄVLEBORGS LÄN</t>
        </is>
      </c>
      <c r="G919" t="inlineStr">
        <is>
          <t>GÄVLE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42133-2026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46304</v>
      </c>
      <c r="E920" s="1" t="n">
        <v>46316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4.2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61843-2023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45266</v>
      </c>
      <c r="E921" s="1" t="n">
        <v>46316</v>
      </c>
      <c r="F921" t="inlineStr">
        <is>
          <t>GÄVLEBORGS LÄN</t>
        </is>
      </c>
      <c r="G921" t="inlineStr">
        <is>
          <t>GÄVLE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45660</v>
      </c>
      <c r="E922" s="1" t="n">
        <v>46316</v>
      </c>
      <c r="F922" t="inlineStr">
        <is>
          <t>GÄVLEBORGS LÄN</t>
        </is>
      </c>
      <c r="G922" t="inlineStr">
        <is>
          <t>GÄVLE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42137-2026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46304</v>
      </c>
      <c r="E923" s="1" t="n">
        <v>46316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33449-2024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45519</v>
      </c>
      <c r="E924" s="1" t="n">
        <v>46316</v>
      </c>
      <c r="F924" t="inlineStr">
        <is>
          <t>GÄVLEBORGS LÄN</t>
        </is>
      </c>
      <c r="G924" t="inlineStr">
        <is>
          <t>GÄVLE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35440-2023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45146</v>
      </c>
      <c r="E925" s="1" t="n">
        <v>46316</v>
      </c>
      <c r="F925" t="inlineStr">
        <is>
          <t>GÄVLEBORGS LÄN</t>
        </is>
      </c>
      <c r="G925" t="inlineStr">
        <is>
          <t>GÄVLE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42483-2026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46308</v>
      </c>
      <c r="E926" s="1" t="n">
        <v>46316</v>
      </c>
      <c r="F926" t="inlineStr">
        <is>
          <t>GÄVLEBORGS LÄN</t>
        </is>
      </c>
      <c r="G926" t="inlineStr">
        <is>
          <t>GÄVLE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42511-2026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46308</v>
      </c>
      <c r="E927" s="1" t="n">
        <v>46316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9.9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42560-2026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46308</v>
      </c>
      <c r="E928" s="1" t="n">
        <v>46316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13.2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3662-2022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44586</v>
      </c>
      <c r="E929" s="1" t="n">
        <v>46316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7410-2025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45705</v>
      </c>
      <c r="E930" s="1" t="n">
        <v>46316</v>
      </c>
      <c r="F930" t="inlineStr">
        <is>
          <t>GÄVLEBORGS LÄN</t>
        </is>
      </c>
      <c r="G930" t="inlineStr">
        <is>
          <t>GÄVLE</t>
        </is>
      </c>
      <c r="I930" t="n">
        <v>4.7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35331-2024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45530</v>
      </c>
      <c r="E931" s="1" t="n">
        <v>46316</v>
      </c>
      <c r="F931" t="inlineStr">
        <is>
          <t>GÄVLEBORGS LÄN</t>
        </is>
      </c>
      <c r="G931" t="inlineStr">
        <is>
          <t>GÄVLE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44927</v>
      </c>
      <c r="E932" s="1" t="n">
        <v>46316</v>
      </c>
      <c r="F932" t="inlineStr">
        <is>
          <t>GÄVLEBORGS LÄN</t>
        </is>
      </c>
      <c r="G932" t="inlineStr">
        <is>
          <t>GÄVLE</t>
        </is>
      </c>
      <c r="I932" t="n">
        <v>4.4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42661-2026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46309</v>
      </c>
      <c r="E933" s="1" t="n">
        <v>46316</v>
      </c>
      <c r="F933" t="inlineStr">
        <is>
          <t>GÄVLEBORGS LÄN</t>
        </is>
      </c>
      <c r="G933" t="inlineStr">
        <is>
          <t>GÄVLE</t>
        </is>
      </c>
      <c r="I933" t="n">
        <v>5.4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35780-2026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46265</v>
      </c>
      <c r="E934" s="1" t="n">
        <v>46316</v>
      </c>
      <c r="F934" t="inlineStr">
        <is>
          <t>GÄVLEBORGS LÄN</t>
        </is>
      </c>
      <c r="G934" t="inlineStr">
        <is>
          <t>GÄVLE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35818-2026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46265</v>
      </c>
      <c r="E935" s="1" t="n">
        <v>46316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väst AB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44806-2024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45574</v>
      </c>
      <c r="E936" s="1" t="n">
        <v>46316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52250-2024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45608</v>
      </c>
      <c r="E937" s="1" t="n">
        <v>46316</v>
      </c>
      <c r="F937" t="inlineStr">
        <is>
          <t>GÄVLEBORGS LÄN</t>
        </is>
      </c>
      <c r="G937" t="inlineStr">
        <is>
          <t>GÄVLE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30875-2022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44767</v>
      </c>
      <c r="E938" s="1" t="n">
        <v>46316</v>
      </c>
      <c r="F938" t="inlineStr">
        <is>
          <t>GÄVLEBORGS LÄN</t>
        </is>
      </c>
      <c r="G938" t="inlineStr">
        <is>
          <t>GÄVLE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60349-2022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44910</v>
      </c>
      <c r="E939" s="1" t="n">
        <v>46316</v>
      </c>
      <c r="F939" t="inlineStr">
        <is>
          <t>GÄVLEBORGS LÄN</t>
        </is>
      </c>
      <c r="G939" t="inlineStr">
        <is>
          <t>GÄVLE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41100-2024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45559</v>
      </c>
      <c r="E940" s="1" t="n">
        <v>46316</v>
      </c>
      <c r="F940" t="inlineStr">
        <is>
          <t>GÄVLEBORGS LÄN</t>
        </is>
      </c>
      <c r="G940" t="inlineStr">
        <is>
          <t>GÄVLE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36091-2026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46267</v>
      </c>
      <c r="E941" s="1" t="n">
        <v>46316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31566-2026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46223</v>
      </c>
      <c r="E942" s="1" t="n">
        <v>46316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10.2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35205-2024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45530</v>
      </c>
      <c r="E943" s="1" t="n">
        <v>46316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36089-2026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46267</v>
      </c>
      <c r="E944" s="1" t="n">
        <v>46316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36093-2026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46267</v>
      </c>
      <c r="E945" s="1" t="n">
        <v>46316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5.4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36086-2026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46267</v>
      </c>
      <c r="E946" s="1" t="n">
        <v>46316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36132-2026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46267</v>
      </c>
      <c r="E947" s="1" t="n">
        <v>46316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16401-2025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45751</v>
      </c>
      <c r="E948" s="1" t="n">
        <v>46316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36920-2026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46273</v>
      </c>
      <c r="E949" s="1" t="n">
        <v>46316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36935-2026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46273</v>
      </c>
      <c r="E950" s="1" t="n">
        <v>46316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6.1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5633-2024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45334</v>
      </c>
      <c r="E951" s="1" t="n">
        <v>46316</v>
      </c>
      <c r="F951" t="inlineStr">
        <is>
          <t>GÄVLEBORGS LÄN</t>
        </is>
      </c>
      <c r="G951" t="inlineStr">
        <is>
          <t>GÄVLE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13961-2024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45392</v>
      </c>
      <c r="E952" s="1" t="n">
        <v>46316</v>
      </c>
      <c r="F952" t="inlineStr">
        <is>
          <t>GÄVLEBORGS LÄN</t>
        </is>
      </c>
      <c r="G952" t="inlineStr">
        <is>
          <t>GÄVLE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43266-2026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46314</v>
      </c>
      <c r="E953" s="1" t="n">
        <v>46316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6.9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36558-2026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46269</v>
      </c>
      <c r="E954" s="1" t="n">
        <v>46316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36530-2026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46269</v>
      </c>
      <c r="E955" s="1" t="n">
        <v>46316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13475-2026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46094</v>
      </c>
      <c r="E956" s="1" t="n">
        <v>46316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36962-2026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46273</v>
      </c>
      <c r="E957" s="1" t="n">
        <v>46316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43196-2026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46314</v>
      </c>
      <c r="E958" s="1" t="n">
        <v>46316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43213-2026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46314</v>
      </c>
      <c r="E959" s="1" t="n">
        <v>46316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6.5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36512-2026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46269</v>
      </c>
      <c r="E960" s="1" t="n">
        <v>46316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36732-2026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46272</v>
      </c>
      <c r="E961" s="1" t="n">
        <v>46316</v>
      </c>
      <c r="F961" t="inlineStr">
        <is>
          <t>GÄVLEBORGS LÄN</t>
        </is>
      </c>
      <c r="G961" t="inlineStr">
        <is>
          <t>GÄVLE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36739-2026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46272</v>
      </c>
      <c r="E962" s="1" t="n">
        <v>46316</v>
      </c>
      <c r="F962" t="inlineStr">
        <is>
          <t>GÄVLEBORGS LÄN</t>
        </is>
      </c>
      <c r="G962" t="inlineStr">
        <is>
          <t>GÄVLE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36909-2026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46273</v>
      </c>
      <c r="E963" s="1" t="n">
        <v>46316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5.2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1252-2026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46031</v>
      </c>
      <c r="E964" s="1" t="n">
        <v>46316</v>
      </c>
      <c r="F964" t="inlineStr">
        <is>
          <t>GÄVLEBORGS LÄN</t>
        </is>
      </c>
      <c r="G964" t="inlineStr">
        <is>
          <t>GÄVLE</t>
        </is>
      </c>
      <c r="I964" t="n">
        <v>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46269</v>
      </c>
      <c r="E965" s="1" t="n">
        <v>46316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36784-2026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46316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väst AB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43502-2026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46315</v>
      </c>
      <c r="E967" s="1" t="n">
        <v>46316</v>
      </c>
      <c r="F967" t="inlineStr">
        <is>
          <t>GÄVLEBORGS LÄN</t>
        </is>
      </c>
      <c r="G967" t="inlineStr">
        <is>
          <t>GÄVLE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43493-2026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46315</v>
      </c>
      <c r="E968" s="1" t="n">
        <v>46316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43298-2026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46314</v>
      </c>
      <c r="E969" s="1" t="n">
        <v>46316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36957-2026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46273</v>
      </c>
      <c r="E970" s="1" t="n">
        <v>46316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36945-2026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46273</v>
      </c>
      <c r="E971" s="1" t="n">
        <v>46316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25466-2023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45089</v>
      </c>
      <c r="E972" s="1" t="n">
        <v>46316</v>
      </c>
      <c r="F972" t="inlineStr">
        <is>
          <t>GÄVLEBORGS LÄN</t>
        </is>
      </c>
      <c r="G972" t="inlineStr">
        <is>
          <t>GÄVLE</t>
        </is>
      </c>
      <c r="I972" t="n">
        <v>5.5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7060-2022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44603</v>
      </c>
      <c r="E973" s="1" t="n">
        <v>46316</v>
      </c>
      <c r="F973" t="inlineStr">
        <is>
          <t>GÄVLEBORGS LÄN</t>
        </is>
      </c>
      <c r="G973" t="inlineStr">
        <is>
          <t>GÄVLE</t>
        </is>
      </c>
      <c r="I973" t="n">
        <v>10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41708-2023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45176</v>
      </c>
      <c r="E974" s="1" t="n">
        <v>46316</v>
      </c>
      <c r="F974" t="inlineStr">
        <is>
          <t>GÄVLEBORGS LÄN</t>
        </is>
      </c>
      <c r="G974" t="inlineStr">
        <is>
          <t>GÄVLE</t>
        </is>
      </c>
      <c r="I974" t="n">
        <v>6.5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41712-2023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45176</v>
      </c>
      <c r="E975" s="1" t="n">
        <v>46316</v>
      </c>
      <c r="F975" t="inlineStr">
        <is>
          <t>GÄVLEBORGS LÄN</t>
        </is>
      </c>
      <c r="G975" t="inlineStr">
        <is>
          <t>GÄVLE</t>
        </is>
      </c>
      <c r="I975" t="n">
        <v>7.8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5413-2023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44959</v>
      </c>
      <c r="E976" s="1" t="n">
        <v>46316</v>
      </c>
      <c r="F976" t="inlineStr">
        <is>
          <t>GÄVLEBORGS LÄN</t>
        </is>
      </c>
      <c r="G976" t="inlineStr">
        <is>
          <t>GÄVLE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4235-2025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45685</v>
      </c>
      <c r="E977" s="1" t="n">
        <v>46316</v>
      </c>
      <c r="F977" t="inlineStr">
        <is>
          <t>GÄVLEBORGS LÄN</t>
        </is>
      </c>
      <c r="G977" t="inlineStr">
        <is>
          <t>GÄVLE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45660</v>
      </c>
      <c r="E978" s="1" t="n">
        <v>46316</v>
      </c>
      <c r="F978" t="inlineStr">
        <is>
          <t>GÄVLEBORGS LÄN</t>
        </is>
      </c>
      <c r="G978" t="inlineStr">
        <is>
          <t>GÄVLE</t>
        </is>
      </c>
      <c r="I978" t="n">
        <v>3.1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56138-2023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45240</v>
      </c>
      <c r="E979" s="1" t="n">
        <v>46316</v>
      </c>
      <c r="F979" t="inlineStr">
        <is>
          <t>GÄVLEBORGS LÄN</t>
        </is>
      </c>
      <c r="G979" t="inlineStr">
        <is>
          <t>GÄVLE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33635-2024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45520</v>
      </c>
      <c r="E980" s="1" t="n">
        <v>46316</v>
      </c>
      <c r="F980" t="inlineStr">
        <is>
          <t>GÄVLEBORGS LÄN</t>
        </is>
      </c>
      <c r="G980" t="inlineStr">
        <is>
          <t>GÄVLE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33637-2024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45520</v>
      </c>
      <c r="E981" s="1" t="n">
        <v>46316</v>
      </c>
      <c r="F981" t="inlineStr">
        <is>
          <t>GÄVLEBORGS LÄN</t>
        </is>
      </c>
      <c r="G981" t="inlineStr">
        <is>
          <t>GÄVLE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25645-2023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45089</v>
      </c>
      <c r="E982" s="1" t="n">
        <v>46316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7998-2023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44973</v>
      </c>
      <c r="E983" s="1" t="n">
        <v>46316</v>
      </c>
      <c r="F983" t="inlineStr">
        <is>
          <t>GÄVLEBORGS LÄN</t>
        </is>
      </c>
      <c r="G983" t="inlineStr">
        <is>
          <t>GÄVLE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54207-2023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45232</v>
      </c>
      <c r="E984" s="1" t="n">
        <v>46316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väst AB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15935-2025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45749</v>
      </c>
      <c r="E985" s="1" t="n">
        <v>46316</v>
      </c>
      <c r="F985" t="inlineStr">
        <is>
          <t>GÄVLEBORGS LÄN</t>
        </is>
      </c>
      <c r="G985" t="inlineStr">
        <is>
          <t>GÄVLE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25814-2023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45090</v>
      </c>
      <c r="E986" s="1" t="n">
        <v>46316</v>
      </c>
      <c r="F986" t="inlineStr">
        <is>
          <t>GÄVLEBORGS LÄN</t>
        </is>
      </c>
      <c r="G986" t="inlineStr">
        <is>
          <t>GÄVLE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14792-2023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45014</v>
      </c>
      <c r="E987" s="1" t="n">
        <v>46316</v>
      </c>
      <c r="F987" t="inlineStr">
        <is>
          <t>GÄVLEBORGS LÄN</t>
        </is>
      </c>
      <c r="G987" t="inlineStr">
        <is>
          <t>GÄVLE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12079-2025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45728</v>
      </c>
      <c r="E988" s="1" t="n">
        <v>46316</v>
      </c>
      <c r="F988" t="inlineStr">
        <is>
          <t>GÄVLEBORGS LÄN</t>
        </is>
      </c>
      <c r="G988" t="inlineStr">
        <is>
          <t>GÄVLE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1594-2024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45306</v>
      </c>
      <c r="E989" s="1" t="n">
        <v>46316</v>
      </c>
      <c r="F989" t="inlineStr">
        <is>
          <t>GÄVLEBORGS LÄN</t>
        </is>
      </c>
      <c r="G989" t="inlineStr">
        <is>
          <t>GÄVLE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62983-2023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45272</v>
      </c>
      <c r="E990" s="1" t="n">
        <v>46316</v>
      </c>
      <c r="F990" t="inlineStr">
        <is>
          <t>GÄVLEBORGS LÄN</t>
        </is>
      </c>
      <c r="G990" t="inlineStr">
        <is>
          <t>GÄVLE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33901-2024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45523</v>
      </c>
      <c r="E991" s="1" t="n">
        <v>46316</v>
      </c>
      <c r="F991" t="inlineStr">
        <is>
          <t>GÄVLEBORGS LÄN</t>
        </is>
      </c>
      <c r="G991" t="inlineStr">
        <is>
          <t>GÄVLE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20621-2025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45776</v>
      </c>
      <c r="E992" s="1" t="n">
        <v>46316</v>
      </c>
      <c r="F992" t="inlineStr">
        <is>
          <t>GÄVLEBORGS LÄN</t>
        </is>
      </c>
      <c r="G992" t="inlineStr">
        <is>
          <t>GÄVLE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45938-2024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45580</v>
      </c>
      <c r="E993" s="1" t="n">
        <v>46316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5.3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21431-2025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45782</v>
      </c>
      <c r="E994" s="1" t="n">
        <v>46316</v>
      </c>
      <c r="F994" t="inlineStr">
        <is>
          <t>GÄVLEBORGS LÄN</t>
        </is>
      </c>
      <c r="G994" t="inlineStr">
        <is>
          <t>GÄVLE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7202-2025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45702</v>
      </c>
      <c r="E995" s="1" t="n">
        <v>46316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59044-2023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45252</v>
      </c>
      <c r="E996" s="1" t="n">
        <v>46316</v>
      </c>
      <c r="F996" t="inlineStr">
        <is>
          <t>GÄVLEBORGS LÄN</t>
        </is>
      </c>
      <c r="G996" t="inlineStr">
        <is>
          <t>GÄVLE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7451-2025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45705</v>
      </c>
      <c r="E997" s="1" t="n">
        <v>46316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öst AB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S 3425-2023</t>
        </is>
      </c>
      <c r="B998" t="inlineStr">
        <is>
          <t>samrådsanmälan</t>
        </is>
      </c>
      <c r="C998" t="inlineStr">
        <is>
          <t>Annan skogsbruksåtgärd</t>
        </is>
      </c>
      <c r="D998" s="1" t="n">
        <v>45205</v>
      </c>
      <c r="E998" s="1" t="n">
        <v>46316</v>
      </c>
      <c r="F998" t="inlineStr">
        <is>
          <t>GÄVLEBORGS LÄN</t>
        </is>
      </c>
      <c r="G998" t="inlineStr">
        <is>
          <t>GÄVLE</t>
        </is>
      </c>
      <c r="I998" t="n">
        <v>0.2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  <c r="Z998">
        <f>HYPERLINK("https://klasma.github.io/Logging_2180/knärot/S 3425-2023 karta knärot.png", "S 3425-2023")</f>
        <v/>
      </c>
      <c r="AA998">
        <f>HYPERLINK("https://klasma.github.io/Logging_2180/klagomål/S 3425-2023 FSC-klagomål.docx", "S 3425-2023")</f>
        <v/>
      </c>
      <c r="AB998">
        <f>HYPERLINK("https://klasma.github.io/Logging_2180/klagomålsmail/S 3425-2023 FSC-klagomål mail.docx", "S 3425-2023")</f>
        <v/>
      </c>
      <c r="AC998">
        <f>HYPERLINK("https://klasma.github.io/Logging_2180/tillsyn/S 3425-2023 tillsynsbegäran.docx", "S 3425-2023")</f>
        <v/>
      </c>
      <c r="AD998">
        <f>HYPERLINK("https://klasma.github.io/Logging_2180/tillsynsmail/S 3425-2023 tillsynsbegäran mail.docx", "S 3425-2023")</f>
        <v/>
      </c>
    </row>
    <row r="999" ht="15" customHeight="1">
      <c r="A999" t="inlineStr">
        <is>
          <t>S 889-2023</t>
        </is>
      </c>
      <c r="B999" t="inlineStr">
        <is>
          <t>samrådsanmälan</t>
        </is>
      </c>
      <c r="C999" t="inlineStr">
        <is>
          <t>Skogsgödsling</t>
        </is>
      </c>
      <c r="D999" s="1" t="n">
        <v>44995</v>
      </c>
      <c r="E999" s="1" t="n">
        <v>46316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väst AB</t>
        </is>
      </c>
      <c r="I999" t="n">
        <v>13.3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S 886-2024</t>
        </is>
      </c>
      <c r="B1000" t="inlineStr">
        <is>
          <t>samrådsanmälan</t>
        </is>
      </c>
      <c r="C1000" t="inlineStr">
        <is>
          <t>Annan skogsbruksåtgärd</t>
        </is>
      </c>
      <c r="D1000" s="1" t="n">
        <v>45376</v>
      </c>
      <c r="E1000" s="1" t="n">
        <v>46316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11.9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S 2464-2024</t>
        </is>
      </c>
      <c r="B1001" t="inlineStr">
        <is>
          <t>samrådsanmälan</t>
        </is>
      </c>
      <c r="C1001" t="inlineStr">
        <is>
          <t>Skogsbilväg</t>
        </is>
      </c>
      <c r="D1001" s="1" t="n">
        <v>45470</v>
      </c>
      <c r="E1001" s="1" t="n">
        <v>46316</v>
      </c>
      <c r="F1001" t="inlineStr">
        <is>
          <t>GÄVLEBORGS LÄN</t>
        </is>
      </c>
      <c r="G1001" t="inlineStr">
        <is>
          <t>GÄVLE</t>
        </is>
      </c>
      <c r="H1001" t="inlineStr">
        <is>
          <t>Bergvik skog väst AB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>
      <c r="A1002" t="inlineStr">
        <is>
          <t>S 644-2026</t>
        </is>
      </c>
      <c r="B1002" t="inlineStr">
        <is>
          <t>samrådsanmälan</t>
        </is>
      </c>
      <c r="C1002" t="inlineStr">
        <is>
          <t>Skogsgödsling</t>
        </is>
      </c>
      <c r="D1002" s="1" t="n">
        <v>46089</v>
      </c>
      <c r="E1002" s="1" t="n">
        <v>46316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öst AB</t>
        </is>
      </c>
      <c r="I1002" t="n">
        <v>29.2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2026-10-21T02:00:11Z</dcterms:created>
  <dcterms:modified xmlns:dcterms="http://purl.org/dc/terms/" xmlns:xsi="http://www.w3.org/2001/XMLSchema-instance" xsi:type="dcterms:W3CDTF">2026-10-21T02:00:12Z</dcterms:modified>
</cp:coreProperties>
</file>