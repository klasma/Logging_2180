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46274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46274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46274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46274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46274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46274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46274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46274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46274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46274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46274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46274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46274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46274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46274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46274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46274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46274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46274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46274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46274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46274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46274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46274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46274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46274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46274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9570-2025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45715</v>
      </c>
      <c r="E29" s="1" t="n">
        <v>46274</v>
      </c>
      <c r="F29" t="inlineStr">
        <is>
          <t>GÄVLEBORGS LÄN</t>
        </is>
      </c>
      <c r="G29" t="inlineStr">
        <is>
          <t>GÄVLE</t>
        </is>
      </c>
      <c r="I29" t="n">
        <v>3.8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22</v>
      </c>
      <c r="U29" t="n">
        <v>22</v>
      </c>
      <c r="V29" s="2" t="inlineStr">
        <is>
          <t>Knärot
Lunglav
Tallticka
Tretåig hackspett</t>
        </is>
      </c>
      <c r="W29">
        <f>HYPERLINK("https://klasma.github.io/Logging_2180/artfynd/A 9570-2025 artfynd.xlsx", "A 9570-2025")</f>
        <v/>
      </c>
      <c r="X29">
        <f>HYPERLINK("https://klasma.github.io/Logging_2180/kartor/A 9570-2025 karta.png", "A 9570-2025")</f>
        <v/>
      </c>
      <c r="Y29">
        <f>HYPERLINK("https://klasma.github.io/Logging_2180/kartor_geotiff/A 9570-2025 georefererad karta.tif", "A 9570-2025")</f>
        <v/>
      </c>
      <c r="Z29">
        <f>HYPERLINK("https://klasma.github.io/Logging_2180/knärot/A 9570-2025 karta knärot.png", "A 9570-2025")</f>
        <v/>
      </c>
      <c r="AA29">
        <f>HYPERLINK("https://klasma.github.io/Logging_2180/klagomål/A 9570-2025 FSC-klagomål.docx", "A 9570-2025")</f>
        <v/>
      </c>
      <c r="AB29">
        <f>HYPERLINK("https://klasma.github.io/Logging_2180/klagomålsmail/A 9570-2025 FSC-klagomål mail.docx", "A 9570-2025")</f>
        <v/>
      </c>
      <c r="AC29">
        <f>HYPERLINK("https://klasma.github.io/Logging_2180/tillsyn/A 9570-2025 tillsynsbegäran.docx", "A 9570-2025")</f>
        <v/>
      </c>
      <c r="AD29">
        <f>HYPERLINK("https://klasma.github.io/Logging_2180/tillsynsmail/A 9570-2025 tillsynsbegäran mail.docx", "A 9570-2025")</f>
        <v/>
      </c>
      <c r="AE29">
        <f>HYPERLINK("https://klasma.github.io/Logging_2180/fåglar/A 9570-2025 prioriterade fågelarter.docx", "A 9570-2025")</f>
        <v/>
      </c>
    </row>
    <row r="30" ht="15" customHeight="1">
      <c r="A30" t="inlineStr">
        <is>
          <t>A 24904-2026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46274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6</v>
      </c>
      <c r="U30" t="n">
        <v>0</v>
      </c>
      <c r="V30" s="2" t="inlineStr">
        <is>
          <t>Topplåsbräken
Höstlåsbräken
Månlåsbräken
Mattlummer</t>
        </is>
      </c>
      <c r="W30">
        <f>HYPERLINK("https://klasma.github.io/Logging_2180/artfynd/A 24904-2026 artfynd.xlsx", "A 24904-2026")</f>
        <v/>
      </c>
      <c r="X30">
        <f>HYPERLINK("https://klasma.github.io/Logging_2180/kartor/A 24904-2026 karta.png", "A 24904-2026")</f>
        <v/>
      </c>
      <c r="Y30">
        <f>HYPERLINK("https://klasma.github.io/Logging_2180/kartor_geotiff/A 24904-2026 georefererad karta.tif", "A 24904-2026")</f>
        <v/>
      </c>
      <c r="AA30">
        <f>HYPERLINK("https://klasma.github.io/Logging_2180/klagomål/A 24904-2026 FSC-klagomål.docx", "A 24904-2026")</f>
        <v/>
      </c>
      <c r="AB30">
        <f>HYPERLINK("https://klasma.github.io/Logging_2180/klagomålsmail/A 24904-2026 FSC-klagomål mail.docx", "A 24904-2026")</f>
        <v/>
      </c>
      <c r="AC30">
        <f>HYPERLINK("https://klasma.github.io/Logging_2180/tillsyn/A 24904-2026 tillsynsbegäran.docx", "A 24904-2026")</f>
        <v/>
      </c>
      <c r="AD30">
        <f>HYPERLINK("https://klasma.github.io/Logging_2180/tillsynsmail/A 24904-2026 tillsynsbegäran mail.docx", "A 24904-2026")</f>
        <v/>
      </c>
    </row>
    <row r="31" ht="15" customHeight="1">
      <c r="A31" t="inlineStr">
        <is>
          <t>A 27044-2026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46274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27044-2026 artfynd.xlsx", "A 27044-2026")</f>
        <v/>
      </c>
      <c r="X31">
        <f>HYPERLINK("https://klasma.github.io/Logging_2180/kartor/A 27044-2026 karta.png", "A 27044-2026")</f>
        <v/>
      </c>
      <c r="Y31">
        <f>HYPERLINK("https://klasma.github.io/Logging_2180/kartor_geotiff/A 27044-2026 georefererad karta.tif", "A 27044-2026")</f>
        <v/>
      </c>
      <c r="AA31">
        <f>HYPERLINK("https://klasma.github.io/Logging_2180/klagomål/A 27044-2026 FSC-klagomål.docx", "A 27044-2026")</f>
        <v/>
      </c>
      <c r="AB31">
        <f>HYPERLINK("https://klasma.github.io/Logging_2180/klagomålsmail/A 27044-2026 FSC-klagomål mail.docx", "A 27044-2026")</f>
        <v/>
      </c>
      <c r="AC31">
        <f>HYPERLINK("https://klasma.github.io/Logging_2180/tillsyn/A 27044-2026 tillsynsbegäran.docx", "A 27044-2026")</f>
        <v/>
      </c>
      <c r="AD31">
        <f>HYPERLINK("https://klasma.github.io/Logging_2180/tillsynsmail/A 27044-2026 tillsynsbegäran mail.docx", "A 27044-2026")</f>
        <v/>
      </c>
    </row>
    <row r="32" ht="15" customHeight="1">
      <c r="A32" t="inlineStr">
        <is>
          <t>A 5487-2025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45693</v>
      </c>
      <c r="E32" s="1" t="n">
        <v>46274</v>
      </c>
      <c r="F32" t="inlineStr">
        <is>
          <t>GÄVLEBORGS LÄN</t>
        </is>
      </c>
      <c r="G32" t="inlineStr">
        <is>
          <t>GÄVLE</t>
        </is>
      </c>
      <c r="H32" t="inlineStr">
        <is>
          <t>Kyrkan</t>
        </is>
      </c>
      <c r="I32" t="n">
        <v>4.7</v>
      </c>
      <c r="J32" t="n">
        <v>4</v>
      </c>
      <c r="K32" t="n">
        <v>0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1</v>
      </c>
      <c r="V32" s="2" t="inlineStr">
        <is>
          <t>Pärluggla
Enkelbeckasin
Rödvingetrast
Nattskärra</t>
        </is>
      </c>
      <c r="W32">
        <f>HYPERLINK("https://klasma.github.io/Logging_2180/artfynd/A 5487-2025 artfynd.xlsx", "A 5487-2025")</f>
        <v/>
      </c>
      <c r="X32">
        <f>HYPERLINK("https://klasma.github.io/Logging_2180/kartor/A 5487-2025 karta.png", "A 5487-2025")</f>
        <v/>
      </c>
      <c r="Y32">
        <f>HYPERLINK("https://klasma.github.io/Logging_2180/kartor_geotiff/A 5487-2025 georefererad karta.tif", "A 5487-2025")</f>
        <v/>
      </c>
      <c r="AA32">
        <f>HYPERLINK("https://klasma.github.io/Logging_2180/klagomål/A 5487-2025 FSC-klagomål.docx", "A 5487-2025")</f>
        <v/>
      </c>
      <c r="AB32">
        <f>HYPERLINK("https://klasma.github.io/Logging_2180/klagomålsmail/A 5487-2025 FSC-klagomål mail.docx", "A 5487-2025")</f>
        <v/>
      </c>
      <c r="AC32">
        <f>HYPERLINK("https://klasma.github.io/Logging_2180/tillsyn/A 5487-2025 tillsynsbegäran.docx", "A 5487-2025")</f>
        <v/>
      </c>
      <c r="AD32">
        <f>HYPERLINK("https://klasma.github.io/Logging_2180/tillsynsmail/A 5487-2025 tillsynsbegäran mail.docx", "A 5487-2025")</f>
        <v/>
      </c>
      <c r="AE32">
        <f>HYPERLINK("https://klasma.github.io/Logging_2180/fåglar/A 5487-2025 prioriterade fågelarter.docx", "A 5487-2025")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46274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46274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46274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46274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46274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46274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46274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46274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34433-2026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46254</v>
      </c>
      <c r="E41" s="1" t="n">
        <v>46274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4.2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Majviva
Vätteros
Blåsippa</t>
        </is>
      </c>
      <c r="W41">
        <f>HYPERLINK("https://klasma.github.io/Logging_2180/artfynd/A 34433-2026 artfynd.xlsx", "A 34433-2026")</f>
        <v/>
      </c>
      <c r="X41">
        <f>HYPERLINK("https://klasma.github.io/Logging_2180/kartor/A 34433-2026 karta.png", "A 34433-2026")</f>
        <v/>
      </c>
      <c r="Y41">
        <f>HYPERLINK("https://klasma.github.io/Logging_2180/kartor_geotiff/A 34433-2026 georefererad karta.tif", "A 34433-2026")</f>
        <v/>
      </c>
      <c r="AA41">
        <f>HYPERLINK("https://klasma.github.io/Logging_2180/klagomål/A 34433-2026 FSC-klagomål.docx", "A 34433-2026")</f>
        <v/>
      </c>
      <c r="AB41">
        <f>HYPERLINK("https://klasma.github.io/Logging_2180/klagomålsmail/A 34433-2026 FSC-klagomål mail.docx", "A 34433-2026")</f>
        <v/>
      </c>
      <c r="AC41">
        <f>HYPERLINK("https://klasma.github.io/Logging_2180/tillsyn/A 34433-2026 tillsynsbegäran.docx", "A 34433-2026")</f>
        <v/>
      </c>
      <c r="AD41">
        <f>HYPERLINK("https://klasma.github.io/Logging_2180/tillsynsmail/A 34433-2026 tillsynsbegäran mail.docx", "A 34433-2026")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46274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46274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46274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29626-2025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45825</v>
      </c>
      <c r="E45" s="1" t="n">
        <v>46274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22.2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Brunklöver
Höstlåsbräken
Mattlummer</t>
        </is>
      </c>
      <c r="W45">
        <f>HYPERLINK("https://klasma.github.io/Logging_2180/artfynd/A 29626-2025 artfynd.xlsx", "A 29626-2025")</f>
        <v/>
      </c>
      <c r="X45">
        <f>HYPERLINK("https://klasma.github.io/Logging_2180/kartor/A 29626-2025 karta.png", "A 29626-2025")</f>
        <v/>
      </c>
      <c r="Y45">
        <f>HYPERLINK("https://klasma.github.io/Logging_2180/kartor_geotiff/A 29626-2025 georefererad karta.tif", "A 29626-2025")</f>
        <v/>
      </c>
      <c r="AA45">
        <f>HYPERLINK("https://klasma.github.io/Logging_2180/klagomål/A 29626-2025 FSC-klagomål.docx", "A 29626-2025")</f>
        <v/>
      </c>
      <c r="AB45">
        <f>HYPERLINK("https://klasma.github.io/Logging_2180/klagomålsmail/A 29626-2025 FSC-klagomål mail.docx", "A 29626-2025")</f>
        <v/>
      </c>
      <c r="AC45">
        <f>HYPERLINK("https://klasma.github.io/Logging_2180/tillsyn/A 29626-2025 tillsynsbegäran.docx", "A 29626-2025")</f>
        <v/>
      </c>
      <c r="AD45">
        <f>HYPERLINK("https://klasma.github.io/Logging_2180/tillsynsmail/A 29626-2025 tillsynsbegäran mail.docx", "A 29626-2025")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46274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46274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46274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46274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46274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20323-2026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46274</v>
      </c>
      <c r="F51" t="inlineStr">
        <is>
          <t>GÄVLEBORGS LÄN</t>
        </is>
      </c>
      <c r="G51" t="inlineStr">
        <is>
          <t>GÄVLE</t>
        </is>
      </c>
      <c r="I51" t="n">
        <v>1.4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Grön sköldmossa
Tjäder</t>
        </is>
      </c>
      <c r="W51">
        <f>HYPERLINK("https://klasma.github.io/Logging_2180/artfynd/A 20323-2026 artfynd.xlsx", "A 20323-2026")</f>
        <v/>
      </c>
      <c r="X51">
        <f>HYPERLINK("https://klasma.github.io/Logging_2180/kartor/A 20323-2026 karta.png", "A 20323-2026")</f>
        <v/>
      </c>
      <c r="Y51">
        <f>HYPERLINK("https://klasma.github.io/Logging_2180/kartor_geotiff/A 20323-2026 georefererad karta.tif", "A 20323-2026")</f>
        <v/>
      </c>
      <c r="AA51">
        <f>HYPERLINK("https://klasma.github.io/Logging_2180/klagomål/A 20323-2026 FSC-klagomål.docx", "A 20323-2026")</f>
        <v/>
      </c>
      <c r="AB51">
        <f>HYPERLINK("https://klasma.github.io/Logging_2180/klagomålsmail/A 20323-2026 FSC-klagomål mail.docx", "A 20323-2026")</f>
        <v/>
      </c>
      <c r="AC51">
        <f>HYPERLINK("https://klasma.github.io/Logging_2180/tillsyn/A 20323-2026 tillsynsbegäran.docx", "A 20323-2026")</f>
        <v/>
      </c>
      <c r="AD51">
        <f>HYPERLINK("https://klasma.github.io/Logging_2180/tillsynsmail/A 20323-2026 tillsynsbegäran mail.docx", "A 20323-2026")</f>
        <v/>
      </c>
      <c r="AE51">
        <f>HYPERLINK("https://klasma.github.io/Logging_2180/fåglar/A 20323-2026 prioriterade fågelarter.docx", "A 20323-2026")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46274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46274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46274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14701-2026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46274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Fläcknycklar</t>
        </is>
      </c>
      <c r="W55">
        <f>HYPERLINK("https://klasma.github.io/Logging_2180/artfynd/A 14701-2026 artfynd.xlsx", "A 14701-2026")</f>
        <v/>
      </c>
      <c r="X55">
        <f>HYPERLINK("https://klasma.github.io/Logging_2180/kartor/A 14701-2026 karta.png", "A 14701-2026")</f>
        <v/>
      </c>
      <c r="Y55">
        <f>HYPERLINK("https://klasma.github.io/Logging_2180/kartor_geotiff/A 14701-2026 georefererad karta.tif", "A 14701-2026")</f>
        <v/>
      </c>
      <c r="AA55">
        <f>HYPERLINK("https://klasma.github.io/Logging_2180/klagomål/A 14701-2026 FSC-klagomål.docx", "A 14701-2026")</f>
        <v/>
      </c>
      <c r="AB55">
        <f>HYPERLINK("https://klasma.github.io/Logging_2180/klagomålsmail/A 14701-2026 FSC-klagomål mail.docx", "A 14701-2026")</f>
        <v/>
      </c>
      <c r="AC55">
        <f>HYPERLINK("https://klasma.github.io/Logging_2180/tillsyn/A 14701-2026 tillsynsbegäran.docx", "A 14701-2026")</f>
        <v/>
      </c>
      <c r="AD55">
        <f>HYPERLINK("https://klasma.github.io/Logging_2180/tillsynsmail/A 14701-2026 tillsynsbegäran mail.docx", "A 14701-2026")</f>
        <v/>
      </c>
      <c r="AE55">
        <f>HYPERLINK("https://klasma.github.io/Logging_2180/fåglar/A 14701-2026 prioriterade fågelarter.docx", "A 14701-2026")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46274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46274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46274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50049-2025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46274</v>
      </c>
      <c r="F59" t="inlineStr">
        <is>
          <t>GÄVLEBORGS LÄN</t>
        </is>
      </c>
      <c r="G59" t="inlineStr">
        <is>
          <t>GÄVLE</t>
        </is>
      </c>
      <c r="H59" t="inlineStr">
        <is>
          <t>Kyrkan</t>
        </is>
      </c>
      <c r="I59" t="n">
        <v>10.3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Vårärt
Blåsippa</t>
        </is>
      </c>
      <c r="W59">
        <f>HYPERLINK("https://klasma.github.io/Logging_2180/artfynd/A 50049-2025 artfynd.xlsx", "A 50049-2025")</f>
        <v/>
      </c>
      <c r="X59">
        <f>HYPERLINK("https://klasma.github.io/Logging_2180/kartor/A 50049-2025 karta.png", "A 50049-2025")</f>
        <v/>
      </c>
      <c r="Y59">
        <f>HYPERLINK("https://klasma.github.io/Logging_2180/kartor_geotiff/A 50049-2025 georefererad karta.tif", "A 50049-2025")</f>
        <v/>
      </c>
      <c r="AA59">
        <f>HYPERLINK("https://klasma.github.io/Logging_2180/klagomål/A 50049-2025 FSC-klagomål.docx", "A 50049-2025")</f>
        <v/>
      </c>
      <c r="AB59">
        <f>HYPERLINK("https://klasma.github.io/Logging_2180/klagomålsmail/A 50049-2025 FSC-klagomål mail.docx", "A 50049-2025")</f>
        <v/>
      </c>
      <c r="AC59">
        <f>HYPERLINK("https://klasma.github.io/Logging_2180/tillsyn/A 50049-2025 tillsynsbegäran.docx", "A 50049-2025")</f>
        <v/>
      </c>
      <c r="AD59">
        <f>HYPERLINK("https://klasma.github.io/Logging_2180/tillsynsmail/A 50049-2025 tillsynsbegäran mail.docx", "A 50049-2025")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46274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23257-2026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46162</v>
      </c>
      <c r="E61" s="1" t="n">
        <v>46274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42.1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Havsörn</t>
        </is>
      </c>
      <c r="W61">
        <f>HYPERLINK("https://klasma.github.io/Logging_2180/artfynd/A 23257-2026 artfynd.xlsx", "A 23257-2026")</f>
        <v/>
      </c>
      <c r="X61">
        <f>HYPERLINK("https://klasma.github.io/Logging_2180/kartor/A 23257-2026 karta.png", "A 23257-2026")</f>
        <v/>
      </c>
      <c r="Y61">
        <f>HYPERLINK("https://klasma.github.io/Logging_2180/kartor_geotiff/A 23257-2026 georefererad karta.tif", "A 23257-2026")</f>
        <v/>
      </c>
      <c r="AA61">
        <f>HYPERLINK("https://klasma.github.io/Logging_2180/klagomål/A 23257-2026 FSC-klagomål.docx", "A 23257-2026")</f>
        <v/>
      </c>
      <c r="AB61">
        <f>HYPERLINK("https://klasma.github.io/Logging_2180/klagomålsmail/A 23257-2026 FSC-klagomål mail.docx", "A 23257-2026")</f>
        <v/>
      </c>
      <c r="AC61">
        <f>HYPERLINK("https://klasma.github.io/Logging_2180/tillsyn/A 23257-2026 tillsynsbegäran.docx", "A 23257-2026")</f>
        <v/>
      </c>
      <c r="AD61">
        <f>HYPERLINK("https://klasma.github.io/Logging_2180/tillsynsmail/A 23257-2026 tillsynsbegäran mail.docx", "A 23257-2026")</f>
        <v/>
      </c>
      <c r="AE61">
        <f>HYPERLINK("https://klasma.github.io/Logging_2180/fåglar/A 23257-2026 prioriterade fågelarter.docx", "A 23257-2026")</f>
        <v/>
      </c>
    </row>
    <row r="62" ht="15" customHeight="1">
      <c r="A62" t="inlineStr">
        <is>
          <t>A 24310-2026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46274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24310-2026 artfynd.xlsx", "A 24310-2026")</f>
        <v/>
      </c>
      <c r="X62">
        <f>HYPERLINK("https://klasma.github.io/Logging_2180/kartor/A 24310-2026 karta.png", "A 24310-2026")</f>
        <v/>
      </c>
      <c r="Y62">
        <f>HYPERLINK("https://klasma.github.io/Logging_2180/kartor_geotiff/A 24310-2026 georefererad karta.tif", "A 24310-2026")</f>
        <v/>
      </c>
      <c r="AA62">
        <f>HYPERLINK("https://klasma.github.io/Logging_2180/klagomål/A 24310-2026 FSC-klagomål.docx", "A 24310-2026")</f>
        <v/>
      </c>
      <c r="AB62">
        <f>HYPERLINK("https://klasma.github.io/Logging_2180/klagomålsmail/A 24310-2026 FSC-klagomål mail.docx", "A 24310-2026")</f>
        <v/>
      </c>
      <c r="AC62">
        <f>HYPERLINK("https://klasma.github.io/Logging_2180/tillsyn/A 24310-2026 tillsynsbegäran.docx", "A 24310-2026")</f>
        <v/>
      </c>
      <c r="AD62">
        <f>HYPERLINK("https://klasma.github.io/Logging_2180/tillsynsmail/A 24310-2026 tillsynsbegäran mail.docx", "A 24310-2026")</f>
        <v/>
      </c>
    </row>
    <row r="63" ht="15" customHeight="1">
      <c r="A63" t="inlineStr">
        <is>
          <t>A 24915-2026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46274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24915-2026 artfynd.xlsx", "A 24915-2026")</f>
        <v/>
      </c>
      <c r="X63">
        <f>HYPERLINK("https://klasma.github.io/Logging_2180/kartor/A 24915-2026 karta.png", "A 24915-2026")</f>
        <v/>
      </c>
      <c r="Y63">
        <f>HYPERLINK("https://klasma.github.io/Logging_2180/kartor_geotiff/A 24915-2026 georefererad karta.tif", "A 24915-2026")</f>
        <v/>
      </c>
      <c r="AA63">
        <f>HYPERLINK("https://klasma.github.io/Logging_2180/klagomål/A 24915-2026 FSC-klagomål.docx", "A 24915-2026")</f>
        <v/>
      </c>
      <c r="AB63">
        <f>HYPERLINK("https://klasma.github.io/Logging_2180/klagomålsmail/A 24915-2026 FSC-klagomål mail.docx", "A 24915-2026")</f>
        <v/>
      </c>
      <c r="AC63">
        <f>HYPERLINK("https://klasma.github.io/Logging_2180/tillsyn/A 24915-2026 tillsynsbegäran.docx", "A 24915-2026")</f>
        <v/>
      </c>
      <c r="AD63">
        <f>HYPERLINK("https://klasma.github.io/Logging_2180/tillsynsmail/A 24915-2026 tillsynsbegäran mail.docx", "A 24915-2026")</f>
        <v/>
      </c>
    </row>
    <row r="64" ht="15" customHeight="1">
      <c r="A64" t="inlineStr">
        <is>
          <t>A 60202-2025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46274</v>
      </c>
      <c r="F64" t="inlineStr">
        <is>
          <t>GÄVLEBORGS LÄN</t>
        </is>
      </c>
      <c r="G64" t="inlineStr">
        <is>
          <t>GÄVLE</t>
        </is>
      </c>
      <c r="I64" t="n">
        <v>4.3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Spillkråka</t>
        </is>
      </c>
      <c r="W64">
        <f>HYPERLINK("https://klasma.github.io/Logging_2180/artfynd/A 60202-2025 artfynd.xlsx", "A 60202-2025")</f>
        <v/>
      </c>
      <c r="X64">
        <f>HYPERLINK("https://klasma.github.io/Logging_2180/kartor/A 60202-2025 karta.png", "A 60202-2025")</f>
        <v/>
      </c>
      <c r="Y64">
        <f>HYPERLINK("https://klasma.github.io/Logging_2180/kartor_geotiff/A 60202-2025 georefererad karta.tif", "A 60202-2025")</f>
        <v/>
      </c>
      <c r="AA64">
        <f>HYPERLINK("https://klasma.github.io/Logging_2180/klagomål/A 60202-2025 FSC-klagomål.docx", "A 60202-2025")</f>
        <v/>
      </c>
      <c r="AB64">
        <f>HYPERLINK("https://klasma.github.io/Logging_2180/klagomålsmail/A 60202-2025 FSC-klagomål mail.docx", "A 60202-2025")</f>
        <v/>
      </c>
      <c r="AC64">
        <f>HYPERLINK("https://klasma.github.io/Logging_2180/tillsyn/A 60202-2025 tillsynsbegäran.docx", "A 60202-2025")</f>
        <v/>
      </c>
      <c r="AD64">
        <f>HYPERLINK("https://klasma.github.io/Logging_2180/tillsynsmail/A 60202-2025 tillsynsbegäran mail.docx", "A 60202-2025")</f>
        <v/>
      </c>
      <c r="AE64">
        <f>HYPERLINK("https://klasma.github.io/Logging_2180/fåglar/A 60202-2025 prioriterade fågelarter.docx", "A 60202-2025")</f>
        <v/>
      </c>
    </row>
    <row r="65" ht="15" customHeight="1">
      <c r="A65" t="inlineStr">
        <is>
          <t>A 27045-2026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46185</v>
      </c>
      <c r="E65" s="1" t="n">
        <v>46274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3.1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Höstlåsbräken
Månlåsbräken</t>
        </is>
      </c>
      <c r="W65">
        <f>HYPERLINK("https://klasma.github.io/Logging_2180/artfynd/A 27045-2026 artfynd.xlsx", "A 27045-2026")</f>
        <v/>
      </c>
      <c r="X65">
        <f>HYPERLINK("https://klasma.github.io/Logging_2180/kartor/A 27045-2026 karta.png", "A 27045-2026")</f>
        <v/>
      </c>
      <c r="Y65">
        <f>HYPERLINK("https://klasma.github.io/Logging_2180/kartor_geotiff/A 27045-2026 georefererad karta.tif", "A 27045-2026")</f>
        <v/>
      </c>
      <c r="AA65">
        <f>HYPERLINK("https://klasma.github.io/Logging_2180/klagomål/A 27045-2026 FSC-klagomål.docx", "A 27045-2026")</f>
        <v/>
      </c>
      <c r="AB65">
        <f>HYPERLINK("https://klasma.github.io/Logging_2180/klagomålsmail/A 27045-2026 FSC-klagomål mail.docx", "A 27045-2026")</f>
        <v/>
      </c>
      <c r="AC65">
        <f>HYPERLINK("https://klasma.github.io/Logging_2180/tillsyn/A 27045-2026 tillsynsbegäran.docx", "A 27045-2026")</f>
        <v/>
      </c>
      <c r="AD65">
        <f>HYPERLINK("https://klasma.github.io/Logging_2180/tillsynsmail/A 27045-2026 tillsynsbegäran mail.docx", "A 27045-2026")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46274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29634-2026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46274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Brunag
Strandlummer</t>
        </is>
      </c>
      <c r="W67">
        <f>HYPERLINK("https://klasma.github.io/Logging_2180/artfynd/A 29634-2026 artfynd.xlsx", "A 29634-2026")</f>
        <v/>
      </c>
      <c r="X67">
        <f>HYPERLINK("https://klasma.github.io/Logging_2180/kartor/A 29634-2026 karta.png", "A 29634-2026")</f>
        <v/>
      </c>
      <c r="Y67">
        <f>HYPERLINK("https://klasma.github.io/Logging_2180/kartor_geotiff/A 29634-2026 georefererad karta.tif", "A 29634-2026")</f>
        <v/>
      </c>
      <c r="AA67">
        <f>HYPERLINK("https://klasma.github.io/Logging_2180/klagomål/A 29634-2026 FSC-klagomål.docx", "A 29634-2026")</f>
        <v/>
      </c>
      <c r="AB67">
        <f>HYPERLINK("https://klasma.github.io/Logging_2180/klagomålsmail/A 29634-2026 FSC-klagomål mail.docx", "A 29634-2026")</f>
        <v/>
      </c>
      <c r="AC67">
        <f>HYPERLINK("https://klasma.github.io/Logging_2180/tillsyn/A 29634-2026 tillsynsbegäran.docx", "A 29634-2026")</f>
        <v/>
      </c>
      <c r="AD67">
        <f>HYPERLINK("https://klasma.github.io/Logging_2180/tillsynsmail/A 29634-2026 tillsynsbegäran mail.docx", "A 29634-2026")</f>
        <v/>
      </c>
    </row>
    <row r="68" ht="15" customHeight="1">
      <c r="A68" t="inlineStr">
        <is>
          <t>A 14554-2026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46100</v>
      </c>
      <c r="E68" s="1" t="n">
        <v>46274</v>
      </c>
      <c r="F68" t="inlineStr">
        <is>
          <t>GÄVLEBORGS LÄN</t>
        </is>
      </c>
      <c r="G68" t="inlineStr">
        <is>
          <t>GÄVLE</t>
        </is>
      </c>
      <c r="H68" t="inlineStr">
        <is>
          <t>Övriga statliga verk och myndigheter</t>
        </is>
      </c>
      <c r="I68" t="n">
        <v>6.6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121</v>
      </c>
      <c r="U68" t="n">
        <v>0</v>
      </c>
      <c r="V68" s="2" t="inlineStr">
        <is>
          <t>Väddnätfjäril
Sotnätfjäril</t>
        </is>
      </c>
      <c r="W68">
        <f>HYPERLINK("https://klasma.github.io/Logging_2180/artfynd/A 14554-2026 artfynd.xlsx", "A 14554-2026")</f>
        <v/>
      </c>
      <c r="X68">
        <f>HYPERLINK("https://klasma.github.io/Logging_2180/kartor/A 14554-2026 karta.png", "A 14554-2026")</f>
        <v/>
      </c>
      <c r="Y68">
        <f>HYPERLINK("https://klasma.github.io/Logging_2180/kartor_geotiff/A 14554-2026 georefererad karta.tif", "A 14554-2026")</f>
        <v/>
      </c>
      <c r="AA68">
        <f>HYPERLINK("https://klasma.github.io/Logging_2180/klagomål/A 14554-2026 FSC-klagomål.docx", "A 14554-2026")</f>
        <v/>
      </c>
      <c r="AB68">
        <f>HYPERLINK("https://klasma.github.io/Logging_2180/klagomålsmail/A 14554-2026 FSC-klagomål mail.docx", "A 14554-2026")</f>
        <v/>
      </c>
      <c r="AC68">
        <f>HYPERLINK("https://klasma.github.io/Logging_2180/tillsyn/A 14554-2026 tillsynsbegäran.docx", "A 14554-2026")</f>
        <v/>
      </c>
      <c r="AD68">
        <f>HYPERLINK("https://klasma.github.io/Logging_2180/tillsynsmail/A 14554-2026 tillsynsbegäran mail.docx", "A 14554-2026")</f>
        <v/>
      </c>
    </row>
    <row r="69" ht="15" customHeight="1">
      <c r="A69" t="inlineStr">
        <is>
          <t>A 6473-2024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46274</v>
      </c>
      <c r="F69" t="inlineStr">
        <is>
          <t>GÄVLEBORGS LÄN</t>
        </is>
      </c>
      <c r="G69" t="inlineStr">
        <is>
          <t>GÄVLE</t>
        </is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Tibast
Nattviol</t>
        </is>
      </c>
      <c r="W69">
        <f>HYPERLINK("https://klasma.github.io/Logging_2180/artfynd/A 6473-2024 artfynd.xlsx", "A 6473-2024")</f>
        <v/>
      </c>
      <c r="X69">
        <f>HYPERLINK("https://klasma.github.io/Logging_2180/kartor/A 6473-2024 karta.png", "A 6473-2024")</f>
        <v/>
      </c>
      <c r="Y69">
        <f>HYPERLINK("https://klasma.github.io/Logging_2180/kartor_geotiff/A 6473-2024 georefererad karta.tif", "A 6473-2024")</f>
        <v/>
      </c>
      <c r="AA69">
        <f>HYPERLINK("https://klasma.github.io/Logging_2180/klagomål/A 6473-2024 FSC-klagomål.docx", "A 6473-2024")</f>
        <v/>
      </c>
      <c r="AB69">
        <f>HYPERLINK("https://klasma.github.io/Logging_2180/klagomålsmail/A 6473-2024 FSC-klagomål mail.docx", "A 6473-2024")</f>
        <v/>
      </c>
      <c r="AC69">
        <f>HYPERLINK("https://klasma.github.io/Logging_2180/tillsyn/A 6473-2024 tillsynsbegäran.docx", "A 6473-2024")</f>
        <v/>
      </c>
      <c r="AD69">
        <f>HYPERLINK("https://klasma.github.io/Logging_2180/tillsynsmail/A 6473-2024 tillsynsbegäran mail.docx", "A 6473-2024")</f>
        <v/>
      </c>
    </row>
    <row r="70" ht="15" customHeight="1">
      <c r="A70" t="inlineStr">
        <is>
          <t>A 34434-2026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46254</v>
      </c>
      <c r="E70" s="1" t="n">
        <v>46274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7.7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Grönsångare
Vätteros</t>
        </is>
      </c>
      <c r="W70">
        <f>HYPERLINK("https://klasma.github.io/Logging_2180/artfynd/A 34434-2026 artfynd.xlsx", "A 34434-2026")</f>
        <v/>
      </c>
      <c r="X70">
        <f>HYPERLINK("https://klasma.github.io/Logging_2180/kartor/A 34434-2026 karta.png", "A 34434-2026")</f>
        <v/>
      </c>
      <c r="Y70">
        <f>HYPERLINK("https://klasma.github.io/Logging_2180/kartor_geotiff/A 34434-2026 georefererad karta.tif", "A 34434-2026")</f>
        <v/>
      </c>
      <c r="AA70">
        <f>HYPERLINK("https://klasma.github.io/Logging_2180/klagomål/A 34434-2026 FSC-klagomål.docx", "A 34434-2026")</f>
        <v/>
      </c>
      <c r="AB70">
        <f>HYPERLINK("https://klasma.github.io/Logging_2180/klagomålsmail/A 34434-2026 FSC-klagomål mail.docx", "A 34434-2026")</f>
        <v/>
      </c>
      <c r="AC70">
        <f>HYPERLINK("https://klasma.github.io/Logging_2180/tillsyn/A 34434-2026 tillsynsbegäran.docx", "A 34434-2026")</f>
        <v/>
      </c>
      <c r="AD70">
        <f>HYPERLINK("https://klasma.github.io/Logging_2180/tillsynsmail/A 34434-2026 tillsynsbegäran mail.docx", "A 34434-2026")</f>
        <v/>
      </c>
      <c r="AE70">
        <f>HYPERLINK("https://klasma.github.io/Logging_2180/fåglar/A 34434-2026 prioriterade fågelarter.docx", "A 34434-2026")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46274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Pärluggla
Sparvuggla</t>
        </is>
      </c>
      <c r="W71">
        <f>HYPERLINK("https://klasma.github.io/Logging_2180/artfynd/A 13487-2026 artfynd.xlsx", "A 13487-2026")</f>
        <v/>
      </c>
      <c r="X71">
        <f>HYPERLINK("https://klasma.github.io/Logging_2180/kartor/A 13487-2026 karta.png", "A 13487-2026")</f>
        <v/>
      </c>
      <c r="Y71">
        <f>HYPERLINK("https://klasma.github.io/Logging_2180/kartor_geotiff/A 13487-2026 georefererad karta.tif", "A 13487-2026")</f>
        <v/>
      </c>
      <c r="AA71">
        <f>HYPERLINK("https://klasma.github.io/Logging_2180/klagomål/A 13487-2026 FSC-klagomål.docx", "A 13487-2026")</f>
        <v/>
      </c>
      <c r="AB71">
        <f>HYPERLINK("https://klasma.github.io/Logging_2180/klagomålsmail/A 13487-2026 FSC-klagomål mail.docx", "A 13487-2026")</f>
        <v/>
      </c>
      <c r="AC71">
        <f>HYPERLINK("https://klasma.github.io/Logging_2180/tillsyn/A 13487-2026 tillsynsbegäran.docx", "A 13487-2026")</f>
        <v/>
      </c>
      <c r="AD71">
        <f>HYPERLINK("https://klasma.github.io/Logging_2180/tillsynsmail/A 13487-2026 tillsynsbegäran mail.docx", "A 13487-2026")</f>
        <v/>
      </c>
      <c r="AE71">
        <f>HYPERLINK("https://klasma.github.io/Logging_2180/fåglar/A 13487-2026 prioriterade fågelarter.docx", "A 13487-2026")</f>
        <v/>
      </c>
    </row>
    <row r="72" ht="15" customHeight="1">
      <c r="A72" t="inlineStr">
        <is>
          <t>A 13248-2026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46274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Kattfotslav
Fläcknycklar</t>
        </is>
      </c>
      <c r="W72">
        <f>HYPERLINK("https://klasma.github.io/Logging_2180/artfynd/A 13248-2026 artfynd.xlsx", "A 13248-2026")</f>
        <v/>
      </c>
      <c r="X72">
        <f>HYPERLINK("https://klasma.github.io/Logging_2180/kartor/A 13248-2026 karta.png", "A 13248-2026")</f>
        <v/>
      </c>
      <c r="Y72">
        <f>HYPERLINK("https://klasma.github.io/Logging_2180/kartor_geotiff/A 13248-2026 georefererad karta.tif", "A 13248-2026")</f>
        <v/>
      </c>
      <c r="AA72">
        <f>HYPERLINK("https://klasma.github.io/Logging_2180/klagomål/A 13248-2026 FSC-klagomål.docx", "A 13248-2026")</f>
        <v/>
      </c>
      <c r="AB72">
        <f>HYPERLINK("https://klasma.github.io/Logging_2180/klagomålsmail/A 13248-2026 FSC-klagomål mail.docx", "A 13248-2026")</f>
        <v/>
      </c>
      <c r="AC72">
        <f>HYPERLINK("https://klasma.github.io/Logging_2180/tillsyn/A 13248-2026 tillsynsbegäran.docx", "A 13248-2026")</f>
        <v/>
      </c>
      <c r="AD72">
        <f>HYPERLINK("https://klasma.github.io/Logging_2180/tillsynsmail/A 13248-2026 tillsynsbegäran mail.docx", "A 13248-2026")</f>
        <v/>
      </c>
    </row>
    <row r="73" ht="15" customHeight="1">
      <c r="A73" t="inlineStr">
        <is>
          <t>A 19718-2026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46274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10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Rödvingetrast
Nattskärra</t>
        </is>
      </c>
      <c r="W73">
        <f>HYPERLINK("https://klasma.github.io/Logging_2180/artfynd/A 19718-2026 artfynd.xlsx", "A 19718-2026")</f>
        <v/>
      </c>
      <c r="X73">
        <f>HYPERLINK("https://klasma.github.io/Logging_2180/kartor/A 19718-2026 karta.png", "A 19718-2026")</f>
        <v/>
      </c>
      <c r="Y73">
        <f>HYPERLINK("https://klasma.github.io/Logging_2180/kartor_geotiff/A 19718-2026 georefererad karta.tif", "A 19718-2026")</f>
        <v/>
      </c>
      <c r="AA73">
        <f>HYPERLINK("https://klasma.github.io/Logging_2180/klagomål/A 19718-2026 FSC-klagomål.docx", "A 19718-2026")</f>
        <v/>
      </c>
      <c r="AB73">
        <f>HYPERLINK("https://klasma.github.io/Logging_2180/klagomålsmail/A 19718-2026 FSC-klagomål mail.docx", "A 19718-2026")</f>
        <v/>
      </c>
      <c r="AC73">
        <f>HYPERLINK("https://klasma.github.io/Logging_2180/tillsyn/A 19718-2026 tillsynsbegäran.docx", "A 19718-2026")</f>
        <v/>
      </c>
      <c r="AD73">
        <f>HYPERLINK("https://klasma.github.io/Logging_2180/tillsynsmail/A 19718-2026 tillsynsbegäran mail.docx", "A 19718-2026")</f>
        <v/>
      </c>
      <c r="AE73">
        <f>HYPERLINK("https://klasma.github.io/Logging_2180/fåglar/A 19718-2026 prioriterade fågelarter.docx", "A 19718-2026")</f>
        <v/>
      </c>
    </row>
    <row r="74" ht="15" customHeight="1">
      <c r="A74" t="inlineStr">
        <is>
          <t>A 35989-2024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46274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3.1</v>
      </c>
      <c r="J74" t="n">
        <v>1</v>
      </c>
      <c r="K74" t="n">
        <v>1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Jättesvampmal</t>
        </is>
      </c>
      <c r="W74">
        <f>HYPERLINK("https://klasma.github.io/Logging_2180/artfynd/A 35989-2024 artfynd.xlsx", "A 35989-2024")</f>
        <v/>
      </c>
      <c r="X74">
        <f>HYPERLINK("https://klasma.github.io/Logging_2180/kartor/A 35989-2024 karta.png", "A 35989-2024")</f>
        <v/>
      </c>
      <c r="Y74">
        <f>HYPERLINK("https://klasma.github.io/Logging_2180/kartor_geotiff/A 35989-2024 georefererad karta.tif", "A 35989-2024")</f>
        <v/>
      </c>
      <c r="Z74">
        <f>HYPERLINK("https://klasma.github.io/Logging_2180/knärot/A 35989-2024 karta knärot.png", "A 35989-2024")</f>
        <v/>
      </c>
      <c r="AA74">
        <f>HYPERLINK("https://klasma.github.io/Logging_2180/klagomål/A 35989-2024 FSC-klagomål.docx", "A 35989-2024")</f>
        <v/>
      </c>
      <c r="AB74">
        <f>HYPERLINK("https://klasma.github.io/Logging_2180/klagomålsmail/A 35989-2024 FSC-klagomål mail.docx", "A 35989-2024")</f>
        <v/>
      </c>
      <c r="AC74">
        <f>HYPERLINK("https://klasma.github.io/Logging_2180/tillsyn/A 35989-2024 tillsynsbegäran.docx", "A 35989-2024")</f>
        <v/>
      </c>
      <c r="AD74">
        <f>HYPERLINK("https://klasma.github.io/Logging_2180/tillsynsmail/A 35989-2024 tillsynsbegäran mail.docx", "A 35989-2024")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46274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46274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46274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46274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46274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46274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32254-2023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45120</v>
      </c>
      <c r="E81" s="1" t="n">
        <v>46274</v>
      </c>
      <c r="F81" t="inlineStr">
        <is>
          <t>GÄVLEBORGS LÄN</t>
        </is>
      </c>
      <c r="G81" t="inlineStr">
        <is>
          <t>GÄVLE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Slåtterfibbla</t>
        </is>
      </c>
      <c r="W81">
        <f>HYPERLINK("https://klasma.github.io/Logging_2180/artfynd/A 32254-2023 artfynd.xlsx", "A 32254-2023")</f>
        <v/>
      </c>
      <c r="X81">
        <f>HYPERLINK("https://klasma.github.io/Logging_2180/kartor/A 32254-2023 karta.png", "A 32254-2023")</f>
        <v/>
      </c>
      <c r="Y81">
        <f>HYPERLINK("https://klasma.github.io/Logging_2180/kartor_geotiff/A 32254-2023 georefererad karta.tif", "A 32254-2023")</f>
        <v/>
      </c>
      <c r="AA81">
        <f>HYPERLINK("https://klasma.github.io/Logging_2180/klagomål/A 32254-2023 FSC-klagomål.docx", "A 32254-2023")</f>
        <v/>
      </c>
      <c r="AB81">
        <f>HYPERLINK("https://klasma.github.io/Logging_2180/klagomålsmail/A 32254-2023 FSC-klagomål mail.docx", "A 32254-2023")</f>
        <v/>
      </c>
      <c r="AC81">
        <f>HYPERLINK("https://klasma.github.io/Logging_2180/tillsyn/A 32254-2023 tillsynsbegäran.docx", "A 32254-2023")</f>
        <v/>
      </c>
      <c r="AD81">
        <f>HYPERLINK("https://klasma.github.io/Logging_2180/tillsynsmail/A 32254-2023 tillsynsbegäran mail.docx", "A 32254-2023")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46274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46274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46274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46274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45241-2022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46274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22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45241-2022 artfynd.xlsx", "A 45241-2022")</f>
        <v/>
      </c>
      <c r="X86">
        <f>HYPERLINK("https://klasma.github.io/Logging_2180/kartor/A 45241-2022 karta.png", "A 45241-2022")</f>
        <v/>
      </c>
      <c r="Y86">
        <f>HYPERLINK("https://klasma.github.io/Logging_2180/kartor_geotiff/A 45241-2022 georefererad karta.tif", "A 45241-2022")</f>
        <v/>
      </c>
      <c r="AA86">
        <f>HYPERLINK("https://klasma.github.io/Logging_2180/klagomål/A 45241-2022 FSC-klagomål.docx", "A 45241-2022")</f>
        <v/>
      </c>
      <c r="AB86">
        <f>HYPERLINK("https://klasma.github.io/Logging_2180/klagomålsmail/A 45241-2022 FSC-klagomål mail.docx", "A 45241-2022")</f>
        <v/>
      </c>
      <c r="AC86">
        <f>HYPERLINK("https://klasma.github.io/Logging_2180/tillsyn/A 45241-2022 tillsynsbegäran.docx", "A 45241-2022")</f>
        <v/>
      </c>
      <c r="AD86">
        <f>HYPERLINK("https://klasma.github.io/Logging_2180/tillsynsmail/A 45241-2022 tillsynsbegäran mail.docx", "A 45241-2022")</f>
        <v/>
      </c>
    </row>
    <row r="87" ht="15" customHeight="1">
      <c r="A87" t="inlineStr">
        <is>
          <t>A 13396-2026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46274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HYPERLINK("https://klasma.github.io/Logging_2180/artfynd/A 13396-2026 artfynd.xlsx", "A 13396-2026")</f>
        <v/>
      </c>
      <c r="X87">
        <f>HYPERLINK("https://klasma.github.io/Logging_2180/kartor/A 13396-2026 karta.png", "A 13396-2026")</f>
        <v/>
      </c>
      <c r="Y87">
        <f>HYPERLINK("https://klasma.github.io/Logging_2180/kartor_geotiff/A 13396-2026 georefererad karta.tif", "A 13396-2026")</f>
        <v/>
      </c>
      <c r="AA87">
        <f>HYPERLINK("https://klasma.github.io/Logging_2180/klagomål/A 13396-2026 FSC-klagomål.docx", "A 13396-2026")</f>
        <v/>
      </c>
      <c r="AB87">
        <f>HYPERLINK("https://klasma.github.io/Logging_2180/klagomålsmail/A 13396-2026 FSC-klagomål mail.docx", "A 13396-2026")</f>
        <v/>
      </c>
      <c r="AC87">
        <f>HYPERLINK("https://klasma.github.io/Logging_2180/tillsyn/A 13396-2026 tillsynsbegäran.docx", "A 13396-2026")</f>
        <v/>
      </c>
      <c r="AD87">
        <f>HYPERLINK("https://klasma.github.io/Logging_2180/tillsynsmail/A 13396-2026 tillsynsbegäran mail.docx", "A 13396-2026")</f>
        <v/>
      </c>
    </row>
    <row r="88" ht="15" customHeight="1">
      <c r="A88" t="inlineStr">
        <is>
          <t>A 11411-2025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46274</v>
      </c>
      <c r="F88" t="inlineStr">
        <is>
          <t>GÄVLEBORGS LÄN</t>
        </is>
      </c>
      <c r="G88" t="inlineStr">
        <is>
          <t>GÄVLE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11411-2025 artfynd.xlsx", "A 11411-2025")</f>
        <v/>
      </c>
      <c r="X88">
        <f>HYPERLINK("https://klasma.github.io/Logging_2180/kartor/A 11411-2025 karta.png", "A 11411-2025")</f>
        <v/>
      </c>
      <c r="Y88">
        <f>HYPERLINK("https://klasma.github.io/Logging_2180/kartor_geotiff/A 11411-2025 georefererad karta.tif", "A 11411-2025")</f>
        <v/>
      </c>
      <c r="AA88">
        <f>HYPERLINK("https://klasma.github.io/Logging_2180/klagomål/A 11411-2025 FSC-klagomål.docx", "A 11411-2025")</f>
        <v/>
      </c>
      <c r="AB88">
        <f>HYPERLINK("https://klasma.github.io/Logging_2180/klagomålsmail/A 11411-2025 FSC-klagomål mail.docx", "A 11411-2025")</f>
        <v/>
      </c>
      <c r="AC88">
        <f>HYPERLINK("https://klasma.github.io/Logging_2180/tillsyn/A 11411-2025 tillsynsbegäran.docx", "A 11411-2025")</f>
        <v/>
      </c>
      <c r="AD88">
        <f>HYPERLINK("https://klasma.github.io/Logging_2180/tillsynsmail/A 11411-2025 tillsynsbegäran mail.docx", "A 11411-2025")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46274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14730-2026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46274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8.199999999999999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HYPERLINK("https://klasma.github.io/Logging_2180/artfynd/A 14730-2026 artfynd.xlsx", "A 14730-2026")</f>
        <v/>
      </c>
      <c r="X90">
        <f>HYPERLINK("https://klasma.github.io/Logging_2180/kartor/A 14730-2026 karta.png", "A 14730-2026")</f>
        <v/>
      </c>
      <c r="Y90">
        <f>HYPERLINK("https://klasma.github.io/Logging_2180/kartor_geotiff/A 14730-2026 georefererad karta.tif", "A 14730-2026")</f>
        <v/>
      </c>
      <c r="AA90">
        <f>HYPERLINK("https://klasma.github.io/Logging_2180/klagomål/A 14730-2026 FSC-klagomål.docx", "A 14730-2026")</f>
        <v/>
      </c>
      <c r="AB90">
        <f>HYPERLINK("https://klasma.github.io/Logging_2180/klagomålsmail/A 14730-2026 FSC-klagomål mail.docx", "A 14730-2026")</f>
        <v/>
      </c>
      <c r="AC90">
        <f>HYPERLINK("https://klasma.github.io/Logging_2180/tillsyn/A 14730-2026 tillsynsbegäran.docx", "A 14730-2026")</f>
        <v/>
      </c>
      <c r="AD90">
        <f>HYPERLINK("https://klasma.github.io/Logging_2180/tillsynsmail/A 14730-2026 tillsynsbegäran mail.docx", "A 14730-2026")</f>
        <v/>
      </c>
      <c r="AE90">
        <f>HYPERLINK("https://klasma.github.io/Logging_2180/fåglar/A 14730-2026 prioriterade fågelarter.docx", "A 14730-2026")</f>
        <v/>
      </c>
    </row>
    <row r="91" ht="15" customHeight="1">
      <c r="A91" t="inlineStr">
        <is>
          <t>A 14714-2026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46274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Tjäder</t>
        </is>
      </c>
      <c r="W91">
        <f>HYPERLINK("https://klasma.github.io/Logging_2180/artfynd/A 14714-2026 artfynd.xlsx", "A 14714-2026")</f>
        <v/>
      </c>
      <c r="X91">
        <f>HYPERLINK("https://klasma.github.io/Logging_2180/kartor/A 14714-2026 karta.png", "A 14714-2026")</f>
        <v/>
      </c>
      <c r="Y91">
        <f>HYPERLINK("https://klasma.github.io/Logging_2180/kartor_geotiff/A 14714-2026 georefererad karta.tif", "A 14714-2026")</f>
        <v/>
      </c>
      <c r="AA91">
        <f>HYPERLINK("https://klasma.github.io/Logging_2180/klagomål/A 14714-2026 FSC-klagomål.docx", "A 14714-2026")</f>
        <v/>
      </c>
      <c r="AB91">
        <f>HYPERLINK("https://klasma.github.io/Logging_2180/klagomålsmail/A 14714-2026 FSC-klagomål mail.docx", "A 14714-2026")</f>
        <v/>
      </c>
      <c r="AC91">
        <f>HYPERLINK("https://klasma.github.io/Logging_2180/tillsyn/A 14714-2026 tillsynsbegäran.docx", "A 14714-2026")</f>
        <v/>
      </c>
      <c r="AD91">
        <f>HYPERLINK("https://klasma.github.io/Logging_2180/tillsynsmail/A 14714-2026 tillsynsbegäran mail.docx", "A 14714-2026")</f>
        <v/>
      </c>
      <c r="AE91">
        <f>HYPERLINK("https://klasma.github.io/Logging_2180/fåglar/A 14714-2026 prioriterade fågelarter.docx", "A 14714-2026")</f>
        <v/>
      </c>
    </row>
    <row r="92" ht="15" customHeight="1">
      <c r="A92" t="inlineStr">
        <is>
          <t>A 14711-2026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46274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Blanksvart spiklav</t>
        </is>
      </c>
      <c r="W92">
        <f>HYPERLINK("https://klasma.github.io/Logging_2180/artfynd/A 14711-2026 artfynd.xlsx", "A 14711-2026")</f>
        <v/>
      </c>
      <c r="X92">
        <f>HYPERLINK("https://klasma.github.io/Logging_2180/kartor/A 14711-2026 karta.png", "A 14711-2026")</f>
        <v/>
      </c>
      <c r="Y92">
        <f>HYPERLINK("https://klasma.github.io/Logging_2180/kartor_geotiff/A 14711-2026 georefererad karta.tif", "A 14711-2026")</f>
        <v/>
      </c>
      <c r="AA92">
        <f>HYPERLINK("https://klasma.github.io/Logging_2180/klagomål/A 14711-2026 FSC-klagomål.docx", "A 14711-2026")</f>
        <v/>
      </c>
      <c r="AB92">
        <f>HYPERLINK("https://klasma.github.io/Logging_2180/klagomålsmail/A 14711-2026 FSC-klagomål mail.docx", "A 14711-2026")</f>
        <v/>
      </c>
      <c r="AC92">
        <f>HYPERLINK("https://klasma.github.io/Logging_2180/tillsyn/A 14711-2026 tillsynsbegäran.docx", "A 14711-2026")</f>
        <v/>
      </c>
      <c r="AD92">
        <f>HYPERLINK("https://klasma.github.io/Logging_2180/tillsynsmail/A 14711-2026 tillsynsbegäran mail.docx", "A 14711-2026")</f>
        <v/>
      </c>
    </row>
    <row r="93" ht="15" customHeight="1">
      <c r="A93" t="inlineStr">
        <is>
          <t>A 10064-2025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46274</v>
      </c>
      <c r="F93" t="inlineStr">
        <is>
          <t>GÄVLEBORGS LÄN</t>
        </is>
      </c>
      <c r="G93" t="inlineStr">
        <is>
          <t>GÄVLE</t>
        </is>
      </c>
      <c r="I93" t="n">
        <v>4.6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HYPERLINK("https://klasma.github.io/Logging_2180/artfynd/A 10064-2025 artfynd.xlsx", "A 10064-2025")</f>
        <v/>
      </c>
      <c r="X93">
        <f>HYPERLINK("https://klasma.github.io/Logging_2180/kartor/A 10064-2025 karta.png", "A 10064-2025")</f>
        <v/>
      </c>
      <c r="Y93">
        <f>HYPERLINK("https://klasma.github.io/Logging_2180/kartor_geotiff/A 10064-2025 georefererad karta.tif", "A 10064-2025")</f>
        <v/>
      </c>
      <c r="AA93">
        <f>HYPERLINK("https://klasma.github.io/Logging_2180/klagomål/A 10064-2025 FSC-klagomål.docx", "A 10064-2025")</f>
        <v/>
      </c>
      <c r="AB93">
        <f>HYPERLINK("https://klasma.github.io/Logging_2180/klagomålsmail/A 10064-2025 FSC-klagomål mail.docx", "A 10064-2025")</f>
        <v/>
      </c>
      <c r="AC93">
        <f>HYPERLINK("https://klasma.github.io/Logging_2180/tillsyn/A 10064-2025 tillsynsbegäran.docx", "A 10064-2025")</f>
        <v/>
      </c>
      <c r="AD93">
        <f>HYPERLINK("https://klasma.github.io/Logging_2180/tillsynsmail/A 10064-2025 tillsynsbegäran mail.docx", "A 10064-2025")</f>
        <v/>
      </c>
    </row>
    <row r="94" ht="15" customHeight="1">
      <c r="A94" t="inlineStr">
        <is>
          <t>A 20734-2026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46274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HYPERLINK("https://klasma.github.io/Logging_2180/artfynd/A 20734-2026 artfynd.xlsx", "A 20734-2026")</f>
        <v/>
      </c>
      <c r="X94">
        <f>HYPERLINK("https://klasma.github.io/Logging_2180/kartor/A 20734-2026 karta.png", "A 20734-2026")</f>
        <v/>
      </c>
      <c r="Y94">
        <f>HYPERLINK("https://klasma.github.io/Logging_2180/kartor_geotiff/A 20734-2026 georefererad karta.tif", "A 20734-2026")</f>
        <v/>
      </c>
      <c r="AA94">
        <f>HYPERLINK("https://klasma.github.io/Logging_2180/klagomål/A 20734-2026 FSC-klagomål.docx", "A 20734-2026")</f>
        <v/>
      </c>
      <c r="AB94">
        <f>HYPERLINK("https://klasma.github.io/Logging_2180/klagomålsmail/A 20734-2026 FSC-klagomål mail.docx", "A 20734-2026")</f>
        <v/>
      </c>
      <c r="AC94">
        <f>HYPERLINK("https://klasma.github.io/Logging_2180/tillsyn/A 20734-2026 tillsynsbegäran.docx", "A 20734-2026")</f>
        <v/>
      </c>
      <c r="AD94">
        <f>HYPERLINK("https://klasma.github.io/Logging_2180/tillsynsmail/A 20734-2026 tillsynsbegäran mail.docx", "A 20734-2026")</f>
        <v/>
      </c>
    </row>
    <row r="95" ht="15" customHeight="1">
      <c r="A95" t="inlineStr">
        <is>
          <t>A 28875-2025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46274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43.3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HYPERLINK("https://klasma.github.io/Logging_2180/artfynd/A 28875-2025 artfynd.xlsx", "A 28875-2025")</f>
        <v/>
      </c>
      <c r="X95">
        <f>HYPERLINK("https://klasma.github.io/Logging_2180/kartor/A 28875-2025 karta.png", "A 28875-2025")</f>
        <v/>
      </c>
      <c r="Y95">
        <f>HYPERLINK("https://klasma.github.io/Logging_2180/kartor_geotiff/A 28875-2025 georefererad karta.tif", "A 28875-2025")</f>
        <v/>
      </c>
      <c r="AA95">
        <f>HYPERLINK("https://klasma.github.io/Logging_2180/klagomål/A 28875-2025 FSC-klagomål.docx", "A 28875-2025")</f>
        <v/>
      </c>
      <c r="AB95">
        <f>HYPERLINK("https://klasma.github.io/Logging_2180/klagomålsmail/A 28875-2025 FSC-klagomål mail.docx", "A 28875-2025")</f>
        <v/>
      </c>
      <c r="AC95">
        <f>HYPERLINK("https://klasma.github.io/Logging_2180/tillsyn/A 28875-2025 tillsynsbegäran.docx", "A 28875-2025")</f>
        <v/>
      </c>
      <c r="AD95">
        <f>HYPERLINK("https://klasma.github.io/Logging_2180/tillsynsmail/A 28875-2025 tillsynsbegäran mail.docx", "A 28875-2025")</f>
        <v/>
      </c>
    </row>
    <row r="96" ht="15" customHeight="1">
      <c r="A96" t="inlineStr">
        <is>
          <t>A 14703-2026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46274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HYPERLINK("https://klasma.github.io/Logging_2180/artfynd/A 14703-2026 artfynd.xlsx", "A 14703-2026")</f>
        <v/>
      </c>
      <c r="X96">
        <f>HYPERLINK("https://klasma.github.io/Logging_2180/kartor/A 14703-2026 karta.png", "A 14703-2026")</f>
        <v/>
      </c>
      <c r="Y96">
        <f>HYPERLINK("https://klasma.github.io/Logging_2180/kartor_geotiff/A 14703-2026 georefererad karta.tif", "A 14703-2026")</f>
        <v/>
      </c>
      <c r="AA96">
        <f>HYPERLINK("https://klasma.github.io/Logging_2180/klagomål/A 14703-2026 FSC-klagomål.docx", "A 14703-2026")</f>
        <v/>
      </c>
      <c r="AB96">
        <f>HYPERLINK("https://klasma.github.io/Logging_2180/klagomålsmail/A 14703-2026 FSC-klagomål mail.docx", "A 14703-2026")</f>
        <v/>
      </c>
      <c r="AC96">
        <f>HYPERLINK("https://klasma.github.io/Logging_2180/tillsyn/A 14703-2026 tillsynsbegäran.docx", "A 14703-2026")</f>
        <v/>
      </c>
      <c r="AD96">
        <f>HYPERLINK("https://klasma.github.io/Logging_2180/tillsynsmail/A 14703-2026 tillsynsbegäran mail.docx", "A 14703-2026")</f>
        <v/>
      </c>
      <c r="AE96">
        <f>HYPERLINK("https://klasma.github.io/Logging_2180/fåglar/A 14703-2026 prioriterade fågelarter.docx", "A 14703-2026")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46274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13269-2026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46274</v>
      </c>
      <c r="F98" t="inlineStr">
        <is>
          <t>GÄVLEBORGS LÄN</t>
        </is>
      </c>
      <c r="G98" t="inlineStr">
        <is>
          <t>GÄVLE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Havsörn</t>
        </is>
      </c>
      <c r="W98">
        <f>HYPERLINK("https://klasma.github.io/Logging_2180/artfynd/A 13269-2026 artfynd.xlsx", "A 13269-2026")</f>
        <v/>
      </c>
      <c r="X98">
        <f>HYPERLINK("https://klasma.github.io/Logging_2180/kartor/A 13269-2026 karta.png", "A 13269-2026")</f>
        <v/>
      </c>
      <c r="Y98">
        <f>HYPERLINK("https://klasma.github.io/Logging_2180/kartor_geotiff/A 13269-2026 georefererad karta.tif", "A 13269-2026")</f>
        <v/>
      </c>
      <c r="AA98">
        <f>HYPERLINK("https://klasma.github.io/Logging_2180/klagomål/A 13269-2026 FSC-klagomål.docx", "A 13269-2026")</f>
        <v/>
      </c>
      <c r="AB98">
        <f>HYPERLINK("https://klasma.github.io/Logging_2180/klagomålsmail/A 13269-2026 FSC-klagomål mail.docx", "A 13269-2026")</f>
        <v/>
      </c>
      <c r="AC98">
        <f>HYPERLINK("https://klasma.github.io/Logging_2180/tillsyn/A 13269-2026 tillsynsbegäran.docx", "A 13269-2026")</f>
        <v/>
      </c>
      <c r="AD98">
        <f>HYPERLINK("https://klasma.github.io/Logging_2180/tillsynsmail/A 13269-2026 tillsynsbegäran mail.docx", "A 13269-2026")</f>
        <v/>
      </c>
      <c r="AE98">
        <f>HYPERLINK("https://klasma.github.io/Logging_2180/fåglar/A 13269-2026 prioriterade fågelarter.docx", "A 13269-2026")</f>
        <v/>
      </c>
    </row>
    <row r="99" ht="15" customHeight="1">
      <c r="A99" t="inlineStr">
        <is>
          <t>A 22052-2026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46274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2.8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Gullpudra</t>
        </is>
      </c>
      <c r="W99">
        <f>HYPERLINK("https://klasma.github.io/Logging_2180/artfynd/A 22052-2026 artfynd.xlsx", "A 22052-2026")</f>
        <v/>
      </c>
      <c r="X99">
        <f>HYPERLINK("https://klasma.github.io/Logging_2180/kartor/A 22052-2026 karta.png", "A 22052-2026")</f>
        <v/>
      </c>
      <c r="Y99">
        <f>HYPERLINK("https://klasma.github.io/Logging_2180/kartor_geotiff/A 22052-2026 georefererad karta.tif", "A 22052-2026")</f>
        <v/>
      </c>
      <c r="AA99">
        <f>HYPERLINK("https://klasma.github.io/Logging_2180/klagomål/A 22052-2026 FSC-klagomål.docx", "A 22052-2026")</f>
        <v/>
      </c>
      <c r="AB99">
        <f>HYPERLINK("https://klasma.github.io/Logging_2180/klagomålsmail/A 22052-2026 FSC-klagomål mail.docx", "A 22052-2026")</f>
        <v/>
      </c>
      <c r="AC99">
        <f>HYPERLINK("https://klasma.github.io/Logging_2180/tillsyn/A 22052-2026 tillsynsbegäran.docx", "A 22052-2026")</f>
        <v/>
      </c>
      <c r="AD99">
        <f>HYPERLINK("https://klasma.github.io/Logging_2180/tillsynsmail/A 22052-2026 tillsynsbegäran mail.docx", "A 22052-2026")</f>
        <v/>
      </c>
    </row>
    <row r="100" ht="15" customHeight="1">
      <c r="A100" t="inlineStr">
        <is>
          <t>A 63036-2023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45272</v>
      </c>
      <c r="E100" s="1" t="n">
        <v>46274</v>
      </c>
      <c r="F100" t="inlineStr">
        <is>
          <t>GÄVLEBORGS LÄN</t>
        </is>
      </c>
      <c r="G100" t="inlineStr">
        <is>
          <t>GÄVLE</t>
        </is>
      </c>
      <c r="I100" t="n">
        <v>12.7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Kattfotslav</t>
        </is>
      </c>
      <c r="W100">
        <f>HYPERLINK("https://klasma.github.io/Logging_2180/artfynd/A 63036-2023 artfynd.xlsx", "A 63036-2023")</f>
        <v/>
      </c>
      <c r="X100">
        <f>HYPERLINK("https://klasma.github.io/Logging_2180/kartor/A 63036-2023 karta.png", "A 63036-2023")</f>
        <v/>
      </c>
      <c r="Y100">
        <f>HYPERLINK("https://klasma.github.io/Logging_2180/kartor_geotiff/A 63036-2023 georefererad karta.tif", "A 63036-2023")</f>
        <v/>
      </c>
      <c r="AA100">
        <f>HYPERLINK("https://klasma.github.io/Logging_2180/klagomål/A 63036-2023 FSC-klagomål.docx", "A 63036-2023")</f>
        <v/>
      </c>
      <c r="AB100">
        <f>HYPERLINK("https://klasma.github.io/Logging_2180/klagomålsmail/A 63036-2023 FSC-klagomål mail.docx", "A 63036-2023")</f>
        <v/>
      </c>
      <c r="AC100">
        <f>HYPERLINK("https://klasma.github.io/Logging_2180/tillsyn/A 63036-2023 tillsynsbegäran.docx", "A 63036-2023")</f>
        <v/>
      </c>
      <c r="AD100">
        <f>HYPERLINK("https://klasma.github.io/Logging_2180/tillsynsmail/A 63036-2023 tillsynsbegäran mail.docx", "A 63036-2023")</f>
        <v/>
      </c>
    </row>
    <row r="101" ht="15" customHeight="1">
      <c r="A101" t="inlineStr">
        <is>
          <t>A 22892-2026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46274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1.6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HYPERLINK("https://klasma.github.io/Logging_2180/artfynd/A 22892-2026 artfynd.xlsx", "A 22892-2026")</f>
        <v/>
      </c>
      <c r="X101">
        <f>HYPERLINK("https://klasma.github.io/Logging_2180/kartor/A 22892-2026 karta.png", "A 22892-2026")</f>
        <v/>
      </c>
      <c r="Y101">
        <f>HYPERLINK("https://klasma.github.io/Logging_2180/kartor_geotiff/A 22892-2026 georefererad karta.tif", "A 22892-2026")</f>
        <v/>
      </c>
      <c r="AA101">
        <f>HYPERLINK("https://klasma.github.io/Logging_2180/klagomål/A 22892-2026 FSC-klagomål.docx", "A 22892-2026")</f>
        <v/>
      </c>
      <c r="AB101">
        <f>HYPERLINK("https://klasma.github.io/Logging_2180/klagomålsmail/A 22892-2026 FSC-klagomål mail.docx", "A 22892-2026")</f>
        <v/>
      </c>
      <c r="AC101">
        <f>HYPERLINK("https://klasma.github.io/Logging_2180/tillsyn/A 22892-2026 tillsynsbegäran.docx", "A 22892-2026")</f>
        <v/>
      </c>
      <c r="AD101">
        <f>HYPERLINK("https://klasma.github.io/Logging_2180/tillsynsmail/A 22892-2026 tillsynsbegäran mail.docx", "A 22892-2026")</f>
        <v/>
      </c>
      <c r="AE101">
        <f>HYPERLINK("https://klasma.github.io/Logging_2180/fåglar/A 22892-2026 prioriterade fågelarter.docx", "A 22892-2026")</f>
        <v/>
      </c>
    </row>
    <row r="102" ht="15" customHeight="1">
      <c r="A102" t="inlineStr">
        <is>
          <t>A 54963-2025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45967</v>
      </c>
      <c r="E102" s="1" t="n">
        <v>46274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Revlummer</t>
        </is>
      </c>
      <c r="W102">
        <f>HYPERLINK("https://klasma.github.io/Logging_2180/artfynd/A 54963-2025 artfynd.xlsx", "A 54963-2025")</f>
        <v/>
      </c>
      <c r="X102">
        <f>HYPERLINK("https://klasma.github.io/Logging_2180/kartor/A 54963-2025 karta.png", "A 54963-2025")</f>
        <v/>
      </c>
      <c r="Y102">
        <f>HYPERLINK("https://klasma.github.io/Logging_2180/kartor_geotiff/A 54963-2025 georefererad karta.tif", "A 54963-2025")</f>
        <v/>
      </c>
      <c r="AA102">
        <f>HYPERLINK("https://klasma.github.io/Logging_2180/klagomål/A 54963-2025 FSC-klagomål.docx", "A 54963-2025")</f>
        <v/>
      </c>
      <c r="AB102">
        <f>HYPERLINK("https://klasma.github.io/Logging_2180/klagomålsmail/A 54963-2025 FSC-klagomål mail.docx", "A 54963-2025")</f>
        <v/>
      </c>
      <c r="AC102">
        <f>HYPERLINK("https://klasma.github.io/Logging_2180/tillsyn/A 54963-2025 tillsynsbegäran.docx", "A 54963-2025")</f>
        <v/>
      </c>
      <c r="AD102">
        <f>HYPERLINK("https://klasma.github.io/Logging_2180/tillsynsmail/A 54963-2025 tillsynsbegäran mail.docx", "A 54963-2025")</f>
        <v/>
      </c>
    </row>
    <row r="103" ht="15" customHeight="1">
      <c r="A103" t="inlineStr">
        <is>
          <t>A 58204-2025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45984</v>
      </c>
      <c r="E103" s="1" t="n">
        <v>46274</v>
      </c>
      <c r="F103" t="inlineStr">
        <is>
          <t>GÄVLEBORGS LÄN</t>
        </is>
      </c>
      <c r="G103" t="inlineStr">
        <is>
          <t>GÄVLE</t>
        </is>
      </c>
      <c r="I103" t="n">
        <v>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HYPERLINK("https://klasma.github.io/Logging_2180/artfynd/A 58204-2025 artfynd.xlsx", "A 58204-2025")</f>
        <v/>
      </c>
      <c r="X103">
        <f>HYPERLINK("https://klasma.github.io/Logging_2180/kartor/A 58204-2025 karta.png", "A 58204-2025")</f>
        <v/>
      </c>
      <c r="Y103">
        <f>HYPERLINK("https://klasma.github.io/Logging_2180/kartor_geotiff/A 58204-2025 georefererad karta.tif", "A 58204-2025")</f>
        <v/>
      </c>
      <c r="AA103">
        <f>HYPERLINK("https://klasma.github.io/Logging_2180/klagomål/A 58204-2025 FSC-klagomål.docx", "A 58204-2025")</f>
        <v/>
      </c>
      <c r="AB103">
        <f>HYPERLINK("https://klasma.github.io/Logging_2180/klagomålsmail/A 58204-2025 FSC-klagomål mail.docx", "A 58204-2025")</f>
        <v/>
      </c>
      <c r="AC103">
        <f>HYPERLINK("https://klasma.github.io/Logging_2180/tillsyn/A 58204-2025 tillsynsbegäran.docx", "A 58204-2025")</f>
        <v/>
      </c>
      <c r="AD103">
        <f>HYPERLINK("https://klasma.github.io/Logging_2180/tillsynsmail/A 58204-2025 tillsynsbegäran mail.docx", "A 58204-2025")</f>
        <v/>
      </c>
      <c r="AE103">
        <f>HYPERLINK("https://klasma.github.io/Logging_2180/fåglar/A 58204-2025 prioriterade fågelarter.docx", "A 58204-2025")</f>
        <v/>
      </c>
    </row>
    <row r="104" ht="15" customHeight="1">
      <c r="A104" t="inlineStr">
        <is>
          <t>A 27063-2026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46274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HYPERLINK("https://klasma.github.io/Logging_2180/artfynd/A 27063-2026 artfynd.xlsx", "A 27063-2026")</f>
        <v/>
      </c>
      <c r="X104">
        <f>HYPERLINK("https://klasma.github.io/Logging_2180/kartor/A 27063-2026 karta.png", "A 27063-2026")</f>
        <v/>
      </c>
      <c r="Y104">
        <f>HYPERLINK("https://klasma.github.io/Logging_2180/kartor_geotiff/A 27063-2026 georefererad karta.tif", "A 27063-2026")</f>
        <v/>
      </c>
      <c r="AA104">
        <f>HYPERLINK("https://klasma.github.io/Logging_2180/klagomål/A 27063-2026 FSC-klagomål.docx", "A 27063-2026")</f>
        <v/>
      </c>
      <c r="AB104">
        <f>HYPERLINK("https://klasma.github.io/Logging_2180/klagomålsmail/A 27063-2026 FSC-klagomål mail.docx", "A 27063-2026")</f>
        <v/>
      </c>
      <c r="AC104">
        <f>HYPERLINK("https://klasma.github.io/Logging_2180/tillsyn/A 27063-2026 tillsynsbegäran.docx", "A 27063-2026")</f>
        <v/>
      </c>
      <c r="AD104">
        <f>HYPERLINK("https://klasma.github.io/Logging_2180/tillsynsmail/A 27063-2026 tillsynsbegäran mail.docx", "A 27063-2026")</f>
        <v/>
      </c>
    </row>
    <row r="105" ht="15" customHeight="1">
      <c r="A105" t="inlineStr">
        <is>
          <t>A 26871-2026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46274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4.2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Utter</t>
        </is>
      </c>
      <c r="W105">
        <f>HYPERLINK("https://klasma.github.io/Logging_2180/artfynd/A 26871-2026 artfynd.xlsx", "A 26871-2026")</f>
        <v/>
      </c>
      <c r="X105">
        <f>HYPERLINK("https://klasma.github.io/Logging_2180/kartor/A 26871-2026 karta.png", "A 26871-2026")</f>
        <v/>
      </c>
      <c r="Y105">
        <f>HYPERLINK("https://klasma.github.io/Logging_2180/kartor_geotiff/A 26871-2026 georefererad karta.tif", "A 26871-2026")</f>
        <v/>
      </c>
      <c r="AA105">
        <f>HYPERLINK("https://klasma.github.io/Logging_2180/klagomål/A 26871-2026 FSC-klagomål.docx", "A 26871-2026")</f>
        <v/>
      </c>
      <c r="AB105">
        <f>HYPERLINK("https://klasma.github.io/Logging_2180/klagomålsmail/A 26871-2026 FSC-klagomål mail.docx", "A 26871-2026")</f>
        <v/>
      </c>
      <c r="AC105">
        <f>HYPERLINK("https://klasma.github.io/Logging_2180/tillsyn/A 26871-2026 tillsynsbegäran.docx", "A 26871-2026")</f>
        <v/>
      </c>
      <c r="AD105">
        <f>HYPERLINK("https://klasma.github.io/Logging_2180/tillsynsmail/A 26871-2026 tillsynsbegäran mail.docx", "A 26871-2026")</f>
        <v/>
      </c>
    </row>
    <row r="106" ht="15" customHeight="1">
      <c r="A106" t="inlineStr">
        <is>
          <t>A 27058-2026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46274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27058-2026 artfynd.xlsx", "A 27058-2026")</f>
        <v/>
      </c>
      <c r="X106">
        <f>HYPERLINK("https://klasma.github.io/Logging_2180/kartor/A 27058-2026 karta.png", "A 27058-2026")</f>
        <v/>
      </c>
      <c r="Y106">
        <f>HYPERLINK("https://klasma.github.io/Logging_2180/kartor_geotiff/A 27058-2026 georefererad karta.tif", "A 27058-2026")</f>
        <v/>
      </c>
      <c r="AA106">
        <f>HYPERLINK("https://klasma.github.io/Logging_2180/klagomål/A 27058-2026 FSC-klagomål.docx", "A 27058-2026")</f>
        <v/>
      </c>
      <c r="AB106">
        <f>HYPERLINK("https://klasma.github.io/Logging_2180/klagomålsmail/A 27058-2026 FSC-klagomål mail.docx", "A 27058-2026")</f>
        <v/>
      </c>
      <c r="AC106">
        <f>HYPERLINK("https://klasma.github.io/Logging_2180/tillsyn/A 27058-2026 tillsynsbegäran.docx", "A 27058-2026")</f>
        <v/>
      </c>
      <c r="AD106">
        <f>HYPERLINK("https://klasma.github.io/Logging_2180/tillsynsmail/A 27058-2026 tillsynsbegäran mail.docx", "A 27058-2026")</f>
        <v/>
      </c>
    </row>
    <row r="107" ht="15" customHeight="1">
      <c r="A107" t="inlineStr">
        <is>
          <t>A 27043-2026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46274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27043-2026 artfynd.xlsx", "A 27043-2026")</f>
        <v/>
      </c>
      <c r="X107">
        <f>HYPERLINK("https://klasma.github.io/Logging_2180/kartor/A 27043-2026 karta.png", "A 27043-2026")</f>
        <v/>
      </c>
      <c r="Y107">
        <f>HYPERLINK("https://klasma.github.io/Logging_2180/kartor_geotiff/A 27043-2026 georefererad karta.tif", "A 27043-2026")</f>
        <v/>
      </c>
      <c r="AA107">
        <f>HYPERLINK("https://klasma.github.io/Logging_2180/klagomål/A 27043-2026 FSC-klagomål.docx", "A 27043-2026")</f>
        <v/>
      </c>
      <c r="AB107">
        <f>HYPERLINK("https://klasma.github.io/Logging_2180/klagomålsmail/A 27043-2026 FSC-klagomål mail.docx", "A 27043-2026")</f>
        <v/>
      </c>
      <c r="AC107">
        <f>HYPERLINK("https://klasma.github.io/Logging_2180/tillsyn/A 27043-2026 tillsynsbegäran.docx", "A 27043-2026")</f>
        <v/>
      </c>
      <c r="AD107">
        <f>HYPERLINK("https://klasma.github.io/Logging_2180/tillsynsmail/A 27043-2026 tillsynsbegäran mail.docx", "A 27043-2026")</f>
        <v/>
      </c>
    </row>
    <row r="108" ht="15" customHeight="1">
      <c r="A108" t="inlineStr">
        <is>
          <t>A 51508-2024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45604</v>
      </c>
      <c r="E108" s="1" t="n">
        <v>46274</v>
      </c>
      <c r="F108" t="inlineStr">
        <is>
          <t>GÄVLEBORGS LÄN</t>
        </is>
      </c>
      <c r="G108" t="inlineStr">
        <is>
          <t>GÄVLE</t>
        </is>
      </c>
      <c r="I108" t="n">
        <v>0.9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HYPERLINK("https://klasma.github.io/Logging_2180/artfynd/A 51508-2024 artfynd.xlsx", "A 51508-2024")</f>
        <v/>
      </c>
      <c r="X108">
        <f>HYPERLINK("https://klasma.github.io/Logging_2180/kartor/A 51508-2024 karta.png", "A 51508-2024")</f>
        <v/>
      </c>
      <c r="Y108">
        <f>HYPERLINK("https://klasma.github.io/Logging_2180/kartor_geotiff/A 51508-2024 georefererad karta.tif", "A 51508-2024")</f>
        <v/>
      </c>
      <c r="AA108">
        <f>HYPERLINK("https://klasma.github.io/Logging_2180/klagomål/A 51508-2024 FSC-klagomål.docx", "A 51508-2024")</f>
        <v/>
      </c>
      <c r="AB108">
        <f>HYPERLINK("https://klasma.github.io/Logging_2180/klagomålsmail/A 51508-2024 FSC-klagomål mail.docx", "A 51508-2024")</f>
        <v/>
      </c>
      <c r="AC108">
        <f>HYPERLINK("https://klasma.github.io/Logging_2180/tillsyn/A 51508-2024 tillsynsbegäran.docx", "A 51508-2024")</f>
        <v/>
      </c>
      <c r="AD108">
        <f>HYPERLINK("https://klasma.github.io/Logging_2180/tillsynsmail/A 51508-2024 tillsynsbegäran mail.docx", "A 51508-2024")</f>
        <v/>
      </c>
    </row>
    <row r="109" ht="15" customHeight="1">
      <c r="A109" t="inlineStr">
        <is>
          <t>A 28546-2026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46274</v>
      </c>
      <c r="F109" t="inlineStr">
        <is>
          <t>GÄVLEBORGS LÄN</t>
        </is>
      </c>
      <c r="G109" t="inlineStr">
        <is>
          <t>GÄVLE</t>
        </is>
      </c>
      <c r="H109" t="inlineStr">
        <is>
          <t>BillerudKorsnäs AB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Fiskgjuse</t>
        </is>
      </c>
      <c r="W109">
        <f>HYPERLINK("https://klasma.github.io/Logging_2180/artfynd/A 28546-2026 artfynd.xlsx", "A 28546-2026")</f>
        <v/>
      </c>
      <c r="X109">
        <f>HYPERLINK("https://klasma.github.io/Logging_2180/kartor/A 28546-2026 karta.png", "A 28546-2026")</f>
        <v/>
      </c>
      <c r="Y109">
        <f>HYPERLINK("https://klasma.github.io/Logging_2180/kartor_geotiff/A 28546-2026 georefererad karta.tif", "A 28546-2026")</f>
        <v/>
      </c>
      <c r="AA109">
        <f>HYPERLINK("https://klasma.github.io/Logging_2180/klagomål/A 28546-2026 FSC-klagomål.docx", "A 28546-2026")</f>
        <v/>
      </c>
      <c r="AB109">
        <f>HYPERLINK("https://klasma.github.io/Logging_2180/klagomålsmail/A 28546-2026 FSC-klagomål mail.docx", "A 28546-2026")</f>
        <v/>
      </c>
      <c r="AC109">
        <f>HYPERLINK("https://klasma.github.io/Logging_2180/tillsyn/A 28546-2026 tillsynsbegäran.docx", "A 28546-2026")</f>
        <v/>
      </c>
      <c r="AD109">
        <f>HYPERLINK("https://klasma.github.io/Logging_2180/tillsynsmail/A 28546-2026 tillsynsbegäran mail.docx", "A 28546-2026")</f>
        <v/>
      </c>
      <c r="AE109">
        <f>HYPERLINK("https://klasma.github.io/Logging_2180/fåglar/A 28546-2026 prioriterade fågelarter.docx", "A 28546-2026")</f>
        <v/>
      </c>
    </row>
    <row r="110" ht="15" customHeight="1">
      <c r="A110" t="inlineStr">
        <is>
          <t>A 12437-2024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45379</v>
      </c>
      <c r="E110" s="1" t="n">
        <v>46274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Mindre bastardsvärmare</t>
        </is>
      </c>
      <c r="W110">
        <f>HYPERLINK("https://klasma.github.io/Logging_2180/artfynd/A 12437-2024 artfynd.xlsx", "A 12437-2024")</f>
        <v/>
      </c>
      <c r="X110">
        <f>HYPERLINK("https://klasma.github.io/Logging_2180/kartor/A 12437-2024 karta.png", "A 12437-2024")</f>
        <v/>
      </c>
      <c r="Y110">
        <f>HYPERLINK("https://klasma.github.io/Logging_2180/kartor_geotiff/A 12437-2024 georefererad karta.tif", "A 12437-2024")</f>
        <v/>
      </c>
      <c r="AA110">
        <f>HYPERLINK("https://klasma.github.io/Logging_2180/klagomål/A 12437-2024 FSC-klagomål.docx", "A 12437-2024")</f>
        <v/>
      </c>
      <c r="AB110">
        <f>HYPERLINK("https://klasma.github.io/Logging_2180/klagomålsmail/A 12437-2024 FSC-klagomål mail.docx", "A 12437-2024")</f>
        <v/>
      </c>
      <c r="AC110">
        <f>HYPERLINK("https://klasma.github.io/Logging_2180/tillsyn/A 12437-2024 tillsynsbegäran.docx", "A 12437-2024")</f>
        <v/>
      </c>
      <c r="AD110">
        <f>HYPERLINK("https://klasma.github.io/Logging_2180/tillsynsmail/A 12437-2024 tillsynsbegäran mail.docx", "A 12437-2024")</f>
        <v/>
      </c>
    </row>
    <row r="111" ht="15" customHeight="1">
      <c r="A111" t="inlineStr">
        <is>
          <t>A 33832-2026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46274</v>
      </c>
      <c r="F111" t="inlineStr">
        <is>
          <t>GÄVLEBORGS LÄN</t>
        </is>
      </c>
      <c r="G111" t="inlineStr">
        <is>
          <t>GÄVLE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HYPERLINK("https://klasma.github.io/Logging_2180/artfynd/A 33832-2026 artfynd.xlsx", "A 33832-2026")</f>
        <v/>
      </c>
      <c r="X111">
        <f>HYPERLINK("https://klasma.github.io/Logging_2180/kartor/A 33832-2026 karta.png", "A 33832-2026")</f>
        <v/>
      </c>
      <c r="Y111">
        <f>HYPERLINK("https://klasma.github.io/Logging_2180/kartor_geotiff/A 33832-2026 georefererad karta.tif", "A 33832-2026")</f>
        <v/>
      </c>
      <c r="AA111">
        <f>HYPERLINK("https://klasma.github.io/Logging_2180/klagomål/A 33832-2026 FSC-klagomål.docx", "A 33832-2026")</f>
        <v/>
      </c>
      <c r="AB111">
        <f>HYPERLINK("https://klasma.github.io/Logging_2180/klagomålsmail/A 33832-2026 FSC-klagomål mail.docx", "A 33832-2026")</f>
        <v/>
      </c>
      <c r="AC111">
        <f>HYPERLINK("https://klasma.github.io/Logging_2180/tillsyn/A 33832-2026 tillsynsbegäran.docx", "A 33832-2026")</f>
        <v/>
      </c>
      <c r="AD111">
        <f>HYPERLINK("https://klasma.github.io/Logging_2180/tillsynsmail/A 33832-2026 tillsynsbegäran mail.docx", "A 33832-2026")</f>
        <v/>
      </c>
    </row>
    <row r="112" ht="15" customHeight="1">
      <c r="A112" t="inlineStr">
        <is>
          <t>A 10333-2025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45720</v>
      </c>
      <c r="E112" s="1" t="n">
        <v>46274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Tjäder</t>
        </is>
      </c>
      <c r="W112">
        <f>HYPERLINK("https://klasma.github.io/Logging_2180/artfynd/A 10333-2025 artfynd.xlsx", "A 10333-2025")</f>
        <v/>
      </c>
      <c r="X112">
        <f>HYPERLINK("https://klasma.github.io/Logging_2180/kartor/A 10333-2025 karta.png", "A 10333-2025")</f>
        <v/>
      </c>
      <c r="Y112">
        <f>HYPERLINK("https://klasma.github.io/Logging_2180/kartor_geotiff/A 10333-2025 georefererad karta.tif", "A 10333-2025")</f>
        <v/>
      </c>
      <c r="AA112">
        <f>HYPERLINK("https://klasma.github.io/Logging_2180/klagomål/A 10333-2025 FSC-klagomål.docx", "A 10333-2025")</f>
        <v/>
      </c>
      <c r="AB112">
        <f>HYPERLINK("https://klasma.github.io/Logging_2180/klagomålsmail/A 10333-2025 FSC-klagomål mail.docx", "A 10333-2025")</f>
        <v/>
      </c>
      <c r="AC112">
        <f>HYPERLINK("https://klasma.github.io/Logging_2180/tillsyn/A 10333-2025 tillsynsbegäran.docx", "A 10333-2025")</f>
        <v/>
      </c>
      <c r="AD112">
        <f>HYPERLINK("https://klasma.github.io/Logging_2180/tillsynsmail/A 10333-2025 tillsynsbegäran mail.docx", "A 10333-2025")</f>
        <v/>
      </c>
      <c r="AE112">
        <f>HYPERLINK("https://klasma.github.io/Logging_2180/fåglar/A 10333-2025 prioriterade fågelarter.docx", "A 10333-2025")</f>
        <v/>
      </c>
    </row>
    <row r="113" ht="15" customHeight="1">
      <c r="A113" t="inlineStr">
        <is>
          <t>A 34086-2026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46252</v>
      </c>
      <c r="E113" s="1" t="n">
        <v>46274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6.1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Gullgröppa</t>
        </is>
      </c>
      <c r="W113">
        <f>HYPERLINK("https://klasma.github.io/Logging_2180/artfynd/A 34086-2026 artfynd.xlsx", "A 34086-2026")</f>
        <v/>
      </c>
      <c r="X113">
        <f>HYPERLINK("https://klasma.github.io/Logging_2180/kartor/A 34086-2026 karta.png", "A 34086-2026")</f>
        <v/>
      </c>
      <c r="Y113">
        <f>HYPERLINK("https://klasma.github.io/Logging_2180/kartor_geotiff/A 34086-2026 georefererad karta.tif", "A 34086-2026")</f>
        <v/>
      </c>
      <c r="AA113">
        <f>HYPERLINK("https://klasma.github.io/Logging_2180/klagomål/A 34086-2026 FSC-klagomål.docx", "A 34086-2026")</f>
        <v/>
      </c>
      <c r="AB113">
        <f>HYPERLINK("https://klasma.github.io/Logging_2180/klagomålsmail/A 34086-2026 FSC-klagomål mail.docx", "A 34086-2026")</f>
        <v/>
      </c>
      <c r="AC113">
        <f>HYPERLINK("https://klasma.github.io/Logging_2180/tillsyn/A 34086-2026 tillsynsbegäran.docx", "A 34086-2026")</f>
        <v/>
      </c>
      <c r="AD113">
        <f>HYPERLINK("https://klasma.github.io/Logging_2180/tillsynsmail/A 34086-2026 tillsynsbegäran mail.docx", "A 34086-2026")</f>
        <v/>
      </c>
    </row>
    <row r="114" ht="15" customHeight="1">
      <c r="A114" t="inlineStr">
        <is>
          <t>A 34589-2026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46255</v>
      </c>
      <c r="E114" s="1" t="n">
        <v>46274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15.3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Tibast</t>
        </is>
      </c>
      <c r="W114">
        <f>HYPERLINK("https://klasma.github.io/Logging_2180/artfynd/A 34589-2026 artfynd.xlsx", "A 34589-2026")</f>
        <v/>
      </c>
      <c r="X114">
        <f>HYPERLINK("https://klasma.github.io/Logging_2180/kartor/A 34589-2026 karta.png", "A 34589-2026")</f>
        <v/>
      </c>
      <c r="Y114">
        <f>HYPERLINK("https://klasma.github.io/Logging_2180/kartor_geotiff/A 34589-2026 georefererad karta.tif", "A 34589-2026")</f>
        <v/>
      </c>
      <c r="AA114">
        <f>HYPERLINK("https://klasma.github.io/Logging_2180/klagomål/A 34589-2026 FSC-klagomål.docx", "A 34589-2026")</f>
        <v/>
      </c>
      <c r="AB114">
        <f>HYPERLINK("https://klasma.github.io/Logging_2180/klagomålsmail/A 34589-2026 FSC-klagomål mail.docx", "A 34589-2026")</f>
        <v/>
      </c>
      <c r="AC114">
        <f>HYPERLINK("https://klasma.github.io/Logging_2180/tillsyn/A 34589-2026 tillsynsbegäran.docx", "A 34589-2026")</f>
        <v/>
      </c>
      <c r="AD114">
        <f>HYPERLINK("https://klasma.github.io/Logging_2180/tillsynsmail/A 34589-2026 tillsynsbegäran mail.docx", "A 34589-2026")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46274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50052-2025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46274</v>
      </c>
      <c r="F116" t="inlineStr">
        <is>
          <t>GÄVLEBORGS LÄN</t>
        </is>
      </c>
      <c r="G116" t="inlineStr">
        <is>
          <t>GÄVLE</t>
        </is>
      </c>
      <c r="I116" t="n">
        <v>1.9</v>
      </c>
      <c r="J116" t="n">
        <v>1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t="n">
        <v>0</v>
      </c>
      <c r="V116" s="2" t="inlineStr">
        <is>
          <t>Mosippa</t>
        </is>
      </c>
      <c r="W116">
        <f>HYPERLINK("https://klasma.github.io/Logging_2180/artfynd/A 50052-2025 artfynd.xlsx", "A 50052-2025")</f>
        <v/>
      </c>
      <c r="X116">
        <f>HYPERLINK("https://klasma.github.io/Logging_2180/kartor/A 50052-2025 karta.png", "A 50052-2025")</f>
        <v/>
      </c>
      <c r="Y116">
        <f>HYPERLINK("https://klasma.github.io/Logging_2180/kartor_geotiff/A 50052-2025 georefererad karta.tif", "A 50052-2025")</f>
        <v/>
      </c>
      <c r="AA116">
        <f>HYPERLINK("https://klasma.github.io/Logging_2180/klagomål/A 50052-2025 FSC-klagomål.docx", "A 50052-2025")</f>
        <v/>
      </c>
      <c r="AB116">
        <f>HYPERLINK("https://klasma.github.io/Logging_2180/klagomålsmail/A 50052-2025 FSC-klagomål mail.docx", "A 50052-2025")</f>
        <v/>
      </c>
      <c r="AC116">
        <f>HYPERLINK("https://klasma.github.io/Logging_2180/tillsyn/A 50052-2025 tillsynsbegäran.docx", "A 50052-2025")</f>
        <v/>
      </c>
      <c r="AD116">
        <f>HYPERLINK("https://klasma.github.io/Logging_2180/tillsynsmail/A 50052-2025 tillsynsbegäran mail.docx", "A 50052-2025")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46274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36090-2026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46267</v>
      </c>
      <c r="E118" s="1" t="n">
        <v>46274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Tvåblad</t>
        </is>
      </c>
      <c r="W118">
        <f>HYPERLINK("https://klasma.github.io/Logging_2180/artfynd/A 36090-2026 artfynd.xlsx", "A 36090-2026")</f>
        <v/>
      </c>
      <c r="X118">
        <f>HYPERLINK("https://klasma.github.io/Logging_2180/kartor/A 36090-2026 karta.png", "A 36090-2026")</f>
        <v/>
      </c>
      <c r="Y118">
        <f>HYPERLINK("https://klasma.github.io/Logging_2180/kartor_geotiff/A 36090-2026 georefererad karta.tif", "A 36090-2026")</f>
        <v/>
      </c>
      <c r="AA118">
        <f>HYPERLINK("https://klasma.github.io/Logging_2180/klagomål/A 36090-2026 FSC-klagomål.docx", "A 36090-2026")</f>
        <v/>
      </c>
      <c r="AB118">
        <f>HYPERLINK("https://klasma.github.io/Logging_2180/klagomålsmail/A 36090-2026 FSC-klagomål mail.docx", "A 36090-2026")</f>
        <v/>
      </c>
      <c r="AC118">
        <f>HYPERLINK("https://klasma.github.io/Logging_2180/tillsyn/A 36090-2026 tillsynsbegäran.docx", "A 36090-2026")</f>
        <v/>
      </c>
      <c r="AD118">
        <f>HYPERLINK("https://klasma.github.io/Logging_2180/tillsynsmail/A 36090-2026 tillsynsbegäran mail.docx", "A 36090-2026")</f>
        <v/>
      </c>
    </row>
    <row r="119" ht="15" customHeight="1">
      <c r="A119" t="inlineStr">
        <is>
          <t>A 23003-2026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46160</v>
      </c>
      <c r="E119" s="1" t="n">
        <v>46274</v>
      </c>
      <c r="F119" t="inlineStr">
        <is>
          <t>GÄVLEBORGS LÄN</t>
        </is>
      </c>
      <c r="G119" t="inlineStr">
        <is>
          <t>GÄVLE</t>
        </is>
      </c>
      <c r="I119" t="n">
        <v>12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Tjäder</t>
        </is>
      </c>
      <c r="W119">
        <f>HYPERLINK("https://klasma.github.io/Logging_2180/artfynd/A 23003-2026 artfynd.xlsx", "A 23003-2026")</f>
        <v/>
      </c>
      <c r="X119">
        <f>HYPERLINK("https://klasma.github.io/Logging_2180/kartor/A 23003-2026 karta.png", "A 23003-2026")</f>
        <v/>
      </c>
      <c r="Y119">
        <f>HYPERLINK("https://klasma.github.io/Logging_2180/kartor_geotiff/A 23003-2026 georefererad karta.tif", "A 23003-2026")</f>
        <v/>
      </c>
      <c r="AA119">
        <f>HYPERLINK("https://klasma.github.io/Logging_2180/klagomål/A 23003-2026 FSC-klagomål.docx", "A 23003-2026")</f>
        <v/>
      </c>
      <c r="AB119">
        <f>HYPERLINK("https://klasma.github.io/Logging_2180/klagomålsmail/A 23003-2026 FSC-klagomål mail.docx", "A 23003-2026")</f>
        <v/>
      </c>
      <c r="AC119">
        <f>HYPERLINK("https://klasma.github.io/Logging_2180/tillsyn/A 23003-2026 tillsynsbegäran.docx", "A 23003-2026")</f>
        <v/>
      </c>
      <c r="AD119">
        <f>HYPERLINK("https://klasma.github.io/Logging_2180/tillsynsmail/A 23003-2026 tillsynsbegäran mail.docx", "A 23003-2026")</f>
        <v/>
      </c>
      <c r="AE119">
        <f>HYPERLINK("https://klasma.github.io/Logging_2180/fåglar/A 23003-2026 prioriterade fågelarter.docx", "A 23003-2026")</f>
        <v/>
      </c>
    </row>
    <row r="120" ht="15" customHeight="1">
      <c r="A120" t="inlineStr">
        <is>
          <t>A 12381-2023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46274</v>
      </c>
      <c r="F120" t="inlineStr">
        <is>
          <t>GÄVLEBORGS LÄN</t>
        </is>
      </c>
      <c r="G120" t="inlineStr">
        <is>
          <t>GÄVLE</t>
        </is>
      </c>
      <c r="I120" t="n">
        <v>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Brunlångöra</t>
        </is>
      </c>
      <c r="W120">
        <f>HYPERLINK("https://klasma.github.io/Logging_2180/artfynd/A 12381-2023 artfynd.xlsx", "A 12381-2023")</f>
        <v/>
      </c>
      <c r="X120">
        <f>HYPERLINK("https://klasma.github.io/Logging_2180/kartor/A 12381-2023 karta.png", "A 12381-2023")</f>
        <v/>
      </c>
      <c r="Y120">
        <f>HYPERLINK("https://klasma.github.io/Logging_2180/kartor_geotiff/A 12381-2023 georefererad karta.tif", "A 12381-2023")</f>
        <v/>
      </c>
      <c r="AA120">
        <f>HYPERLINK("https://klasma.github.io/Logging_2180/klagomål/A 12381-2023 FSC-klagomål.docx", "A 12381-2023")</f>
        <v/>
      </c>
      <c r="AB120">
        <f>HYPERLINK("https://klasma.github.io/Logging_2180/klagomålsmail/A 12381-2023 FSC-klagomål mail.docx", "A 12381-2023")</f>
        <v/>
      </c>
      <c r="AC120">
        <f>HYPERLINK("https://klasma.github.io/Logging_2180/tillsyn/A 12381-2023 tillsynsbegäran.docx", "A 12381-2023")</f>
        <v/>
      </c>
      <c r="AD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46274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21282-2024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46274</v>
      </c>
      <c r="F122" t="inlineStr">
        <is>
          <t>GÄVLEBORGS LÄN</t>
        </is>
      </c>
      <c r="G122" t="inlineStr">
        <is>
          <t>GÄVLE</t>
        </is>
      </c>
      <c r="I122" t="n">
        <v>7.4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Skogsklocka</t>
        </is>
      </c>
      <c r="W122">
        <f>HYPERLINK("https://klasma.github.io/Logging_2180/artfynd/A 21282-2024 artfynd.xlsx", "A 21282-2024")</f>
        <v/>
      </c>
      <c r="X122">
        <f>HYPERLINK("https://klasma.github.io/Logging_2180/kartor/A 21282-2024 karta.png", "A 21282-2024")</f>
        <v/>
      </c>
      <c r="Y122">
        <f>HYPERLINK("https://klasma.github.io/Logging_2180/kartor_geotiff/A 21282-2024 georefererad karta.tif", "A 21282-2024")</f>
        <v/>
      </c>
      <c r="AA122">
        <f>HYPERLINK("https://klasma.github.io/Logging_2180/klagomål/A 21282-2024 FSC-klagomål.docx", "A 21282-2024")</f>
        <v/>
      </c>
      <c r="AB122">
        <f>HYPERLINK("https://klasma.github.io/Logging_2180/klagomålsmail/A 21282-2024 FSC-klagomål mail.docx", "A 21282-2024")</f>
        <v/>
      </c>
      <c r="AC122">
        <f>HYPERLINK("https://klasma.github.io/Logging_2180/tillsyn/A 21282-2024 tillsynsbegäran.docx", "A 21282-2024")</f>
        <v/>
      </c>
      <c r="AD122">
        <f>HYPERLINK("https://klasma.github.io/Logging_2180/tillsynsmail/A 21282-2024 tillsynsbegäran mail.docx", "A 21282-2024")</f>
        <v/>
      </c>
    </row>
    <row r="123" ht="15" customHeight="1">
      <c r="A123" t="inlineStr">
        <is>
          <t>A 57932-2024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45631</v>
      </c>
      <c r="E123" s="1" t="n">
        <v>46274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48.7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Tjäder</t>
        </is>
      </c>
      <c r="W123">
        <f>HYPERLINK("https://klasma.github.io/Logging_2180/artfynd/A 57932-2024 artfynd.xlsx", "A 57932-2024")</f>
        <v/>
      </c>
      <c r="X123">
        <f>HYPERLINK("https://klasma.github.io/Logging_2180/kartor/A 57932-2024 karta.png", "A 57932-2024")</f>
        <v/>
      </c>
      <c r="Y123">
        <f>HYPERLINK("https://klasma.github.io/Logging_2180/kartor_geotiff/A 57932-2024 georefererad karta.tif", "A 57932-2024")</f>
        <v/>
      </c>
      <c r="AA123">
        <f>HYPERLINK("https://klasma.github.io/Logging_2180/klagomål/A 57932-2024 FSC-klagomål.docx", "A 57932-2024")</f>
        <v/>
      </c>
      <c r="AB123">
        <f>HYPERLINK("https://klasma.github.io/Logging_2180/klagomålsmail/A 57932-2024 FSC-klagomål mail.docx", "A 57932-2024")</f>
        <v/>
      </c>
      <c r="AC123">
        <f>HYPERLINK("https://klasma.github.io/Logging_2180/tillsyn/A 57932-2024 tillsynsbegäran.docx", "A 57932-2024")</f>
        <v/>
      </c>
      <c r="AD123">
        <f>HYPERLINK("https://klasma.github.io/Logging_2180/tillsynsmail/A 57932-2024 tillsynsbegäran mail.docx", "A 57932-2024")</f>
        <v/>
      </c>
      <c r="AE123">
        <f>HYPERLINK("https://klasma.github.io/Logging_2180/fåglar/A 57932-2024 prioriterade fågelarter.docx", "A 57932-2024")</f>
        <v/>
      </c>
    </row>
    <row r="124" ht="15" customHeight="1">
      <c r="A124" t="inlineStr">
        <is>
          <t>A 34890-2026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46259</v>
      </c>
      <c r="E124" s="1" t="n">
        <v>46274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18.3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4</v>
      </c>
      <c r="U124" t="n">
        <v>0</v>
      </c>
      <c r="V124" s="2" t="inlineStr">
        <is>
          <t>Spillkråka</t>
        </is>
      </c>
      <c r="W124">
        <f>HYPERLINK("https://klasma.github.io/Logging_2180/artfynd/A 34890-2026 artfynd.xlsx", "A 34890-2026")</f>
        <v/>
      </c>
      <c r="X124">
        <f>HYPERLINK("https://klasma.github.io/Logging_2180/kartor/A 34890-2026 karta.png", "A 34890-2026")</f>
        <v/>
      </c>
      <c r="Y124">
        <f>HYPERLINK("https://klasma.github.io/Logging_2180/kartor_geotiff/A 34890-2026 georefererad karta.tif", "A 34890-2026")</f>
        <v/>
      </c>
      <c r="AA124">
        <f>HYPERLINK("https://klasma.github.io/Logging_2180/klagomål/A 34890-2026 FSC-klagomål.docx", "A 34890-2026")</f>
        <v/>
      </c>
      <c r="AB124">
        <f>HYPERLINK("https://klasma.github.io/Logging_2180/klagomålsmail/A 34890-2026 FSC-klagomål mail.docx", "A 34890-2026")</f>
        <v/>
      </c>
      <c r="AC124">
        <f>HYPERLINK("https://klasma.github.io/Logging_2180/tillsyn/A 34890-2026 tillsynsbegäran.docx", "A 34890-2026")</f>
        <v/>
      </c>
      <c r="AD124">
        <f>HYPERLINK("https://klasma.github.io/Logging_2180/tillsynsmail/A 34890-2026 tillsynsbegäran mail.docx", "A 34890-2026")</f>
        <v/>
      </c>
      <c r="AE124">
        <f>HYPERLINK("https://klasma.github.io/Logging_2180/fåglar/A 34890-2026 prioriterade fågelarter.docx", "A 34890-2026")</f>
        <v/>
      </c>
    </row>
    <row r="125" ht="15" customHeight="1">
      <c r="A125" t="inlineStr">
        <is>
          <t>A 19635-2026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46274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Skinnlav</t>
        </is>
      </c>
      <c r="W125">
        <f>HYPERLINK("https://klasma.github.io/Logging_2180/artfynd/A 19635-2026 artfynd.xlsx", "A 19635-2026")</f>
        <v/>
      </c>
      <c r="X125">
        <f>HYPERLINK("https://klasma.github.io/Logging_2180/kartor/A 19635-2026 karta.png", "A 19635-2026")</f>
        <v/>
      </c>
      <c r="Y125">
        <f>HYPERLINK("https://klasma.github.io/Logging_2180/kartor_geotiff/A 19635-2026 georefererad karta.tif", "A 19635-2026")</f>
        <v/>
      </c>
      <c r="AA125">
        <f>HYPERLINK("https://klasma.github.io/Logging_2180/klagomål/A 19635-2026 FSC-klagomål.docx", "A 19635-2026")</f>
        <v/>
      </c>
      <c r="AB125">
        <f>HYPERLINK("https://klasma.github.io/Logging_2180/klagomålsmail/A 19635-2026 FSC-klagomål mail.docx", "A 19635-2026")</f>
        <v/>
      </c>
      <c r="AC125">
        <f>HYPERLINK("https://klasma.github.io/Logging_2180/tillsyn/A 19635-2026 tillsynsbegäran.docx", "A 19635-2026")</f>
        <v/>
      </c>
      <c r="AD125">
        <f>HYPERLINK("https://klasma.github.io/Logging_2180/tillsynsmail/A 19635-2026 tillsynsbegäran mail.docx", "A 19635-2026")</f>
        <v/>
      </c>
    </row>
    <row r="126" ht="15" customHeight="1">
      <c r="A126" t="inlineStr">
        <is>
          <t>A 11407-2025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46274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1.5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Myskmadra</t>
        </is>
      </c>
      <c r="W126">
        <f>HYPERLINK("https://klasma.github.io/Logging_2180/artfynd/A 11407-2025 artfynd.xlsx", "A 11407-2025")</f>
        <v/>
      </c>
      <c r="X126">
        <f>HYPERLINK("https://klasma.github.io/Logging_2180/kartor/A 11407-2025 karta.png", "A 11407-2025")</f>
        <v/>
      </c>
      <c r="Y126">
        <f>HYPERLINK("https://klasma.github.io/Logging_2180/kartor_geotiff/A 11407-2025 georefererad karta.tif", "A 11407-2025")</f>
        <v/>
      </c>
      <c r="AA126">
        <f>HYPERLINK("https://klasma.github.io/Logging_2180/klagomål/A 11407-2025 FSC-klagomål.docx", "A 11407-2025")</f>
        <v/>
      </c>
      <c r="AB126">
        <f>HYPERLINK("https://klasma.github.io/Logging_2180/klagomålsmail/A 11407-2025 FSC-klagomål mail.docx", "A 11407-2025")</f>
        <v/>
      </c>
      <c r="AC126">
        <f>HYPERLINK("https://klasma.github.io/Logging_2180/tillsyn/A 11407-2025 tillsynsbegäran.docx", "A 11407-2025")</f>
        <v/>
      </c>
      <c r="AD126">
        <f>HYPERLINK("https://klasma.github.io/Logging_2180/tillsynsmail/A 11407-2025 tillsynsbegäran mail.docx", "A 11407-2025")</f>
        <v/>
      </c>
    </row>
    <row r="127" ht="15" customHeight="1">
      <c r="A127" t="inlineStr">
        <is>
          <t>A 18216-2024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46274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Dofttaggsvamp</t>
        </is>
      </c>
      <c r="W127">
        <f>HYPERLINK("https://klasma.github.io/Logging_2180/artfynd/A 18216-2024 artfynd.xlsx", "A 18216-2024")</f>
        <v/>
      </c>
      <c r="X127">
        <f>HYPERLINK("https://klasma.github.io/Logging_2180/kartor/A 18216-2024 karta.png", "A 18216-2024")</f>
        <v/>
      </c>
      <c r="Y127">
        <f>HYPERLINK("https://klasma.github.io/Logging_2180/kartor_geotiff/A 18216-2024 georefererad karta.tif", "A 18216-2024")</f>
        <v/>
      </c>
      <c r="AA127">
        <f>HYPERLINK("https://klasma.github.io/Logging_2180/klagomål/A 18216-2024 FSC-klagomål.docx", "A 18216-2024")</f>
        <v/>
      </c>
      <c r="AB127">
        <f>HYPERLINK("https://klasma.github.io/Logging_2180/klagomålsmail/A 18216-2024 FSC-klagomål mail.docx", "A 18216-2024")</f>
        <v/>
      </c>
      <c r="AC127">
        <f>HYPERLINK("https://klasma.github.io/Logging_2180/tillsyn/A 18216-2024 tillsynsbegäran.docx", "A 18216-2024")</f>
        <v/>
      </c>
      <c r="AD127">
        <f>HYPERLINK("https://klasma.github.io/Logging_2180/tillsynsmail/A 18216-2024 tillsynsbegäran mail.docx", "A 18216-2024")</f>
        <v/>
      </c>
    </row>
    <row r="128" ht="15" customHeight="1">
      <c r="A128" t="inlineStr">
        <is>
          <t>A 37927-2022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44811</v>
      </c>
      <c r="E128" s="1" t="n">
        <v>46274</v>
      </c>
      <c r="F128" t="inlineStr">
        <is>
          <t>GÄVLEBORGS LÄN</t>
        </is>
      </c>
      <c r="G128" t="inlineStr">
        <is>
          <t>GÄVLE</t>
        </is>
      </c>
      <c r="I128" t="n">
        <v>1.6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10</v>
      </c>
      <c r="U128" t="n">
        <v>10</v>
      </c>
      <c r="V128" s="2" t="inlineStr">
        <is>
          <t>Knärot</t>
        </is>
      </c>
      <c r="W128">
        <f>HYPERLINK("https://klasma.github.io/Logging_2180/artfynd/A 37927-2022 artfynd.xlsx", "A 37927-2022")</f>
        <v/>
      </c>
      <c r="X128">
        <f>HYPERLINK("https://klasma.github.io/Logging_2180/kartor/A 37927-2022 karta.png", "A 37927-2022")</f>
        <v/>
      </c>
      <c r="Y128">
        <f>HYPERLINK("https://klasma.github.io/Logging_2180/kartor_geotiff/A 37927-2022 georefererad karta.tif", "A 37927-2022")</f>
        <v/>
      </c>
      <c r="Z128">
        <f>HYPERLINK("https://klasma.github.io/Logging_2180/knärot/A 37927-2022 karta knärot.png", "A 37927-2022")</f>
        <v/>
      </c>
      <c r="AA128">
        <f>HYPERLINK("https://klasma.github.io/Logging_2180/klagomål/A 37927-2022 FSC-klagomål.docx", "A 37927-2022")</f>
        <v/>
      </c>
      <c r="AB128">
        <f>HYPERLINK("https://klasma.github.io/Logging_2180/klagomålsmail/A 37927-2022 FSC-klagomål mail.docx", "A 37927-2022")</f>
        <v/>
      </c>
      <c r="AC128">
        <f>HYPERLINK("https://klasma.github.io/Logging_2180/tillsyn/A 37927-2022 tillsynsbegäran.docx", "A 37927-2022")</f>
        <v/>
      </c>
      <c r="AD128">
        <f>HYPERLINK("https://klasma.github.io/Logging_2180/tillsynsmail/A 37927-2022 tillsynsbegäran mail.docx", "A 37927-2022")</f>
        <v/>
      </c>
    </row>
    <row r="129" ht="15" customHeight="1">
      <c r="A129" t="inlineStr">
        <is>
          <t>A 12083-2025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46274</v>
      </c>
      <c r="F129" t="inlineStr">
        <is>
          <t>GÄVLEBORGS LÄN</t>
        </is>
      </c>
      <c r="G129" t="inlineStr">
        <is>
          <t>GÄVLE</t>
        </is>
      </c>
      <c r="I129" t="n">
        <v>6.3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Grönsiska</t>
        </is>
      </c>
      <c r="W129">
        <f>HYPERLINK("https://klasma.github.io/Logging_2180/artfynd/A 12083-2025 artfynd.xlsx", "A 12083-2025")</f>
        <v/>
      </c>
      <c r="X129">
        <f>HYPERLINK("https://klasma.github.io/Logging_2180/kartor/A 12083-2025 karta.png", "A 12083-2025")</f>
        <v/>
      </c>
      <c r="Y129">
        <f>HYPERLINK("https://klasma.github.io/Logging_2180/kartor_geotiff/A 12083-2025 georefererad karta.tif", "A 12083-2025")</f>
        <v/>
      </c>
      <c r="AA129">
        <f>HYPERLINK("https://klasma.github.io/Logging_2180/klagomål/A 12083-2025 FSC-klagomål.docx", "A 12083-2025")</f>
        <v/>
      </c>
      <c r="AB129">
        <f>HYPERLINK("https://klasma.github.io/Logging_2180/klagomålsmail/A 12083-2025 FSC-klagomål mail.docx", "A 12083-2025")</f>
        <v/>
      </c>
      <c r="AC129">
        <f>HYPERLINK("https://klasma.github.io/Logging_2180/tillsyn/A 12083-2025 tillsynsbegäran.docx", "A 12083-2025")</f>
        <v/>
      </c>
      <c r="AD129">
        <f>HYPERLINK("https://klasma.github.io/Logging_2180/tillsynsmail/A 12083-2025 tillsynsbegäran mail.docx", "A 12083-2025")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46274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A 47642-2024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46274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8.199999999999999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Orre</t>
        </is>
      </c>
      <c r="W131">
        <f>HYPERLINK("https://klasma.github.io/Logging_2180/artfynd/A 47642-2024 artfynd.xlsx", "A 47642-2024")</f>
        <v/>
      </c>
      <c r="X131">
        <f>HYPERLINK("https://klasma.github.io/Logging_2180/kartor/A 47642-2024 karta.png", "A 47642-2024")</f>
        <v/>
      </c>
      <c r="Y131">
        <f>HYPERLINK("https://klasma.github.io/Logging_2180/kartor_geotiff/A 47642-2024 georefererad karta.tif", "A 47642-2024")</f>
        <v/>
      </c>
      <c r="AA131">
        <f>HYPERLINK("https://klasma.github.io/Logging_2180/klagomål/A 47642-2024 FSC-klagomål.docx", "A 47642-2024")</f>
        <v/>
      </c>
      <c r="AB131">
        <f>HYPERLINK("https://klasma.github.io/Logging_2180/klagomålsmail/A 47642-2024 FSC-klagomål mail.docx", "A 47642-2024")</f>
        <v/>
      </c>
      <c r="AC131">
        <f>HYPERLINK("https://klasma.github.io/Logging_2180/tillsyn/A 47642-2024 tillsynsbegäran.docx", "A 47642-2024")</f>
        <v/>
      </c>
      <c r="AD131">
        <f>HYPERLINK("https://klasma.github.io/Logging_2180/tillsynsmail/A 47642-2024 tillsynsbegäran mail.docx", "A 47642-2024")</f>
        <v/>
      </c>
      <c r="AE131">
        <f>HYPERLINK("https://klasma.github.io/Logging_2180/fåglar/A 47642-2024 prioriterade fågelarter.docx", "A 47642-2024")</f>
        <v/>
      </c>
    </row>
    <row r="132" ht="15" customHeight="1">
      <c r="A132" t="inlineStr">
        <is>
          <t>A 12338-2025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46274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6.8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1</v>
      </c>
      <c r="V132" s="2" t="inlineStr">
        <is>
          <t>Skogsklocka</t>
        </is>
      </c>
      <c r="W132">
        <f>HYPERLINK("https://klasma.github.io/Logging_2180/artfynd/A 12338-2025 artfynd.xlsx", "A 12338-2025")</f>
        <v/>
      </c>
      <c r="X132">
        <f>HYPERLINK("https://klasma.github.io/Logging_2180/kartor/A 12338-2025 karta.png", "A 12338-2025")</f>
        <v/>
      </c>
      <c r="Y132">
        <f>HYPERLINK("https://klasma.github.io/Logging_2180/kartor_geotiff/A 12338-2025 georefererad karta.tif", "A 12338-2025")</f>
        <v/>
      </c>
      <c r="AA132">
        <f>HYPERLINK("https://klasma.github.io/Logging_2180/klagomål/A 12338-2025 FSC-klagomål.docx", "A 12338-2025")</f>
        <v/>
      </c>
      <c r="AB132">
        <f>HYPERLINK("https://klasma.github.io/Logging_2180/klagomålsmail/A 12338-2025 FSC-klagomål mail.docx", "A 12338-2025")</f>
        <v/>
      </c>
      <c r="AC132">
        <f>HYPERLINK("https://klasma.github.io/Logging_2180/tillsyn/A 12338-2025 tillsynsbegäran.docx", "A 12338-2025")</f>
        <v/>
      </c>
      <c r="AD132">
        <f>HYPERLINK("https://klasma.github.io/Logging_2180/tillsynsmail/A 12338-2025 tillsynsbegäran mail.docx", "A 12338-2025")</f>
        <v/>
      </c>
    </row>
    <row r="133" ht="15" customHeight="1">
      <c r="A133" t="inlineStr">
        <is>
          <t>A 30302-2025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45827</v>
      </c>
      <c r="E133" s="1" t="n">
        <v>46274</v>
      </c>
      <c r="F133" t="inlineStr">
        <is>
          <t>GÄVLEBORGS LÄN</t>
        </is>
      </c>
      <c r="G133" t="inlineStr">
        <is>
          <t>GÄVLE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Fläcknycklar</t>
        </is>
      </c>
      <c r="W133">
        <f>HYPERLINK("https://klasma.github.io/Logging_2180/artfynd/A 30302-2025 artfynd.xlsx", "A 30302-2025")</f>
        <v/>
      </c>
      <c r="X133">
        <f>HYPERLINK("https://klasma.github.io/Logging_2180/kartor/A 30302-2025 karta.png", "A 30302-2025")</f>
        <v/>
      </c>
      <c r="Y133">
        <f>HYPERLINK("https://klasma.github.io/Logging_2180/kartor_geotiff/A 30302-2025 georefererad karta.tif", "A 30302-2025")</f>
        <v/>
      </c>
      <c r="AA133">
        <f>HYPERLINK("https://klasma.github.io/Logging_2180/klagomål/A 30302-2025 FSC-klagomål.docx", "A 30302-2025")</f>
        <v/>
      </c>
      <c r="AB133">
        <f>HYPERLINK("https://klasma.github.io/Logging_2180/klagomålsmail/A 30302-2025 FSC-klagomål mail.docx", "A 30302-2025")</f>
        <v/>
      </c>
      <c r="AC133">
        <f>HYPERLINK("https://klasma.github.io/Logging_2180/tillsyn/A 30302-2025 tillsynsbegäran.docx", "A 30302-2025")</f>
        <v/>
      </c>
      <c r="AD133">
        <f>HYPERLINK("https://klasma.github.io/Logging_2180/tillsynsmail/A 30302-2025 tillsynsbegäran mail.docx", "A 30302-2025")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46274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46274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46274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46274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66494-2021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46274</v>
      </c>
      <c r="F138" t="inlineStr">
        <is>
          <t>GÄVLEBORGS LÄN</t>
        </is>
      </c>
      <c r="G138" t="inlineStr">
        <is>
          <t>GÄVLE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44775</v>
      </c>
      <c r="E139" s="1" t="n">
        <v>46274</v>
      </c>
      <c r="F139" t="inlineStr">
        <is>
          <t>GÄVLEBORGS LÄN</t>
        </is>
      </c>
      <c r="G139" t="inlineStr">
        <is>
          <t>GÄVLE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46274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46274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46274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46274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46274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46274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46274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46274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46274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46274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46274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46274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46274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46274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46274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46274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44599</v>
      </c>
      <c r="E156" s="1" t="n">
        <v>46274</v>
      </c>
      <c r="F156" t="inlineStr">
        <is>
          <t>GÄVLEBORGS LÄN</t>
        </is>
      </c>
      <c r="G156" t="inlineStr">
        <is>
          <t>GÄVLE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44735</v>
      </c>
      <c r="E157" s="1" t="n">
        <v>46274</v>
      </c>
      <c r="F157" t="inlineStr">
        <is>
          <t>GÄVLEBORGS LÄN</t>
        </is>
      </c>
      <c r="G157" t="inlineStr">
        <is>
          <t>GÄVLE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46274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46274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46274</v>
      </c>
      <c r="F160" t="inlineStr">
        <is>
          <t>GÄVLEBORGS LÄN</t>
        </is>
      </c>
      <c r="G160" t="inlineStr">
        <is>
          <t>GÄVLE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44788</v>
      </c>
      <c r="E161" s="1" t="n">
        <v>46274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44589</v>
      </c>
      <c r="E162" s="1" t="n">
        <v>46274</v>
      </c>
      <c r="F162" t="inlineStr">
        <is>
          <t>GÄVLEBORGS LÄN</t>
        </is>
      </c>
      <c r="G162" t="inlineStr">
        <is>
          <t>GÄVLE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46274</v>
      </c>
      <c r="F163" t="inlineStr">
        <is>
          <t>GÄVLEBORGS LÄN</t>
        </is>
      </c>
      <c r="G163" t="inlineStr">
        <is>
          <t>GÄVLE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46274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46274</v>
      </c>
      <c r="F165" t="inlineStr">
        <is>
          <t>GÄVLEBORGS LÄN</t>
        </is>
      </c>
      <c r="G165" t="inlineStr">
        <is>
          <t>GÄVLE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46274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46274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46274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46274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46274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46274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46274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46274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46274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46274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46274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46274</v>
      </c>
      <c r="F177" t="inlineStr">
        <is>
          <t>GÄVLEBORGS LÄN</t>
        </is>
      </c>
      <c r="G177" t="inlineStr">
        <is>
          <t>GÄVLE</t>
        </is>
      </c>
      <c r="H177" t="inlineStr">
        <is>
          <t>Kyrkan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46274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46274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46274</v>
      </c>
      <c r="F180" t="inlineStr">
        <is>
          <t>GÄVLEBORGS LÄN</t>
        </is>
      </c>
      <c r="G180" t="inlineStr">
        <is>
          <t>GÄVLE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46274</v>
      </c>
      <c r="F181" t="inlineStr">
        <is>
          <t>GÄVLEBORGS LÄN</t>
        </is>
      </c>
      <c r="G181" t="inlineStr">
        <is>
          <t>GÄVLE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46274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46274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12228-2022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44637</v>
      </c>
      <c r="E184" s="1" t="n">
        <v>46274</v>
      </c>
      <c r="F184" t="inlineStr">
        <is>
          <t>GÄVLEBORGS LÄN</t>
        </is>
      </c>
      <c r="G184" t="inlineStr">
        <is>
          <t>GÄVLE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46274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46274</v>
      </c>
      <c r="F186" t="inlineStr">
        <is>
          <t>GÄVLEBORGS LÄN</t>
        </is>
      </c>
      <c r="G186" t="inlineStr">
        <is>
          <t>GÄVLE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46274</v>
      </c>
      <c r="F187" t="inlineStr">
        <is>
          <t>GÄVLEBORGS LÄN</t>
        </is>
      </c>
      <c r="G187" t="inlineStr">
        <is>
          <t>GÄVLE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44656</v>
      </c>
      <c r="E188" s="1" t="n">
        <v>46274</v>
      </c>
      <c r="F188" t="inlineStr">
        <is>
          <t>GÄVLEBORGS LÄN</t>
        </is>
      </c>
      <c r="G188" t="inlineStr">
        <is>
          <t>GÄVLE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46274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46274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46274</v>
      </c>
      <c r="F191" t="inlineStr">
        <is>
          <t>GÄVLEBORGS LÄN</t>
        </is>
      </c>
      <c r="G191" t="inlineStr">
        <is>
          <t>GÄVLE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46274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46274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46274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46274</v>
      </c>
      <c r="F195" t="inlineStr">
        <is>
          <t>GÄVLEBORGS LÄN</t>
        </is>
      </c>
      <c r="G195" t="inlineStr">
        <is>
          <t>GÄVLE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46274</v>
      </c>
      <c r="F196" t="inlineStr">
        <is>
          <t>GÄVLEBORGS LÄN</t>
        </is>
      </c>
      <c r="G196" t="inlineStr">
        <is>
          <t>GÄVLE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46274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46274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46274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46274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46274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46274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46274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46274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46274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45324</v>
      </c>
      <c r="E206" s="1" t="n">
        <v>46274</v>
      </c>
      <c r="F206" t="inlineStr">
        <is>
          <t>GÄVLEBORGS LÄN</t>
        </is>
      </c>
      <c r="G206" t="inlineStr">
        <is>
          <t>GÄVLE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46274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46274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46274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46274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46274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46274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45632</v>
      </c>
      <c r="E213" s="1" t="n">
        <v>46274</v>
      </c>
      <c r="F213" t="inlineStr">
        <is>
          <t>GÄVLEBORGS LÄN</t>
        </is>
      </c>
      <c r="G213" t="inlineStr">
        <is>
          <t>GÄVLE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50871-2022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44867</v>
      </c>
      <c r="E214" s="1" t="n">
        <v>46274</v>
      </c>
      <c r="F214" t="inlineStr">
        <is>
          <t>GÄVLEBORGS LÄN</t>
        </is>
      </c>
      <c r="G214" t="inlineStr">
        <is>
          <t>GÄVLE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44733</v>
      </c>
      <c r="E215" s="1" t="n">
        <v>46274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46274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46274</v>
      </c>
      <c r="F217" t="inlineStr">
        <is>
          <t>GÄVLEBORGS LÄN</t>
        </is>
      </c>
      <c r="G217" t="inlineStr">
        <is>
          <t>GÄVLE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46274</v>
      </c>
      <c r="F218" t="inlineStr">
        <is>
          <t>GÄVLEBORGS LÄN</t>
        </is>
      </c>
      <c r="G218" t="inlineStr">
        <is>
          <t>GÄVLE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46274</v>
      </c>
      <c r="F219" t="inlineStr">
        <is>
          <t>GÄVLEBORGS LÄN</t>
        </is>
      </c>
      <c r="G219" t="inlineStr">
        <is>
          <t>GÄVLE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46274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46274</v>
      </c>
      <c r="F221" t="inlineStr">
        <is>
          <t>GÄVLEBORGS LÄN</t>
        </is>
      </c>
      <c r="G221" t="inlineStr">
        <is>
          <t>GÄVLE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44988</v>
      </c>
      <c r="E222" s="1" t="n">
        <v>46274</v>
      </c>
      <c r="F222" t="inlineStr">
        <is>
          <t>GÄVLEBORGS LÄN</t>
        </is>
      </c>
      <c r="G222" t="inlineStr">
        <is>
          <t>GÄVLE</t>
        </is>
      </c>
      <c r="H222" t="inlineStr">
        <is>
          <t>Kyrkan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46274</v>
      </c>
      <c r="F223" t="inlineStr">
        <is>
          <t>GÄVLEBORGS LÄN</t>
        </is>
      </c>
      <c r="G223" t="inlineStr">
        <is>
          <t>GÄVLE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46274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45726</v>
      </c>
      <c r="E225" s="1" t="n">
        <v>46274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44589</v>
      </c>
      <c r="E226" s="1" t="n">
        <v>46274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46274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45530</v>
      </c>
      <c r="E228" s="1" t="n">
        <v>46274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46274</v>
      </c>
      <c r="F229" t="inlineStr">
        <is>
          <t>GÄVLEBORGS LÄN</t>
        </is>
      </c>
      <c r="G229" t="inlineStr">
        <is>
          <t>GÄVLE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46274</v>
      </c>
      <c r="F230" t="inlineStr">
        <is>
          <t>GÄVLEBORGS LÄN</t>
        </is>
      </c>
      <c r="G230" t="inlineStr">
        <is>
          <t>GÄVLE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45261</v>
      </c>
      <c r="E231" s="1" t="n">
        <v>46274</v>
      </c>
      <c r="F231" t="inlineStr">
        <is>
          <t>GÄVLEBORGS LÄN</t>
        </is>
      </c>
      <c r="G231" t="inlineStr">
        <is>
          <t>GÄVLE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46274</v>
      </c>
      <c r="F232" t="inlineStr">
        <is>
          <t>GÄVLEBORGS LÄN</t>
        </is>
      </c>
      <c r="G232" t="inlineStr">
        <is>
          <t>GÄVLE</t>
        </is>
      </c>
      <c r="H232" t="inlineStr">
        <is>
          <t>Kyrkan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45034</v>
      </c>
      <c r="E233" s="1" t="n">
        <v>46274</v>
      </c>
      <c r="F233" t="inlineStr">
        <is>
          <t>GÄVLEBORGS LÄN</t>
        </is>
      </c>
      <c r="G233" t="inlineStr">
        <is>
          <t>GÄVLE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46274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46274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18217-2024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45420</v>
      </c>
      <c r="E236" s="1" t="n">
        <v>46274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45866</v>
      </c>
      <c r="E237" s="1" t="n">
        <v>46274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45867</v>
      </c>
      <c r="E238" s="1" t="n">
        <v>46274</v>
      </c>
      <c r="F238" t="inlineStr">
        <is>
          <t>GÄVLEBORGS LÄN</t>
        </is>
      </c>
      <c r="G238" t="inlineStr">
        <is>
          <t>GÄVLE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46274</v>
      </c>
      <c r="F239" t="inlineStr">
        <is>
          <t>GÄVLEBORGS LÄN</t>
        </is>
      </c>
      <c r="G239" t="inlineStr">
        <is>
          <t>GÄVLE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10352-2025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45720</v>
      </c>
      <c r="E240" s="1" t="n">
        <v>46274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19712-2026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46274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46274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46274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46274</v>
      </c>
      <c r="F244" t="inlineStr">
        <is>
          <t>GÄVLEBORGS LÄN</t>
        </is>
      </c>
      <c r="G244" t="inlineStr">
        <is>
          <t>GÄVLE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45869</v>
      </c>
      <c r="E245" s="1" t="n">
        <v>46274</v>
      </c>
      <c r="F245" t="inlineStr">
        <is>
          <t>GÄVLEBORGS LÄN</t>
        </is>
      </c>
      <c r="G245" t="inlineStr">
        <is>
          <t>GÄVLE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19711-2026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46274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46274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46274</v>
      </c>
      <c r="F248" t="inlineStr">
        <is>
          <t>GÄVLEBORGS LÄN</t>
        </is>
      </c>
      <c r="G248" t="inlineStr">
        <is>
          <t>GÄVLE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46274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46274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46274</v>
      </c>
      <c r="F251" t="inlineStr">
        <is>
          <t>GÄVLEBORGS LÄN</t>
        </is>
      </c>
      <c r="G251" t="inlineStr">
        <is>
          <t>GÄVLE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15835-2026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46274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45356</v>
      </c>
      <c r="E253" s="1" t="n">
        <v>46274</v>
      </c>
      <c r="F253" t="inlineStr">
        <is>
          <t>GÄVLEBORGS LÄN</t>
        </is>
      </c>
      <c r="G253" t="inlineStr">
        <is>
          <t>GÄVLE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45686</v>
      </c>
      <c r="E254" s="1" t="n">
        <v>46274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45873</v>
      </c>
      <c r="E255" s="1" t="n">
        <v>46274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46274</v>
      </c>
      <c r="F256" t="inlineStr">
        <is>
          <t>GÄVLEBORGS LÄN</t>
        </is>
      </c>
      <c r="G256" t="inlineStr">
        <is>
          <t>GÄVLE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46274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65879-2021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44517</v>
      </c>
      <c r="E258" s="1" t="n">
        <v>46274</v>
      </c>
      <c r="F258" t="inlineStr">
        <is>
          <t>GÄVLEBORGS LÄN</t>
        </is>
      </c>
      <c r="G258" t="inlineStr">
        <is>
          <t>GÄVLE</t>
        </is>
      </c>
      <c r="H258" t="inlineStr">
        <is>
          <t>Kyrkan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46274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26094-2025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45805</v>
      </c>
      <c r="E260" s="1" t="n">
        <v>46274</v>
      </c>
      <c r="F260" t="inlineStr">
        <is>
          <t>GÄVLEBORGS LÄN</t>
        </is>
      </c>
      <c r="G260" t="inlineStr">
        <is>
          <t>GÄVLE</t>
        </is>
      </c>
      <c r="I260" t="n">
        <v>12.4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46274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45862</v>
      </c>
      <c r="E262" s="1" t="n">
        <v>46274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70043-2021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46274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46274</v>
      </c>
      <c r="F264" t="inlineStr">
        <is>
          <t>GÄVLEBORGS LÄN</t>
        </is>
      </c>
      <c r="G264" t="inlineStr">
        <is>
          <t>GÄVLE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45891</v>
      </c>
      <c r="E265" s="1" t="n">
        <v>46274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45744</v>
      </c>
      <c r="E266" s="1" t="n">
        <v>46274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45681</v>
      </c>
      <c r="E267" s="1" t="n">
        <v>46274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34600-2024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45526</v>
      </c>
      <c r="E268" s="1" t="n">
        <v>46274</v>
      </c>
      <c r="F268" t="inlineStr">
        <is>
          <t>GÄVLEBORGS LÄN</t>
        </is>
      </c>
      <c r="G268" t="inlineStr">
        <is>
          <t>GÄVLE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46274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46274</v>
      </c>
      <c r="F270" t="inlineStr">
        <is>
          <t>GÄVLEBORGS LÄN</t>
        </is>
      </c>
      <c r="G270" t="inlineStr">
        <is>
          <t>GÄVLE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45545</v>
      </c>
      <c r="E271" s="1" t="n">
        <v>46274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46274</v>
      </c>
      <c r="F272" t="inlineStr">
        <is>
          <t>GÄVLEBORGS LÄN</t>
        </is>
      </c>
      <c r="G272" t="inlineStr">
        <is>
          <t>GÄVLE</t>
        </is>
      </c>
      <c r="H272" t="inlineStr">
        <is>
          <t>Kyrkan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40297-2025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45895</v>
      </c>
      <c r="E273" s="1" t="n">
        <v>46274</v>
      </c>
      <c r="F273" t="inlineStr">
        <is>
          <t>GÄVLEBORGS LÄN</t>
        </is>
      </c>
      <c r="G273" t="inlineStr">
        <is>
          <t>GÄVLE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26131-2024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45468</v>
      </c>
      <c r="E274" s="1" t="n">
        <v>46274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46274</v>
      </c>
      <c r="F275" t="inlineStr">
        <is>
          <t>GÄVLEBORGS LÄN</t>
        </is>
      </c>
      <c r="G275" t="inlineStr">
        <is>
          <t>GÄVLE</t>
        </is>
      </c>
      <c r="H275" t="inlineStr">
        <is>
          <t>Kyrkan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46274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22.4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45665</v>
      </c>
      <c r="E277" s="1" t="n">
        <v>46274</v>
      </c>
      <c r="F277" t="inlineStr">
        <is>
          <t>GÄVLEBORGS LÄN</t>
        </is>
      </c>
      <c r="G277" t="inlineStr">
        <is>
          <t>GÄVLE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46274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46274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46274</v>
      </c>
      <c r="F280" t="inlineStr">
        <is>
          <t>GÄVLEBORGS LÄN</t>
        </is>
      </c>
      <c r="G280" t="inlineStr">
        <is>
          <t>GÄVLE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15092-2026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46274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45740</v>
      </c>
      <c r="E282" s="1" t="n">
        <v>46274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öst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46274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46274</v>
      </c>
      <c r="F284" t="inlineStr">
        <is>
          <t>GÄVLEBORGS LÄN</t>
        </is>
      </c>
      <c r="G284" t="inlineStr">
        <is>
          <t>GÄVLE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46274</v>
      </c>
      <c r="F285" t="inlineStr">
        <is>
          <t>GÄVLEBORGS LÄN</t>
        </is>
      </c>
      <c r="G285" t="inlineStr">
        <is>
          <t>GÄVLE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46274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18162-2022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44684</v>
      </c>
      <c r="E287" s="1" t="n">
        <v>46274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45884</v>
      </c>
      <c r="E288" s="1" t="n">
        <v>46274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46274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46274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46274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46274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41093-2025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46274</v>
      </c>
      <c r="F293" t="inlineStr">
        <is>
          <t>GÄVLEBORGS LÄN</t>
        </is>
      </c>
      <c r="G293" t="inlineStr">
        <is>
          <t>GÄVLE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46274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46274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46274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9331-2026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46274</v>
      </c>
      <c r="F297" t="inlineStr">
        <is>
          <t>GÄVLEBORGS LÄN</t>
        </is>
      </c>
      <c r="G297" t="inlineStr">
        <is>
          <t>GÄVLE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46274</v>
      </c>
      <c r="F298" t="inlineStr">
        <is>
          <t>GÄVLEBORGS LÄN</t>
        </is>
      </c>
      <c r="G298" t="inlineStr">
        <is>
          <t>GÄVLE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46274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46274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15.2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45485</v>
      </c>
      <c r="E301" s="1" t="n">
        <v>46274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45161</v>
      </c>
      <c r="E302" s="1" t="n">
        <v>46274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46274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46274</v>
      </c>
      <c r="F304" t="inlineStr">
        <is>
          <t>GÄVLEBORGS LÄN</t>
        </is>
      </c>
      <c r="G304" t="inlineStr">
        <is>
          <t>GÄVLE</t>
        </is>
      </c>
      <c r="I304" t="n">
        <v>12.7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42557-2025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46274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46274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46274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45909</v>
      </c>
      <c r="E308" s="1" t="n">
        <v>46274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45869</v>
      </c>
      <c r="E309" s="1" t="n">
        <v>46274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45909</v>
      </c>
      <c r="E310" s="1" t="n">
        <v>46274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31062-2023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45113</v>
      </c>
      <c r="E311" s="1" t="n">
        <v>46274</v>
      </c>
      <c r="F311" t="inlineStr">
        <is>
          <t>GÄVLEBORGS LÄN</t>
        </is>
      </c>
      <c r="G311" t="inlineStr">
        <is>
          <t>GÄVLE</t>
        </is>
      </c>
      <c r="H311" t="inlineStr">
        <is>
          <t>Kommuner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14355-2026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46274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46274</v>
      </c>
      <c r="F313" t="inlineStr">
        <is>
          <t>GÄVLEBORGS LÄN</t>
        </is>
      </c>
      <c r="G313" t="inlineStr">
        <is>
          <t>GÄVLE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46274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26249-2022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44735</v>
      </c>
      <c r="E315" s="1" t="n">
        <v>46274</v>
      </c>
      <c r="F315" t="inlineStr">
        <is>
          <t>GÄVLEBORGS LÄN</t>
        </is>
      </c>
      <c r="G315" t="inlineStr">
        <is>
          <t>GÄVLE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46274</v>
      </c>
      <c r="F316" t="inlineStr">
        <is>
          <t>GÄVLEBORGS LÄN</t>
        </is>
      </c>
      <c r="G316" t="inlineStr">
        <is>
          <t>GÄVLE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45715</v>
      </c>
      <c r="E317" s="1" t="n">
        <v>46274</v>
      </c>
      <c r="F317" t="inlineStr">
        <is>
          <t>GÄVLEBORGS LÄN</t>
        </is>
      </c>
      <c r="G317" t="inlineStr">
        <is>
          <t>GÄVLE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44693</v>
      </c>
      <c r="E318" s="1" t="n">
        <v>46274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46274</v>
      </c>
      <c r="F319" t="inlineStr">
        <is>
          <t>GÄVLEBORGS LÄN</t>
        </is>
      </c>
      <c r="G319" t="inlineStr">
        <is>
          <t>GÄVLE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45401</v>
      </c>
      <c r="E320" s="1" t="n">
        <v>46274</v>
      </c>
      <c r="F320" t="inlineStr">
        <is>
          <t>GÄVLEBORGS LÄN</t>
        </is>
      </c>
      <c r="G320" t="inlineStr">
        <is>
          <t>GÄVLE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46274</v>
      </c>
      <c r="F321" t="inlineStr">
        <is>
          <t>GÄVLEBORGS LÄN</t>
        </is>
      </c>
      <c r="G321" t="inlineStr">
        <is>
          <t>GÄVLE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46274</v>
      </c>
      <c r="F322" t="inlineStr">
        <is>
          <t>GÄVLEBORGS LÄN</t>
        </is>
      </c>
      <c r="G322" t="inlineStr">
        <is>
          <t>GÄVLE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45742</v>
      </c>
      <c r="E323" s="1" t="n">
        <v>46274</v>
      </c>
      <c r="F323" t="inlineStr">
        <is>
          <t>GÄVLEBORGS LÄN</t>
        </is>
      </c>
      <c r="G323" t="inlineStr">
        <is>
          <t>GÄVLE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44600</v>
      </c>
      <c r="E324" s="1" t="n">
        <v>46274</v>
      </c>
      <c r="F324" t="inlineStr">
        <is>
          <t>GÄVLEBORGS LÄN</t>
        </is>
      </c>
      <c r="G324" t="inlineStr">
        <is>
          <t>GÄVLE</t>
        </is>
      </c>
      <c r="H324" t="inlineStr">
        <is>
          <t>Kyrkan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46274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39022-2025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46274</v>
      </c>
      <c r="F326" t="inlineStr">
        <is>
          <t>GÄVLEBORGS LÄN</t>
        </is>
      </c>
      <c r="G326" t="inlineStr">
        <is>
          <t>GÄVLE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46140</v>
      </c>
      <c r="E327" s="1" t="n">
        <v>46274</v>
      </c>
      <c r="F327" t="inlineStr">
        <is>
          <t>GÄVLEBORGS LÄN</t>
        </is>
      </c>
      <c r="G327" t="inlineStr">
        <is>
          <t>GÄVLE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46274</v>
      </c>
      <c r="F328" t="inlineStr">
        <is>
          <t>GÄVLEBORGS LÄN</t>
        </is>
      </c>
      <c r="G328" t="inlineStr">
        <is>
          <t>GÄVLE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45850-2025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45923</v>
      </c>
      <c r="E329" s="1" t="n">
        <v>46274</v>
      </c>
      <c r="F329" t="inlineStr">
        <is>
          <t>GÄVLEBORGS LÄN</t>
        </is>
      </c>
      <c r="G329" t="inlineStr">
        <is>
          <t>GÄVLE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45896</v>
      </c>
      <c r="E330" s="1" t="n">
        <v>46274</v>
      </c>
      <c r="F330" t="inlineStr">
        <is>
          <t>GÄVLEBORGS LÄN</t>
        </is>
      </c>
      <c r="G330" t="inlineStr">
        <is>
          <t>GÄVLE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44585</v>
      </c>
      <c r="E331" s="1" t="n">
        <v>46274</v>
      </c>
      <c r="F331" t="inlineStr">
        <is>
          <t>GÄVLEBORGS LÄN</t>
        </is>
      </c>
      <c r="G331" t="inlineStr">
        <is>
          <t>GÄVLE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10487-2026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46077</v>
      </c>
      <c r="E332" s="1" t="n">
        <v>46274</v>
      </c>
      <c r="F332" t="inlineStr">
        <is>
          <t>GÄVLEBORGS LÄN</t>
        </is>
      </c>
      <c r="G332" t="inlineStr">
        <is>
          <t>GÄVLE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16190-2026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46274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46274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46274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46274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46274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45926</v>
      </c>
      <c r="E338" s="1" t="n">
        <v>46274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46274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46033</v>
      </c>
      <c r="E340" s="1" t="n">
        <v>46274</v>
      </c>
      <c r="F340" t="inlineStr">
        <is>
          <t>GÄVLEBORGS LÄN</t>
        </is>
      </c>
      <c r="G340" t="inlineStr">
        <is>
          <t>GÄVLE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20785-2026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46274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46274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45705</v>
      </c>
      <c r="E343" s="1" t="n">
        <v>46274</v>
      </c>
      <c r="F343" t="inlineStr">
        <is>
          <t>GÄVLEBORGS LÄN</t>
        </is>
      </c>
      <c r="G343" t="inlineStr">
        <is>
          <t>GÄVLE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45784</v>
      </c>
      <c r="E344" s="1" t="n">
        <v>46274</v>
      </c>
      <c r="F344" t="inlineStr">
        <is>
          <t>GÄVLEBORGS LÄN</t>
        </is>
      </c>
      <c r="G344" t="inlineStr">
        <is>
          <t>GÄVLE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44735</v>
      </c>
      <c r="E345" s="1" t="n">
        <v>46274</v>
      </c>
      <c r="F345" t="inlineStr">
        <is>
          <t>GÄVLEBORGS LÄN</t>
        </is>
      </c>
      <c r="G345" t="inlineStr">
        <is>
          <t>GÄVLE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46274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46274</v>
      </c>
      <c r="F347" t="inlineStr">
        <is>
          <t>GÄVLEBORGS LÄN</t>
        </is>
      </c>
      <c r="G347" t="inlineStr">
        <is>
          <t>GÄVLE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47612-2025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45931</v>
      </c>
      <c r="E348" s="1" t="n">
        <v>46274</v>
      </c>
      <c r="F348" t="inlineStr">
        <is>
          <t>GÄVLEBORGS LÄN</t>
        </is>
      </c>
      <c r="G348" t="inlineStr">
        <is>
          <t>GÄVLE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46141</v>
      </c>
      <c r="E349" s="1" t="n">
        <v>46274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46274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47171-2025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46274</v>
      </c>
      <c r="F351" t="inlineStr">
        <is>
          <t>GÄVLEBORGS LÄN</t>
        </is>
      </c>
      <c r="G351" t="inlineStr">
        <is>
          <t>GÄVLE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47172-2025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46274</v>
      </c>
      <c r="F352" t="inlineStr">
        <is>
          <t>GÄVLEBORGS LÄN</t>
        </is>
      </c>
      <c r="G352" t="inlineStr">
        <is>
          <t>GÄVLE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46274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46274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45932</v>
      </c>
      <c r="E355" s="1" t="n">
        <v>46274</v>
      </c>
      <c r="F355" t="inlineStr">
        <is>
          <t>GÄVLEBORGS LÄN</t>
        </is>
      </c>
      <c r="G355" t="inlineStr">
        <is>
          <t>GÄVLE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46274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46274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26.3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46274</v>
      </c>
      <c r="F358" t="inlineStr">
        <is>
          <t>GÄVLEBORGS LÄN</t>
        </is>
      </c>
      <c r="G358" t="inlineStr">
        <is>
          <t>GÄVLE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48246-2025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45933</v>
      </c>
      <c r="E359" s="1" t="n">
        <v>46274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46274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45932</v>
      </c>
      <c r="E361" s="1" t="n">
        <v>46274</v>
      </c>
      <c r="F361" t="inlineStr">
        <is>
          <t>GÄVLEBORGS LÄN</t>
        </is>
      </c>
      <c r="G361" t="inlineStr">
        <is>
          <t>GÄVLE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46274</v>
      </c>
      <c r="F362" t="inlineStr">
        <is>
          <t>GÄVLEBORGS LÄN</t>
        </is>
      </c>
      <c r="G362" t="inlineStr">
        <is>
          <t>GÄVLE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46274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48249-2025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46274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21033-2026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46274</v>
      </c>
      <c r="F365" t="inlineStr">
        <is>
          <t>GÄVLEBORGS LÄN</t>
        </is>
      </c>
      <c r="G365" t="inlineStr">
        <is>
          <t>GÄVLE</t>
        </is>
      </c>
      <c r="H365" t="inlineStr">
        <is>
          <t>Kyrkan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46274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46274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32143-2024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45511</v>
      </c>
      <c r="E368" s="1" t="n">
        <v>46274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46274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45630</v>
      </c>
      <c r="E370" s="1" t="n">
        <v>46274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46274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46274</v>
      </c>
      <c r="F372" t="inlineStr">
        <is>
          <t>GÄVLEBORGS LÄN</t>
        </is>
      </c>
      <c r="G372" t="inlineStr">
        <is>
          <t>GÄVLE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46274</v>
      </c>
      <c r="F373" t="inlineStr">
        <is>
          <t>GÄVLEBORGS LÄN</t>
        </is>
      </c>
      <c r="G373" t="inlineStr">
        <is>
          <t>GÄVLE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46274</v>
      </c>
      <c r="F374" t="inlineStr">
        <is>
          <t>GÄVLEBORGS LÄN</t>
        </is>
      </c>
      <c r="G374" t="inlineStr">
        <is>
          <t>GÄVLE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46274</v>
      </c>
      <c r="F375" t="inlineStr">
        <is>
          <t>GÄVLEBORGS LÄN</t>
        </is>
      </c>
      <c r="G375" t="inlineStr">
        <is>
          <t>GÄVLE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45940</v>
      </c>
      <c r="E376" s="1" t="n">
        <v>46274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49842-2025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45940</v>
      </c>
      <c r="E377" s="1" t="n">
        <v>46274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45943</v>
      </c>
      <c r="E378" s="1" t="n">
        <v>46274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46274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46274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46274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44684</v>
      </c>
      <c r="E382" s="1" t="n">
        <v>46274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28005-2025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45817</v>
      </c>
      <c r="E383" s="1" t="n">
        <v>46274</v>
      </c>
      <c r="F383" t="inlineStr">
        <is>
          <t>GÄVLEBORGS LÄN</t>
        </is>
      </c>
      <c r="G383" t="inlineStr">
        <is>
          <t>GÄVLE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46274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22584-2026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46274</v>
      </c>
      <c r="F385" t="inlineStr">
        <is>
          <t>GÄVLEBORGS LÄN</t>
        </is>
      </c>
      <c r="G385" t="inlineStr">
        <is>
          <t>GÄVLE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46274</v>
      </c>
      <c r="F386" t="inlineStr">
        <is>
          <t>GÄVLEBORGS LÄN</t>
        </is>
      </c>
      <c r="G386" t="inlineStr">
        <is>
          <t>GÄVLE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46274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46274</v>
      </c>
      <c r="F388" t="inlineStr">
        <is>
          <t>GÄVLEBORGS LÄN</t>
        </is>
      </c>
      <c r="G388" t="inlineStr">
        <is>
          <t>GÄVLE</t>
        </is>
      </c>
      <c r="H388" t="inlineStr">
        <is>
          <t>Kyrkan</t>
        </is>
      </c>
      <c r="I388" t="n">
        <v>10.1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46274</v>
      </c>
      <c r="F389" t="inlineStr">
        <is>
          <t>GÄVLEBORGS LÄN</t>
        </is>
      </c>
      <c r="G389" t="inlineStr">
        <is>
          <t>GÄVLE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19730-2022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46274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15152-2026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46274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46274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45138</v>
      </c>
      <c r="E393" s="1" t="n">
        <v>46274</v>
      </c>
      <c r="F393" t="inlineStr">
        <is>
          <t>GÄVLEBORGS LÄN</t>
        </is>
      </c>
      <c r="G393" t="inlineStr">
        <is>
          <t>GÄVLE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45952</v>
      </c>
      <c r="E394" s="1" t="n">
        <v>46274</v>
      </c>
      <c r="F394" t="inlineStr">
        <is>
          <t>GÄVLEBORGS LÄN</t>
        </is>
      </c>
      <c r="G394" t="inlineStr">
        <is>
          <t>GÄVLE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46101</v>
      </c>
      <c r="E395" s="1" t="n">
        <v>46274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15.1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46274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40091-2023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45168</v>
      </c>
      <c r="E397" s="1" t="n">
        <v>46274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46274</v>
      </c>
      <c r="F398" t="inlineStr">
        <is>
          <t>GÄVLEBORGS LÄN</t>
        </is>
      </c>
      <c r="G398" t="inlineStr">
        <is>
          <t>GÄVLE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46274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46274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46274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52970-2025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45957</v>
      </c>
      <c r="E402" s="1" t="n">
        <v>46274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46107</v>
      </c>
      <c r="E403" s="1" t="n">
        <v>46274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45312</v>
      </c>
      <c r="E404" s="1" t="n">
        <v>46274</v>
      </c>
      <c r="F404" t="inlineStr">
        <is>
          <t>GÄVLEBORGS LÄN</t>
        </is>
      </c>
      <c r="G404" t="inlineStr">
        <is>
          <t>GÄVLE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46274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46274</v>
      </c>
      <c r="F406" t="inlineStr">
        <is>
          <t>GÄVLEBORGS LÄN</t>
        </is>
      </c>
      <c r="G406" t="inlineStr">
        <is>
          <t>GÄVLE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46274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15167-2026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46274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46274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46274</v>
      </c>
      <c r="F410" t="inlineStr">
        <is>
          <t>GÄVLEBORGS LÄN</t>
        </is>
      </c>
      <c r="G410" t="inlineStr">
        <is>
          <t>GÄVLE</t>
        </is>
      </c>
      <c r="H410" t="inlineStr">
        <is>
          <t>Kyrkan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46274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46274</v>
      </c>
      <c r="F412" t="inlineStr">
        <is>
          <t>GÄVLEBORGS LÄN</t>
        </is>
      </c>
      <c r="G412" t="inlineStr">
        <is>
          <t>GÄVLE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59322-2022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44904</v>
      </c>
      <c r="E413" s="1" t="n">
        <v>46274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44962</v>
      </c>
      <c r="E414" s="1" t="n">
        <v>46274</v>
      </c>
      <c r="F414" t="inlineStr">
        <is>
          <t>GÄVLEBORGS LÄN</t>
        </is>
      </c>
      <c r="G414" t="inlineStr">
        <is>
          <t>GÄVLE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45660</v>
      </c>
      <c r="E415" s="1" t="n">
        <v>46274</v>
      </c>
      <c r="F415" t="inlineStr">
        <is>
          <t>GÄVLEBORGS LÄN</t>
        </is>
      </c>
      <c r="G415" t="inlineStr">
        <is>
          <t>GÄVLE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45964</v>
      </c>
      <c r="E416" s="1" t="n">
        <v>46274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45719</v>
      </c>
      <c r="E417" s="1" t="n">
        <v>46274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54480-2025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45965</v>
      </c>
      <c r="E418" s="1" t="n">
        <v>46274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23591-2026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46163</v>
      </c>
      <c r="E419" s="1" t="n">
        <v>46274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45719</v>
      </c>
      <c r="E420" s="1" t="n">
        <v>46274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45967</v>
      </c>
      <c r="E421" s="1" t="n">
        <v>46274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46274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46274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45966</v>
      </c>
      <c r="E424" s="1" t="n">
        <v>46274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45967</v>
      </c>
      <c r="E425" s="1" t="n">
        <v>46274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46274</v>
      </c>
      <c r="F426" t="inlineStr">
        <is>
          <t>GÄVLEBORGS LÄN</t>
        </is>
      </c>
      <c r="G426" t="inlineStr">
        <is>
          <t>GÄVLE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46274</v>
      </c>
      <c r="F427" t="inlineStr">
        <is>
          <t>GÄVLEBORGS LÄN</t>
        </is>
      </c>
      <c r="G427" t="inlineStr">
        <is>
          <t>GÄVLE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55432-2025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46274</v>
      </c>
      <c r="F428" t="inlineStr">
        <is>
          <t>GÄVLEBORGS LÄN</t>
        </is>
      </c>
      <c r="G428" t="inlineStr">
        <is>
          <t>GÄVLE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44942</v>
      </c>
      <c r="E429" s="1" t="n">
        <v>46274</v>
      </c>
      <c r="F429" t="inlineStr">
        <is>
          <t>GÄVLEBORGS LÄN</t>
        </is>
      </c>
      <c r="G429" t="inlineStr">
        <is>
          <t>GÄVLE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46274</v>
      </c>
      <c r="F430" t="inlineStr">
        <is>
          <t>GÄVLEBORGS LÄN</t>
        </is>
      </c>
      <c r="G430" t="inlineStr">
        <is>
          <t>GÄVLE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47108-2024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45586</v>
      </c>
      <c r="E431" s="1" t="n">
        <v>46274</v>
      </c>
      <c r="F431" t="inlineStr">
        <is>
          <t>GÄVLEBORGS LÄN</t>
        </is>
      </c>
      <c r="G431" t="inlineStr">
        <is>
          <t>GÄVLE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56121-2025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46274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21300-2024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46274</v>
      </c>
      <c r="F433" t="inlineStr">
        <is>
          <t>GÄVLEBORGS LÄN</t>
        </is>
      </c>
      <c r="G433" t="inlineStr">
        <is>
          <t>GÄVLE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47746-2023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45203</v>
      </c>
      <c r="E434" s="1" t="n">
        <v>46274</v>
      </c>
      <c r="F434" t="inlineStr">
        <is>
          <t>GÄVLEBORGS LÄN</t>
        </is>
      </c>
      <c r="G434" t="inlineStr">
        <is>
          <t>GÄVLE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24325-2026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46274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46274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46274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46274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56122-2025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46274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56123-2025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46274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46274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46169</v>
      </c>
      <c r="E442" s="1" t="n">
        <v>46274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46274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46274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46274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46274</v>
      </c>
      <c r="F446" t="inlineStr">
        <is>
          <t>GÄVLEBORGS LÄN</t>
        </is>
      </c>
      <c r="G446" t="inlineStr">
        <is>
          <t>GÄVLE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46274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52495-2021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44466</v>
      </c>
      <c r="E448" s="1" t="n">
        <v>46274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46274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46274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46274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46274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46274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46274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34668-2024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46274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46274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45666</v>
      </c>
      <c r="E457" s="1" t="n">
        <v>46274</v>
      </c>
      <c r="F457" t="inlineStr">
        <is>
          <t>GÄVLEBORGS LÄN</t>
        </is>
      </c>
      <c r="G457" t="inlineStr">
        <is>
          <t>GÄVLE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56268-2025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45974</v>
      </c>
      <c r="E458" s="1" t="n">
        <v>46274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56269-2025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46274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20689-2024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45436</v>
      </c>
      <c r="E460" s="1" t="n">
        <v>46274</v>
      </c>
      <c r="F460" t="inlineStr">
        <is>
          <t>GÄVLEBORGS LÄN</t>
        </is>
      </c>
      <c r="G460" t="inlineStr">
        <is>
          <t>GÄVLE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56270-2025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46274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46274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46274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46274</v>
      </c>
      <c r="F464" t="inlineStr">
        <is>
          <t>GÄVLEBORGS LÄN</t>
        </is>
      </c>
      <c r="G464" t="inlineStr">
        <is>
          <t>GÄVLE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46274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45120</v>
      </c>
      <c r="E466" s="1" t="n">
        <v>46274</v>
      </c>
      <c r="F466" t="inlineStr">
        <is>
          <t>GÄVLEBORGS LÄN</t>
        </is>
      </c>
      <c r="G466" t="inlineStr">
        <is>
          <t>GÄVLE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46173</v>
      </c>
      <c r="E467" s="1" t="n">
        <v>46274</v>
      </c>
      <c r="F467" t="inlineStr">
        <is>
          <t>GÄVLEBORGS LÄN</t>
        </is>
      </c>
      <c r="G467" t="inlineStr">
        <is>
          <t>GÄVLE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46171</v>
      </c>
      <c r="E468" s="1" t="n">
        <v>46274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21.4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46274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25384-2026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46274</v>
      </c>
      <c r="F470" t="inlineStr">
        <is>
          <t>GÄVLEBORGS LÄN</t>
        </is>
      </c>
      <c r="G470" t="inlineStr">
        <is>
          <t>GÄVLE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61301-2024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46274</v>
      </c>
      <c r="F471" t="inlineStr">
        <is>
          <t>GÄVLEBORGS LÄN</t>
        </is>
      </c>
      <c r="G471" t="inlineStr">
        <is>
          <t>GÄVLE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43771-2025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45912</v>
      </c>
      <c r="E472" s="1" t="n">
        <v>46274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45912</v>
      </c>
      <c r="E473" s="1" t="n">
        <v>46274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45448-2025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46274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46274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46274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46274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46274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46274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46274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43774-2025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46274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46274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45546-2025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46274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46274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45922</v>
      </c>
      <c r="E485" s="1" t="n">
        <v>46274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46274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45987</v>
      </c>
      <c r="E487" s="1" t="n">
        <v>46274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46274</v>
      </c>
      <c r="F488" t="inlineStr">
        <is>
          <t>GÄVLEBORGS LÄN</t>
        </is>
      </c>
      <c r="G488" t="inlineStr">
        <is>
          <t>GÄVLE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64868-2023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45282</v>
      </c>
      <c r="E489" s="1" t="n">
        <v>46274</v>
      </c>
      <c r="F489" t="inlineStr">
        <is>
          <t>GÄVLEBORGS LÄN</t>
        </is>
      </c>
      <c r="G489" t="inlineStr">
        <is>
          <t>GÄVLE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45912</v>
      </c>
      <c r="E490" s="1" t="n">
        <v>46274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46274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45672</v>
      </c>
      <c r="E492" s="1" t="n">
        <v>46274</v>
      </c>
      <c r="F492" t="inlineStr">
        <is>
          <t>GÄVLEBORGS LÄN</t>
        </is>
      </c>
      <c r="G492" t="inlineStr">
        <is>
          <t>GÄVLE</t>
        </is>
      </c>
      <c r="H492" t="inlineStr">
        <is>
          <t>Kyrkan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46274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46274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46141</v>
      </c>
      <c r="E495" s="1" t="n">
        <v>46274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46274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45422</v>
      </c>
      <c r="E497" s="1" t="n">
        <v>46274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46274</v>
      </c>
      <c r="F498" t="inlineStr">
        <is>
          <t>GÄVLEBORGS LÄN</t>
        </is>
      </c>
      <c r="G498" t="inlineStr">
        <is>
          <t>GÄVLE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46274</v>
      </c>
      <c r="F499" t="inlineStr">
        <is>
          <t>GÄVLEBORGS LÄN</t>
        </is>
      </c>
      <c r="G499" t="inlineStr">
        <is>
          <t>GÄVLE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46274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60038-2025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46274</v>
      </c>
      <c r="F501" t="inlineStr">
        <is>
          <t>GÄVLEBORGS LÄN</t>
        </is>
      </c>
      <c r="G501" t="inlineStr">
        <is>
          <t>GÄVLE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46274</v>
      </c>
      <c r="F502" t="inlineStr">
        <is>
          <t>GÄVLEBORGS LÄN</t>
        </is>
      </c>
      <c r="G502" t="inlineStr">
        <is>
          <t>GÄVLE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25582-2026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46274</v>
      </c>
      <c r="F503" t="inlineStr">
        <is>
          <t>GÄVLEBORGS LÄN</t>
        </is>
      </c>
      <c r="G503" t="inlineStr">
        <is>
          <t>GÄVLE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45994</v>
      </c>
      <c r="E504" s="1" t="n">
        <v>46274</v>
      </c>
      <c r="F504" t="inlineStr">
        <is>
          <t>GÄVLEBORGS LÄN</t>
        </is>
      </c>
      <c r="G504" t="inlineStr">
        <is>
          <t>GÄVLE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46274</v>
      </c>
      <c r="F505" t="inlineStr">
        <is>
          <t>GÄVLEBORGS LÄN</t>
        </is>
      </c>
      <c r="G505" t="inlineStr">
        <is>
          <t>GÄVLE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46274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46274</v>
      </c>
      <c r="F507" t="inlineStr">
        <is>
          <t>GÄVLEBORGS LÄN</t>
        </is>
      </c>
      <c r="G507" t="inlineStr">
        <is>
          <t>GÄVLE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45995</v>
      </c>
      <c r="E508" s="1" t="n">
        <v>46274</v>
      </c>
      <c r="F508" t="inlineStr">
        <is>
          <t>GÄVLEBORGS LÄN</t>
        </is>
      </c>
      <c r="G508" t="inlineStr">
        <is>
          <t>GÄVLE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45058</v>
      </c>
      <c r="E509" s="1" t="n">
        <v>46274</v>
      </c>
      <c r="F509" t="inlineStr">
        <is>
          <t>GÄVLEBORGS LÄN</t>
        </is>
      </c>
      <c r="G509" t="inlineStr">
        <is>
          <t>GÄVLE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55217-2025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46274</v>
      </c>
      <c r="F510" t="inlineStr">
        <is>
          <t>GÄVLEBORGS LÄN</t>
        </is>
      </c>
      <c r="G510" t="inlineStr">
        <is>
          <t>GÄVLE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46274</v>
      </c>
      <c r="F511" t="inlineStr">
        <is>
          <t>GÄVLEBORGS LÄN</t>
        </is>
      </c>
      <c r="G511" t="inlineStr">
        <is>
          <t>GÄVLE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44586</v>
      </c>
      <c r="E512" s="1" t="n">
        <v>46274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46274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46274</v>
      </c>
      <c r="F514" t="inlineStr">
        <is>
          <t>GÄVLEBORGS LÄN</t>
        </is>
      </c>
      <c r="G514" t="inlineStr">
        <is>
          <t>GÄVLE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46274</v>
      </c>
      <c r="F515" t="inlineStr">
        <is>
          <t>GÄVLEBORGS LÄN</t>
        </is>
      </c>
      <c r="G515" t="inlineStr">
        <is>
          <t>GÄVLE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26600-2026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46274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61880-2025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46003</v>
      </c>
      <c r="E517" s="1" t="n">
        <v>46274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46274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61650-2025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46274</v>
      </c>
      <c r="F519" t="inlineStr">
        <is>
          <t>GÄVLEBORGS LÄN</t>
        </is>
      </c>
      <c r="G519" t="inlineStr">
        <is>
          <t>GÄVLE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46184</v>
      </c>
      <c r="E520" s="1" t="n">
        <v>46274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46274</v>
      </c>
      <c r="F521" t="inlineStr">
        <is>
          <t>GÄVLEBORGS LÄN</t>
        </is>
      </c>
      <c r="G521" t="inlineStr">
        <is>
          <t>GÄVLE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46002</v>
      </c>
      <c r="E522" s="1" t="n">
        <v>46274</v>
      </c>
      <c r="F522" t="inlineStr">
        <is>
          <t>GÄVLEBORGS LÄN</t>
        </is>
      </c>
      <c r="G522" t="inlineStr">
        <is>
          <t>GÄVLE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46274</v>
      </c>
      <c r="F523" t="inlineStr">
        <is>
          <t>GÄVLEBORGS LÄN</t>
        </is>
      </c>
      <c r="G523" t="inlineStr">
        <is>
          <t>GÄVLE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61879-2025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46274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46274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27052-2026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46274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27065-2026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46274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46274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46274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46274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62226-2025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46274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46274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46274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27361-2026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46274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46274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46274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46274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27056-2026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46274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46274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27069-2026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46274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46274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27360-2026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46274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46274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46274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46185</v>
      </c>
      <c r="E545" s="1" t="n">
        <v>46274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62742-2025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46274</v>
      </c>
      <c r="F546" t="inlineStr">
        <is>
          <t>GÄVLEBORGS LÄN</t>
        </is>
      </c>
      <c r="G546" t="inlineStr">
        <is>
          <t>GÄVLE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46274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46274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46274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27061-2026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46274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45658</v>
      </c>
      <c r="E551" s="1" t="n">
        <v>46274</v>
      </c>
      <c r="F551" t="inlineStr">
        <is>
          <t>GÄVLEBORGS LÄN</t>
        </is>
      </c>
      <c r="G551" t="inlineStr">
        <is>
          <t>GÄVLE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66351-2021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44518</v>
      </c>
      <c r="E552" s="1" t="n">
        <v>46274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45084</v>
      </c>
      <c r="E553" s="1" t="n">
        <v>46274</v>
      </c>
      <c r="F553" t="inlineStr">
        <is>
          <t>GÄVLEBORGS LÄN</t>
        </is>
      </c>
      <c r="G553" t="inlineStr">
        <is>
          <t>GÄVLE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46274</v>
      </c>
      <c r="F554" t="inlineStr">
        <is>
          <t>GÄVLEBORGS LÄN</t>
        </is>
      </c>
      <c r="G554" t="inlineStr">
        <is>
          <t>GÄVLE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35450-2025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45855</v>
      </c>
      <c r="E555" s="1" t="n">
        <v>46274</v>
      </c>
      <c r="F555" t="inlineStr">
        <is>
          <t>GÄVLEBORGS LÄN</t>
        </is>
      </c>
      <c r="G555" t="inlineStr">
        <is>
          <t>GÄVLE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46019</v>
      </c>
      <c r="E556" s="1" t="n">
        <v>46274</v>
      </c>
      <c r="F556" t="inlineStr">
        <is>
          <t>GÄVLEBORGS LÄN</t>
        </is>
      </c>
      <c r="G556" t="inlineStr">
        <is>
          <t>GÄVLE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54953-2025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45967</v>
      </c>
      <c r="E557" s="1" t="n">
        <v>46274</v>
      </c>
      <c r="F557" t="inlineStr">
        <is>
          <t>GÄVLEBORGS LÄN</t>
        </is>
      </c>
      <c r="G557" t="inlineStr">
        <is>
          <t>GÄVLE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45932</v>
      </c>
      <c r="E558" s="1" t="n">
        <v>46274</v>
      </c>
      <c r="F558" t="inlineStr">
        <is>
          <t>GÄVLEBORGS LÄN</t>
        </is>
      </c>
      <c r="G558" t="inlineStr">
        <is>
          <t>GÄVLE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45932</v>
      </c>
      <c r="E559" s="1" t="n">
        <v>46274</v>
      </c>
      <c r="F559" t="inlineStr">
        <is>
          <t>GÄVLEBORGS LÄN</t>
        </is>
      </c>
      <c r="G559" t="inlineStr">
        <is>
          <t>GÄVLE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63800-2025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46019</v>
      </c>
      <c r="E560" s="1" t="n">
        <v>46274</v>
      </c>
      <c r="F560" t="inlineStr">
        <is>
          <t>GÄVLEBORGS LÄN</t>
        </is>
      </c>
      <c r="G560" t="inlineStr">
        <is>
          <t>GÄVLE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45908</v>
      </c>
      <c r="E561" s="1" t="n">
        <v>46274</v>
      </c>
      <c r="F561" t="inlineStr">
        <is>
          <t>GÄVLEBORGS LÄN</t>
        </is>
      </c>
      <c r="G561" t="inlineStr">
        <is>
          <t>GÄVLE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45937</v>
      </c>
      <c r="E562" s="1" t="n">
        <v>46274</v>
      </c>
      <c r="F562" t="inlineStr">
        <is>
          <t>GÄVLEBORGS LÄN</t>
        </is>
      </c>
      <c r="G562" t="inlineStr">
        <is>
          <t>GÄVLE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48864-2025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45937</v>
      </c>
      <c r="E563" s="1" t="n">
        <v>46274</v>
      </c>
      <c r="F563" t="inlineStr">
        <is>
          <t>GÄVLEBORGS LÄN</t>
        </is>
      </c>
      <c r="G563" t="inlineStr">
        <is>
          <t>GÄVLE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29929-2022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44756</v>
      </c>
      <c r="E564" s="1" t="n">
        <v>46274</v>
      </c>
      <c r="F564" t="inlineStr">
        <is>
          <t>GÄVLEBORGS LÄN</t>
        </is>
      </c>
      <c r="G564" t="inlineStr">
        <is>
          <t>GÄVLE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42692-2025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45908</v>
      </c>
      <c r="E565" s="1" t="n">
        <v>46274</v>
      </c>
      <c r="F565" t="inlineStr">
        <is>
          <t>GÄVLEBORGS LÄN</t>
        </is>
      </c>
      <c r="G565" t="inlineStr">
        <is>
          <t>GÄVLE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47694-2025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45931</v>
      </c>
      <c r="E566" s="1" t="n">
        <v>46274</v>
      </c>
      <c r="F566" t="inlineStr">
        <is>
          <t>GÄVLEBORGS LÄN</t>
        </is>
      </c>
      <c r="G566" t="inlineStr">
        <is>
          <t>GÄVLE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47916-2025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45932</v>
      </c>
      <c r="E567" s="1" t="n">
        <v>46274</v>
      </c>
      <c r="F567" t="inlineStr">
        <is>
          <t>GÄVLEBORGS LÄN</t>
        </is>
      </c>
      <c r="G567" t="inlineStr">
        <is>
          <t>GÄVLE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64142-2025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46022</v>
      </c>
      <c r="E568" s="1" t="n">
        <v>46274</v>
      </c>
      <c r="F568" t="inlineStr">
        <is>
          <t>GÄVLEBORGS LÄN</t>
        </is>
      </c>
      <c r="G568" t="inlineStr">
        <is>
          <t>GÄVLE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38673-2024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45547</v>
      </c>
      <c r="E569" s="1" t="n">
        <v>46274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46274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46274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28379-2026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46196</v>
      </c>
      <c r="E572" s="1" t="n">
        <v>46274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44936</v>
      </c>
      <c r="E573" s="1" t="n">
        <v>46274</v>
      </c>
      <c r="F573" t="inlineStr">
        <is>
          <t>GÄVLEBORGS LÄN</t>
        </is>
      </c>
      <c r="G573" t="inlineStr">
        <is>
          <t>GÄVLE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28331-2026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46196</v>
      </c>
      <c r="E574" s="1" t="n">
        <v>46274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46239</v>
      </c>
      <c r="E575" s="1" t="n">
        <v>46274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46274</v>
      </c>
      <c r="F576" t="inlineStr">
        <is>
          <t>GÄVLEBORGS LÄN</t>
        </is>
      </c>
      <c r="G576" t="inlineStr">
        <is>
          <t>GÄVLE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28140-2026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46274</v>
      </c>
      <c r="F577" t="inlineStr">
        <is>
          <t>GÄVLEBORGS LÄN</t>
        </is>
      </c>
      <c r="G577" t="inlineStr">
        <is>
          <t>GÄVLE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60442-2022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44911</v>
      </c>
      <c r="E578" s="1" t="n">
        <v>46274</v>
      </c>
      <c r="F578" t="inlineStr">
        <is>
          <t>GÄVLEBORGS LÄN</t>
        </is>
      </c>
      <c r="G578" t="inlineStr">
        <is>
          <t>GÄVLE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50314-2024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46274</v>
      </c>
      <c r="F579" t="inlineStr">
        <is>
          <t>GÄVLEBORGS LÄN</t>
        </is>
      </c>
      <c r="G579" t="inlineStr">
        <is>
          <t>GÄVLE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32436-2026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46239</v>
      </c>
      <c r="E580" s="1" t="n">
        <v>46274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46003</v>
      </c>
      <c r="E581" s="1" t="n">
        <v>46274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46160</v>
      </c>
      <c r="E582" s="1" t="n">
        <v>46274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46274</v>
      </c>
      <c r="F583" t="inlineStr">
        <is>
          <t>GÄVLEBORGS LÄN</t>
        </is>
      </c>
      <c r="G583" t="inlineStr">
        <is>
          <t>GÄVLE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61786-2024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45649</v>
      </c>
      <c r="E584" s="1" t="n">
        <v>46274</v>
      </c>
      <c r="F584" t="inlineStr">
        <is>
          <t>GÄVLEBORGS LÄN</t>
        </is>
      </c>
      <c r="G584" t="inlineStr">
        <is>
          <t>GÄVLE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29494-2026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46274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29506-2026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46274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52.7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46198</v>
      </c>
      <c r="E587" s="1" t="n">
        <v>46274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28485-2026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46197</v>
      </c>
      <c r="E588" s="1" t="n">
        <v>46274</v>
      </c>
      <c r="F588" t="inlineStr">
        <is>
          <t>GÄVLEBORGS LÄN</t>
        </is>
      </c>
      <c r="G588" t="inlineStr">
        <is>
          <t>GÄVLE</t>
        </is>
      </c>
      <c r="H588" t="inlineStr">
        <is>
          <t>BillerudKorsnäs AB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46274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28659-2026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46274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46034</v>
      </c>
      <c r="E591" s="1" t="n">
        <v>46274</v>
      </c>
      <c r="F591" t="inlineStr">
        <is>
          <t>GÄVLEBORGS LÄN</t>
        </is>
      </c>
      <c r="G591" t="inlineStr">
        <is>
          <t>GÄVLE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46274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28657-2026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46198</v>
      </c>
      <c r="E593" s="1" t="n">
        <v>46274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46274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45320</v>
      </c>
      <c r="E595" s="1" t="n">
        <v>46274</v>
      </c>
      <c r="F595" t="inlineStr">
        <is>
          <t>GÄVLEBORGS LÄN</t>
        </is>
      </c>
      <c r="G595" t="inlineStr">
        <is>
          <t>GÄVLE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32890-2026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46274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46274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46202</v>
      </c>
      <c r="E598" s="1" t="n">
        <v>46274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46274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46274</v>
      </c>
      <c r="F600" t="inlineStr">
        <is>
          <t>GÄVLEBORGS LÄN</t>
        </is>
      </c>
      <c r="G600" t="inlineStr">
        <is>
          <t>GÄVLE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32888-2026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46274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4308-2026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46045</v>
      </c>
      <c r="E602" s="1" t="n">
        <v>46274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46045</v>
      </c>
      <c r="E603" s="1" t="n">
        <v>46274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46045</v>
      </c>
      <c r="E604" s="1" t="n">
        <v>46274</v>
      </c>
      <c r="F604" t="inlineStr">
        <is>
          <t>GÄVLEBORGS LÄN</t>
        </is>
      </c>
      <c r="G604" t="inlineStr">
        <is>
          <t>GÄVLE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33265-2026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46246</v>
      </c>
      <c r="E605" s="1" t="n">
        <v>46274</v>
      </c>
      <c r="F605" t="inlineStr">
        <is>
          <t>GÄVLEBORGS LÄN</t>
        </is>
      </c>
      <c r="G605" t="inlineStr">
        <is>
          <t>GÄVLE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46274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46246</v>
      </c>
      <c r="E607" s="1" t="n">
        <v>46274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32255-2023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45120</v>
      </c>
      <c r="E608" s="1" t="n">
        <v>46274</v>
      </c>
      <c r="F608" t="inlineStr">
        <is>
          <t>GÄVLEBORGS LÄN</t>
        </is>
      </c>
      <c r="G608" t="inlineStr">
        <is>
          <t>GÄVLE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46274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46246</v>
      </c>
      <c r="E610" s="1" t="n">
        <v>46274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33231-2026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46246</v>
      </c>
      <c r="E611" s="1" t="n">
        <v>46274</v>
      </c>
      <c r="F611" t="inlineStr">
        <is>
          <t>GÄVLEBORGS LÄN</t>
        </is>
      </c>
      <c r="G611" t="inlineStr">
        <is>
          <t>GÄVLE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46246</v>
      </c>
      <c r="E612" s="1" t="n">
        <v>46274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46246</v>
      </c>
      <c r="E613" s="1" t="n">
        <v>46274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45574</v>
      </c>
      <c r="E614" s="1" t="n">
        <v>46274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33719-2026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46251</v>
      </c>
      <c r="E615" s="1" t="n">
        <v>46274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15456-2026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46274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46052</v>
      </c>
      <c r="E617" s="1" t="n">
        <v>46274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51758-2025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45950</v>
      </c>
      <c r="E618" s="1" t="n">
        <v>46274</v>
      </c>
      <c r="F618" t="inlineStr">
        <is>
          <t>GÄVLEBORGS LÄN</t>
        </is>
      </c>
      <c r="G618" t="inlineStr">
        <is>
          <t>GÄVLE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46274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46052</v>
      </c>
      <c r="E620" s="1" t="n">
        <v>46274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33586-2026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46248</v>
      </c>
      <c r="E621" s="1" t="n">
        <v>46274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31019-2026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46206</v>
      </c>
      <c r="E622" s="1" t="n">
        <v>46274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45312</v>
      </c>
      <c r="E623" s="1" t="n">
        <v>46274</v>
      </c>
      <c r="F623" t="inlineStr">
        <is>
          <t>GÄVLEBORGS LÄN</t>
        </is>
      </c>
      <c r="G623" t="inlineStr">
        <is>
          <t>GÄVLE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6673-2026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46274</v>
      </c>
      <c r="F624" t="inlineStr">
        <is>
          <t>GÄVLEBORGS LÄN</t>
        </is>
      </c>
      <c r="G624" t="inlineStr">
        <is>
          <t>GÄVLE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6681-2026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46274</v>
      </c>
      <c r="F625" t="inlineStr">
        <is>
          <t>GÄVLEBORGS LÄN</t>
        </is>
      </c>
      <c r="G625" t="inlineStr">
        <is>
          <t>GÄVLE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6683-2026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46274</v>
      </c>
      <c r="F626" t="inlineStr">
        <is>
          <t>GÄVLEBORGS LÄN</t>
        </is>
      </c>
      <c r="G626" t="inlineStr">
        <is>
          <t>GÄVLE</t>
        </is>
      </c>
      <c r="I626" t="n">
        <v>6.5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30324-2026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46207</v>
      </c>
      <c r="E627" s="1" t="n">
        <v>46274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22363-2026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46154</v>
      </c>
      <c r="E628" s="1" t="n">
        <v>46274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väst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33664-2026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46248</v>
      </c>
      <c r="E629" s="1" t="n">
        <v>46274</v>
      </c>
      <c r="F629" t="inlineStr">
        <is>
          <t>GÄVLEBORGS LÄN</t>
        </is>
      </c>
      <c r="G629" t="inlineStr">
        <is>
          <t>GÄVLE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59817-2023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45257</v>
      </c>
      <c r="E630" s="1" t="n">
        <v>46274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väst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46274</v>
      </c>
      <c r="F631" t="inlineStr">
        <is>
          <t>GÄVLEBORGS LÄN</t>
        </is>
      </c>
      <c r="G631" t="inlineStr">
        <is>
          <t>GÄVLE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46274</v>
      </c>
      <c r="F632" t="inlineStr">
        <is>
          <t>GÄVLEBORGS LÄN</t>
        </is>
      </c>
      <c r="G632" t="inlineStr">
        <is>
          <t>GÄVLE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14553-2026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46274</v>
      </c>
      <c r="F633" t="inlineStr">
        <is>
          <t>GÄVLEBORGS LÄN</t>
        </is>
      </c>
      <c r="G633" t="inlineStr">
        <is>
          <t>GÄVLE</t>
        </is>
      </c>
      <c r="H633" t="inlineStr">
        <is>
          <t>Övriga statliga verk och myndigheter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33662-2026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46248</v>
      </c>
      <c r="E634" s="1" t="n">
        <v>46274</v>
      </c>
      <c r="F634" t="inlineStr">
        <is>
          <t>GÄVLEBORGS LÄN</t>
        </is>
      </c>
      <c r="G634" t="inlineStr">
        <is>
          <t>GÄVLE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33585-2026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46248</v>
      </c>
      <c r="E635" s="1" t="n">
        <v>46274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46274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46063</v>
      </c>
      <c r="E637" s="1" t="n">
        <v>46274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46274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7665-2026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46274</v>
      </c>
      <c r="F639" t="inlineStr">
        <is>
          <t>GÄVLEBORGS LÄN</t>
        </is>
      </c>
      <c r="G639" t="inlineStr">
        <is>
          <t>GÄVLE</t>
        </is>
      </c>
      <c r="H639" t="inlineStr">
        <is>
          <t>Kyrkan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46062</v>
      </c>
      <c r="E640" s="1" t="n">
        <v>46274</v>
      </c>
      <c r="F640" t="inlineStr">
        <is>
          <t>GÄVLEBORGS LÄN</t>
        </is>
      </c>
      <c r="G640" t="inlineStr">
        <is>
          <t>GÄVLE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14173-2022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44651</v>
      </c>
      <c r="E641" s="1" t="n">
        <v>46274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46274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24367-2026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46274</v>
      </c>
      <c r="F643" t="inlineStr">
        <is>
          <t>GÄVLEBORGS LÄN</t>
        </is>
      </c>
      <c r="G643" t="inlineStr">
        <is>
          <t>GÄVLE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42876-2023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45182</v>
      </c>
      <c r="E644" s="1" t="n">
        <v>46274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34033-2026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46252</v>
      </c>
      <c r="E645" s="1" t="n">
        <v>46274</v>
      </c>
      <c r="F645" t="inlineStr">
        <is>
          <t>GÄVLEBORGS LÄN</t>
        </is>
      </c>
      <c r="G645" t="inlineStr">
        <is>
          <t>GÄVLE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46274</v>
      </c>
      <c r="F646" t="inlineStr">
        <is>
          <t>GÄVLEBORGS LÄN</t>
        </is>
      </c>
      <c r="G646" t="inlineStr">
        <is>
          <t>GÄVLE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9129-2026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46274</v>
      </c>
      <c r="F647" t="inlineStr">
        <is>
          <t>GÄVLEBORGS LÄN</t>
        </is>
      </c>
      <c r="G647" t="inlineStr">
        <is>
          <t>GÄVLE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30600-2026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46210</v>
      </c>
      <c r="E648" s="1" t="n">
        <v>46274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30601-2026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46210</v>
      </c>
      <c r="E649" s="1" t="n">
        <v>46274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46069</v>
      </c>
      <c r="E650" s="1" t="n">
        <v>46274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47143-2024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45586</v>
      </c>
      <c r="E651" s="1" t="n">
        <v>46274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17404-2025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45757</v>
      </c>
      <c r="E652" s="1" t="n">
        <v>46274</v>
      </c>
      <c r="F652" t="inlineStr">
        <is>
          <t>GÄVLEBORGS LÄN</t>
        </is>
      </c>
      <c r="G652" t="inlineStr">
        <is>
          <t>GÄVLE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46254</v>
      </c>
      <c r="E653" s="1" t="n">
        <v>46274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46274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9534-2026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46071</v>
      </c>
      <c r="E655" s="1" t="n">
        <v>46274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väst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46274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10063-2026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46274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9779-2026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46072</v>
      </c>
      <c r="E658" s="1" t="n">
        <v>46274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9673-2026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46072</v>
      </c>
      <c r="E659" s="1" t="n">
        <v>46274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34593-2026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46274</v>
      </c>
      <c r="F660" t="inlineStr">
        <is>
          <t>GÄVLEBORGS LÄN</t>
        </is>
      </c>
      <c r="G660" t="inlineStr">
        <is>
          <t>GÄVLE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37146-2024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45539</v>
      </c>
      <c r="E661" s="1" t="n">
        <v>46274</v>
      </c>
      <c r="F661" t="inlineStr">
        <is>
          <t>GÄVLEBORGS LÄN</t>
        </is>
      </c>
      <c r="G661" t="inlineStr">
        <is>
          <t>GÄVLE</t>
        </is>
      </c>
      <c r="I661" t="n">
        <v>9.4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46254</v>
      </c>
      <c r="E662" s="1" t="n">
        <v>46274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45660</v>
      </c>
      <c r="E663" s="1" t="n">
        <v>46274</v>
      </c>
      <c r="F663" t="inlineStr">
        <is>
          <t>GÄVLEBORGS LÄN</t>
        </is>
      </c>
      <c r="G663" t="inlineStr">
        <is>
          <t>GÄVLE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10257-2026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46274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46274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46274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34733-2026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46258</v>
      </c>
      <c r="E667" s="1" t="n">
        <v>46274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väst AB</t>
        </is>
      </c>
      <c r="I667" t="n">
        <v>11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10504-2026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46077</v>
      </c>
      <c r="E668" s="1" t="n">
        <v>46274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34822-2026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46258</v>
      </c>
      <c r="E669" s="1" t="n">
        <v>46274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46274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11114-2026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46079</v>
      </c>
      <c r="E671" s="1" t="n">
        <v>46274</v>
      </c>
      <c r="F671" t="inlineStr">
        <is>
          <t>GÄVLEBORGS LÄN</t>
        </is>
      </c>
      <c r="G671" t="inlineStr">
        <is>
          <t>GÄVLE</t>
        </is>
      </c>
      <c r="H671" t="inlineStr">
        <is>
          <t>Kommuner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46213</v>
      </c>
      <c r="E672" s="1" t="n">
        <v>46274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46083</v>
      </c>
      <c r="E673" s="1" t="n">
        <v>46274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34686-2026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46258</v>
      </c>
      <c r="E674" s="1" t="n">
        <v>46274</v>
      </c>
      <c r="F674" t="inlineStr">
        <is>
          <t>GÄVLEBORGS LÄN</t>
        </is>
      </c>
      <c r="G674" t="inlineStr">
        <is>
          <t>GÄVLE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11926-2026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46085</v>
      </c>
      <c r="E675" s="1" t="n">
        <v>46274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45673</v>
      </c>
      <c r="E676" s="1" t="n">
        <v>46274</v>
      </c>
      <c r="F676" t="inlineStr">
        <is>
          <t>GÄVLEBORGS LÄN</t>
        </is>
      </c>
      <c r="G676" t="inlineStr">
        <is>
          <t>GÄVLE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45673</v>
      </c>
      <c r="E677" s="1" t="n">
        <v>46274</v>
      </c>
      <c r="F677" t="inlineStr">
        <is>
          <t>GÄVLEBORGS LÄN</t>
        </is>
      </c>
      <c r="G677" t="inlineStr">
        <is>
          <t>GÄVLE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12015-2026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46274</v>
      </c>
      <c r="F678" t="inlineStr">
        <is>
          <t>GÄVLEBORGS LÄN</t>
        </is>
      </c>
      <c r="G678" t="inlineStr">
        <is>
          <t>GÄVLE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30969-2026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46213</v>
      </c>
      <c r="E679" s="1" t="n">
        <v>46274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30951-2026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46274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31234-2026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46217</v>
      </c>
      <c r="E681" s="1" t="n">
        <v>46274</v>
      </c>
      <c r="F681" t="inlineStr">
        <is>
          <t>GÄVLEBORGS LÄN</t>
        </is>
      </c>
      <c r="G681" t="inlineStr">
        <is>
          <t>GÄVLE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35388-2026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46261</v>
      </c>
      <c r="E682" s="1" t="n">
        <v>46274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46260</v>
      </c>
      <c r="E683" s="1" t="n">
        <v>46274</v>
      </c>
      <c r="F683" t="inlineStr">
        <is>
          <t>GÄVLEBORGS LÄN</t>
        </is>
      </c>
      <c r="G683" t="inlineStr">
        <is>
          <t>GÄVLE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35302-2026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46274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12948-2026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46274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61501-2024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45646</v>
      </c>
      <c r="E686" s="1" t="n">
        <v>46274</v>
      </c>
      <c r="F686" t="inlineStr">
        <is>
          <t>GÄVLEBORGS LÄN</t>
        </is>
      </c>
      <c r="G686" t="inlineStr">
        <is>
          <t>GÄVLE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47458-2022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44853</v>
      </c>
      <c r="E687" s="1" t="n">
        <v>46274</v>
      </c>
      <c r="F687" t="inlineStr">
        <is>
          <t>GÄVLEBORGS LÄN</t>
        </is>
      </c>
      <c r="G687" t="inlineStr">
        <is>
          <t>GÄVLE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46274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46274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12952-2026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46092</v>
      </c>
      <c r="E690" s="1" t="n">
        <v>46274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12990-2026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46092</v>
      </c>
      <c r="E691" s="1" t="n">
        <v>46274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46274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13498-2026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46274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46274</v>
      </c>
      <c r="F694" t="inlineStr">
        <is>
          <t>GÄVLEBORGS LÄN</t>
        </is>
      </c>
      <c r="G694" t="inlineStr">
        <is>
          <t>GÄVLE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46274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46262</v>
      </c>
      <c r="E696" s="1" t="n">
        <v>46274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13489-2026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46274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13500-2026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46094</v>
      </c>
      <c r="E698" s="1" t="n">
        <v>46274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31528-2026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46220</v>
      </c>
      <c r="E699" s="1" t="n">
        <v>46274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11.4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46274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13329-2026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46274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46094</v>
      </c>
      <c r="E702" s="1" t="n">
        <v>46274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13389-2026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46094</v>
      </c>
      <c r="E703" s="1" t="n">
        <v>46274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13503-2026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46274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44938-2022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44841</v>
      </c>
      <c r="E705" s="1" t="n">
        <v>46274</v>
      </c>
      <c r="F705" t="inlineStr">
        <is>
          <t>GÄVLEBORGS LÄN</t>
        </is>
      </c>
      <c r="G705" t="inlineStr">
        <is>
          <t>GÄVLE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13104-2026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46093</v>
      </c>
      <c r="E706" s="1" t="n">
        <v>46274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46094</v>
      </c>
      <c r="E707" s="1" t="n">
        <v>46274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13574-2026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46095</v>
      </c>
      <c r="E708" s="1" t="n">
        <v>46274</v>
      </c>
      <c r="F708" t="inlineStr">
        <is>
          <t>GÄVLEBORGS LÄN</t>
        </is>
      </c>
      <c r="G708" t="inlineStr">
        <is>
          <t>GÄVLE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13893-2026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46274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5241-2024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45330</v>
      </c>
      <c r="E710" s="1" t="n">
        <v>46274</v>
      </c>
      <c r="F710" t="inlineStr">
        <is>
          <t>GÄVLEBORGS LÄN</t>
        </is>
      </c>
      <c r="G710" t="inlineStr">
        <is>
          <t>GÄVLE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35495-2026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46262</v>
      </c>
      <c r="E711" s="1" t="n">
        <v>46274</v>
      </c>
      <c r="F711" t="inlineStr">
        <is>
          <t>GÄVLEBORGS LÄN</t>
        </is>
      </c>
      <c r="G711" t="inlineStr">
        <is>
          <t>GÄVLE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35818-2026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46274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46223</v>
      </c>
      <c r="E713" s="1" t="n">
        <v>46274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10.2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35577-2026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46274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14280-2026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46274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35561-2026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46262</v>
      </c>
      <c r="E716" s="1" t="n">
        <v>46274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36091-2026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46267</v>
      </c>
      <c r="E717" s="1" t="n">
        <v>46274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36132-2026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46267</v>
      </c>
      <c r="E718" s="1" t="n">
        <v>46274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14401-2026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46274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36089-2026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46267</v>
      </c>
      <c r="E720" s="1" t="n">
        <v>46274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14963-2026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46104</v>
      </c>
      <c r="E721" s="1" t="n">
        <v>46274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46101</v>
      </c>
      <c r="E722" s="1" t="n">
        <v>46274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15046-2026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46274</v>
      </c>
      <c r="F723" t="inlineStr">
        <is>
          <t>GÄVLEBORGS LÄN</t>
        </is>
      </c>
      <c r="G723" t="inlineStr">
        <is>
          <t>GÄVLE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46274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36093-2026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46267</v>
      </c>
      <c r="E725" s="1" t="n">
        <v>46274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5.4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36086-2026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46267</v>
      </c>
      <c r="E726" s="1" t="n">
        <v>46274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15535-2026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46274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15097-2026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46274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36512-2026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46274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46269</v>
      </c>
      <c r="E730" s="1" t="n">
        <v>46274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50582-2023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45217</v>
      </c>
      <c r="E731" s="1" t="n">
        <v>46274</v>
      </c>
      <c r="F731" t="inlineStr">
        <is>
          <t>GÄVLEBORGS LÄN</t>
        </is>
      </c>
      <c r="G731" t="inlineStr">
        <is>
          <t>GÄVLE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9235-2022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44616</v>
      </c>
      <c r="E732" s="1" t="n">
        <v>46274</v>
      </c>
      <c r="F732" t="inlineStr">
        <is>
          <t>GÄVLEBORGS LÄN</t>
        </is>
      </c>
      <c r="G732" t="inlineStr">
        <is>
          <t>GÄVLE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36558-2026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46269</v>
      </c>
      <c r="E733" s="1" t="n">
        <v>46274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53082-2022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44876</v>
      </c>
      <c r="E734" s="1" t="n">
        <v>46274</v>
      </c>
      <c r="F734" t="inlineStr">
        <is>
          <t>GÄVLEBORGS LÄN</t>
        </is>
      </c>
      <c r="G734" t="inlineStr">
        <is>
          <t>GÄVLE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15985-2026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46108</v>
      </c>
      <c r="E735" s="1" t="n">
        <v>46274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36530-2026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46269</v>
      </c>
      <c r="E736" s="1" t="n">
        <v>46274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14974-2026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46274</v>
      </c>
      <c r="F737" t="inlineStr">
        <is>
          <t>GÄVLEBORGS LÄN</t>
        </is>
      </c>
      <c r="G737" t="inlineStr">
        <is>
          <t>GÄVLE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36909-2026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46273</v>
      </c>
      <c r="E738" s="1" t="n">
        <v>46274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5.2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36945-2026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46273</v>
      </c>
      <c r="E739" s="1" t="n">
        <v>46274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36957-2026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46274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72734-2021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44546</v>
      </c>
      <c r="E741" s="1" t="n">
        <v>46274</v>
      </c>
      <c r="F741" t="inlineStr">
        <is>
          <t>GÄVLEBORGS LÄN</t>
        </is>
      </c>
      <c r="G741" t="inlineStr">
        <is>
          <t>GÄVLE</t>
        </is>
      </c>
      <c r="H741" t="inlineStr">
        <is>
          <t>Kommuner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16430-2026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46111</v>
      </c>
      <c r="E742" s="1" t="n">
        <v>46274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36962-2026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46273</v>
      </c>
      <c r="E743" s="1" t="n">
        <v>46274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46274</v>
      </c>
      <c r="F744" t="inlineStr">
        <is>
          <t>GÄVLEBORGS LÄN</t>
        </is>
      </c>
      <c r="G744" t="inlineStr">
        <is>
          <t>GÄVLE</t>
        </is>
      </c>
      <c r="I744" t="n">
        <v>5.1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46274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53432-2021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44468</v>
      </c>
      <c r="E746" s="1" t="n">
        <v>46274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36739-2026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46274</v>
      </c>
      <c r="F747" t="inlineStr">
        <is>
          <t>GÄVLEBORGS LÄN</t>
        </is>
      </c>
      <c r="G747" t="inlineStr">
        <is>
          <t>GÄVLE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46122</v>
      </c>
      <c r="E748" s="1" t="n">
        <v>46274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10488-2026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46077</v>
      </c>
      <c r="E749" s="1" t="n">
        <v>46274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36732-2026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46272</v>
      </c>
      <c r="E750" s="1" t="n">
        <v>46274</v>
      </c>
      <c r="F750" t="inlineStr">
        <is>
          <t>GÄVLEBORGS LÄN</t>
        </is>
      </c>
      <c r="G750" t="inlineStr">
        <is>
          <t>GÄVLE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58445-2021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46274</v>
      </c>
      <c r="F751" t="inlineStr">
        <is>
          <t>GÄVLEBORGS LÄN</t>
        </is>
      </c>
      <c r="G751" t="inlineStr">
        <is>
          <t>GÄVLE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46273</v>
      </c>
      <c r="E752" s="1" t="n">
        <v>46274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18173-2026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46125</v>
      </c>
      <c r="E753" s="1" t="n">
        <v>46274</v>
      </c>
      <c r="F753" t="inlineStr">
        <is>
          <t>GÄVLEBORGS LÄN</t>
        </is>
      </c>
      <c r="G753" t="inlineStr">
        <is>
          <t>GÄVLE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11572-2026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46084</v>
      </c>
      <c r="E754" s="1" t="n">
        <v>46274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18175-2026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46125</v>
      </c>
      <c r="E755" s="1" t="n">
        <v>46274</v>
      </c>
      <c r="F755" t="inlineStr">
        <is>
          <t>GÄVLEBORGS LÄN</t>
        </is>
      </c>
      <c r="G755" t="inlineStr">
        <is>
          <t>GÄVLE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17976-2026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46124</v>
      </c>
      <c r="E756" s="1" t="n">
        <v>46274</v>
      </c>
      <c r="F756" t="inlineStr">
        <is>
          <t>GÄVLEBORGS LÄN</t>
        </is>
      </c>
      <c r="G756" t="inlineStr">
        <is>
          <t>GÄVLE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17977-2026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46124</v>
      </c>
      <c r="E757" s="1" t="n">
        <v>46274</v>
      </c>
      <c r="F757" t="inlineStr">
        <is>
          <t>GÄVLEBORGS LÄN</t>
        </is>
      </c>
      <c r="G757" t="inlineStr">
        <is>
          <t>GÄVLE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36784-2026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46274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väst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17974-2026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46124</v>
      </c>
      <c r="E759" s="1" t="n">
        <v>46274</v>
      </c>
      <c r="F759" t="inlineStr">
        <is>
          <t>GÄVLEBORGS LÄN</t>
        </is>
      </c>
      <c r="G759" t="inlineStr">
        <is>
          <t>GÄVLE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13046-2026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46093</v>
      </c>
      <c r="E760" s="1" t="n">
        <v>46274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18657-2026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46128</v>
      </c>
      <c r="E761" s="1" t="n">
        <v>46274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66493-2021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44519</v>
      </c>
      <c r="E762" s="1" t="n">
        <v>46274</v>
      </c>
      <c r="F762" t="inlineStr">
        <is>
          <t>GÄVLEBORGS LÄN</t>
        </is>
      </c>
      <c r="G762" t="inlineStr">
        <is>
          <t>GÄVLE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15635-2026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46106</v>
      </c>
      <c r="E763" s="1" t="n">
        <v>46274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4.1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14966-2026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46104</v>
      </c>
      <c r="E764" s="1" t="n">
        <v>46274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18817-2026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46128</v>
      </c>
      <c r="E765" s="1" t="n">
        <v>46274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13492-2026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46274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15558-2026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46274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15568-2026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46274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15634-2026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46274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36.3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19087-2026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46274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25812-2023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45090</v>
      </c>
      <c r="E771" s="1" t="n">
        <v>46274</v>
      </c>
      <c r="F771" t="inlineStr">
        <is>
          <t>GÄVLEBORGS LÄN</t>
        </is>
      </c>
      <c r="G771" t="inlineStr">
        <is>
          <t>GÄVLE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19088-2026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46132</v>
      </c>
      <c r="E772" s="1" t="n">
        <v>46274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19085-2026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46132</v>
      </c>
      <c r="E773" s="1" t="n">
        <v>46274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19371-2026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46133</v>
      </c>
      <c r="E774" s="1" t="n">
        <v>46274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19370-2026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46274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46274</v>
      </c>
      <c r="F776" t="inlineStr">
        <is>
          <t>GÄVLEBORGS LÄN</t>
        </is>
      </c>
      <c r="G776" t="inlineStr">
        <is>
          <t>GÄVLE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1238-2023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44936</v>
      </c>
      <c r="E777" s="1" t="n">
        <v>46274</v>
      </c>
      <c r="F777" t="inlineStr">
        <is>
          <t>GÄVLEBORGS LÄN</t>
        </is>
      </c>
      <c r="G777" t="inlineStr">
        <is>
          <t>GÄVLE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19714-2026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46274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46274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12386-2026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46274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19713-2026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46134</v>
      </c>
      <c r="E781" s="1" t="n">
        <v>46274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19716-2026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46134</v>
      </c>
      <c r="E782" s="1" t="n">
        <v>46274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15176-2026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46105</v>
      </c>
      <c r="E783" s="1" t="n">
        <v>46274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45312</v>
      </c>
      <c r="E784" s="1" t="n">
        <v>46274</v>
      </c>
      <c r="F784" t="inlineStr">
        <is>
          <t>GÄVLEBORGS LÄN</t>
        </is>
      </c>
      <c r="G784" t="inlineStr">
        <is>
          <t>GÄVLE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51071-2023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45218</v>
      </c>
      <c r="E785" s="1" t="n">
        <v>46274</v>
      </c>
      <c r="F785" t="inlineStr">
        <is>
          <t>GÄVLEBORGS LÄN</t>
        </is>
      </c>
      <c r="G785" t="inlineStr">
        <is>
          <t>GÄVLE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17113-2024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45412</v>
      </c>
      <c r="E786" s="1" t="n">
        <v>46274</v>
      </c>
      <c r="F786" t="inlineStr">
        <is>
          <t>GÄVLEBORGS LÄN</t>
        </is>
      </c>
      <c r="G786" t="inlineStr">
        <is>
          <t>GÄVLE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49401-2024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45595</v>
      </c>
      <c r="E787" s="1" t="n">
        <v>46274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64871-2023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45282</v>
      </c>
      <c r="E788" s="1" t="n">
        <v>46274</v>
      </c>
      <c r="F788" t="inlineStr">
        <is>
          <t>GÄVLEBORGS LÄN</t>
        </is>
      </c>
      <c r="G788" t="inlineStr">
        <is>
          <t>GÄVLE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64875-2023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45282</v>
      </c>
      <c r="E789" s="1" t="n">
        <v>46274</v>
      </c>
      <c r="F789" t="inlineStr">
        <is>
          <t>GÄVLEBORGS LÄN</t>
        </is>
      </c>
      <c r="G789" t="inlineStr">
        <is>
          <t>GÄVLE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64878-2023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45282</v>
      </c>
      <c r="E790" s="1" t="n">
        <v>46274</v>
      </c>
      <c r="F790" t="inlineStr">
        <is>
          <t>GÄVLEBORGS LÄN</t>
        </is>
      </c>
      <c r="G790" t="inlineStr">
        <is>
          <t>GÄVLE</t>
        </is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42934-2023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45182</v>
      </c>
      <c r="E791" s="1" t="n">
        <v>46274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36638-2022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44804</v>
      </c>
      <c r="E792" s="1" t="n">
        <v>46274</v>
      </c>
      <c r="F792" t="inlineStr">
        <is>
          <t>GÄVLEBORGS LÄN</t>
        </is>
      </c>
      <c r="G792" t="inlineStr">
        <is>
          <t>GÄVLE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45628-2022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44845</v>
      </c>
      <c r="E793" s="1" t="n">
        <v>46274</v>
      </c>
      <c r="F793" t="inlineStr">
        <is>
          <t>GÄVLEBORGS LÄN</t>
        </is>
      </c>
      <c r="G793" t="inlineStr">
        <is>
          <t>GÄVLE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60792-2024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45644</v>
      </c>
      <c r="E794" s="1" t="n">
        <v>46274</v>
      </c>
      <c r="F794" t="inlineStr">
        <is>
          <t>GÄVLEBORGS LÄN</t>
        </is>
      </c>
      <c r="G794" t="inlineStr">
        <is>
          <t>GÄVLE</t>
        </is>
      </c>
      <c r="H794" t="inlineStr">
        <is>
          <t>Kyrkan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60801-2024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45644</v>
      </c>
      <c r="E795" s="1" t="n">
        <v>46274</v>
      </c>
      <c r="F795" t="inlineStr">
        <is>
          <t>GÄVLEBORGS LÄN</t>
        </is>
      </c>
      <c r="G795" t="inlineStr">
        <is>
          <t>GÄVLE</t>
        </is>
      </c>
      <c r="H795" t="inlineStr">
        <is>
          <t>Kyrkan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22577-2022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44713</v>
      </c>
      <c r="E796" s="1" t="n">
        <v>46274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57168-2023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45245</v>
      </c>
      <c r="E797" s="1" t="n">
        <v>46274</v>
      </c>
      <c r="F797" t="inlineStr">
        <is>
          <t>GÄVLEBORGS LÄN</t>
        </is>
      </c>
      <c r="G797" t="inlineStr">
        <is>
          <t>GÄVLE</t>
        </is>
      </c>
      <c r="H797" t="inlineStr">
        <is>
          <t>Kyrkan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15207-2024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45400</v>
      </c>
      <c r="E798" s="1" t="n">
        <v>46274</v>
      </c>
      <c r="F798" t="inlineStr">
        <is>
          <t>GÄVLEBORGS LÄN</t>
        </is>
      </c>
      <c r="G798" t="inlineStr">
        <is>
          <t>GÄVLE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29016-2023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45104</v>
      </c>
      <c r="E799" s="1" t="n">
        <v>46274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60396-2022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44910</v>
      </c>
      <c r="E800" s="1" t="n">
        <v>46274</v>
      </c>
      <c r="F800" t="inlineStr">
        <is>
          <t>GÄVLEBORGS LÄN</t>
        </is>
      </c>
      <c r="G800" t="inlineStr">
        <is>
          <t>GÄVLE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45462</v>
      </c>
      <c r="E801" s="1" t="n">
        <v>46274</v>
      </c>
      <c r="F801" t="inlineStr">
        <is>
          <t>GÄVLEBORGS LÄN</t>
        </is>
      </c>
      <c r="G801" t="inlineStr">
        <is>
          <t>GÄVLE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46274</v>
      </c>
      <c r="F802" t="inlineStr">
        <is>
          <t>GÄVLEBORGS LÄN</t>
        </is>
      </c>
      <c r="G802" t="inlineStr">
        <is>
          <t>GÄVLE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45660</v>
      </c>
      <c r="E803" s="1" t="n">
        <v>46274</v>
      </c>
      <c r="F803" t="inlineStr">
        <is>
          <t>GÄVLEBORGS LÄN</t>
        </is>
      </c>
      <c r="G803" t="inlineStr">
        <is>
          <t>GÄVLE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27182-2022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44741</v>
      </c>
      <c r="E804" s="1" t="n">
        <v>46274</v>
      </c>
      <c r="F804" t="inlineStr">
        <is>
          <t>GÄVLEBORGS LÄN</t>
        </is>
      </c>
      <c r="G804" t="inlineStr">
        <is>
          <t>GÄVLE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8031-2024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45350</v>
      </c>
      <c r="E805" s="1" t="n">
        <v>46274</v>
      </c>
      <c r="F805" t="inlineStr">
        <is>
          <t>GÄVLEBORGS LÄN</t>
        </is>
      </c>
      <c r="G805" t="inlineStr">
        <is>
          <t>GÄVLE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61351-2021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44498</v>
      </c>
      <c r="E806" s="1" t="n">
        <v>46274</v>
      </c>
      <c r="F806" t="inlineStr">
        <is>
          <t>GÄVLEBORGS LÄN</t>
        </is>
      </c>
      <c r="G806" t="inlineStr">
        <is>
          <t>GÄVLE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53281-2024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45614</v>
      </c>
      <c r="E807" s="1" t="n">
        <v>46274</v>
      </c>
      <c r="F807" t="inlineStr">
        <is>
          <t>GÄVLEBORGS LÄN</t>
        </is>
      </c>
      <c r="G807" t="inlineStr">
        <is>
          <t>GÄVLE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60879-2023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45261</v>
      </c>
      <c r="E808" s="1" t="n">
        <v>46274</v>
      </c>
      <c r="F808" t="inlineStr">
        <is>
          <t>GÄVLEBORGS LÄN</t>
        </is>
      </c>
      <c r="G808" t="inlineStr">
        <is>
          <t>GÄVLE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15312-2023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45019</v>
      </c>
      <c r="E809" s="1" t="n">
        <v>46274</v>
      </c>
      <c r="F809" t="inlineStr">
        <is>
          <t>GÄVLEBORGS LÄN</t>
        </is>
      </c>
      <c r="G809" t="inlineStr">
        <is>
          <t>GÄVLE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52387-2022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44874</v>
      </c>
      <c r="E810" s="1" t="n">
        <v>46274</v>
      </c>
      <c r="F810" t="inlineStr">
        <is>
          <t>GÄVLEBORGS LÄN</t>
        </is>
      </c>
      <c r="G810" t="inlineStr">
        <is>
          <t>GÄVLE</t>
        </is>
      </c>
      <c r="H810" t="inlineStr">
        <is>
          <t>Kommuner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31011-2023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45113</v>
      </c>
      <c r="E811" s="1" t="n">
        <v>46274</v>
      </c>
      <c r="F811" t="inlineStr">
        <is>
          <t>GÄVLEBORGS LÄN</t>
        </is>
      </c>
      <c r="G811" t="inlineStr">
        <is>
          <t>GÄVLE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22466-2023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45070</v>
      </c>
      <c r="E812" s="1" t="n">
        <v>46274</v>
      </c>
      <c r="F812" t="inlineStr">
        <is>
          <t>GÄVLEBORGS LÄN</t>
        </is>
      </c>
      <c r="G812" t="inlineStr">
        <is>
          <t>GÄVLE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16023-2023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45026</v>
      </c>
      <c r="E813" s="1" t="n">
        <v>46274</v>
      </c>
      <c r="F813" t="inlineStr">
        <is>
          <t>GÄVLEBORGS LÄN</t>
        </is>
      </c>
      <c r="G813" t="inlineStr">
        <is>
          <t>GÄVLE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25829-2024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45467</v>
      </c>
      <c r="E814" s="1" t="n">
        <v>46274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7235-2025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45702</v>
      </c>
      <c r="E815" s="1" t="n">
        <v>46274</v>
      </c>
      <c r="F815" t="inlineStr">
        <is>
          <t>GÄVLEBORGS LÄN</t>
        </is>
      </c>
      <c r="G815" t="inlineStr">
        <is>
          <t>GÄVLE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71215-2021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44539</v>
      </c>
      <c r="E816" s="1" t="n">
        <v>46274</v>
      </c>
      <c r="F816" t="inlineStr">
        <is>
          <t>GÄVLEBORGS LÄN</t>
        </is>
      </c>
      <c r="G816" t="inlineStr">
        <is>
          <t>GÄVLE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61879-2024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45652</v>
      </c>
      <c r="E817" s="1" t="n">
        <v>46274</v>
      </c>
      <c r="F817" t="inlineStr">
        <is>
          <t>GÄVLEBORGS LÄN</t>
        </is>
      </c>
      <c r="G817" t="inlineStr">
        <is>
          <t>GÄVLE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19712-2022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44694</v>
      </c>
      <c r="E818" s="1" t="n">
        <v>46274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39509-2022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44818</v>
      </c>
      <c r="E819" s="1" t="n">
        <v>46274</v>
      </c>
      <c r="F819" t="inlineStr">
        <is>
          <t>GÄVLEBORGS LÄN</t>
        </is>
      </c>
      <c r="G819" t="inlineStr">
        <is>
          <t>GÄVLE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30662-2022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44763</v>
      </c>
      <c r="E820" s="1" t="n">
        <v>46274</v>
      </c>
      <c r="F820" t="inlineStr">
        <is>
          <t>GÄVLEBORGS LÄN</t>
        </is>
      </c>
      <c r="G820" t="inlineStr">
        <is>
          <t>GÄVLE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61004-2024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45645</v>
      </c>
      <c r="E821" s="1" t="n">
        <v>46274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37352-2024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45540</v>
      </c>
      <c r="E822" s="1" t="n">
        <v>46274</v>
      </c>
      <c r="F822" t="inlineStr">
        <is>
          <t>GÄVLEBORGS LÄN</t>
        </is>
      </c>
      <c r="G822" t="inlineStr">
        <is>
          <t>GÄVLE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17605-2025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45757</v>
      </c>
      <c r="E823" s="1" t="n">
        <v>46274</v>
      </c>
      <c r="F823" t="inlineStr">
        <is>
          <t>GÄVLEBORGS LÄN</t>
        </is>
      </c>
      <c r="G823" t="inlineStr">
        <is>
          <t>GÄVLE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17607-2025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45757</v>
      </c>
      <c r="E824" s="1" t="n">
        <v>46274</v>
      </c>
      <c r="F824" t="inlineStr">
        <is>
          <t>GÄVLEBORGS LÄN</t>
        </is>
      </c>
      <c r="G824" t="inlineStr">
        <is>
          <t>GÄVLE</t>
        </is>
      </c>
      <c r="I824" t="n">
        <v>7.6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56487-2023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45243</v>
      </c>
      <c r="E825" s="1" t="n">
        <v>46274</v>
      </c>
      <c r="F825" t="inlineStr">
        <is>
          <t>GÄVLEBORGS LÄN</t>
        </is>
      </c>
      <c r="G825" t="inlineStr">
        <is>
          <t>GÄVLE</t>
        </is>
      </c>
      <c r="I825" t="n">
        <v>8.699999999999999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9307-2022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44616</v>
      </c>
      <c r="E826" s="1" t="n">
        <v>46274</v>
      </c>
      <c r="F826" t="inlineStr">
        <is>
          <t>GÄVLEBORGS LÄN</t>
        </is>
      </c>
      <c r="G826" t="inlineStr">
        <is>
          <t>GÄVLE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13193-2025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45735</v>
      </c>
      <c r="E827" s="1" t="n">
        <v>46274</v>
      </c>
      <c r="F827" t="inlineStr">
        <is>
          <t>GÄVLEBORGS LÄN</t>
        </is>
      </c>
      <c r="G827" t="inlineStr">
        <is>
          <t>GÄVLE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31866-2023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45106</v>
      </c>
      <c r="E828" s="1" t="n">
        <v>46274</v>
      </c>
      <c r="F828" t="inlineStr">
        <is>
          <t>GÄVLEBORGS LÄN</t>
        </is>
      </c>
      <c r="G828" t="inlineStr">
        <is>
          <t>GÄVLE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14807-2023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45014</v>
      </c>
      <c r="E829" s="1" t="n">
        <v>46274</v>
      </c>
      <c r="F829" t="inlineStr">
        <is>
          <t>GÄVLEBORGS LÄN</t>
        </is>
      </c>
      <c r="G829" t="inlineStr">
        <is>
          <t>GÄVLE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33880-2022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44790</v>
      </c>
      <c r="E830" s="1" t="n">
        <v>46274</v>
      </c>
      <c r="F830" t="inlineStr">
        <is>
          <t>GÄVLEBORGS LÄN</t>
        </is>
      </c>
      <c r="G830" t="inlineStr">
        <is>
          <t>GÄVLE</t>
        </is>
      </c>
      <c r="I830" t="n">
        <v>9.4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6370-2025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45699</v>
      </c>
      <c r="E831" s="1" t="n">
        <v>46274</v>
      </c>
      <c r="F831" t="inlineStr">
        <is>
          <t>GÄVLEBORGS LÄN</t>
        </is>
      </c>
      <c r="G831" t="inlineStr">
        <is>
          <t>GÄVLE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11691-2024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45373</v>
      </c>
      <c r="E832" s="1" t="n">
        <v>46274</v>
      </c>
      <c r="F832" t="inlineStr">
        <is>
          <t>GÄVLEBORGS LÄN</t>
        </is>
      </c>
      <c r="G832" t="inlineStr">
        <is>
          <t>GÄVLE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62766-2022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44885</v>
      </c>
      <c r="E833" s="1" t="n">
        <v>46274</v>
      </c>
      <c r="F833" t="inlineStr">
        <is>
          <t>GÄVLEBORGS LÄN</t>
        </is>
      </c>
      <c r="G833" t="inlineStr">
        <is>
          <t>GÄVLE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64873-2023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45282</v>
      </c>
      <c r="E834" s="1" t="n">
        <v>46274</v>
      </c>
      <c r="F834" t="inlineStr">
        <is>
          <t>GÄVLEBORGS LÄN</t>
        </is>
      </c>
      <c r="G834" t="inlineStr">
        <is>
          <t>GÄVLE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29862-2023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45107</v>
      </c>
      <c r="E835" s="1" t="n">
        <v>46274</v>
      </c>
      <c r="F835" t="inlineStr">
        <is>
          <t>GÄVLEBORGS LÄN</t>
        </is>
      </c>
      <c r="G835" t="inlineStr">
        <is>
          <t>GÄVLE</t>
        </is>
      </c>
      <c r="I835" t="n">
        <v>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24478-2023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45082</v>
      </c>
      <c r="E836" s="1" t="n">
        <v>46274</v>
      </c>
      <c r="F836" t="inlineStr">
        <is>
          <t>GÄVLEBORGS LÄN</t>
        </is>
      </c>
      <c r="G836" t="inlineStr">
        <is>
          <t>GÄVLE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17088-2023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45034</v>
      </c>
      <c r="E837" s="1" t="n">
        <v>46274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7792-2023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44973</v>
      </c>
      <c r="E838" s="1" t="n">
        <v>46274</v>
      </c>
      <c r="F838" t="inlineStr">
        <is>
          <t>GÄVLEBORGS LÄN</t>
        </is>
      </c>
      <c r="G838" t="inlineStr">
        <is>
          <t>GÄVLE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14735-2024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45397</v>
      </c>
      <c r="E839" s="1" t="n">
        <v>46274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35761-2022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44800</v>
      </c>
      <c r="E840" s="1" t="n">
        <v>46274</v>
      </c>
      <c r="F840" t="inlineStr">
        <is>
          <t>GÄVLEBORGS LÄN</t>
        </is>
      </c>
      <c r="G840" t="inlineStr">
        <is>
          <t>GÄVLE</t>
        </is>
      </c>
      <c r="I840" t="n">
        <v>8.199999999999999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61918-2023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45266</v>
      </c>
      <c r="E841" s="1" t="n">
        <v>46274</v>
      </c>
      <c r="F841" t="inlineStr">
        <is>
          <t>GÄVLEBORGS LÄN</t>
        </is>
      </c>
      <c r="G841" t="inlineStr">
        <is>
          <t>GÄVLE</t>
        </is>
      </c>
      <c r="I841" t="n">
        <v>5.3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17245-2024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45414</v>
      </c>
      <c r="E842" s="1" t="n">
        <v>46274</v>
      </c>
      <c r="F842" t="inlineStr">
        <is>
          <t>GÄVLEBORGS LÄN</t>
        </is>
      </c>
      <c r="G842" t="inlineStr">
        <is>
          <t>GÄVLE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62255-2022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44922</v>
      </c>
      <c r="E843" s="1" t="n">
        <v>46274</v>
      </c>
      <c r="F843" t="inlineStr">
        <is>
          <t>GÄVLEBORGS LÄN</t>
        </is>
      </c>
      <c r="G843" t="inlineStr">
        <is>
          <t>GÄVLE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57928-2024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45631</v>
      </c>
      <c r="E844" s="1" t="n">
        <v>46274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9422-2025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46274</v>
      </c>
      <c r="F845" t="inlineStr">
        <is>
          <t>GÄVLEBORGS LÄN</t>
        </is>
      </c>
      <c r="G845" t="inlineStr">
        <is>
          <t>GÄVLE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61843-2023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45266</v>
      </c>
      <c r="E846" s="1" t="n">
        <v>46274</v>
      </c>
      <c r="F846" t="inlineStr">
        <is>
          <t>GÄVLEBORGS LÄN</t>
        </is>
      </c>
      <c r="G846" t="inlineStr">
        <is>
          <t>GÄVLE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45660</v>
      </c>
      <c r="E847" s="1" t="n">
        <v>46274</v>
      </c>
      <c r="F847" t="inlineStr">
        <is>
          <t>GÄVLEBORGS LÄN</t>
        </is>
      </c>
      <c r="G847" t="inlineStr">
        <is>
          <t>GÄVLE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33449-2024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45519</v>
      </c>
      <c r="E848" s="1" t="n">
        <v>46274</v>
      </c>
      <c r="F848" t="inlineStr">
        <is>
          <t>GÄVLEBORGS LÄN</t>
        </is>
      </c>
      <c r="G848" t="inlineStr">
        <is>
          <t>GÄVLE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35440-2023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45146</v>
      </c>
      <c r="E849" s="1" t="n">
        <v>46274</v>
      </c>
      <c r="F849" t="inlineStr">
        <is>
          <t>GÄVLEBORGS LÄN</t>
        </is>
      </c>
      <c r="G849" t="inlineStr">
        <is>
          <t>GÄVLE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3662-2022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44586</v>
      </c>
      <c r="E850" s="1" t="n">
        <v>46274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7410-2025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45705</v>
      </c>
      <c r="E851" s="1" t="n">
        <v>46274</v>
      </c>
      <c r="F851" t="inlineStr">
        <is>
          <t>GÄVLEBORGS LÄN</t>
        </is>
      </c>
      <c r="G851" t="inlineStr">
        <is>
          <t>GÄVLE</t>
        </is>
      </c>
      <c r="I851" t="n">
        <v>4.7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35331-2024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45530</v>
      </c>
      <c r="E852" s="1" t="n">
        <v>46274</v>
      </c>
      <c r="F852" t="inlineStr">
        <is>
          <t>GÄVLEBORGS LÄN</t>
        </is>
      </c>
      <c r="G852" t="inlineStr">
        <is>
          <t>GÄVLE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44927</v>
      </c>
      <c r="E853" s="1" t="n">
        <v>46274</v>
      </c>
      <c r="F853" t="inlineStr">
        <is>
          <t>GÄVLEBORGS LÄN</t>
        </is>
      </c>
      <c r="G853" t="inlineStr">
        <is>
          <t>GÄVLE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44806-2024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45574</v>
      </c>
      <c r="E854" s="1" t="n">
        <v>46274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52250-2024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45608</v>
      </c>
      <c r="E855" s="1" t="n">
        <v>46274</v>
      </c>
      <c r="F855" t="inlineStr">
        <is>
          <t>GÄVLEBORGS LÄN</t>
        </is>
      </c>
      <c r="G855" t="inlineStr">
        <is>
          <t>GÄVLE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30875-2022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44767</v>
      </c>
      <c r="E856" s="1" t="n">
        <v>46274</v>
      </c>
      <c r="F856" t="inlineStr">
        <is>
          <t>GÄVLEBORGS LÄN</t>
        </is>
      </c>
      <c r="G856" t="inlineStr">
        <is>
          <t>GÄVLE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60349-2022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44910</v>
      </c>
      <c r="E857" s="1" t="n">
        <v>46274</v>
      </c>
      <c r="F857" t="inlineStr">
        <is>
          <t>GÄVLEBORGS LÄN</t>
        </is>
      </c>
      <c r="G857" t="inlineStr">
        <is>
          <t>GÄVLE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41100-2024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45559</v>
      </c>
      <c r="E858" s="1" t="n">
        <v>46274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35205-2024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45530</v>
      </c>
      <c r="E859" s="1" t="n">
        <v>46274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16401-2025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45751</v>
      </c>
      <c r="E860" s="1" t="n">
        <v>46274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5633-2024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45334</v>
      </c>
      <c r="E861" s="1" t="n">
        <v>46274</v>
      </c>
      <c r="F861" t="inlineStr">
        <is>
          <t>GÄVLEBORGS LÄN</t>
        </is>
      </c>
      <c r="G861" t="inlineStr">
        <is>
          <t>GÄVLE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13961-2024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45392</v>
      </c>
      <c r="E862" s="1" t="n">
        <v>46274</v>
      </c>
      <c r="F862" t="inlineStr">
        <is>
          <t>GÄVLEBORGS LÄN</t>
        </is>
      </c>
      <c r="G862" t="inlineStr">
        <is>
          <t>GÄVLE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25466-2023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45089</v>
      </c>
      <c r="E863" s="1" t="n">
        <v>46274</v>
      </c>
      <c r="F863" t="inlineStr">
        <is>
          <t>GÄVLEBORGS LÄN</t>
        </is>
      </c>
      <c r="G863" t="inlineStr">
        <is>
          <t>GÄVLE</t>
        </is>
      </c>
      <c r="I863" t="n">
        <v>5.5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7060-2022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44603</v>
      </c>
      <c r="E864" s="1" t="n">
        <v>46274</v>
      </c>
      <c r="F864" t="inlineStr">
        <is>
          <t>GÄVLEBORGS LÄN</t>
        </is>
      </c>
      <c r="G864" t="inlineStr">
        <is>
          <t>GÄVLE</t>
        </is>
      </c>
      <c r="I864" t="n">
        <v>10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41708-2023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45176</v>
      </c>
      <c r="E865" s="1" t="n">
        <v>46274</v>
      </c>
      <c r="F865" t="inlineStr">
        <is>
          <t>GÄVLEBORGS LÄN</t>
        </is>
      </c>
      <c r="G865" t="inlineStr">
        <is>
          <t>GÄVLE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41712-2023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45176</v>
      </c>
      <c r="E866" s="1" t="n">
        <v>46274</v>
      </c>
      <c r="F866" t="inlineStr">
        <is>
          <t>GÄVLEBORGS LÄN</t>
        </is>
      </c>
      <c r="G866" t="inlineStr">
        <is>
          <t>GÄVLE</t>
        </is>
      </c>
      <c r="I866" t="n">
        <v>7.8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5413-2023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44959</v>
      </c>
      <c r="E867" s="1" t="n">
        <v>46274</v>
      </c>
      <c r="F867" t="inlineStr">
        <is>
          <t>GÄVLEBORGS LÄN</t>
        </is>
      </c>
      <c r="G867" t="inlineStr">
        <is>
          <t>GÄVLE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4235-2025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45685</v>
      </c>
      <c r="E868" s="1" t="n">
        <v>46274</v>
      </c>
      <c r="F868" t="inlineStr">
        <is>
          <t>GÄVLEBORGS LÄN</t>
        </is>
      </c>
      <c r="G868" t="inlineStr">
        <is>
          <t>GÄVLE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45660</v>
      </c>
      <c r="E869" s="1" t="n">
        <v>46274</v>
      </c>
      <c r="F869" t="inlineStr">
        <is>
          <t>GÄVLEBORGS LÄN</t>
        </is>
      </c>
      <c r="G869" t="inlineStr">
        <is>
          <t>GÄVLE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56138-2023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45240</v>
      </c>
      <c r="E870" s="1" t="n">
        <v>46274</v>
      </c>
      <c r="F870" t="inlineStr">
        <is>
          <t>GÄVLEBORGS LÄN</t>
        </is>
      </c>
      <c r="G870" t="inlineStr">
        <is>
          <t>GÄVLE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33635-2024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46274</v>
      </c>
      <c r="F871" t="inlineStr">
        <is>
          <t>GÄVLEBORGS LÄN</t>
        </is>
      </c>
      <c r="G871" t="inlineStr">
        <is>
          <t>GÄVLE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33637-2024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45520</v>
      </c>
      <c r="E872" s="1" t="n">
        <v>46274</v>
      </c>
      <c r="F872" t="inlineStr">
        <is>
          <t>GÄVLEBORGS LÄN</t>
        </is>
      </c>
      <c r="G872" t="inlineStr">
        <is>
          <t>GÄVLE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25645-2023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45089</v>
      </c>
      <c r="E873" s="1" t="n">
        <v>46274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7998-2023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44973</v>
      </c>
      <c r="E874" s="1" t="n">
        <v>46274</v>
      </c>
      <c r="F874" t="inlineStr">
        <is>
          <t>GÄVLEBORGS LÄN</t>
        </is>
      </c>
      <c r="G874" t="inlineStr">
        <is>
          <t>GÄVLE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54207-2023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45232</v>
      </c>
      <c r="E875" s="1" t="n">
        <v>46274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15935-2025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45749</v>
      </c>
      <c r="E876" s="1" t="n">
        <v>46274</v>
      </c>
      <c r="F876" t="inlineStr">
        <is>
          <t>GÄVLEBORGS LÄN</t>
        </is>
      </c>
      <c r="G876" t="inlineStr">
        <is>
          <t>GÄVLE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25814-2023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45090</v>
      </c>
      <c r="E877" s="1" t="n">
        <v>46274</v>
      </c>
      <c r="F877" t="inlineStr">
        <is>
          <t>GÄVLEBORGS LÄN</t>
        </is>
      </c>
      <c r="G877" t="inlineStr">
        <is>
          <t>GÄVLE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14792-2023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45014</v>
      </c>
      <c r="E878" s="1" t="n">
        <v>46274</v>
      </c>
      <c r="F878" t="inlineStr">
        <is>
          <t>GÄVLEBORGS LÄN</t>
        </is>
      </c>
      <c r="G878" t="inlineStr">
        <is>
          <t>GÄVLE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12079-2025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45728</v>
      </c>
      <c r="E879" s="1" t="n">
        <v>46274</v>
      </c>
      <c r="F879" t="inlineStr">
        <is>
          <t>GÄVLEBORGS LÄN</t>
        </is>
      </c>
      <c r="G879" t="inlineStr">
        <is>
          <t>GÄVLE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45306</v>
      </c>
      <c r="E880" s="1" t="n">
        <v>46274</v>
      </c>
      <c r="F880" t="inlineStr">
        <is>
          <t>GÄVLEBORGS LÄN</t>
        </is>
      </c>
      <c r="G880" t="inlineStr">
        <is>
          <t>GÄVLE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62983-2023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45272</v>
      </c>
      <c r="E881" s="1" t="n">
        <v>46274</v>
      </c>
      <c r="F881" t="inlineStr">
        <is>
          <t>GÄVLEBORGS LÄN</t>
        </is>
      </c>
      <c r="G881" t="inlineStr">
        <is>
          <t>GÄVLE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45523</v>
      </c>
      <c r="E882" s="1" t="n">
        <v>46274</v>
      </c>
      <c r="F882" t="inlineStr">
        <is>
          <t>GÄVLEBORGS LÄN</t>
        </is>
      </c>
      <c r="G882" t="inlineStr">
        <is>
          <t>GÄVLE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20621-2025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45776</v>
      </c>
      <c r="E883" s="1" t="n">
        <v>46274</v>
      </c>
      <c r="F883" t="inlineStr">
        <is>
          <t>GÄVLEBORGS LÄN</t>
        </is>
      </c>
      <c r="G883" t="inlineStr">
        <is>
          <t>GÄVLE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45938-2024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45580</v>
      </c>
      <c r="E884" s="1" t="n">
        <v>46274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21431-2025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45782</v>
      </c>
      <c r="E885" s="1" t="n">
        <v>46274</v>
      </c>
      <c r="F885" t="inlineStr">
        <is>
          <t>GÄVLEBORGS LÄN</t>
        </is>
      </c>
      <c r="G885" t="inlineStr">
        <is>
          <t>GÄVLE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7202-2025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45702</v>
      </c>
      <c r="E886" s="1" t="n">
        <v>46274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59044-2023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45252</v>
      </c>
      <c r="E887" s="1" t="n">
        <v>46274</v>
      </c>
      <c r="F887" t="inlineStr">
        <is>
          <t>GÄVLEBORGS LÄN</t>
        </is>
      </c>
      <c r="G887" t="inlineStr">
        <is>
          <t>GÄVLE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3862-2024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45322</v>
      </c>
      <c r="E888" s="1" t="n">
        <v>46274</v>
      </c>
      <c r="F888" t="inlineStr">
        <is>
          <t>GÄVLEBORGS LÄN</t>
        </is>
      </c>
      <c r="G888" t="inlineStr">
        <is>
          <t>GÄVLE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7451-2025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45705</v>
      </c>
      <c r="E889" s="1" t="n">
        <v>46274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23291-2025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45791</v>
      </c>
      <c r="E890" s="1" t="n">
        <v>46274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23232-2025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46274</v>
      </c>
      <c r="F891" t="inlineStr">
        <is>
          <t>GÄVLEBORGS LÄN</t>
        </is>
      </c>
      <c r="G891" t="inlineStr">
        <is>
          <t>GÄVLE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22879-2025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45790</v>
      </c>
      <c r="E892" s="1" t="n">
        <v>46274</v>
      </c>
      <c r="F892" t="inlineStr">
        <is>
          <t>GÄVLEBORGS LÄN</t>
        </is>
      </c>
      <c r="G892" t="inlineStr">
        <is>
          <t>GÄVLE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23324-2025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45791</v>
      </c>
      <c r="E893" s="1" t="n">
        <v>46274</v>
      </c>
      <c r="F893" t="inlineStr">
        <is>
          <t>GÄVLEBORGS LÄN</t>
        </is>
      </c>
      <c r="G893" t="inlineStr">
        <is>
          <t>GÄVLE</t>
        </is>
      </c>
      <c r="I893" t="n">
        <v>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22923-2025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45790</v>
      </c>
      <c r="E894" s="1" t="n">
        <v>46274</v>
      </c>
      <c r="F894" t="inlineStr">
        <is>
          <t>GÄVLEBORGS LÄN</t>
        </is>
      </c>
      <c r="G894" t="inlineStr">
        <is>
          <t>GÄVLE</t>
        </is>
      </c>
      <c r="I894" t="n">
        <v>20.8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45660</v>
      </c>
      <c r="E895" s="1" t="n">
        <v>46274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24228-2025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45797</v>
      </c>
      <c r="E896" s="1" t="n">
        <v>46274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55878-2024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45623</v>
      </c>
      <c r="E897" s="1" t="n">
        <v>46274</v>
      </c>
      <c r="F897" t="inlineStr">
        <is>
          <t>GÄVLEBORGS LÄN</t>
        </is>
      </c>
      <c r="G897" t="inlineStr">
        <is>
          <t>GÄVLE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45594</v>
      </c>
      <c r="E898" s="1" t="n">
        <v>46274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24225-2025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45797</v>
      </c>
      <c r="E899" s="1" t="n">
        <v>46274</v>
      </c>
      <c r="F899" t="inlineStr">
        <is>
          <t>GÄVLEBORGS LÄN</t>
        </is>
      </c>
      <c r="G899" t="inlineStr">
        <is>
          <t>GÄVLE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58373-2024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45632</v>
      </c>
      <c r="E900" s="1" t="n">
        <v>46274</v>
      </c>
      <c r="F900" t="inlineStr">
        <is>
          <t>GÄVLEBORGS LÄN</t>
        </is>
      </c>
      <c r="G900" t="inlineStr">
        <is>
          <t>GÄVLE</t>
        </is>
      </c>
      <c r="I900" t="n">
        <v>13.1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31367-2024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45505</v>
      </c>
      <c r="E901" s="1" t="n">
        <v>46274</v>
      </c>
      <c r="F901" t="inlineStr">
        <is>
          <t>GÄVLEBORGS LÄN</t>
        </is>
      </c>
      <c r="G901" t="inlineStr">
        <is>
          <t>GÄVLE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24614-2025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45798</v>
      </c>
      <c r="E902" s="1" t="n">
        <v>46274</v>
      </c>
      <c r="F902" t="inlineStr">
        <is>
          <t>GÄVLEBORGS LÄN</t>
        </is>
      </c>
      <c r="G902" t="inlineStr">
        <is>
          <t>GÄVLE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26564-2022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44739</v>
      </c>
      <c r="E903" s="1" t="n">
        <v>46274</v>
      </c>
      <c r="F903" t="inlineStr">
        <is>
          <t>GÄVLEBORGS LÄN</t>
        </is>
      </c>
      <c r="G903" t="inlineStr">
        <is>
          <t>GÄVLE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25878-2025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45804</v>
      </c>
      <c r="E904" s="1" t="n">
        <v>46274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27666-2025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45813</v>
      </c>
      <c r="E905" s="1" t="n">
        <v>46274</v>
      </c>
      <c r="F905" t="inlineStr">
        <is>
          <t>GÄVLEBORGS LÄN</t>
        </is>
      </c>
      <c r="G905" t="inlineStr">
        <is>
          <t>GÄVLE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27611-2025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45813</v>
      </c>
      <c r="E906" s="1" t="n">
        <v>46274</v>
      </c>
      <c r="F906" t="inlineStr">
        <is>
          <t>GÄVLEBORGS LÄN</t>
        </is>
      </c>
      <c r="G906" t="inlineStr">
        <is>
          <t>GÄVLE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28009-2025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45817</v>
      </c>
      <c r="E907" s="1" t="n">
        <v>46274</v>
      </c>
      <c r="F907" t="inlineStr">
        <is>
          <t>GÄVLEBORGS LÄN</t>
        </is>
      </c>
      <c r="G907" t="inlineStr">
        <is>
          <t>GÄVLE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28481-2025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45819</v>
      </c>
      <c r="E908" s="1" t="n">
        <v>46274</v>
      </c>
      <c r="F908" t="inlineStr">
        <is>
          <t>GÄVLEBORGS LÄN</t>
        </is>
      </c>
      <c r="G908" t="inlineStr">
        <is>
          <t>GÄVLE</t>
        </is>
      </c>
      <c r="I908" t="n">
        <v>13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28624-2025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45819</v>
      </c>
      <c r="E909" s="1" t="n">
        <v>46274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30301-2025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45827</v>
      </c>
      <c r="E910" s="1" t="n">
        <v>46274</v>
      </c>
      <c r="F910" t="inlineStr">
        <is>
          <t>GÄVLEBORGS LÄN</t>
        </is>
      </c>
      <c r="G910" t="inlineStr">
        <is>
          <t>GÄVLE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30202-2025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45827</v>
      </c>
      <c r="E911" s="1" t="n">
        <v>46274</v>
      </c>
      <c r="F911" t="inlineStr">
        <is>
          <t>GÄVLEBORGS LÄN</t>
        </is>
      </c>
      <c r="G911" t="inlineStr">
        <is>
          <t>GÄVLE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14563-2025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45741</v>
      </c>
      <c r="E912" s="1" t="n">
        <v>46274</v>
      </c>
      <c r="F912" t="inlineStr">
        <is>
          <t>GÄVLEBORGS LÄN</t>
        </is>
      </c>
      <c r="G912" t="inlineStr">
        <is>
          <t>GÄVLE</t>
        </is>
      </c>
      <c r="I912" t="n">
        <v>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30300-2025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45827</v>
      </c>
      <c r="E913" s="1" t="n">
        <v>46274</v>
      </c>
      <c r="F913" t="inlineStr">
        <is>
          <t>GÄVLEBORGS LÄN</t>
        </is>
      </c>
      <c r="G913" t="inlineStr">
        <is>
          <t>GÄVLE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30304-2025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45827</v>
      </c>
      <c r="E914" s="1" t="n">
        <v>46274</v>
      </c>
      <c r="F914" t="inlineStr">
        <is>
          <t>GÄVLEBORGS LÄN</t>
        </is>
      </c>
      <c r="G914" t="inlineStr">
        <is>
          <t>GÄVLE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30915-2025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45832</v>
      </c>
      <c r="E915" s="1" t="n">
        <v>46274</v>
      </c>
      <c r="F915" t="inlineStr">
        <is>
          <t>GÄVLEBORGS LÄN</t>
        </is>
      </c>
      <c r="G915" t="inlineStr">
        <is>
          <t>GÄVLE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31920-2025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45834</v>
      </c>
      <c r="E916" s="1" t="n">
        <v>46274</v>
      </c>
      <c r="F916" t="inlineStr">
        <is>
          <t>GÄVLEBORGS LÄN</t>
        </is>
      </c>
      <c r="G916" t="inlineStr">
        <is>
          <t>GÄVLE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32022-2025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45835</v>
      </c>
      <c r="E917" s="1" t="n">
        <v>46274</v>
      </c>
      <c r="F917" t="inlineStr">
        <is>
          <t>GÄVLEBORGS LÄN</t>
        </is>
      </c>
      <c r="G917" t="inlineStr">
        <is>
          <t>GÄVLE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21978-2025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45784</v>
      </c>
      <c r="E918" s="1" t="n">
        <v>46274</v>
      </c>
      <c r="F918" t="inlineStr">
        <is>
          <t>GÄVLEBORGS LÄN</t>
        </is>
      </c>
      <c r="G918" t="inlineStr">
        <is>
          <t>GÄVLE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46274</v>
      </c>
      <c r="F919" t="inlineStr">
        <is>
          <t>GÄVLEBORGS LÄN</t>
        </is>
      </c>
      <c r="G919" t="inlineStr">
        <is>
          <t>GÄVLE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34113-2025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45845</v>
      </c>
      <c r="E920" s="1" t="n">
        <v>46274</v>
      </c>
      <c r="F920" t="inlineStr">
        <is>
          <t>GÄVLEBORGS LÄN</t>
        </is>
      </c>
      <c r="G920" t="inlineStr">
        <is>
          <t>GÄVLE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34725-2025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45848</v>
      </c>
      <c r="E921" s="1" t="n">
        <v>46274</v>
      </c>
      <c r="F921" t="inlineStr">
        <is>
          <t>GÄVLEBORGS LÄN</t>
        </is>
      </c>
      <c r="G921" t="inlineStr">
        <is>
          <t>GÄVLE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34722-2025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45848</v>
      </c>
      <c r="E922" s="1" t="n">
        <v>46274</v>
      </c>
      <c r="F922" t="inlineStr">
        <is>
          <t>GÄVLEBORGS LÄN</t>
        </is>
      </c>
      <c r="G922" t="inlineStr">
        <is>
          <t>GÄVLE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37253-2024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45540</v>
      </c>
      <c r="E923" s="1" t="n">
        <v>46274</v>
      </c>
      <c r="F923" t="inlineStr">
        <is>
          <t>GÄVLEBORGS LÄN</t>
        </is>
      </c>
      <c r="G923" t="inlineStr">
        <is>
          <t>GÄVLE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35337-2025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45854</v>
      </c>
      <c r="E924" s="1" t="n">
        <v>46274</v>
      </c>
      <c r="F924" t="inlineStr">
        <is>
          <t>GÄVLEBORGS LÄN</t>
        </is>
      </c>
      <c r="G924" t="inlineStr">
        <is>
          <t>GÄVLE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35650-2025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45859</v>
      </c>
      <c r="E925" s="1" t="n">
        <v>46274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35878-2025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45862</v>
      </c>
      <c r="E926" s="1" t="n">
        <v>46274</v>
      </c>
      <c r="F926" t="inlineStr">
        <is>
          <t>GÄVLEBORGS LÄN</t>
        </is>
      </c>
      <c r="G926" t="inlineStr">
        <is>
          <t>GÄVLE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35938-2025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45862</v>
      </c>
      <c r="E927" s="1" t="n">
        <v>46274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3.9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35919-2025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45862</v>
      </c>
      <c r="E928" s="1" t="n">
        <v>46274</v>
      </c>
      <c r="F928" t="inlineStr">
        <is>
          <t>GÄVLEBORGS LÄN</t>
        </is>
      </c>
      <c r="G928" t="inlineStr">
        <is>
          <t>GÄVLE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3425-2023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45205</v>
      </c>
      <c r="E929" s="1" t="n">
        <v>46274</v>
      </c>
      <c r="F929" t="inlineStr">
        <is>
          <t>GÄVLEBORGS LÄN</t>
        </is>
      </c>
      <c r="G929" t="inlineStr">
        <is>
          <t>GÄVLE</t>
        </is>
      </c>
      <c r="I929" t="n">
        <v>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  <c r="Z929">
        <f>HYPERLINK("https://klasma.github.io/Logging_2180/knärot/S 3425-2023 karta knärot.png", "S 3425-2023")</f>
        <v/>
      </c>
      <c r="AA929">
        <f>HYPERLINK("https://klasma.github.io/Logging_2180/klagomål/S 3425-2023 FSC-klagomål.docx", "S 3425-2023")</f>
        <v/>
      </c>
      <c r="AB929">
        <f>HYPERLINK("https://klasma.github.io/Logging_2180/klagomålsmail/S 3425-2023 FSC-klagomål mail.docx", "S 3425-2023")</f>
        <v/>
      </c>
      <c r="AC929">
        <f>HYPERLINK("https://klasma.github.io/Logging_2180/tillsyn/S 3425-2023 tillsynsbegäran.docx", "S 3425-2023")</f>
        <v/>
      </c>
      <c r="AD929">
        <f>HYPERLINK("https://klasma.github.io/Logging_2180/tillsynsmail/S 3425-2023 tillsynsbegäran mail.docx", "S 3425-2023")</f>
        <v/>
      </c>
    </row>
    <row r="930" ht="15" customHeight="1">
      <c r="A930" t="inlineStr">
        <is>
          <t>S 889-2023</t>
        </is>
      </c>
      <c r="B930" t="inlineStr">
        <is>
          <t>samrådsanmälan</t>
        </is>
      </c>
      <c r="C930" t="inlineStr">
        <is>
          <t>Skogsgödsling</t>
        </is>
      </c>
      <c r="D930" s="1" t="n">
        <v>44995</v>
      </c>
      <c r="E930" s="1" t="n">
        <v>46274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väst AB</t>
        </is>
      </c>
      <c r="I930" t="n">
        <v>13.3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886-2024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45376</v>
      </c>
      <c r="E931" s="1" t="n">
        <v>46274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11.9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2464-2024</t>
        </is>
      </c>
      <c r="B932" t="inlineStr">
        <is>
          <t>samrådsanmälan</t>
        </is>
      </c>
      <c r="C932" t="inlineStr">
        <is>
          <t>Skogsbilväg</t>
        </is>
      </c>
      <c r="D932" s="1" t="n">
        <v>45470</v>
      </c>
      <c r="E932" s="1" t="n">
        <v>46274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>
      <c r="A933" t="inlineStr">
        <is>
          <t>S 644-2026</t>
        </is>
      </c>
      <c r="B933" t="inlineStr">
        <is>
          <t>samrådsanmälan</t>
        </is>
      </c>
      <c r="C933" t="inlineStr">
        <is>
          <t>Skogsgödsling</t>
        </is>
      </c>
      <c r="D933" s="1" t="n">
        <v>46089</v>
      </c>
      <c r="E933" s="1" t="n">
        <v>46274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29.2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2026-09-09T02:13:49Z</dcterms:created>
  <dcterms:modified xmlns:dcterms="http://purl.org/dc/terms/" xmlns:xsi="http://www.w3.org/2001/XMLSchema-instance" xsi:type="dcterms:W3CDTF">2026-09-09T02:13:50Z</dcterms:modified>
</cp:coreProperties>
</file>