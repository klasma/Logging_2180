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46249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46249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46249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46249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46249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46249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46249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46249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46249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46249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46249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46249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46249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46249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46249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46249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46249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46249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46249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46249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46249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46249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46249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46249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46249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46249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46249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46249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46249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46249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46249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4287-2024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46249</v>
      </c>
      <c r="F33" t="inlineStr">
        <is>
          <t>GÄVLEBORGS LÄN</t>
        </is>
      </c>
      <c r="G33" t="inlineStr">
        <is>
          <t>GÄVLE</t>
        </is>
      </c>
      <c r="I33" t="n">
        <v>1.6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Järnsparv
Rödvingetrast
Talltita
Grönsiska</t>
        </is>
      </c>
      <c r="W33">
        <f>HYPERLINK("https://klasma.github.io/Logging_2180/artfynd/A 4287-2024 artfynd.xlsx", "A 4287-2024")</f>
        <v/>
      </c>
      <c r="X33">
        <f>HYPERLINK("https://klasma.github.io/Logging_2180/kartor/A 4287-2024 karta.png", "A 4287-2024")</f>
        <v/>
      </c>
      <c r="Y33">
        <f>HYPERLINK("https://klasma.github.io/Logging_2180/kartor_geotiff/A 4287-2024 georefererad karta.tif", "A 4287-2024")</f>
        <v/>
      </c>
      <c r="AA33">
        <f>HYPERLINK("https://klasma.github.io/Logging_2180/klagomål/A 4287-2024 FSC-klagomål.docx", "A 4287-2024")</f>
        <v/>
      </c>
      <c r="AB33">
        <f>HYPERLINK("https://klasma.github.io/Logging_2180/klagomålsmail/A 4287-2024 FSC-klagomål mail.docx", "A 4287-2024")</f>
        <v/>
      </c>
      <c r="AC33">
        <f>HYPERLINK("https://klasma.github.io/Logging_2180/tillsyn/A 4287-2024 tillsynsbegäran.docx", "A 4287-2024")</f>
        <v/>
      </c>
      <c r="AD33">
        <f>HYPERLINK("https://klasma.github.io/Logging_2180/tillsynsmail/A 4287-2024 tillsynsbegäran mail.docx", "A 4287-2024")</f>
        <v/>
      </c>
      <c r="AE33">
        <f>HYPERLINK("https://klasma.github.io/Logging_2180/fåglar/A 4287-2024 prioriterade fågelarter.docx", "A 4287-2024")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46249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46249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46249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46249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46249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46249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46249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46249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46249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46249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46249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46249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46249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6473-2024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46249</v>
      </c>
      <c r="F47" t="inlineStr">
        <is>
          <t>GÄVLEBORGS LÄN</t>
        </is>
      </c>
      <c r="G47" t="inlineStr">
        <is>
          <t>GÄVLE</t>
        </is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Tibast
Nattviol</t>
        </is>
      </c>
      <c r="W47">
        <f>HYPERLINK("https://klasma.github.io/Logging_2180/artfynd/A 6473-2024 artfynd.xlsx", "A 6473-2024")</f>
        <v/>
      </c>
      <c r="X47">
        <f>HYPERLINK("https://klasma.github.io/Logging_2180/kartor/A 6473-2024 karta.png", "A 6473-2024")</f>
        <v/>
      </c>
      <c r="Y47">
        <f>HYPERLINK("https://klasma.github.io/Logging_2180/kartor_geotiff/A 6473-2024 georefererad karta.tif", "A 6473-2024")</f>
        <v/>
      </c>
      <c r="AA47">
        <f>HYPERLINK("https://klasma.github.io/Logging_2180/klagomål/A 6473-2024 FSC-klagomål.docx", "A 6473-2024")</f>
        <v/>
      </c>
      <c r="AB47">
        <f>HYPERLINK("https://klasma.github.io/Logging_2180/klagomålsmail/A 6473-2024 FSC-klagomål mail.docx", "A 6473-2024")</f>
        <v/>
      </c>
      <c r="AC47">
        <f>HYPERLINK("https://klasma.github.io/Logging_2180/tillsyn/A 6473-2024 tillsynsbegäran.docx", "A 6473-2024")</f>
        <v/>
      </c>
      <c r="AD47">
        <f>HYPERLINK("https://klasma.github.io/Logging_2180/tillsynsmail/A 6473-2024 tillsynsbegäran mail.docx", "A 6473-2024")</f>
        <v/>
      </c>
    </row>
    <row r="48" ht="15" customHeight="1">
      <c r="A48" t="inlineStr">
        <is>
          <t>A 32328-2024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46249</v>
      </c>
      <c r="F48" t="inlineStr">
        <is>
          <t>GÄVLEBORGS LÄN</t>
        </is>
      </c>
      <c r="G48" t="inlineStr">
        <is>
          <t>GÄVLE</t>
        </is>
      </c>
      <c r="I48" t="n">
        <v>3.1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Spillkråka
Orre</t>
        </is>
      </c>
      <c r="W48">
        <f>HYPERLINK("https://klasma.github.io/Logging_2180/artfynd/A 32328-2024 artfynd.xlsx", "A 32328-2024")</f>
        <v/>
      </c>
      <c r="X48">
        <f>HYPERLINK("https://klasma.github.io/Logging_2180/kartor/A 32328-2024 karta.png", "A 32328-2024")</f>
        <v/>
      </c>
      <c r="Y48">
        <f>HYPERLINK("https://klasma.github.io/Logging_2180/kartor_geotiff/A 32328-2024 georefererad karta.tif", "A 32328-2024")</f>
        <v/>
      </c>
      <c r="AA48">
        <f>HYPERLINK("https://klasma.github.io/Logging_2180/klagomål/A 32328-2024 FSC-klagomål.docx", "A 32328-2024")</f>
        <v/>
      </c>
      <c r="AB48">
        <f>HYPERLINK("https://klasma.github.io/Logging_2180/klagomålsmail/A 32328-2024 FSC-klagomål mail.docx", "A 32328-2024")</f>
        <v/>
      </c>
      <c r="AC48">
        <f>HYPERLINK("https://klasma.github.io/Logging_2180/tillsyn/A 32328-2024 tillsynsbegäran.docx", "A 32328-2024")</f>
        <v/>
      </c>
      <c r="AD48">
        <f>HYPERLINK("https://klasma.github.io/Logging_2180/tillsynsmail/A 32328-2024 tillsynsbegäran mail.docx", "A 32328-2024")</f>
        <v/>
      </c>
      <c r="AE48">
        <f>HYPERLINK("https://klasma.github.io/Logging_2180/fåglar/A 32328-2024 prioriterade fågelarter.docx", "A 32328-2024")</f>
        <v/>
      </c>
    </row>
    <row r="49" ht="15" customHeight="1">
      <c r="A49" t="inlineStr">
        <is>
          <t>A 41213-2025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46249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Reliktbock
Vedflamlav</t>
        </is>
      </c>
      <c r="W49">
        <f>HYPERLINK("https://klasma.github.io/Logging_2180/artfynd/A 41213-2025 artfynd.xlsx", "A 41213-2025")</f>
        <v/>
      </c>
      <c r="X49">
        <f>HYPERLINK("https://klasma.github.io/Logging_2180/kartor/A 41213-2025 karta.png", "A 41213-2025")</f>
        <v/>
      </c>
      <c r="Y49">
        <f>HYPERLINK("https://klasma.github.io/Logging_2180/kartor_geotiff/A 41213-2025 georefererad karta.tif", "A 41213-2025")</f>
        <v/>
      </c>
      <c r="AA49">
        <f>HYPERLINK("https://klasma.github.io/Logging_2180/klagomål/A 41213-2025 FSC-klagomål.docx", "A 41213-2025")</f>
        <v/>
      </c>
      <c r="AB49">
        <f>HYPERLINK("https://klasma.github.io/Logging_2180/klagomålsmail/A 41213-2025 FSC-klagomål mail.docx", "A 41213-2025")</f>
        <v/>
      </c>
      <c r="AC49">
        <f>HYPERLINK("https://klasma.github.io/Logging_2180/tillsyn/A 41213-2025 tillsynsbegäran.docx", "A 41213-2025")</f>
        <v/>
      </c>
      <c r="AD49">
        <f>HYPERLINK("https://klasma.github.io/Logging_2180/tillsynsmail/A 41213-2025 tillsynsbegäran mail.docx", "A 41213-2025")</f>
        <v/>
      </c>
    </row>
    <row r="50" ht="15" customHeight="1">
      <c r="A50" t="inlineStr">
        <is>
          <t>A 42261-2025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46249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15.6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Svavelriska
Blåsippa</t>
        </is>
      </c>
      <c r="W50">
        <f>HYPERLINK("https://klasma.github.io/Logging_2180/artfynd/A 42261-2025 artfynd.xlsx", "A 42261-2025")</f>
        <v/>
      </c>
      <c r="X50">
        <f>HYPERLINK("https://klasma.github.io/Logging_2180/kartor/A 42261-2025 karta.png", "A 42261-2025")</f>
        <v/>
      </c>
      <c r="Y50">
        <f>HYPERLINK("https://klasma.github.io/Logging_2180/kartor_geotiff/A 42261-2025 georefererad karta.tif", "A 42261-2025")</f>
        <v/>
      </c>
      <c r="AA50">
        <f>HYPERLINK("https://klasma.github.io/Logging_2180/klagomål/A 42261-2025 FSC-klagomål.docx", "A 42261-2025")</f>
        <v/>
      </c>
      <c r="AB50">
        <f>HYPERLINK("https://klasma.github.io/Logging_2180/klagomålsmail/A 42261-2025 FSC-klagomål mail.docx", "A 42261-2025")</f>
        <v/>
      </c>
      <c r="AC50">
        <f>HYPERLINK("https://klasma.github.io/Logging_2180/tillsyn/A 42261-2025 tillsynsbegäran.docx", "A 42261-2025")</f>
        <v/>
      </c>
      <c r="AD50">
        <f>HYPERLINK("https://klasma.github.io/Logging_2180/tillsynsmail/A 42261-2025 tillsynsbegäran mail.docx", "A 42261-2025")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46249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35989-2024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45533</v>
      </c>
      <c r="E52" s="1" t="n">
        <v>46249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3.1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1</v>
      </c>
      <c r="V52" s="2" t="inlineStr">
        <is>
          <t>Knärot
Jättesvampmal</t>
        </is>
      </c>
      <c r="W52">
        <f>HYPERLINK("https://klasma.github.io/Logging_2180/artfynd/A 35989-2024 artfynd.xlsx", "A 35989-2024")</f>
        <v/>
      </c>
      <c r="X52">
        <f>HYPERLINK("https://klasma.github.io/Logging_2180/kartor/A 35989-2024 karta.png", "A 35989-2024")</f>
        <v/>
      </c>
      <c r="Y52">
        <f>HYPERLINK("https://klasma.github.io/Logging_2180/kartor_geotiff/A 35989-2024 georefererad karta.tif", "A 35989-2024")</f>
        <v/>
      </c>
      <c r="Z52">
        <f>HYPERLINK("https://klasma.github.io/Logging_2180/knärot/A 35989-2024 karta knärot.png", "A 35989-2024")</f>
        <v/>
      </c>
      <c r="AA52">
        <f>HYPERLINK("https://klasma.github.io/Logging_2180/klagomål/A 35989-2024 FSC-klagomål.docx", "A 35989-2024")</f>
        <v/>
      </c>
      <c r="AB52">
        <f>HYPERLINK("https://klasma.github.io/Logging_2180/klagomålsmail/A 35989-2024 FSC-klagomål mail.docx", "A 35989-2024")</f>
        <v/>
      </c>
      <c r="AC52">
        <f>HYPERLINK("https://klasma.github.io/Logging_2180/tillsyn/A 35989-2024 tillsynsbegäran.docx", "A 35989-2024")</f>
        <v/>
      </c>
      <c r="AD52">
        <f>HYPERLINK("https://klasma.github.io/Logging_2180/tillsynsmail/A 35989-2024 tillsynsbegäran mail.docx", "A 35989-2024")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46249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46249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18218-2024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46249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Blåsippa
Havsörn</t>
        </is>
      </c>
      <c r="W55">
        <f>HYPERLINK("https://klasma.github.io/Logging_2180/artfynd/A 18218-2024 artfynd.xlsx", "A 18218-2024")</f>
        <v/>
      </c>
      <c r="X55">
        <f>HYPERLINK("https://klasma.github.io/Logging_2180/kartor/A 18218-2024 karta.png", "A 18218-2024")</f>
        <v/>
      </c>
      <c r="Y55">
        <f>HYPERLINK("https://klasma.github.io/Logging_2180/kartor_geotiff/A 18218-2024 georefererad karta.tif", "A 18218-2024")</f>
        <v/>
      </c>
      <c r="AA55">
        <f>HYPERLINK("https://klasma.github.io/Logging_2180/klagomål/A 18218-2024 FSC-klagomål.docx", "A 18218-2024")</f>
        <v/>
      </c>
      <c r="AB55">
        <f>HYPERLINK("https://klasma.github.io/Logging_2180/klagomålsmail/A 18218-2024 FSC-klagomål mail.docx", "A 18218-2024")</f>
        <v/>
      </c>
      <c r="AC55">
        <f>HYPERLINK("https://klasma.github.io/Logging_2180/tillsyn/A 18218-2024 tillsynsbegäran.docx", "A 18218-2024")</f>
        <v/>
      </c>
      <c r="AD55">
        <f>HYPERLINK("https://klasma.github.io/Logging_2180/tillsynsmail/A 18218-2024 tillsynsbegäran mail.docx", "A 18218-2024")</f>
        <v/>
      </c>
      <c r="AE55">
        <f>HYPERLINK("https://klasma.github.io/Logging_2180/fåglar/A 18218-2024 prioriterade fågelarter.docx", "A 18218-2024")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46249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46249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29821-2023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46249</v>
      </c>
      <c r="F58" t="inlineStr">
        <is>
          <t>GÄVLEBORGS LÄN</t>
        </is>
      </c>
      <c r="G58" t="inlineStr">
        <is>
          <t>GÄVLE</t>
        </is>
      </c>
      <c r="I58" t="n">
        <v>5.3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Järnsparv
Svartvit flugsnappare</t>
        </is>
      </c>
      <c r="W58">
        <f>HYPERLINK("https://klasma.github.io/Logging_2180/artfynd/A 29821-2023 artfynd.xlsx", "A 29821-2023")</f>
        <v/>
      </c>
      <c r="X58">
        <f>HYPERLINK("https://klasma.github.io/Logging_2180/kartor/A 29821-2023 karta.png", "A 29821-2023")</f>
        <v/>
      </c>
      <c r="Y58">
        <f>HYPERLINK("https://klasma.github.io/Logging_2180/kartor_geotiff/A 29821-2023 georefererad karta.tif", "A 29821-2023")</f>
        <v/>
      </c>
      <c r="AA58">
        <f>HYPERLINK("https://klasma.github.io/Logging_2180/klagomål/A 29821-2023 FSC-klagomål.docx", "A 29821-2023")</f>
        <v/>
      </c>
      <c r="AB58">
        <f>HYPERLINK("https://klasma.github.io/Logging_2180/klagomålsmail/A 29821-2023 FSC-klagomål mail.docx", "A 29821-2023")</f>
        <v/>
      </c>
      <c r="AC58">
        <f>HYPERLINK("https://klasma.github.io/Logging_2180/tillsyn/A 29821-2023 tillsynsbegäran.docx", "A 29821-2023")</f>
        <v/>
      </c>
      <c r="AD58">
        <f>HYPERLINK("https://klasma.github.io/Logging_2180/tillsynsmail/A 29821-2023 tillsynsbegäran mail.docx", "A 29821-2023")</f>
        <v/>
      </c>
      <c r="AE58">
        <f>HYPERLINK("https://klasma.github.io/Logging_2180/fåglar/A 29821-2023 prioriterade fågelarter.docx", "A 29821-2023")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46249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46249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14554-2026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46100</v>
      </c>
      <c r="E61" s="1" t="n">
        <v>46249</v>
      </c>
      <c r="F61" t="inlineStr">
        <is>
          <t>GÄVLEBORGS LÄN</t>
        </is>
      </c>
      <c r="G61" t="inlineStr">
        <is>
          <t>GÄVLE</t>
        </is>
      </c>
      <c r="H61" t="inlineStr">
        <is>
          <t>Övriga statliga verk och myndigheter</t>
        </is>
      </c>
      <c r="I61" t="n">
        <v>6.6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121</v>
      </c>
      <c r="U61" t="n">
        <v>0</v>
      </c>
      <c r="V61" s="2" t="inlineStr">
        <is>
          <t>Väddnätfjäril
Sotnätfjäril</t>
        </is>
      </c>
      <c r="W61">
        <f>HYPERLINK("https://klasma.github.io/Logging_2180/artfynd/A 14554-2026 artfynd.xlsx", "A 14554-2026")</f>
        <v/>
      </c>
      <c r="X61">
        <f>HYPERLINK("https://klasma.github.io/Logging_2180/kartor/A 14554-2026 karta.png", "A 14554-2026")</f>
        <v/>
      </c>
      <c r="Y61">
        <f>HYPERLINK("https://klasma.github.io/Logging_2180/kartor_geotiff/A 14554-2026 georefererad karta.tif", "A 14554-2026")</f>
        <v/>
      </c>
      <c r="AA61">
        <f>HYPERLINK("https://klasma.github.io/Logging_2180/klagomål/A 14554-2026 FSC-klagomål.docx", "A 14554-2026")</f>
        <v/>
      </c>
      <c r="AB61">
        <f>HYPERLINK("https://klasma.github.io/Logging_2180/klagomålsmail/A 14554-2026 FSC-klagomål mail.docx", "A 14554-2026")</f>
        <v/>
      </c>
      <c r="AC61">
        <f>HYPERLINK("https://klasma.github.io/Logging_2180/tillsyn/A 14554-2026 tillsynsbegäran.docx", "A 14554-2026")</f>
        <v/>
      </c>
      <c r="AD61">
        <f>HYPERLINK("https://klasma.github.io/Logging_2180/tillsynsmail/A 14554-2026 tillsynsbegäran mail.docx", "A 14554-2026")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46249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46249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Tjäder
Fläcknycklar</t>
        </is>
      </c>
      <c r="W63">
        <f>HYPERLINK("https://klasma.github.io/Logging_2180/artfynd/A 14701-2026 artfynd.xlsx", "A 14701-2026")</f>
        <v/>
      </c>
      <c r="X63">
        <f>HYPERLINK("https://klasma.github.io/Logging_2180/kartor/A 14701-2026 karta.png", "A 14701-2026")</f>
        <v/>
      </c>
      <c r="Y63">
        <f>HYPERLINK("https://klasma.github.io/Logging_2180/kartor_geotiff/A 14701-2026 georefererad karta.tif", "A 14701-2026")</f>
        <v/>
      </c>
      <c r="AA63">
        <f>HYPERLINK("https://klasma.github.io/Logging_2180/klagomål/A 14701-2026 FSC-klagomål.docx", "A 14701-2026")</f>
        <v/>
      </c>
      <c r="AB63">
        <f>HYPERLINK("https://klasma.github.io/Logging_2180/klagomålsmail/A 14701-2026 FSC-klagomål mail.docx", "A 14701-2026")</f>
        <v/>
      </c>
      <c r="AC63">
        <f>HYPERLINK("https://klasma.github.io/Logging_2180/tillsyn/A 14701-2026 tillsynsbegäran.docx", "A 14701-2026")</f>
        <v/>
      </c>
      <c r="AD63">
        <f>HYPERLINK("https://klasma.github.io/Logging_2180/tillsynsmail/A 14701-2026 tillsynsbegäran mail.docx", "A 14701-2026")</f>
        <v/>
      </c>
      <c r="AE63">
        <f>HYPERLINK("https://klasma.github.io/Logging_2180/fåglar/A 14701-2026 prioriterade fågelarter.docx", "A 14701-2026")</f>
        <v/>
      </c>
    </row>
    <row r="64" ht="15" customHeight="1">
      <c r="A64" t="inlineStr">
        <is>
          <t>A 22149-2026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46249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Vedtrappmossa
Rödgul trumpetsvamp</t>
        </is>
      </c>
      <c r="W64">
        <f>HYPERLINK("https://klasma.github.io/Logging_2180/artfynd/A 22149-2026 artfynd.xlsx", "A 22149-2026")</f>
        <v/>
      </c>
      <c r="X64">
        <f>HYPERLINK("https://klasma.github.io/Logging_2180/kartor/A 22149-2026 karta.png", "A 22149-2026")</f>
        <v/>
      </c>
      <c r="Y64">
        <f>HYPERLINK("https://klasma.github.io/Logging_2180/kartor_geotiff/A 22149-2026 georefererad karta.tif", "A 22149-2026")</f>
        <v/>
      </c>
      <c r="AA64">
        <f>HYPERLINK("https://klasma.github.io/Logging_2180/klagomål/A 22149-2026 FSC-klagomål.docx", "A 22149-2026")</f>
        <v/>
      </c>
      <c r="AB64">
        <f>HYPERLINK("https://klasma.github.io/Logging_2180/klagomålsmail/A 22149-2026 FSC-klagomål mail.docx", "A 22149-2026")</f>
        <v/>
      </c>
      <c r="AC64">
        <f>HYPERLINK("https://klasma.github.io/Logging_2180/tillsyn/A 22149-2026 tillsynsbegäran.docx", "A 22149-2026")</f>
        <v/>
      </c>
      <c r="AD64">
        <f>HYPERLINK("https://klasma.github.io/Logging_2180/tillsynsmail/A 22149-2026 tillsynsbegäran mail.docx", "A 22149-2026")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46249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64533-2023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46249</v>
      </c>
      <c r="F66" t="inlineStr">
        <is>
          <t>GÄVLEBORGS LÄN</t>
        </is>
      </c>
      <c r="G66" t="inlineStr">
        <is>
          <t>GÄVLE</t>
        </is>
      </c>
      <c r="I66" t="n">
        <v>1.1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Aspvedgnagare
Jättesvampmal</t>
        </is>
      </c>
      <c r="W66">
        <f>HYPERLINK("https://klasma.github.io/Logging_2180/artfynd/A 64533-2023 artfynd.xlsx", "A 64533-2023")</f>
        <v/>
      </c>
      <c r="X66">
        <f>HYPERLINK("https://klasma.github.io/Logging_2180/kartor/A 64533-2023 karta.png", "A 64533-2023")</f>
        <v/>
      </c>
      <c r="Y66">
        <f>HYPERLINK("https://klasma.github.io/Logging_2180/kartor_geotiff/A 64533-2023 georefererad karta.tif", "A 64533-2023")</f>
        <v/>
      </c>
      <c r="AA66">
        <f>HYPERLINK("https://klasma.github.io/Logging_2180/klagomål/A 64533-2023 FSC-klagomål.docx", "A 64533-2023")</f>
        <v/>
      </c>
      <c r="AB66">
        <f>HYPERLINK("https://klasma.github.io/Logging_2180/klagomålsmail/A 64533-2023 FSC-klagomål mail.docx", "A 64533-2023")</f>
        <v/>
      </c>
      <c r="AC66">
        <f>HYPERLINK("https://klasma.github.io/Logging_2180/tillsyn/A 64533-2023 tillsynsbegäran.docx", "A 64533-2023")</f>
        <v/>
      </c>
      <c r="AD66">
        <f>HYPERLINK("https://klasma.github.io/Logging_2180/tillsynsmail/A 64533-2023 tillsynsbegäran mail.docx", "A 64533-2023")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46249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46249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23447-2025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46249</v>
      </c>
      <c r="F69" t="inlineStr">
        <is>
          <t>GÄVLEBORGS LÄN</t>
        </is>
      </c>
      <c r="G69" t="inlineStr">
        <is>
          <t>GÄVLE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Kopparödla
Fläcknycklar</t>
        </is>
      </c>
      <c r="W69">
        <f>HYPERLINK("https://klasma.github.io/Logging_2180/artfynd/A 23447-2025 artfynd.xlsx", "A 23447-2025")</f>
        <v/>
      </c>
      <c r="X69">
        <f>HYPERLINK("https://klasma.github.io/Logging_2180/kartor/A 23447-2025 karta.png", "A 23447-2025")</f>
        <v/>
      </c>
      <c r="Y69">
        <f>HYPERLINK("https://klasma.github.io/Logging_2180/kartor_geotiff/A 23447-2025 georefererad karta.tif", "A 23447-2025")</f>
        <v/>
      </c>
      <c r="AA69">
        <f>HYPERLINK("https://klasma.github.io/Logging_2180/klagomål/A 23447-2025 FSC-klagomål.docx", "A 23447-2025")</f>
        <v/>
      </c>
      <c r="AB69">
        <f>HYPERLINK("https://klasma.github.io/Logging_2180/klagomålsmail/A 23447-2025 FSC-klagomål mail.docx", "A 23447-2025")</f>
        <v/>
      </c>
      <c r="AC69">
        <f>HYPERLINK("https://klasma.github.io/Logging_2180/tillsyn/A 23447-2025 tillsynsbegäran.docx", "A 23447-2025")</f>
        <v/>
      </c>
      <c r="AD69">
        <f>HYPERLINK("https://klasma.github.io/Logging_2180/tillsynsmail/A 23447-2025 tillsynsbegäran mail.docx", "A 23447-2025")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46249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46249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46249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46249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S 403-2025</t>
        </is>
      </c>
      <c r="B74" t="inlineStr">
        <is>
          <t>samrådsanmälan</t>
        </is>
      </c>
      <c r="C74" t="inlineStr">
        <is>
          <t>Skogsgödsling</t>
        </is>
      </c>
      <c r="D74" s="1" t="n">
        <v>45699</v>
      </c>
      <c r="E74" s="1" t="n">
        <v>46249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134.6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Sumpviol
Plattlummer</t>
        </is>
      </c>
      <c r="W74">
        <f>HYPERLINK("https://klasma.github.io/Logging_2180/artfynd/S 403-2025 artfynd.xlsx", "S 403-2025")</f>
        <v/>
      </c>
      <c r="X74">
        <f>HYPERLINK("https://klasma.github.io/Logging_2180/kartor/S 403-2025 karta.png", "S 403-2025")</f>
        <v/>
      </c>
      <c r="Y74">
        <f>HYPERLINK("https://klasma.github.io/Logging_2180/kartor_geotiff/S 403-2025 georefererad karta.tif", "S 403-2025")</f>
        <v/>
      </c>
      <c r="AA74">
        <f>HYPERLINK("https://klasma.github.io/Logging_2180/klagomål/S 403-2025 FSC-klagomål.docx", "S 403-2025")</f>
        <v/>
      </c>
      <c r="AB74">
        <f>HYPERLINK("https://klasma.github.io/Logging_2180/klagomålsmail/S 403-2025 FSC-klagomål mail.docx", "S 403-2025")</f>
        <v/>
      </c>
      <c r="AC74">
        <f>HYPERLINK("https://klasma.github.io/Logging_2180/tillsyn/S 403-2025 tillsynsbegäran.docx", "S 403-2025")</f>
        <v/>
      </c>
      <c r="AD74">
        <f>HYPERLINK("https://klasma.github.io/Logging_2180/tillsynsmail/S 403-2025 tillsynsbegäran mail.docx", "S 403-2025")</f>
        <v/>
      </c>
    </row>
    <row r="75" ht="15" customHeight="1">
      <c r="A75" t="inlineStr">
        <is>
          <t>A 15102-2022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46249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Sumpviol</t>
        </is>
      </c>
      <c r="W75">
        <f>HYPERLINK("https://klasma.github.io/Logging_2180/artfynd/A 15102-2022 artfynd.xlsx", "A 15102-2022")</f>
        <v/>
      </c>
      <c r="X75">
        <f>HYPERLINK("https://klasma.github.io/Logging_2180/kartor/A 15102-2022 karta.png", "A 15102-2022")</f>
        <v/>
      </c>
      <c r="Y75">
        <f>HYPERLINK("https://klasma.github.io/Logging_2180/kartor_geotiff/A 15102-2022 georefererad karta.tif", "A 15102-2022")</f>
        <v/>
      </c>
      <c r="AA75">
        <f>HYPERLINK("https://klasma.github.io/Logging_2180/klagomål/A 15102-2022 FSC-klagomål.docx", "A 15102-2022")</f>
        <v/>
      </c>
      <c r="AB75">
        <f>HYPERLINK("https://klasma.github.io/Logging_2180/klagomålsmail/A 15102-2022 FSC-klagomål mail.docx", "A 15102-2022")</f>
        <v/>
      </c>
      <c r="AC75">
        <f>HYPERLINK("https://klasma.github.io/Logging_2180/tillsyn/A 15102-2022 tillsynsbegäran.docx", "A 15102-2022")</f>
        <v/>
      </c>
      <c r="AD75">
        <f>HYPERLINK("https://klasma.github.io/Logging_2180/tillsynsmail/A 15102-2022 tillsynsbegäran mail.docx", "A 15102-2022")</f>
        <v/>
      </c>
    </row>
    <row r="76" ht="15" customHeight="1">
      <c r="A76" t="inlineStr">
        <is>
          <t>A 18216-2024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46249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Dofttaggsvamp</t>
        </is>
      </c>
      <c r="W76">
        <f>HYPERLINK("https://klasma.github.io/Logging_2180/artfynd/A 18216-2024 artfynd.xlsx", "A 18216-2024")</f>
        <v/>
      </c>
      <c r="X76">
        <f>HYPERLINK("https://klasma.github.io/Logging_2180/kartor/A 18216-2024 karta.png", "A 18216-2024")</f>
        <v/>
      </c>
      <c r="Y76">
        <f>HYPERLINK("https://klasma.github.io/Logging_2180/kartor_geotiff/A 18216-2024 georefererad karta.tif", "A 18216-2024")</f>
        <v/>
      </c>
      <c r="AA76">
        <f>HYPERLINK("https://klasma.github.io/Logging_2180/klagomål/A 18216-2024 FSC-klagomål.docx", "A 18216-2024")</f>
        <v/>
      </c>
      <c r="AB76">
        <f>HYPERLINK("https://klasma.github.io/Logging_2180/klagomålsmail/A 18216-2024 FSC-klagomål mail.docx", "A 18216-2024")</f>
        <v/>
      </c>
      <c r="AC76">
        <f>HYPERLINK("https://klasma.github.io/Logging_2180/tillsyn/A 18216-2024 tillsynsbegäran.docx", "A 18216-2024")</f>
        <v/>
      </c>
      <c r="AD76">
        <f>HYPERLINK("https://klasma.github.io/Logging_2180/tillsynsmail/A 18216-2024 tillsynsbegäran mail.docx", "A 18216-2024")</f>
        <v/>
      </c>
    </row>
    <row r="77" ht="15" customHeight="1">
      <c r="A77" t="inlineStr">
        <is>
          <t>A 33812-2022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46249</v>
      </c>
      <c r="F77" t="inlineStr">
        <is>
          <t>GÄVLEBORGS LÄN</t>
        </is>
      </c>
      <c r="G77" t="inlineStr">
        <is>
          <t>GÄVLE</t>
        </is>
      </c>
      <c r="I77" t="n">
        <v>2.1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Myskmadra</t>
        </is>
      </c>
      <c r="W77">
        <f>HYPERLINK("https://klasma.github.io/Logging_2180/artfynd/A 33812-2022 artfynd.xlsx", "A 33812-2022")</f>
        <v/>
      </c>
      <c r="X77">
        <f>HYPERLINK("https://klasma.github.io/Logging_2180/kartor/A 33812-2022 karta.png", "A 33812-2022")</f>
        <v/>
      </c>
      <c r="Y77">
        <f>HYPERLINK("https://klasma.github.io/Logging_2180/kartor_geotiff/A 33812-2022 georefererad karta.tif", "A 33812-2022")</f>
        <v/>
      </c>
      <c r="AA77">
        <f>HYPERLINK("https://klasma.github.io/Logging_2180/klagomål/A 33812-2022 FSC-klagomål.docx", "A 33812-2022")</f>
        <v/>
      </c>
      <c r="AB77">
        <f>HYPERLINK("https://klasma.github.io/Logging_2180/klagomålsmail/A 33812-2022 FSC-klagomål mail.docx", "A 33812-2022")</f>
        <v/>
      </c>
      <c r="AC77">
        <f>HYPERLINK("https://klasma.github.io/Logging_2180/tillsyn/A 33812-2022 tillsynsbegäran.docx", "A 33812-2022")</f>
        <v/>
      </c>
      <c r="AD77">
        <f>HYPERLINK("https://klasma.github.io/Logging_2180/tillsynsmail/A 33812-2022 tillsynsbegäran mail.docx", "A 33812-2022")</f>
        <v/>
      </c>
    </row>
    <row r="78" ht="15" customHeight="1">
      <c r="A78" t="inlineStr">
        <is>
          <t>A 38550-2025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46249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HYPERLINK("https://klasma.github.io/Logging_2180/artfynd/A 38550-2025 artfynd.xlsx", "A 38550-2025")</f>
        <v/>
      </c>
      <c r="X78">
        <f>HYPERLINK("https://klasma.github.io/Logging_2180/kartor/A 38550-2025 karta.png", "A 38550-2025")</f>
        <v/>
      </c>
      <c r="Y78">
        <f>HYPERLINK("https://klasma.github.io/Logging_2180/kartor_geotiff/A 38550-2025 georefererad karta.tif", "A 38550-2025")</f>
        <v/>
      </c>
      <c r="AA78">
        <f>HYPERLINK("https://klasma.github.io/Logging_2180/klagomål/A 38550-2025 FSC-klagomål.docx", "A 38550-2025")</f>
        <v/>
      </c>
      <c r="AB78">
        <f>HYPERLINK("https://klasma.github.io/Logging_2180/klagomålsmail/A 38550-2025 FSC-klagomål mail.docx", "A 38550-2025")</f>
        <v/>
      </c>
      <c r="AC78">
        <f>HYPERLINK("https://klasma.github.io/Logging_2180/tillsyn/A 38550-2025 tillsynsbegäran.docx", "A 38550-2025")</f>
        <v/>
      </c>
      <c r="AD78">
        <f>HYPERLINK("https://klasma.github.io/Logging_2180/tillsynsmail/A 38550-2025 tillsynsbegäran mail.docx", "A 38550-2025")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46249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46249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50052-2025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46249</v>
      </c>
      <c r="F81" t="inlineStr">
        <is>
          <t>GÄVLEBORGS LÄN</t>
        </is>
      </c>
      <c r="G81" t="inlineStr">
        <is>
          <t>GÄVLE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0</v>
      </c>
      <c r="V81" s="2" t="inlineStr">
        <is>
          <t>Mosippa</t>
        </is>
      </c>
      <c r="W81">
        <f>HYPERLINK("https://klasma.github.io/Logging_2180/artfynd/A 50052-2025 artfynd.xlsx", "A 50052-2025")</f>
        <v/>
      </c>
      <c r="X81">
        <f>HYPERLINK("https://klasma.github.io/Logging_2180/kartor/A 50052-2025 karta.png", "A 50052-2025")</f>
        <v/>
      </c>
      <c r="Y81">
        <f>HYPERLINK("https://klasma.github.io/Logging_2180/kartor_geotiff/A 50052-2025 georefererad karta.tif", "A 50052-2025")</f>
        <v/>
      </c>
      <c r="AA81">
        <f>HYPERLINK("https://klasma.github.io/Logging_2180/klagomål/A 50052-2025 FSC-klagomål.docx", "A 50052-2025")</f>
        <v/>
      </c>
      <c r="AB81">
        <f>HYPERLINK("https://klasma.github.io/Logging_2180/klagomålsmail/A 50052-2025 FSC-klagomål mail.docx", "A 50052-2025")</f>
        <v/>
      </c>
      <c r="AC81">
        <f>HYPERLINK("https://klasma.github.io/Logging_2180/tillsyn/A 50052-2025 tillsynsbegäran.docx", "A 50052-2025")</f>
        <v/>
      </c>
      <c r="AD81">
        <f>HYPERLINK("https://klasma.github.io/Logging_2180/tillsynsmail/A 50052-2025 tillsynsbegäran mail.docx", "A 50052-2025")</f>
        <v/>
      </c>
    </row>
    <row r="82" ht="15" customHeight="1">
      <c r="A82" t="inlineStr">
        <is>
          <t>A 28875-2025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46249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43.3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HYPERLINK("https://klasma.github.io/Logging_2180/artfynd/A 28875-2025 artfynd.xlsx", "A 28875-2025")</f>
        <v/>
      </c>
      <c r="X82">
        <f>HYPERLINK("https://klasma.github.io/Logging_2180/kartor/A 28875-2025 karta.png", "A 28875-2025")</f>
        <v/>
      </c>
      <c r="Y82">
        <f>HYPERLINK("https://klasma.github.io/Logging_2180/kartor_geotiff/A 28875-2025 georefererad karta.tif", "A 28875-2025")</f>
        <v/>
      </c>
      <c r="AA82">
        <f>HYPERLINK("https://klasma.github.io/Logging_2180/klagomål/A 28875-2025 FSC-klagomål.docx", "A 28875-2025")</f>
        <v/>
      </c>
      <c r="AB82">
        <f>HYPERLINK("https://klasma.github.io/Logging_2180/klagomålsmail/A 28875-2025 FSC-klagomål mail.docx", "A 28875-2025")</f>
        <v/>
      </c>
      <c r="AC82">
        <f>HYPERLINK("https://klasma.github.io/Logging_2180/tillsyn/A 28875-2025 tillsynsbegäran.docx", "A 28875-2025")</f>
        <v/>
      </c>
      <c r="AD82">
        <f>HYPERLINK("https://klasma.github.io/Logging_2180/tillsynsmail/A 28875-2025 tillsynsbegäran mail.docx", "A 28875-2025")</f>
        <v/>
      </c>
    </row>
    <row r="83" ht="15" customHeight="1">
      <c r="A83" t="inlineStr">
        <is>
          <t>A 49393-2025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46249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HYPERLINK("https://klasma.github.io/Logging_2180/artfynd/A 49393-2025 artfynd.xlsx", "A 49393-2025")</f>
        <v/>
      </c>
      <c r="X83">
        <f>HYPERLINK("https://klasma.github.io/Logging_2180/kartor/A 49393-2025 karta.png", "A 49393-2025")</f>
        <v/>
      </c>
      <c r="Y83">
        <f>HYPERLINK("https://klasma.github.io/Logging_2180/kartor_geotiff/A 49393-2025 georefererad karta.tif", "A 49393-2025")</f>
        <v/>
      </c>
      <c r="AA83">
        <f>HYPERLINK("https://klasma.github.io/Logging_2180/klagomål/A 49393-2025 FSC-klagomål.docx", "A 49393-2025")</f>
        <v/>
      </c>
      <c r="AB83">
        <f>HYPERLINK("https://klasma.github.io/Logging_2180/klagomålsmail/A 49393-2025 FSC-klagomål mail.docx", "A 49393-2025")</f>
        <v/>
      </c>
      <c r="AC83">
        <f>HYPERLINK("https://klasma.github.io/Logging_2180/tillsyn/A 49393-2025 tillsynsbegäran.docx", "A 49393-2025")</f>
        <v/>
      </c>
      <c r="AD83">
        <f>HYPERLINK("https://klasma.github.io/Logging_2180/tillsynsmail/A 49393-2025 tillsynsbegäran mail.docx", "A 49393-2025")</f>
        <v/>
      </c>
    </row>
    <row r="84" ht="15" customHeight="1">
      <c r="A84" t="inlineStr">
        <is>
          <t>A 63036-2023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46249</v>
      </c>
      <c r="F84" t="inlineStr">
        <is>
          <t>GÄVLEBORGS LÄN</t>
        </is>
      </c>
      <c r="G84" t="inlineStr">
        <is>
          <t>GÄVLE</t>
        </is>
      </c>
      <c r="I84" t="n">
        <v>12.7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HYPERLINK("https://klasma.github.io/Logging_2180/artfynd/A 63036-2023 artfynd.xlsx", "A 63036-2023")</f>
        <v/>
      </c>
      <c r="X84">
        <f>HYPERLINK("https://klasma.github.io/Logging_2180/kartor/A 63036-2023 karta.png", "A 63036-2023")</f>
        <v/>
      </c>
      <c r="Y84">
        <f>HYPERLINK("https://klasma.github.io/Logging_2180/kartor_geotiff/A 63036-2023 georefererad karta.tif", "A 63036-2023")</f>
        <v/>
      </c>
      <c r="AA84">
        <f>HYPERLINK("https://klasma.github.io/Logging_2180/klagomål/A 63036-2023 FSC-klagomål.docx", "A 63036-2023")</f>
        <v/>
      </c>
      <c r="AB84">
        <f>HYPERLINK("https://klasma.github.io/Logging_2180/klagomålsmail/A 63036-2023 FSC-klagomål mail.docx", "A 63036-2023")</f>
        <v/>
      </c>
      <c r="AC84">
        <f>HYPERLINK("https://klasma.github.io/Logging_2180/tillsyn/A 63036-2023 tillsynsbegäran.docx", "A 63036-2023")</f>
        <v/>
      </c>
      <c r="AD84">
        <f>HYPERLINK("https://klasma.github.io/Logging_2180/tillsynsmail/A 63036-2023 tillsynsbegäran mail.docx", "A 63036-2023")</f>
        <v/>
      </c>
    </row>
    <row r="85" ht="15" customHeight="1">
      <c r="A85" t="inlineStr">
        <is>
          <t>A 13684-2026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46249</v>
      </c>
      <c r="F85" t="inlineStr">
        <is>
          <t>GÄVLEBORGS LÄN</t>
        </is>
      </c>
      <c r="G85" t="inlineStr">
        <is>
          <t>GÄVLE</t>
        </is>
      </c>
      <c r="I85" t="n">
        <v>21.3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HYPERLINK("https://klasma.github.io/Logging_2180/artfynd/A 13684-2026 artfynd.xlsx", "A 13684-2026")</f>
        <v/>
      </c>
      <c r="X85">
        <f>HYPERLINK("https://klasma.github.io/Logging_2180/kartor/A 13684-2026 karta.png", "A 13684-2026")</f>
        <v/>
      </c>
      <c r="Y85">
        <f>HYPERLINK("https://klasma.github.io/Logging_2180/kartor_geotiff/A 13684-2026 georefererad karta.tif", "A 13684-2026")</f>
        <v/>
      </c>
      <c r="AA85">
        <f>HYPERLINK("https://klasma.github.io/Logging_2180/klagomål/A 13684-2026 FSC-klagomål.docx", "A 13684-2026")</f>
        <v/>
      </c>
      <c r="AB85">
        <f>HYPERLINK("https://klasma.github.io/Logging_2180/klagomålsmail/A 13684-2026 FSC-klagomål mail.docx", "A 13684-2026")</f>
        <v/>
      </c>
      <c r="AC85">
        <f>HYPERLINK("https://klasma.github.io/Logging_2180/tillsyn/A 13684-2026 tillsynsbegäran.docx", "A 13684-2026")</f>
        <v/>
      </c>
      <c r="AD85">
        <f>HYPERLINK("https://klasma.github.io/Logging_2180/tillsynsmail/A 13684-2026 tillsynsbegäran mail.docx", "A 13684-2026")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46249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51508-2024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46249</v>
      </c>
      <c r="F87" t="inlineStr">
        <is>
          <t>GÄVLEBORGS LÄN</t>
        </is>
      </c>
      <c r="G87" t="inlineStr">
        <is>
          <t>GÄVLE</t>
        </is>
      </c>
      <c r="I87" t="n">
        <v>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Tibast</t>
        </is>
      </c>
      <c r="W87">
        <f>HYPERLINK("https://klasma.github.io/Logging_2180/artfynd/A 51508-2024 artfynd.xlsx", "A 51508-2024")</f>
        <v/>
      </c>
      <c r="X87">
        <f>HYPERLINK("https://klasma.github.io/Logging_2180/kartor/A 51508-2024 karta.png", "A 51508-2024")</f>
        <v/>
      </c>
      <c r="Y87">
        <f>HYPERLINK("https://klasma.github.io/Logging_2180/kartor_geotiff/A 51508-2024 georefererad karta.tif", "A 51508-2024")</f>
        <v/>
      </c>
      <c r="AA87">
        <f>HYPERLINK("https://klasma.github.io/Logging_2180/klagomål/A 51508-2024 FSC-klagomål.docx", "A 51508-2024")</f>
        <v/>
      </c>
      <c r="AB87">
        <f>HYPERLINK("https://klasma.github.io/Logging_2180/klagomålsmail/A 51508-2024 FSC-klagomål mail.docx", "A 51508-2024")</f>
        <v/>
      </c>
      <c r="AC87">
        <f>HYPERLINK("https://klasma.github.io/Logging_2180/tillsyn/A 51508-2024 tillsynsbegäran.docx", "A 51508-2024")</f>
        <v/>
      </c>
      <c r="AD87">
        <f>HYPERLINK("https://klasma.github.io/Logging_2180/tillsynsmail/A 51508-2024 tillsynsbegäran mail.docx", "A 51508-2024")</f>
        <v/>
      </c>
    </row>
    <row r="88" ht="15" customHeight="1">
      <c r="A88" t="inlineStr">
        <is>
          <t>A 54252-2025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46249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Ask</t>
        </is>
      </c>
      <c r="W88">
        <f>HYPERLINK("https://klasma.github.io/Logging_2180/artfynd/A 54252-2025 artfynd.xlsx", "A 54252-2025")</f>
        <v/>
      </c>
      <c r="X88">
        <f>HYPERLINK("https://klasma.github.io/Logging_2180/kartor/A 54252-2025 karta.png", "A 54252-2025")</f>
        <v/>
      </c>
      <c r="Y88">
        <f>HYPERLINK("https://klasma.github.io/Logging_2180/kartor_geotiff/A 54252-2025 georefererad karta.tif", "A 54252-2025")</f>
        <v/>
      </c>
      <c r="AA88">
        <f>HYPERLINK("https://klasma.github.io/Logging_2180/klagomål/A 54252-2025 FSC-klagomål.docx", "A 54252-2025")</f>
        <v/>
      </c>
      <c r="AB88">
        <f>HYPERLINK("https://klasma.github.io/Logging_2180/klagomålsmail/A 54252-2025 FSC-klagomål mail.docx", "A 54252-2025")</f>
        <v/>
      </c>
      <c r="AC88">
        <f>HYPERLINK("https://klasma.github.io/Logging_2180/tillsyn/A 54252-2025 tillsynsbegäran.docx", "A 54252-2025")</f>
        <v/>
      </c>
      <c r="AD88">
        <f>HYPERLINK("https://klasma.github.io/Logging_2180/tillsynsmail/A 54252-2025 tillsynsbegäran mail.docx", "A 54252-2025")</f>
        <v/>
      </c>
    </row>
    <row r="89" ht="15" customHeight="1">
      <c r="A89" t="inlineStr">
        <is>
          <t>A 54963-2025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45967</v>
      </c>
      <c r="E89" s="1" t="n">
        <v>46249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7.9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HYPERLINK("https://klasma.github.io/Logging_2180/artfynd/A 54963-2025 artfynd.xlsx", "A 54963-2025")</f>
        <v/>
      </c>
      <c r="X89">
        <f>HYPERLINK("https://klasma.github.io/Logging_2180/kartor/A 54963-2025 karta.png", "A 54963-2025")</f>
        <v/>
      </c>
      <c r="Y89">
        <f>HYPERLINK("https://klasma.github.io/Logging_2180/kartor_geotiff/A 54963-2025 georefererad karta.tif", "A 54963-2025")</f>
        <v/>
      </c>
      <c r="AA89">
        <f>HYPERLINK("https://klasma.github.io/Logging_2180/klagomål/A 54963-2025 FSC-klagomål.docx", "A 54963-2025")</f>
        <v/>
      </c>
      <c r="AB89">
        <f>HYPERLINK("https://klasma.github.io/Logging_2180/klagomålsmail/A 54963-2025 FSC-klagomål mail.docx", "A 54963-2025")</f>
        <v/>
      </c>
      <c r="AC89">
        <f>HYPERLINK("https://klasma.github.io/Logging_2180/tillsyn/A 54963-2025 tillsynsbegäran.docx", "A 54963-2025")</f>
        <v/>
      </c>
      <c r="AD89">
        <f>HYPERLINK("https://klasma.github.io/Logging_2180/tillsynsmail/A 54963-2025 tillsynsbegäran mail.docx", "A 54963-2025")</f>
        <v/>
      </c>
    </row>
    <row r="90" ht="15" customHeight="1">
      <c r="A90" t="inlineStr">
        <is>
          <t>A 37927-2022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46249</v>
      </c>
      <c r="F90" t="inlineStr">
        <is>
          <t>GÄVLEBORGS LÄN</t>
        </is>
      </c>
      <c r="G90" t="inlineStr">
        <is>
          <t>GÄVLE</t>
        </is>
      </c>
      <c r="I90" t="n">
        <v>1.6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10</v>
      </c>
      <c r="U90" t="n">
        <v>10</v>
      </c>
      <c r="V90" s="2" t="inlineStr">
        <is>
          <t>Knärot</t>
        </is>
      </c>
      <c r="W90">
        <f>HYPERLINK("https://klasma.github.io/Logging_2180/artfynd/A 37927-2022 artfynd.xlsx", "A 37927-2022")</f>
        <v/>
      </c>
      <c r="X90">
        <f>HYPERLINK("https://klasma.github.io/Logging_2180/kartor/A 37927-2022 karta.png", "A 37927-2022")</f>
        <v/>
      </c>
      <c r="Y90">
        <f>HYPERLINK("https://klasma.github.io/Logging_2180/kartor_geotiff/A 37927-2022 georefererad karta.tif", "A 37927-2022")</f>
        <v/>
      </c>
      <c r="Z90">
        <f>HYPERLINK("https://klasma.github.io/Logging_2180/knärot/A 37927-2022 karta knärot.png", "A 37927-2022")</f>
        <v/>
      </c>
      <c r="AA90">
        <f>HYPERLINK("https://klasma.github.io/Logging_2180/klagomål/A 37927-2022 FSC-klagomål.docx", "A 37927-2022")</f>
        <v/>
      </c>
      <c r="AB90">
        <f>HYPERLINK("https://klasma.github.io/Logging_2180/klagomålsmail/A 37927-2022 FSC-klagomål mail.docx", "A 37927-2022")</f>
        <v/>
      </c>
      <c r="AC90">
        <f>HYPERLINK("https://klasma.github.io/Logging_2180/tillsyn/A 37927-2022 tillsynsbegäran.docx", "A 37927-2022")</f>
        <v/>
      </c>
      <c r="AD90">
        <f>HYPERLINK("https://klasma.github.io/Logging_2180/tillsynsmail/A 37927-2022 tillsynsbegäran mail.docx", "A 37927-2022")</f>
        <v/>
      </c>
    </row>
    <row r="91" ht="15" customHeight="1">
      <c r="A91" t="inlineStr">
        <is>
          <t>A 17251-2026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46249</v>
      </c>
      <c r="F91" t="inlineStr">
        <is>
          <t>GÄVLEBORGS LÄN</t>
        </is>
      </c>
      <c r="G91" t="inlineStr">
        <is>
          <t>GÄVLE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HYPERLINK("https://klasma.github.io/Logging_2180/artfynd/A 17251-2026 artfynd.xlsx", "A 17251-2026")</f>
        <v/>
      </c>
      <c r="X91">
        <f>HYPERLINK("https://klasma.github.io/Logging_2180/kartor/A 17251-2026 karta.png", "A 17251-2026")</f>
        <v/>
      </c>
      <c r="Y91">
        <f>HYPERLINK("https://klasma.github.io/Logging_2180/kartor_geotiff/A 17251-2026 georefererad karta.tif", "A 17251-2026")</f>
        <v/>
      </c>
      <c r="AA91">
        <f>HYPERLINK("https://klasma.github.io/Logging_2180/klagomål/A 17251-2026 FSC-klagomål.docx", "A 17251-2026")</f>
        <v/>
      </c>
      <c r="AB91">
        <f>HYPERLINK("https://klasma.github.io/Logging_2180/klagomålsmail/A 17251-2026 FSC-klagomål mail.docx", "A 17251-2026")</f>
        <v/>
      </c>
      <c r="AC91">
        <f>HYPERLINK("https://klasma.github.io/Logging_2180/tillsyn/A 17251-2026 tillsynsbegäran.docx", "A 17251-2026")</f>
        <v/>
      </c>
      <c r="AD91">
        <f>HYPERLINK("https://klasma.github.io/Logging_2180/tillsynsmail/A 17251-2026 tillsynsbegäran mail.docx", "A 17251-2026")</f>
        <v/>
      </c>
    </row>
    <row r="92" ht="15" customHeight="1">
      <c r="A92" t="inlineStr">
        <is>
          <t>A 58204-2025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45984</v>
      </c>
      <c r="E92" s="1" t="n">
        <v>46249</v>
      </c>
      <c r="F92" t="inlineStr">
        <is>
          <t>GÄVLEBORGS LÄN</t>
        </is>
      </c>
      <c r="G92" t="inlineStr">
        <is>
          <t>GÄVLE</t>
        </is>
      </c>
      <c r="I92" t="n">
        <v>4.4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HYPERLINK("https://klasma.github.io/Logging_2180/artfynd/A 58204-2025 artfynd.xlsx", "A 58204-2025")</f>
        <v/>
      </c>
      <c r="X92">
        <f>HYPERLINK("https://klasma.github.io/Logging_2180/kartor/A 58204-2025 karta.png", "A 58204-2025")</f>
        <v/>
      </c>
      <c r="Y92">
        <f>HYPERLINK("https://klasma.github.io/Logging_2180/kartor_geotiff/A 58204-2025 georefererad karta.tif", "A 58204-2025")</f>
        <v/>
      </c>
      <c r="AA92">
        <f>HYPERLINK("https://klasma.github.io/Logging_2180/klagomål/A 58204-2025 FSC-klagomål.docx", "A 58204-2025")</f>
        <v/>
      </c>
      <c r="AB92">
        <f>HYPERLINK("https://klasma.github.io/Logging_2180/klagomålsmail/A 58204-2025 FSC-klagomål mail.docx", "A 58204-2025")</f>
        <v/>
      </c>
      <c r="AC92">
        <f>HYPERLINK("https://klasma.github.io/Logging_2180/tillsyn/A 58204-2025 tillsynsbegäran.docx", "A 58204-2025")</f>
        <v/>
      </c>
      <c r="AD92">
        <f>HYPERLINK("https://klasma.github.io/Logging_2180/tillsynsmail/A 58204-2025 tillsynsbegäran mail.docx", "A 58204-2025")</f>
        <v/>
      </c>
      <c r="AE92">
        <f>HYPERLINK("https://klasma.github.io/Logging_2180/fåglar/A 58204-2025 prioriterade fågelarter.docx", "A 58204-2025")</f>
        <v/>
      </c>
    </row>
    <row r="93" ht="15" customHeight="1">
      <c r="A93" t="inlineStr">
        <is>
          <t>A 15001-2023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46249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Ängsblåvinge</t>
        </is>
      </c>
      <c r="W93">
        <f>HYPERLINK("https://klasma.github.io/Logging_2180/artfynd/A 15001-2023 artfynd.xlsx", "A 15001-2023")</f>
        <v/>
      </c>
      <c r="X93">
        <f>HYPERLINK("https://klasma.github.io/Logging_2180/kartor/A 15001-2023 karta.png", "A 15001-2023")</f>
        <v/>
      </c>
      <c r="Y93">
        <f>HYPERLINK("https://klasma.github.io/Logging_2180/kartor_geotiff/A 15001-2023 georefererad karta.tif", "A 15001-2023")</f>
        <v/>
      </c>
      <c r="AA93">
        <f>HYPERLINK("https://klasma.github.io/Logging_2180/klagomål/A 15001-2023 FSC-klagomål.docx", "A 15001-2023")</f>
        <v/>
      </c>
      <c r="AB93">
        <f>HYPERLINK("https://klasma.github.io/Logging_2180/klagomålsmail/A 15001-2023 FSC-klagomål mail.docx", "A 15001-2023")</f>
        <v/>
      </c>
      <c r="AC93">
        <f>HYPERLINK("https://klasma.github.io/Logging_2180/tillsyn/A 15001-2023 tillsynsbegäran.docx", "A 15001-2023")</f>
        <v/>
      </c>
      <c r="AD93">
        <f>HYPERLINK("https://klasma.github.io/Logging_2180/tillsynsmail/A 15001-2023 tillsynsbegäran mail.docx", "A 15001-2023")</f>
        <v/>
      </c>
    </row>
    <row r="94" ht="15" customHeight="1">
      <c r="A94" t="inlineStr">
        <is>
          <t>A 19635-2026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46249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HYPERLINK("https://klasma.github.io/Logging_2180/artfynd/A 19635-2026 artfynd.xlsx", "A 19635-2026")</f>
        <v/>
      </c>
      <c r="X94">
        <f>HYPERLINK("https://klasma.github.io/Logging_2180/kartor/A 19635-2026 karta.png", "A 19635-2026")</f>
        <v/>
      </c>
      <c r="Y94">
        <f>HYPERLINK("https://klasma.github.io/Logging_2180/kartor_geotiff/A 19635-2026 georefererad karta.tif", "A 19635-2026")</f>
        <v/>
      </c>
      <c r="AA94">
        <f>HYPERLINK("https://klasma.github.io/Logging_2180/klagomål/A 19635-2026 FSC-klagomål.docx", "A 19635-2026")</f>
        <v/>
      </c>
      <c r="AB94">
        <f>HYPERLINK("https://klasma.github.io/Logging_2180/klagomålsmail/A 19635-2026 FSC-klagomål mail.docx", "A 19635-2026")</f>
        <v/>
      </c>
      <c r="AC94">
        <f>HYPERLINK("https://klasma.github.io/Logging_2180/tillsyn/A 19635-2026 tillsynsbegäran.docx", "A 19635-2026")</f>
        <v/>
      </c>
      <c r="AD94">
        <f>HYPERLINK("https://klasma.github.io/Logging_2180/tillsynsmail/A 19635-2026 tillsynsbegäran mail.docx", "A 19635-2026")</f>
        <v/>
      </c>
    </row>
    <row r="95" ht="15" customHeight="1">
      <c r="A95" t="inlineStr">
        <is>
          <t>A 13396-2026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46249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HYPERLINK("https://klasma.github.io/Logging_2180/artfynd/A 13396-2026 artfynd.xlsx", "A 13396-2026")</f>
        <v/>
      </c>
      <c r="X95">
        <f>HYPERLINK("https://klasma.github.io/Logging_2180/kartor/A 13396-2026 karta.png", "A 13396-2026")</f>
        <v/>
      </c>
      <c r="Y95">
        <f>HYPERLINK("https://klasma.github.io/Logging_2180/kartor_geotiff/A 13396-2026 georefererad karta.tif", "A 13396-2026")</f>
        <v/>
      </c>
      <c r="AA95">
        <f>HYPERLINK("https://klasma.github.io/Logging_2180/klagomål/A 13396-2026 FSC-klagomål.docx", "A 13396-2026")</f>
        <v/>
      </c>
      <c r="AB95">
        <f>HYPERLINK("https://klasma.github.io/Logging_2180/klagomålsmail/A 13396-2026 FSC-klagomål mail.docx", "A 13396-2026")</f>
        <v/>
      </c>
      <c r="AC95">
        <f>HYPERLINK("https://klasma.github.io/Logging_2180/tillsyn/A 13396-2026 tillsynsbegäran.docx", "A 13396-2026")</f>
        <v/>
      </c>
      <c r="AD95">
        <f>HYPERLINK("https://klasma.github.io/Logging_2180/tillsynsmail/A 13396-2026 tillsynsbegäran mail.docx", "A 13396-2026")</f>
        <v/>
      </c>
    </row>
    <row r="96" ht="15" customHeight="1">
      <c r="A96" t="inlineStr">
        <is>
          <t>A 61056-2024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46249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5.3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Myggblomster</t>
        </is>
      </c>
      <c r="W96">
        <f>HYPERLINK("https://klasma.github.io/Logging_2180/artfynd/A 61056-2024 artfynd.xlsx", "A 61056-2024")</f>
        <v/>
      </c>
      <c r="X96">
        <f>HYPERLINK("https://klasma.github.io/Logging_2180/kartor/A 61056-2024 karta.png", "A 61056-2024")</f>
        <v/>
      </c>
      <c r="Y96">
        <f>HYPERLINK("https://klasma.github.io/Logging_2180/kartor_geotiff/A 61056-2024 georefererad karta.tif", "A 61056-2024")</f>
        <v/>
      </c>
      <c r="AA96">
        <f>HYPERLINK("https://klasma.github.io/Logging_2180/klagomål/A 61056-2024 FSC-klagomål.docx", "A 61056-2024")</f>
        <v/>
      </c>
      <c r="AB96">
        <f>HYPERLINK("https://klasma.github.io/Logging_2180/klagomålsmail/A 61056-2024 FSC-klagomål mail.docx", "A 61056-2024")</f>
        <v/>
      </c>
      <c r="AC96">
        <f>HYPERLINK("https://klasma.github.io/Logging_2180/tillsyn/A 61056-2024 tillsynsbegäran.docx", "A 61056-2024")</f>
        <v/>
      </c>
      <c r="AD96">
        <f>HYPERLINK("https://klasma.github.io/Logging_2180/tillsynsmail/A 61056-2024 tillsynsbegäran mail.docx", "A 61056-2024")</f>
        <v/>
      </c>
    </row>
    <row r="97" ht="15" customHeight="1">
      <c r="A97" t="inlineStr">
        <is>
          <t>A 12083-2025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46249</v>
      </c>
      <c r="F97" t="inlineStr">
        <is>
          <t>GÄVLEBORGS LÄN</t>
        </is>
      </c>
      <c r="G97" t="inlineStr">
        <is>
          <t>GÄVLE</t>
        </is>
      </c>
      <c r="I97" t="n">
        <v>6.3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Grönsiska</t>
        </is>
      </c>
      <c r="W97">
        <f>HYPERLINK("https://klasma.github.io/Logging_2180/artfynd/A 12083-2025 artfynd.xlsx", "A 12083-2025")</f>
        <v/>
      </c>
      <c r="X97">
        <f>HYPERLINK("https://klasma.github.io/Logging_2180/kartor/A 12083-2025 karta.png", "A 12083-2025")</f>
        <v/>
      </c>
      <c r="Y97">
        <f>HYPERLINK("https://klasma.github.io/Logging_2180/kartor_geotiff/A 12083-2025 georefererad karta.tif", "A 12083-2025")</f>
        <v/>
      </c>
      <c r="AA97">
        <f>HYPERLINK("https://klasma.github.io/Logging_2180/klagomål/A 12083-2025 FSC-klagomål.docx", "A 12083-2025")</f>
        <v/>
      </c>
      <c r="AB97">
        <f>HYPERLINK("https://klasma.github.io/Logging_2180/klagomålsmail/A 12083-2025 FSC-klagomål mail.docx", "A 12083-2025")</f>
        <v/>
      </c>
      <c r="AC97">
        <f>HYPERLINK("https://klasma.github.io/Logging_2180/tillsyn/A 12083-2025 tillsynsbegäran.docx", "A 12083-2025")</f>
        <v/>
      </c>
      <c r="AD97">
        <f>HYPERLINK("https://klasma.github.io/Logging_2180/tillsynsmail/A 12083-2025 tillsynsbegäran mail.docx", "A 12083-2025")</f>
        <v/>
      </c>
    </row>
    <row r="98" ht="15" customHeight="1">
      <c r="A98" t="inlineStr">
        <is>
          <t>A 11407-2025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46249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Myskmadra</t>
        </is>
      </c>
      <c r="W98">
        <f>HYPERLINK("https://klasma.github.io/Logging_2180/artfynd/A 11407-2025 artfynd.xlsx", "A 11407-2025")</f>
        <v/>
      </c>
      <c r="X98">
        <f>HYPERLINK("https://klasma.github.io/Logging_2180/kartor/A 11407-2025 karta.png", "A 11407-2025")</f>
        <v/>
      </c>
      <c r="Y98">
        <f>HYPERLINK("https://klasma.github.io/Logging_2180/kartor_geotiff/A 11407-2025 georefererad karta.tif", "A 11407-2025")</f>
        <v/>
      </c>
      <c r="AA98">
        <f>HYPERLINK("https://klasma.github.io/Logging_2180/klagomål/A 11407-2025 FSC-klagomål.docx", "A 11407-2025")</f>
        <v/>
      </c>
      <c r="AB98">
        <f>HYPERLINK("https://klasma.github.io/Logging_2180/klagomålsmail/A 11407-2025 FSC-klagomål mail.docx", "A 11407-2025")</f>
        <v/>
      </c>
      <c r="AC98">
        <f>HYPERLINK("https://klasma.github.io/Logging_2180/tillsyn/A 11407-2025 tillsynsbegäran.docx", "A 11407-2025")</f>
        <v/>
      </c>
      <c r="AD98">
        <f>HYPERLINK("https://klasma.github.io/Logging_2180/tillsynsmail/A 11407-2025 tillsynsbegäran mail.docx", "A 11407-2025")</f>
        <v/>
      </c>
    </row>
    <row r="99" ht="15" customHeight="1">
      <c r="A99" t="inlineStr">
        <is>
          <t>A 45241-2022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46249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22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HYPERLINK("https://klasma.github.io/Logging_2180/artfynd/A 45241-2022 artfynd.xlsx", "A 45241-2022")</f>
        <v/>
      </c>
      <c r="X99">
        <f>HYPERLINK("https://klasma.github.io/Logging_2180/kartor/A 45241-2022 karta.png", "A 45241-2022")</f>
        <v/>
      </c>
      <c r="Y99">
        <f>HYPERLINK("https://klasma.github.io/Logging_2180/kartor_geotiff/A 45241-2022 georefererad karta.tif", "A 45241-2022")</f>
        <v/>
      </c>
      <c r="AA99">
        <f>HYPERLINK("https://klasma.github.io/Logging_2180/klagomål/A 45241-2022 FSC-klagomål.docx", "A 45241-2022")</f>
        <v/>
      </c>
      <c r="AB99">
        <f>HYPERLINK("https://klasma.github.io/Logging_2180/klagomålsmail/A 45241-2022 FSC-klagomål mail.docx", "A 45241-2022")</f>
        <v/>
      </c>
      <c r="AC99">
        <f>HYPERLINK("https://klasma.github.io/Logging_2180/tillsyn/A 45241-2022 tillsynsbegäran.docx", "A 45241-2022")</f>
        <v/>
      </c>
      <c r="AD99">
        <f>HYPERLINK("https://klasma.github.io/Logging_2180/tillsynsmail/A 45241-2022 tillsynsbegäran mail.docx", "A 45241-2022")</f>
        <v/>
      </c>
    </row>
    <row r="100" ht="15" customHeight="1">
      <c r="A100" t="inlineStr">
        <is>
          <t>A 10333-2025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45720</v>
      </c>
      <c r="E100" s="1" t="n">
        <v>46249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Tjäder</t>
        </is>
      </c>
      <c r="W100">
        <f>HYPERLINK("https://klasma.github.io/Logging_2180/artfynd/A 10333-2025 artfynd.xlsx", "A 10333-2025")</f>
        <v/>
      </c>
      <c r="X100">
        <f>HYPERLINK("https://klasma.github.io/Logging_2180/kartor/A 10333-2025 karta.png", "A 10333-2025")</f>
        <v/>
      </c>
      <c r="Y100">
        <f>HYPERLINK("https://klasma.github.io/Logging_2180/kartor_geotiff/A 10333-2025 georefererad karta.tif", "A 10333-2025")</f>
        <v/>
      </c>
      <c r="AA100">
        <f>HYPERLINK("https://klasma.github.io/Logging_2180/klagomål/A 10333-2025 FSC-klagomål.docx", "A 10333-2025")</f>
        <v/>
      </c>
      <c r="AB100">
        <f>HYPERLINK("https://klasma.github.io/Logging_2180/klagomålsmail/A 10333-2025 FSC-klagomål mail.docx", "A 10333-2025")</f>
        <v/>
      </c>
      <c r="AC100">
        <f>HYPERLINK("https://klasma.github.io/Logging_2180/tillsyn/A 10333-2025 tillsynsbegäran.docx", "A 10333-2025")</f>
        <v/>
      </c>
      <c r="AD100">
        <f>HYPERLINK("https://klasma.github.io/Logging_2180/tillsynsmail/A 10333-2025 tillsynsbegäran mail.docx", "A 10333-2025")</f>
        <v/>
      </c>
      <c r="AE100">
        <f>HYPERLINK("https://klasma.github.io/Logging_2180/fåglar/A 10333-2025 prioriterade fågelarter.docx", "A 10333-2025")</f>
        <v/>
      </c>
    </row>
    <row r="101" ht="15" customHeight="1">
      <c r="A101" t="inlineStr">
        <is>
          <t>A 63288-2025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46249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5.3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Scharlakansskål</t>
        </is>
      </c>
      <c r="W101">
        <f>HYPERLINK("https://klasma.github.io/Logging_2180/artfynd/A 63288-2025 artfynd.xlsx", "A 63288-2025")</f>
        <v/>
      </c>
      <c r="X101">
        <f>HYPERLINK("https://klasma.github.io/Logging_2180/kartor/A 63288-2025 karta.png", "A 63288-2025")</f>
        <v/>
      </c>
      <c r="Y101">
        <f>HYPERLINK("https://klasma.github.io/Logging_2180/kartor_geotiff/A 63288-2025 georefererad karta.tif", "A 63288-2025")</f>
        <v/>
      </c>
      <c r="AA101">
        <f>HYPERLINK("https://klasma.github.io/Logging_2180/klagomål/A 63288-2025 FSC-klagomål.docx", "A 63288-2025")</f>
        <v/>
      </c>
      <c r="AB101">
        <f>HYPERLINK("https://klasma.github.io/Logging_2180/klagomålsmail/A 63288-2025 FSC-klagomål mail.docx", "A 63288-2025")</f>
        <v/>
      </c>
      <c r="AC101">
        <f>HYPERLINK("https://klasma.github.io/Logging_2180/tillsyn/A 63288-2025 tillsynsbegäran.docx", "A 63288-2025")</f>
        <v/>
      </c>
      <c r="AD101">
        <f>HYPERLINK("https://klasma.github.io/Logging_2180/tillsynsmail/A 63288-2025 tillsynsbegäran mail.docx", "A 63288-2025")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46249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HYPERLINK("https://klasma.github.io/Logging_2180/artfynd/A 12437-2024 artfynd.xlsx", "A 12437-2024")</f>
        <v/>
      </c>
      <c r="X102">
        <f>HYPERLINK("https://klasma.github.io/Logging_2180/kartor/A 12437-2024 karta.png", "A 12437-2024")</f>
        <v/>
      </c>
      <c r="Y102">
        <f>HYPERLINK("https://klasma.github.io/Logging_2180/kartor_geotiff/A 12437-2024 georefererad karta.tif", "A 12437-2024")</f>
        <v/>
      </c>
      <c r="AA102">
        <f>HYPERLINK("https://klasma.github.io/Logging_2180/klagomål/A 12437-2024 FSC-klagomål.docx", "A 12437-2024")</f>
        <v/>
      </c>
      <c r="AB102">
        <f>HYPERLINK("https://klasma.github.io/Logging_2180/klagomålsmail/A 12437-2024 FSC-klagomål mail.docx", "A 12437-2024")</f>
        <v/>
      </c>
      <c r="AC102">
        <f>HYPERLINK("https://klasma.github.io/Logging_2180/tillsyn/A 12437-2024 tillsynsbegäran.docx", "A 12437-2024")</f>
        <v/>
      </c>
      <c r="AD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46249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46249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46249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46249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46249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13269-2026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46249</v>
      </c>
      <c r="F108" t="inlineStr">
        <is>
          <t>GÄVLEBORGS LÄN</t>
        </is>
      </c>
      <c r="G108" t="inlineStr">
        <is>
          <t>GÄVLE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HYPERLINK("https://klasma.github.io/Logging_2180/artfynd/A 13269-2026 artfynd.xlsx", "A 13269-2026")</f>
        <v/>
      </c>
      <c r="X108">
        <f>HYPERLINK("https://klasma.github.io/Logging_2180/kartor/A 13269-2026 karta.png", "A 13269-2026")</f>
        <v/>
      </c>
      <c r="Y108">
        <f>HYPERLINK("https://klasma.github.io/Logging_2180/kartor_geotiff/A 13269-2026 georefererad karta.tif", "A 13269-2026")</f>
        <v/>
      </c>
      <c r="AA108">
        <f>HYPERLINK("https://klasma.github.io/Logging_2180/klagomål/A 13269-2026 FSC-klagomål.docx", "A 13269-2026")</f>
        <v/>
      </c>
      <c r="AB108">
        <f>HYPERLINK("https://klasma.github.io/Logging_2180/klagomålsmail/A 13269-2026 FSC-klagomål mail.docx", "A 13269-2026")</f>
        <v/>
      </c>
      <c r="AC108">
        <f>HYPERLINK("https://klasma.github.io/Logging_2180/tillsyn/A 13269-2026 tillsynsbegäran.docx", "A 13269-2026")</f>
        <v/>
      </c>
      <c r="AD108">
        <f>HYPERLINK("https://klasma.github.io/Logging_2180/tillsynsmail/A 13269-2026 tillsynsbegäran mail.docx", "A 13269-2026")</f>
        <v/>
      </c>
      <c r="AE108">
        <f>HYPERLINK("https://klasma.github.io/Logging_2180/fåglar/A 13269-2026 prioriterade fågelarter.docx", "A 13269-2026")</f>
        <v/>
      </c>
    </row>
    <row r="109" ht="15" customHeight="1">
      <c r="A109" t="inlineStr">
        <is>
          <t>A 14703-2026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46249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14703-2026 artfynd.xlsx", "A 14703-2026")</f>
        <v/>
      </c>
      <c r="X109">
        <f>HYPERLINK("https://klasma.github.io/Logging_2180/kartor/A 14703-2026 karta.png", "A 14703-2026")</f>
        <v/>
      </c>
      <c r="Y109">
        <f>HYPERLINK("https://klasma.github.io/Logging_2180/kartor_geotiff/A 14703-2026 georefererad karta.tif", "A 14703-2026")</f>
        <v/>
      </c>
      <c r="AA109">
        <f>HYPERLINK("https://klasma.github.io/Logging_2180/klagomål/A 14703-2026 FSC-klagomål.docx", "A 14703-2026")</f>
        <v/>
      </c>
      <c r="AB109">
        <f>HYPERLINK("https://klasma.github.io/Logging_2180/klagomålsmail/A 14703-2026 FSC-klagomål mail.docx", "A 14703-2026")</f>
        <v/>
      </c>
      <c r="AC109">
        <f>HYPERLINK("https://klasma.github.io/Logging_2180/tillsyn/A 14703-2026 tillsynsbegäran.docx", "A 14703-2026")</f>
        <v/>
      </c>
      <c r="AD109">
        <f>HYPERLINK("https://klasma.github.io/Logging_2180/tillsynsmail/A 14703-2026 tillsynsbegäran mail.docx", "A 14703-2026")</f>
        <v/>
      </c>
      <c r="AE109">
        <f>HYPERLINK("https://klasma.github.io/Logging_2180/fåglar/A 14703-2026 prioriterade fågelarter.docx", "A 14703-2026")</f>
        <v/>
      </c>
    </row>
    <row r="110" ht="15" customHeight="1">
      <c r="A110" t="inlineStr">
        <is>
          <t>A 35225-2024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46249</v>
      </c>
      <c r="F110" t="inlineStr">
        <is>
          <t>GÄVLEBORGS LÄN</t>
        </is>
      </c>
      <c r="G110" t="inlineStr">
        <is>
          <t>GÄVLE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HYPERLINK("https://klasma.github.io/Logging_2180/artfynd/A 35225-2024 artfynd.xlsx", "A 35225-2024")</f>
        <v/>
      </c>
      <c r="X110">
        <f>HYPERLINK("https://klasma.github.io/Logging_2180/kartor/A 35225-2024 karta.png", "A 35225-2024")</f>
        <v/>
      </c>
      <c r="Y110">
        <f>HYPERLINK("https://klasma.github.io/Logging_2180/kartor_geotiff/A 35225-2024 georefererad karta.tif", "A 35225-2024")</f>
        <v/>
      </c>
      <c r="AA110">
        <f>HYPERLINK("https://klasma.github.io/Logging_2180/klagomål/A 35225-2024 FSC-klagomål.docx", "A 35225-2024")</f>
        <v/>
      </c>
      <c r="AB110">
        <f>HYPERLINK("https://klasma.github.io/Logging_2180/klagomålsmail/A 35225-2024 FSC-klagomål mail.docx", "A 35225-2024")</f>
        <v/>
      </c>
      <c r="AC110">
        <f>HYPERLINK("https://klasma.github.io/Logging_2180/tillsyn/A 35225-2024 tillsynsbegäran.docx", "A 35225-2024")</f>
        <v/>
      </c>
      <c r="AD110">
        <f>HYPERLINK("https://klasma.github.io/Logging_2180/tillsynsmail/A 35225-2024 tillsynsbegäran mail.docx", "A 35225-2024")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46249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23003-2026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46160</v>
      </c>
      <c r="E112" s="1" t="n">
        <v>46249</v>
      </c>
      <c r="F112" t="inlineStr">
        <is>
          <t>GÄVLEBORGS LÄN</t>
        </is>
      </c>
      <c r="G112" t="inlineStr">
        <is>
          <t>GÄVLE</t>
        </is>
      </c>
      <c r="I112" t="n">
        <v>12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Tjäder</t>
        </is>
      </c>
      <c r="W112">
        <f>HYPERLINK("https://klasma.github.io/Logging_2180/artfynd/A 23003-2026 artfynd.xlsx", "A 23003-2026")</f>
        <v/>
      </c>
      <c r="X112">
        <f>HYPERLINK("https://klasma.github.io/Logging_2180/kartor/A 23003-2026 karta.png", "A 23003-2026")</f>
        <v/>
      </c>
      <c r="Y112">
        <f>HYPERLINK("https://klasma.github.io/Logging_2180/kartor_geotiff/A 23003-2026 georefererad karta.tif", "A 23003-2026")</f>
        <v/>
      </c>
      <c r="AA112">
        <f>HYPERLINK("https://klasma.github.io/Logging_2180/klagomål/A 23003-2026 FSC-klagomål.docx", "A 23003-2026")</f>
        <v/>
      </c>
      <c r="AB112">
        <f>HYPERLINK("https://klasma.github.io/Logging_2180/klagomålsmail/A 23003-2026 FSC-klagomål mail.docx", "A 23003-2026")</f>
        <v/>
      </c>
      <c r="AC112">
        <f>HYPERLINK("https://klasma.github.io/Logging_2180/tillsyn/A 23003-2026 tillsynsbegäran.docx", "A 23003-2026")</f>
        <v/>
      </c>
      <c r="AD112">
        <f>HYPERLINK("https://klasma.github.io/Logging_2180/tillsynsmail/A 23003-2026 tillsynsbegäran mail.docx", "A 23003-2026")</f>
        <v/>
      </c>
      <c r="AE112">
        <f>HYPERLINK("https://klasma.github.io/Logging_2180/fåglar/A 23003-2026 prioriterade fågelarter.docx", "A 23003-2026")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46249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12381-2023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44999</v>
      </c>
      <c r="E114" s="1" t="n">
        <v>46249</v>
      </c>
      <c r="F114" t="inlineStr">
        <is>
          <t>GÄVLEBORGS LÄN</t>
        </is>
      </c>
      <c r="G114" t="inlineStr">
        <is>
          <t>GÄVLE</t>
        </is>
      </c>
      <c r="I114" t="n">
        <v>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Brunlångöra</t>
        </is>
      </c>
      <c r="W114">
        <f>HYPERLINK("https://klasma.github.io/Logging_2180/artfynd/A 12381-2023 artfynd.xlsx", "A 12381-2023")</f>
        <v/>
      </c>
      <c r="X114">
        <f>HYPERLINK("https://klasma.github.io/Logging_2180/kartor/A 12381-2023 karta.png", "A 12381-2023")</f>
        <v/>
      </c>
      <c r="Y114">
        <f>HYPERLINK("https://klasma.github.io/Logging_2180/kartor_geotiff/A 12381-2023 georefererad karta.tif", "A 12381-2023")</f>
        <v/>
      </c>
      <c r="AA114">
        <f>HYPERLINK("https://klasma.github.io/Logging_2180/klagomål/A 12381-2023 FSC-klagomål.docx", "A 12381-2023")</f>
        <v/>
      </c>
      <c r="AB114">
        <f>HYPERLINK("https://klasma.github.io/Logging_2180/klagomålsmail/A 12381-2023 FSC-klagomål mail.docx", "A 12381-2023")</f>
        <v/>
      </c>
      <c r="AC114">
        <f>HYPERLINK("https://klasma.github.io/Logging_2180/tillsyn/A 12381-2023 tillsynsbegäran.docx", "A 12381-2023")</f>
        <v/>
      </c>
      <c r="AD114">
        <f>HYPERLINK("https://klasma.github.io/Logging_2180/tillsynsmail/A 12381-2023 tillsynsbegäran mail.docx", "A 12381-2023")</f>
        <v/>
      </c>
    </row>
    <row r="115" ht="15" customHeight="1">
      <c r="A115" t="inlineStr">
        <is>
          <t>A 5409-2023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44959</v>
      </c>
      <c r="E115" s="1" t="n">
        <v>46249</v>
      </c>
      <c r="F115" t="inlineStr">
        <is>
          <t>GÄVLEBORGS LÄN</t>
        </is>
      </c>
      <c r="G115" t="inlineStr">
        <is>
          <t>GÄVLE</t>
        </is>
      </c>
      <c r="I115" t="n">
        <v>0.3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Skogsklocka</t>
        </is>
      </c>
      <c r="W115">
        <f>HYPERLINK("https://klasma.github.io/Logging_2180/artfynd/A 5409-2023 artfynd.xlsx", "A 5409-2023")</f>
        <v/>
      </c>
      <c r="X115">
        <f>HYPERLINK("https://klasma.github.io/Logging_2180/kartor/A 5409-2023 karta.png", "A 5409-2023")</f>
        <v/>
      </c>
      <c r="Y115">
        <f>HYPERLINK("https://klasma.github.io/Logging_2180/kartor_geotiff/A 5409-2023 georefererad karta.tif", "A 5409-2023")</f>
        <v/>
      </c>
      <c r="AA115">
        <f>HYPERLINK("https://klasma.github.io/Logging_2180/klagomål/A 5409-2023 FSC-klagomål.docx", "A 5409-2023")</f>
        <v/>
      </c>
      <c r="AB115">
        <f>HYPERLINK("https://klasma.github.io/Logging_2180/klagomålsmail/A 5409-2023 FSC-klagomål mail.docx", "A 5409-2023")</f>
        <v/>
      </c>
      <c r="AC115">
        <f>HYPERLINK("https://klasma.github.io/Logging_2180/tillsyn/A 5409-2023 tillsynsbegäran.docx", "A 5409-2023")</f>
        <v/>
      </c>
      <c r="AD115">
        <f>HYPERLINK("https://klasma.github.io/Logging_2180/tillsynsmail/A 5409-2023 tillsynsbegäran mail.docx", "A 5409-2023")</f>
        <v/>
      </c>
    </row>
    <row r="116" ht="15" customHeight="1">
      <c r="A116" t="inlineStr">
        <is>
          <t>A 5415-2023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46249</v>
      </c>
      <c r="F116" t="inlineStr">
        <is>
          <t>GÄVLEBORGS LÄN</t>
        </is>
      </c>
      <c r="G116" t="inlineStr">
        <is>
          <t>GÄVLE</t>
        </is>
      </c>
      <c r="I116" t="n">
        <v>0.1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HYPERLINK("https://klasma.github.io/Logging_2180/artfynd/A 5415-2023 artfynd.xlsx", "A 5415-2023")</f>
        <v/>
      </c>
      <c r="X116">
        <f>HYPERLINK("https://klasma.github.io/Logging_2180/kartor/A 5415-2023 karta.png", "A 5415-2023")</f>
        <v/>
      </c>
      <c r="Y116">
        <f>HYPERLINK("https://klasma.github.io/Logging_2180/kartor_geotiff/A 5415-2023 georefererad karta.tif", "A 5415-2023")</f>
        <v/>
      </c>
      <c r="AA116">
        <f>HYPERLINK("https://klasma.github.io/Logging_2180/klagomål/A 5415-2023 FSC-klagomål.docx", "A 5415-2023")</f>
        <v/>
      </c>
      <c r="AB116">
        <f>HYPERLINK("https://klasma.github.io/Logging_2180/klagomålsmail/A 5415-2023 FSC-klagomål mail.docx", "A 5415-2023")</f>
        <v/>
      </c>
      <c r="AC116">
        <f>HYPERLINK("https://klasma.github.io/Logging_2180/tillsyn/A 5415-2023 tillsynsbegäran.docx", "A 5415-2023")</f>
        <v/>
      </c>
      <c r="AD116">
        <f>HYPERLINK("https://klasma.github.io/Logging_2180/tillsynsmail/A 5415-2023 tillsynsbegäran mail.docx", "A 5415-2023")</f>
        <v/>
      </c>
    </row>
    <row r="117" ht="15" customHeight="1">
      <c r="A117" t="inlineStr">
        <is>
          <t>A 21282-2024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46249</v>
      </c>
      <c r="F117" t="inlineStr">
        <is>
          <t>GÄVLEBORGS LÄN</t>
        </is>
      </c>
      <c r="G117" t="inlineStr">
        <is>
          <t>GÄVLE</t>
        </is>
      </c>
      <c r="I117" t="n">
        <v>7.4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Skogsklocka</t>
        </is>
      </c>
      <c r="W117">
        <f>HYPERLINK("https://klasma.github.io/Logging_2180/artfynd/A 21282-2024 artfynd.xlsx", "A 21282-2024")</f>
        <v/>
      </c>
      <c r="X117">
        <f>HYPERLINK("https://klasma.github.io/Logging_2180/kartor/A 21282-2024 karta.png", "A 21282-2024")</f>
        <v/>
      </c>
      <c r="Y117">
        <f>HYPERLINK("https://klasma.github.io/Logging_2180/kartor_geotiff/A 21282-2024 georefererad karta.tif", "A 21282-2024")</f>
        <v/>
      </c>
      <c r="AA117">
        <f>HYPERLINK("https://klasma.github.io/Logging_2180/klagomål/A 21282-2024 FSC-klagomål.docx", "A 21282-2024")</f>
        <v/>
      </c>
      <c r="AB117">
        <f>HYPERLINK("https://klasma.github.io/Logging_2180/klagomålsmail/A 21282-2024 FSC-klagomål mail.docx", "A 21282-2024")</f>
        <v/>
      </c>
      <c r="AC117">
        <f>HYPERLINK("https://klasma.github.io/Logging_2180/tillsyn/A 21282-2024 tillsynsbegäran.docx", "A 21282-2024")</f>
        <v/>
      </c>
      <c r="AD117">
        <f>HYPERLINK("https://klasma.github.io/Logging_2180/tillsynsmail/A 21282-2024 tillsynsbegäran mail.docx", "A 21282-2024")</f>
        <v/>
      </c>
    </row>
    <row r="118" ht="15" customHeight="1">
      <c r="A118" t="inlineStr">
        <is>
          <t>A 57932-2024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46249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48.7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HYPERLINK("https://klasma.github.io/Logging_2180/artfynd/A 57932-2024 artfynd.xlsx", "A 57932-2024")</f>
        <v/>
      </c>
      <c r="X118">
        <f>HYPERLINK("https://klasma.github.io/Logging_2180/kartor/A 57932-2024 karta.png", "A 57932-2024")</f>
        <v/>
      </c>
      <c r="Y118">
        <f>HYPERLINK("https://klasma.github.io/Logging_2180/kartor_geotiff/A 57932-2024 georefererad karta.tif", "A 57932-2024")</f>
        <v/>
      </c>
      <c r="AA118">
        <f>HYPERLINK("https://klasma.github.io/Logging_2180/klagomål/A 57932-2024 FSC-klagomål.docx", "A 57932-2024")</f>
        <v/>
      </c>
      <c r="AB118">
        <f>HYPERLINK("https://klasma.github.io/Logging_2180/klagomålsmail/A 57932-2024 FSC-klagomål mail.docx", "A 57932-2024")</f>
        <v/>
      </c>
      <c r="AC118">
        <f>HYPERLINK("https://klasma.github.io/Logging_2180/tillsyn/A 57932-2024 tillsynsbegäran.docx", "A 57932-2024")</f>
        <v/>
      </c>
      <c r="AD118">
        <f>HYPERLINK("https://klasma.github.io/Logging_2180/tillsynsmail/A 57932-2024 tillsynsbegäran mail.docx", "A 57932-2024")</f>
        <v/>
      </c>
      <c r="AE118">
        <f>HYPERLINK("https://klasma.github.io/Logging_2180/fåglar/A 57932-2024 prioriterade fågelarter.docx", "A 57932-2024")</f>
        <v/>
      </c>
    </row>
    <row r="119" ht="15" customHeight="1">
      <c r="A119" t="inlineStr">
        <is>
          <t>A 47642-2024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45588</v>
      </c>
      <c r="E119" s="1" t="n">
        <v>46249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8.199999999999999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Orre</t>
        </is>
      </c>
      <c r="W119">
        <f>HYPERLINK("https://klasma.github.io/Logging_2180/artfynd/A 47642-2024 artfynd.xlsx", "A 47642-2024")</f>
        <v/>
      </c>
      <c r="X119">
        <f>HYPERLINK("https://klasma.github.io/Logging_2180/kartor/A 47642-2024 karta.png", "A 47642-2024")</f>
        <v/>
      </c>
      <c r="Y119">
        <f>HYPERLINK("https://klasma.github.io/Logging_2180/kartor_geotiff/A 47642-2024 georefererad karta.tif", "A 47642-2024")</f>
        <v/>
      </c>
      <c r="AA119">
        <f>HYPERLINK("https://klasma.github.io/Logging_2180/klagomål/A 47642-2024 FSC-klagomål.docx", "A 47642-2024")</f>
        <v/>
      </c>
      <c r="AB119">
        <f>HYPERLINK("https://klasma.github.io/Logging_2180/klagomålsmail/A 47642-2024 FSC-klagomål mail.docx", "A 47642-2024")</f>
        <v/>
      </c>
      <c r="AC119">
        <f>HYPERLINK("https://klasma.github.io/Logging_2180/tillsyn/A 47642-2024 tillsynsbegäran.docx", "A 47642-2024")</f>
        <v/>
      </c>
      <c r="AD119">
        <f>HYPERLINK("https://klasma.github.io/Logging_2180/tillsynsmail/A 47642-2024 tillsynsbegäran mail.docx", "A 47642-2024")</f>
        <v/>
      </c>
      <c r="AE119">
        <f>HYPERLINK("https://klasma.github.io/Logging_2180/fåglar/A 47642-2024 prioriterade fågelarter.docx", "A 47642-2024")</f>
        <v/>
      </c>
    </row>
    <row r="120" ht="15" customHeight="1">
      <c r="A120" t="inlineStr">
        <is>
          <t>A 31448-2026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46217</v>
      </c>
      <c r="E120" s="1" t="n">
        <v>46249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tåtelsmygare</t>
        </is>
      </c>
      <c r="W120">
        <f>HYPERLINK("https://klasma.github.io/Logging_2180/artfynd/A 31448-2026 artfynd.xlsx", "A 31448-2026")</f>
        <v/>
      </c>
      <c r="X120">
        <f>HYPERLINK("https://klasma.github.io/Logging_2180/kartor/A 31448-2026 karta.png", "A 31448-2026")</f>
        <v/>
      </c>
      <c r="Y120">
        <f>HYPERLINK("https://klasma.github.io/Logging_2180/kartor_geotiff/A 31448-2026 georefererad karta.tif", "A 31448-2026")</f>
        <v/>
      </c>
      <c r="AA120">
        <f>HYPERLINK("https://klasma.github.io/Logging_2180/klagomål/A 31448-2026 FSC-klagomål.docx", "A 31448-2026")</f>
        <v/>
      </c>
      <c r="AB120">
        <f>HYPERLINK("https://klasma.github.io/Logging_2180/klagomålsmail/A 31448-2026 FSC-klagomål mail.docx", "A 31448-2026")</f>
        <v/>
      </c>
      <c r="AC120">
        <f>HYPERLINK("https://klasma.github.io/Logging_2180/tillsyn/A 31448-2026 tillsynsbegäran.docx", "A 31448-2026")</f>
        <v/>
      </c>
      <c r="AD120">
        <f>HYPERLINK("https://klasma.github.io/Logging_2180/tillsynsmail/A 31448-2026 tillsynsbegäran mail.docx", "A 31448-2026")</f>
        <v/>
      </c>
    </row>
    <row r="121" ht="15" customHeight="1">
      <c r="A121" t="inlineStr">
        <is>
          <t>A 12338-2025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46249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6.8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Skogsklocka</t>
        </is>
      </c>
      <c r="W121">
        <f>HYPERLINK("https://klasma.github.io/Logging_2180/artfynd/A 12338-2025 artfynd.xlsx", "A 12338-2025")</f>
        <v/>
      </c>
      <c r="X121">
        <f>HYPERLINK("https://klasma.github.io/Logging_2180/kartor/A 12338-2025 karta.png", "A 12338-2025")</f>
        <v/>
      </c>
      <c r="Y121">
        <f>HYPERLINK("https://klasma.github.io/Logging_2180/kartor_geotiff/A 12338-2025 georefererad karta.tif", "A 12338-2025")</f>
        <v/>
      </c>
      <c r="AA121">
        <f>HYPERLINK("https://klasma.github.io/Logging_2180/klagomål/A 12338-2025 FSC-klagomål.docx", "A 12338-2025")</f>
        <v/>
      </c>
      <c r="AB121">
        <f>HYPERLINK("https://klasma.github.io/Logging_2180/klagomålsmail/A 12338-2025 FSC-klagomål mail.docx", "A 12338-2025")</f>
        <v/>
      </c>
      <c r="AC121">
        <f>HYPERLINK("https://klasma.github.io/Logging_2180/tillsyn/A 12338-2025 tillsynsbegäran.docx", "A 12338-2025")</f>
        <v/>
      </c>
      <c r="AD121">
        <f>HYPERLINK("https://klasma.github.io/Logging_2180/tillsynsmail/A 12338-2025 tillsynsbegäran mail.docx", "A 12338-2025")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46249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46249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27058-2026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46249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Gullpudra</t>
        </is>
      </c>
      <c r="W124">
        <f>HYPERLINK("https://klasma.github.io/Logging_2180/artfynd/A 27058-2026 artfynd.xlsx", "A 27058-2026")</f>
        <v/>
      </c>
      <c r="X124">
        <f>HYPERLINK("https://klasma.github.io/Logging_2180/kartor/A 27058-2026 karta.png", "A 27058-2026")</f>
        <v/>
      </c>
      <c r="Y124">
        <f>HYPERLINK("https://klasma.github.io/Logging_2180/kartor_geotiff/A 27058-2026 georefererad karta.tif", "A 27058-2026")</f>
        <v/>
      </c>
      <c r="AA124">
        <f>HYPERLINK("https://klasma.github.io/Logging_2180/klagomål/A 27058-2026 FSC-klagomål.docx", "A 27058-2026")</f>
        <v/>
      </c>
      <c r="AB124">
        <f>HYPERLINK("https://klasma.github.io/Logging_2180/klagomålsmail/A 27058-2026 FSC-klagomål mail.docx", "A 27058-2026")</f>
        <v/>
      </c>
      <c r="AC124">
        <f>HYPERLINK("https://klasma.github.io/Logging_2180/tillsyn/A 27058-2026 tillsynsbegäran.docx", "A 27058-2026")</f>
        <v/>
      </c>
      <c r="AD124">
        <f>HYPERLINK("https://klasma.github.io/Logging_2180/tillsynsmail/A 27058-2026 tillsynsbegäran mail.docx", "A 27058-2026")</f>
        <v/>
      </c>
    </row>
    <row r="125" ht="15" customHeight="1">
      <c r="A125" t="inlineStr">
        <is>
          <t>A 27063-2026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46249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27063-2026 artfynd.xlsx", "A 27063-2026")</f>
        <v/>
      </c>
      <c r="X125">
        <f>HYPERLINK("https://klasma.github.io/Logging_2180/kartor/A 27063-2026 karta.png", "A 27063-2026")</f>
        <v/>
      </c>
      <c r="Y125">
        <f>HYPERLINK("https://klasma.github.io/Logging_2180/kartor_geotiff/A 27063-2026 georefererad karta.tif", "A 27063-2026")</f>
        <v/>
      </c>
      <c r="AA125">
        <f>HYPERLINK("https://klasma.github.io/Logging_2180/klagomål/A 27063-2026 FSC-klagomål.docx", "A 27063-2026")</f>
        <v/>
      </c>
      <c r="AB125">
        <f>HYPERLINK("https://klasma.github.io/Logging_2180/klagomålsmail/A 27063-2026 FSC-klagomål mail.docx", "A 27063-2026")</f>
        <v/>
      </c>
      <c r="AC125">
        <f>HYPERLINK("https://klasma.github.io/Logging_2180/tillsyn/A 27063-2026 tillsynsbegäran.docx", "A 27063-2026")</f>
        <v/>
      </c>
      <c r="AD125">
        <f>HYPERLINK("https://klasma.github.io/Logging_2180/tillsynsmail/A 27063-2026 tillsynsbegäran mail.docx", "A 27063-2026")</f>
        <v/>
      </c>
    </row>
    <row r="126" ht="15" customHeight="1">
      <c r="A126" t="inlineStr">
        <is>
          <t>A 30302-2025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46249</v>
      </c>
      <c r="F126" t="inlineStr">
        <is>
          <t>GÄVLEBORGS LÄN</t>
        </is>
      </c>
      <c r="G126" t="inlineStr">
        <is>
          <t>GÄVLE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Fläcknycklar</t>
        </is>
      </c>
      <c r="W126">
        <f>HYPERLINK("https://klasma.github.io/Logging_2180/artfynd/A 30302-2025 artfynd.xlsx", "A 30302-2025")</f>
        <v/>
      </c>
      <c r="X126">
        <f>HYPERLINK("https://klasma.github.io/Logging_2180/kartor/A 30302-2025 karta.png", "A 30302-2025")</f>
        <v/>
      </c>
      <c r="Y126">
        <f>HYPERLINK("https://klasma.github.io/Logging_2180/kartor_geotiff/A 30302-2025 georefererad karta.tif", "A 30302-2025")</f>
        <v/>
      </c>
      <c r="AA126">
        <f>HYPERLINK("https://klasma.github.io/Logging_2180/klagomål/A 30302-2025 FSC-klagomål.docx", "A 30302-2025")</f>
        <v/>
      </c>
      <c r="AB126">
        <f>HYPERLINK("https://klasma.github.io/Logging_2180/klagomålsmail/A 30302-2025 FSC-klagomål mail.docx", "A 30302-2025")</f>
        <v/>
      </c>
      <c r="AC126">
        <f>HYPERLINK("https://klasma.github.io/Logging_2180/tillsyn/A 30302-2025 tillsynsbegäran.docx", "A 30302-2025")</f>
        <v/>
      </c>
      <c r="AD126">
        <f>HYPERLINK("https://klasma.github.io/Logging_2180/tillsynsmail/A 30302-2025 tillsynsbegäran mail.docx", "A 30302-2025")</f>
        <v/>
      </c>
    </row>
    <row r="127" ht="15" customHeight="1">
      <c r="A127" t="inlineStr">
        <is>
          <t>A 28546-2026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46249</v>
      </c>
      <c r="F127" t="inlineStr">
        <is>
          <t>GÄVLEBORGS LÄN</t>
        </is>
      </c>
      <c r="G127" t="inlineStr">
        <is>
          <t>GÄVLE</t>
        </is>
      </c>
      <c r="H127" t="inlineStr">
        <is>
          <t>BillerudKorsnäs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Fiskgjuse</t>
        </is>
      </c>
      <c r="W127">
        <f>HYPERLINK("https://klasma.github.io/Logging_2180/artfynd/A 28546-2026 artfynd.xlsx", "A 28546-2026")</f>
        <v/>
      </c>
      <c r="X127">
        <f>HYPERLINK("https://klasma.github.io/Logging_2180/kartor/A 28546-2026 karta.png", "A 28546-2026")</f>
        <v/>
      </c>
      <c r="Y127">
        <f>HYPERLINK("https://klasma.github.io/Logging_2180/kartor_geotiff/A 28546-2026 georefererad karta.tif", "A 28546-2026")</f>
        <v/>
      </c>
      <c r="AA127">
        <f>HYPERLINK("https://klasma.github.io/Logging_2180/klagomål/A 28546-2026 FSC-klagomål.docx", "A 28546-2026")</f>
        <v/>
      </c>
      <c r="AB127">
        <f>HYPERLINK("https://klasma.github.io/Logging_2180/klagomålsmail/A 28546-2026 FSC-klagomål mail.docx", "A 28546-2026")</f>
        <v/>
      </c>
      <c r="AC127">
        <f>HYPERLINK("https://klasma.github.io/Logging_2180/tillsyn/A 28546-2026 tillsynsbegäran.docx", "A 28546-2026")</f>
        <v/>
      </c>
      <c r="AD127">
        <f>HYPERLINK("https://klasma.github.io/Logging_2180/tillsynsmail/A 28546-2026 tillsynsbegäran mail.docx", "A 28546-2026")</f>
        <v/>
      </c>
      <c r="AE127">
        <f>HYPERLINK("https://klasma.github.io/Logging_2180/fåglar/A 28546-2026 prioriterade fågelarter.docx", "A 28546-2026")</f>
        <v/>
      </c>
    </row>
    <row r="128" ht="15" customHeight="1">
      <c r="A128" t="inlineStr">
        <is>
          <t>A 11411-2025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46249</v>
      </c>
      <c r="F128" t="inlineStr">
        <is>
          <t>GÄVLEBORGS LÄN</t>
        </is>
      </c>
      <c r="G128" t="inlineStr">
        <is>
          <t>GÄVLE</t>
        </is>
      </c>
      <c r="I128" t="n">
        <v>2.4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11411-2025 artfynd.xlsx", "A 11411-2025")</f>
        <v/>
      </c>
      <c r="X128">
        <f>HYPERLINK("https://klasma.github.io/Logging_2180/kartor/A 11411-2025 karta.png", "A 11411-2025")</f>
        <v/>
      </c>
      <c r="Y128">
        <f>HYPERLINK("https://klasma.github.io/Logging_2180/kartor_geotiff/A 11411-2025 georefererad karta.tif", "A 11411-2025")</f>
        <v/>
      </c>
      <c r="AA128">
        <f>HYPERLINK("https://klasma.github.io/Logging_2180/klagomål/A 11411-2025 FSC-klagomål.docx", "A 11411-2025")</f>
        <v/>
      </c>
      <c r="AB128">
        <f>HYPERLINK("https://klasma.github.io/Logging_2180/klagomålsmail/A 11411-2025 FSC-klagomål mail.docx", "A 11411-2025")</f>
        <v/>
      </c>
      <c r="AC128">
        <f>HYPERLINK("https://klasma.github.io/Logging_2180/tillsyn/A 11411-2025 tillsynsbegäran.docx", "A 11411-2025")</f>
        <v/>
      </c>
      <c r="AD128">
        <f>HYPERLINK("https://klasma.github.io/Logging_2180/tillsynsmail/A 11411-2025 tillsynsbegäran mail.docx", "A 11411-2025")</f>
        <v/>
      </c>
    </row>
    <row r="129" ht="15" customHeight="1">
      <c r="A129" t="inlineStr">
        <is>
          <t>S 399-2022</t>
        </is>
      </c>
      <c r="B129" t="inlineStr">
        <is>
          <t>samrådsanmälan</t>
        </is>
      </c>
      <c r="C129" t="inlineStr">
        <is>
          <t>Skogsgödsling</t>
        </is>
      </c>
      <c r="D129" s="1" t="n">
        <v>44585</v>
      </c>
      <c r="E129" s="1" t="n">
        <v>46249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44.4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HYPERLINK("https://klasma.github.io/Logging_2180/artfynd/S 399-2022 artfynd.xlsx", "S 399-2022")</f>
        <v/>
      </c>
      <c r="X129">
        <f>HYPERLINK("https://klasma.github.io/Logging_2180/kartor/S 399-2022 karta.png", "S 399-2022")</f>
        <v/>
      </c>
      <c r="Y129">
        <f>HYPERLINK("https://klasma.github.io/Logging_2180/kartor_geotiff/S 399-2022 georefererad karta.tif", "S 399-2022")</f>
        <v/>
      </c>
      <c r="AA129">
        <f>HYPERLINK("https://klasma.github.io/Logging_2180/klagomål/S 399-2022 FSC-klagomål.docx", "S 399-2022")</f>
        <v/>
      </c>
      <c r="AB129">
        <f>HYPERLINK("https://klasma.github.io/Logging_2180/klagomålsmail/S 399-2022 FSC-klagomål mail.docx", "S 399-2022")</f>
        <v/>
      </c>
      <c r="AC129">
        <f>HYPERLINK("https://klasma.github.io/Logging_2180/tillsyn/S 399-2022 tillsynsbegäran.docx", "S 399-2022")</f>
        <v/>
      </c>
      <c r="AD129">
        <f>HYPERLINK("https://klasma.github.io/Logging_2180/tillsynsmail/S 399-2022 tillsynsbegäran mail.docx", "S 399-2022")</f>
        <v/>
      </c>
    </row>
    <row r="130" ht="15" customHeight="1">
      <c r="A130" t="inlineStr">
        <is>
          <t>S 235-2025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45680</v>
      </c>
      <c r="E130" s="1" t="n">
        <v>46249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12.7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Tallticka</t>
        </is>
      </c>
      <c r="W130">
        <f>HYPERLINK("https://klasma.github.io/Logging_2180/artfynd/S 235-2025 artfynd.xlsx", "S 235-2025")</f>
        <v/>
      </c>
      <c r="X130">
        <f>HYPERLINK("https://klasma.github.io/Logging_2180/kartor/S 235-2025 karta.png", "S 235-2025")</f>
        <v/>
      </c>
      <c r="Y130">
        <f>HYPERLINK("https://klasma.github.io/Logging_2180/kartor_geotiff/S 235-2025 georefererad karta.tif", "S 235-2025")</f>
        <v/>
      </c>
      <c r="AA130">
        <f>HYPERLINK("https://klasma.github.io/Logging_2180/klagomål/S 235-2025 FSC-klagomål.docx", "S 235-2025")</f>
        <v/>
      </c>
      <c r="AB130">
        <f>HYPERLINK("https://klasma.github.io/Logging_2180/klagomålsmail/S 235-2025 FSC-klagomål mail.docx", "S 235-2025")</f>
        <v/>
      </c>
      <c r="AC130">
        <f>HYPERLINK("https://klasma.github.io/Logging_2180/tillsyn/S 235-2025 tillsynsbegäran.docx", "S 235-2025")</f>
        <v/>
      </c>
      <c r="AD130">
        <f>HYPERLINK("https://klasma.github.io/Logging_2180/tillsynsmail/S 235-2025 tillsynsbegäran mail.docx", "S 235-2025")</f>
        <v/>
      </c>
    </row>
    <row r="131" ht="15" customHeight="1">
      <c r="A131" t="inlineStr">
        <is>
          <t>S 3895-2024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45562</v>
      </c>
      <c r="E131" s="1" t="n">
        <v>46249</v>
      </c>
      <c r="F131" t="inlineStr">
        <is>
          <t>GÄVLEBORGS LÄN</t>
        </is>
      </c>
      <c r="G131" t="inlineStr">
        <is>
          <t>GÄVLE</t>
        </is>
      </c>
      <c r="I131" t="n">
        <v>14.3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16</v>
      </c>
      <c r="U131" t="n">
        <v>3</v>
      </c>
      <c r="V131" s="2" t="inlineStr">
        <is>
          <t>Väddnätfjäril</t>
        </is>
      </c>
      <c r="W131">
        <f>HYPERLINK("https://klasma.github.io/Logging_2180/artfynd/S 3895-2024 artfynd.xlsx", "S 3895-2024")</f>
        <v/>
      </c>
      <c r="X131">
        <f>HYPERLINK("https://klasma.github.io/Logging_2180/kartor/S 3895-2024 karta.png", "S 3895-2024")</f>
        <v/>
      </c>
      <c r="Y131">
        <f>HYPERLINK("https://klasma.github.io/Logging_2180/kartor_geotiff/S 3895-2024 georefererad karta.tif", "S 3895-2024")</f>
        <v/>
      </c>
      <c r="AA131">
        <f>HYPERLINK("https://klasma.github.io/Logging_2180/klagomål/S 3895-2024 FSC-klagomål.docx", "S 3895-2024")</f>
        <v/>
      </c>
      <c r="AB131">
        <f>HYPERLINK("https://klasma.github.io/Logging_2180/klagomålsmail/S 3895-2024 FSC-klagomål mail.docx", "S 3895-2024")</f>
        <v/>
      </c>
      <c r="AC131">
        <f>HYPERLINK("https://klasma.github.io/Logging_2180/tillsyn/S 3895-2024 tillsynsbegäran.docx", "S 3895-2024")</f>
        <v/>
      </c>
      <c r="AD131">
        <f>HYPERLINK("https://klasma.github.io/Logging_2180/tillsynsmail/S 3895-2024 tillsynsbegäran mail.docx", "S 3895-2024")</f>
        <v/>
      </c>
    </row>
    <row r="132" ht="15" customHeight="1">
      <c r="A132" t="inlineStr">
        <is>
          <t>S 952-2026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46113</v>
      </c>
      <c r="E132" s="1" t="n">
        <v>46249</v>
      </c>
      <c r="F132" t="inlineStr">
        <is>
          <t>GÄVLEBORGS LÄN</t>
        </is>
      </c>
      <c r="G132" t="inlineStr">
        <is>
          <t>GÄVLE</t>
        </is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0</v>
      </c>
      <c r="V132" s="2" t="inlineStr">
        <is>
          <t>Mosippa</t>
        </is>
      </c>
      <c r="W132">
        <f>HYPERLINK("https://klasma.github.io/Logging_2180/artfynd/S 952-2026 artfynd.xlsx", "S 952-2026")</f>
        <v/>
      </c>
      <c r="X132">
        <f>HYPERLINK("https://klasma.github.io/Logging_2180/kartor/S 952-2026 karta.png", "S 952-2026")</f>
        <v/>
      </c>
      <c r="Y132">
        <f>HYPERLINK("https://klasma.github.io/Logging_2180/kartor_geotiff/S 952-2026 georefererad karta.tif", "S 952-2026")</f>
        <v/>
      </c>
      <c r="AA132">
        <f>HYPERLINK("https://klasma.github.io/Logging_2180/klagomål/S 952-2026 FSC-klagomål.docx", "S 952-2026")</f>
        <v/>
      </c>
      <c r="AB132">
        <f>HYPERLINK("https://klasma.github.io/Logging_2180/klagomålsmail/S 952-2026 FSC-klagomål mail.docx", "S 952-2026")</f>
        <v/>
      </c>
      <c r="AC132">
        <f>HYPERLINK("https://klasma.github.io/Logging_2180/tillsyn/S 952-2026 tillsynsbegäran.docx", "S 952-2026")</f>
        <v/>
      </c>
      <c r="AD132">
        <f>HYPERLINK("https://klasma.github.io/Logging_2180/tillsynsmail/S 952-2026 tillsynsbegäran mail.docx", "S 952-2026")</f>
        <v/>
      </c>
    </row>
    <row r="133" ht="15" customHeight="1">
      <c r="A133" t="inlineStr">
        <is>
          <t>A 66494-2021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46249</v>
      </c>
      <c r="F133" t="inlineStr">
        <is>
          <t>GÄVLEBORGS LÄN</t>
        </is>
      </c>
      <c r="G133" t="inlineStr">
        <is>
          <t>GÄVLE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46249</v>
      </c>
      <c r="F134" t="inlineStr">
        <is>
          <t>GÄVLEBORGS LÄN</t>
        </is>
      </c>
      <c r="G134" t="inlineStr">
        <is>
          <t>GÄVLE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46249</v>
      </c>
      <c r="F135" t="inlineStr">
        <is>
          <t>GÄVLEBORGS LÄN</t>
        </is>
      </c>
      <c r="G135" t="inlineStr">
        <is>
          <t>GÄVLE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46249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11235-2022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44629</v>
      </c>
      <c r="E137" s="1" t="n">
        <v>46249</v>
      </c>
      <c r="F137" t="inlineStr">
        <is>
          <t>GÄVLEBORGS LÄN</t>
        </is>
      </c>
      <c r="G137" t="inlineStr">
        <is>
          <t>GÄVLE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44805</v>
      </c>
      <c r="E138" s="1" t="n">
        <v>46249</v>
      </c>
      <c r="F138" t="inlineStr">
        <is>
          <t>GÄVLEBORGS LÄN</t>
        </is>
      </c>
      <c r="G138" t="inlineStr">
        <is>
          <t>GÄVLE</t>
        </is>
      </c>
      <c r="H138" t="inlineStr">
        <is>
          <t>Kyrkan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46249</v>
      </c>
      <c r="F139" t="inlineStr">
        <is>
          <t>GÄVLEBORGS LÄN</t>
        </is>
      </c>
      <c r="G139" t="inlineStr">
        <is>
          <t>GÄVLE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46249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46249</v>
      </c>
      <c r="F141" t="inlineStr">
        <is>
          <t>GÄVLEBORGS LÄN</t>
        </is>
      </c>
      <c r="G141" t="inlineStr">
        <is>
          <t>GÄVLE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44462</v>
      </c>
      <c r="E142" s="1" t="n">
        <v>46249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46249</v>
      </c>
      <c r="F143" t="inlineStr">
        <is>
          <t>GÄVLEBORGS LÄN</t>
        </is>
      </c>
      <c r="G143" t="inlineStr">
        <is>
          <t>GÄVLE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44663</v>
      </c>
      <c r="E144" s="1" t="n">
        <v>46249</v>
      </c>
      <c r="F144" t="inlineStr">
        <is>
          <t>GÄVLEBORGS LÄN</t>
        </is>
      </c>
      <c r="G144" t="inlineStr">
        <is>
          <t>GÄVLE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46249</v>
      </c>
      <c r="F145" t="inlineStr">
        <is>
          <t>GÄVLEBORGS LÄN</t>
        </is>
      </c>
      <c r="G145" t="inlineStr">
        <is>
          <t>GÄVLE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46249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46249</v>
      </c>
      <c r="F147" t="inlineStr">
        <is>
          <t>GÄVLEBORGS LÄN</t>
        </is>
      </c>
      <c r="G147" t="inlineStr">
        <is>
          <t>GÄVLE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44671</v>
      </c>
      <c r="E148" s="1" t="n">
        <v>46249</v>
      </c>
      <c r="F148" t="inlineStr">
        <is>
          <t>GÄVLEBORGS LÄN</t>
        </is>
      </c>
      <c r="G148" t="inlineStr">
        <is>
          <t>GÄVLE</t>
        </is>
      </c>
      <c r="H148" t="inlineStr">
        <is>
          <t>Bergvik skog öst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46249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50389-2021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46249</v>
      </c>
      <c r="F150" t="inlineStr">
        <is>
          <t>GÄVLEBORGS LÄN</t>
        </is>
      </c>
      <c r="G150" t="inlineStr">
        <is>
          <t>GÄVLE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44654-2021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44437</v>
      </c>
      <c r="E151" s="1" t="n">
        <v>46249</v>
      </c>
      <c r="F151" t="inlineStr">
        <is>
          <t>GÄVLEBORGS LÄN</t>
        </is>
      </c>
      <c r="G151" t="inlineStr">
        <is>
          <t>GÄVLE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44599</v>
      </c>
      <c r="E152" s="1" t="n">
        <v>46249</v>
      </c>
      <c r="F152" t="inlineStr">
        <is>
          <t>GÄVLEBORGS LÄN</t>
        </is>
      </c>
      <c r="G152" t="inlineStr">
        <is>
          <t>GÄVLE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46249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46249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46249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väst AB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46249</v>
      </c>
      <c r="F156" t="inlineStr">
        <is>
          <t>GÄVLEBORGS LÄN</t>
        </is>
      </c>
      <c r="G156" t="inlineStr">
        <is>
          <t>GÄVLE</t>
        </is>
      </c>
      <c r="I156" t="n">
        <v>12.2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46249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öst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44589</v>
      </c>
      <c r="E158" s="1" t="n">
        <v>46249</v>
      </c>
      <c r="F158" t="inlineStr">
        <is>
          <t>GÄVLEBORGS LÄN</t>
        </is>
      </c>
      <c r="G158" t="inlineStr">
        <is>
          <t>GÄVLE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44445</v>
      </c>
      <c r="E159" s="1" t="n">
        <v>46249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46249</v>
      </c>
      <c r="F160" t="inlineStr">
        <is>
          <t>GÄVLEBORGS LÄN</t>
        </is>
      </c>
      <c r="G160" t="inlineStr">
        <is>
          <t>GÄVLE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46249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46249</v>
      </c>
      <c r="F162" t="inlineStr">
        <is>
          <t>GÄVLEBORGS LÄN</t>
        </is>
      </c>
      <c r="G162" t="inlineStr">
        <is>
          <t>GÄVLE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46249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46249</v>
      </c>
      <c r="F164" t="inlineStr">
        <is>
          <t>GÄVLEBORGS LÄN</t>
        </is>
      </c>
      <c r="G164" t="inlineStr">
        <is>
          <t>GÄVLE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45400</v>
      </c>
      <c r="E165" s="1" t="n">
        <v>46249</v>
      </c>
      <c r="F165" t="inlineStr">
        <is>
          <t>GÄVLEBORGS LÄN</t>
        </is>
      </c>
      <c r="G165" t="inlineStr">
        <is>
          <t>GÄVLE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46249</v>
      </c>
      <c r="F166" t="inlineStr">
        <is>
          <t>GÄVLEBORGS LÄN</t>
        </is>
      </c>
      <c r="G166" t="inlineStr">
        <is>
          <t>GÄVLE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45436</v>
      </c>
      <c r="E167" s="1" t="n">
        <v>46249</v>
      </c>
      <c r="F167" t="inlineStr">
        <is>
          <t>GÄVLEBORGS LÄN</t>
        </is>
      </c>
      <c r="G167" t="inlineStr">
        <is>
          <t>GÄVLE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44735</v>
      </c>
      <c r="E168" s="1" t="n">
        <v>46249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44701</v>
      </c>
      <c r="E169" s="1" t="n">
        <v>46249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26.3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46249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46249</v>
      </c>
      <c r="F171" t="inlineStr">
        <is>
          <t>GÄVLEBORGS LÄN</t>
        </is>
      </c>
      <c r="G171" t="inlineStr">
        <is>
          <t>GÄVLE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46249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46249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45134-2021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46249</v>
      </c>
      <c r="F174" t="inlineStr">
        <is>
          <t>GÄVLEBORGS LÄN</t>
        </is>
      </c>
      <c r="G174" t="inlineStr">
        <is>
          <t>GÄVLE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46249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44876</v>
      </c>
      <c r="E176" s="1" t="n">
        <v>46249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44448</v>
      </c>
      <c r="E177" s="1" t="n">
        <v>46249</v>
      </c>
      <c r="F177" t="inlineStr">
        <is>
          <t>GÄVLEBORGS LÄN</t>
        </is>
      </c>
      <c r="G177" t="inlineStr">
        <is>
          <t>GÄVLE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46249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46249</v>
      </c>
      <c r="F179" t="inlineStr">
        <is>
          <t>GÄVLEBORGS LÄN</t>
        </is>
      </c>
      <c r="G179" t="inlineStr">
        <is>
          <t>GÄVLE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46249</v>
      </c>
      <c r="F180" t="inlineStr">
        <is>
          <t>GÄVLEBORGS LÄN</t>
        </is>
      </c>
      <c r="G180" t="inlineStr">
        <is>
          <t>GÄVLE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27182-2022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46249</v>
      </c>
      <c r="F181" t="inlineStr">
        <is>
          <t>GÄVLEBORGS LÄN</t>
        </is>
      </c>
      <c r="G181" t="inlineStr">
        <is>
          <t>GÄVLE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45454</v>
      </c>
      <c r="E182" s="1" t="n">
        <v>46249</v>
      </c>
      <c r="F182" t="inlineStr">
        <is>
          <t>GÄVLEBORGS LÄN</t>
        </is>
      </c>
      <c r="G182" t="inlineStr">
        <is>
          <t>GÄVLE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44800</v>
      </c>
      <c r="E183" s="1" t="n">
        <v>46249</v>
      </c>
      <c r="F183" t="inlineStr">
        <is>
          <t>GÄVLEBORGS LÄN</t>
        </is>
      </c>
      <c r="G183" t="inlineStr">
        <is>
          <t>GÄVLE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45545</v>
      </c>
      <c r="E184" s="1" t="n">
        <v>46249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46249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45740</v>
      </c>
      <c r="E186" s="1" t="n">
        <v>46249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46249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46249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46249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46249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46249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61351-2021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46249</v>
      </c>
      <c r="F192" t="inlineStr">
        <is>
          <t>GÄVLEBORGS LÄN</t>
        </is>
      </c>
      <c r="G192" t="inlineStr">
        <is>
          <t>GÄVLE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44684</v>
      </c>
      <c r="E193" s="1" t="n">
        <v>46249</v>
      </c>
      <c r="F193" t="inlineStr">
        <is>
          <t>GÄVLEBORGS LÄN</t>
        </is>
      </c>
      <c r="G193" t="inlineStr">
        <is>
          <t>GÄVLE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44823</v>
      </c>
      <c r="E194" s="1" t="n">
        <v>46249</v>
      </c>
      <c r="F194" t="inlineStr">
        <is>
          <t>GÄVLEBORGS LÄN</t>
        </is>
      </c>
      <c r="G194" t="inlineStr">
        <is>
          <t>GÄVLE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46249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46249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44795</v>
      </c>
      <c r="E197" s="1" t="n">
        <v>46249</v>
      </c>
      <c r="F197" t="inlineStr">
        <is>
          <t>GÄVLEBORGS LÄN</t>
        </is>
      </c>
      <c r="G197" t="inlineStr">
        <is>
          <t>GÄVLE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46249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59515-2021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44491</v>
      </c>
      <c r="E199" s="1" t="n">
        <v>46249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44533</v>
      </c>
      <c r="E200" s="1" t="n">
        <v>46249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46249</v>
      </c>
      <c r="F201" t="inlineStr">
        <is>
          <t>GÄVLEBORGS LÄN</t>
        </is>
      </c>
      <c r="G201" t="inlineStr">
        <is>
          <t>GÄVLE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46249</v>
      </c>
      <c r="F202" t="inlineStr">
        <is>
          <t>GÄVLEBORGS LÄN</t>
        </is>
      </c>
      <c r="G202" t="inlineStr">
        <is>
          <t>GÄVLE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46249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46249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46249</v>
      </c>
      <c r="F205" t="inlineStr">
        <is>
          <t>GÄVLEBORGS LÄN</t>
        </is>
      </c>
      <c r="G205" t="inlineStr">
        <is>
          <t>GÄVLE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44942</v>
      </c>
      <c r="E206" s="1" t="n">
        <v>46249</v>
      </c>
      <c r="F206" t="inlineStr">
        <is>
          <t>GÄVLEBORGS LÄN</t>
        </is>
      </c>
      <c r="G206" t="inlineStr">
        <is>
          <t>GÄVLE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45530</v>
      </c>
      <c r="E207" s="1" t="n">
        <v>46249</v>
      </c>
      <c r="F207" t="inlineStr">
        <is>
          <t>GÄVLEBORGS LÄN</t>
        </is>
      </c>
      <c r="G207" t="inlineStr">
        <is>
          <t>GÄVLE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46249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45895</v>
      </c>
      <c r="E209" s="1" t="n">
        <v>46249</v>
      </c>
      <c r="F209" t="inlineStr">
        <is>
          <t>GÄVLEBORGS LÄN</t>
        </is>
      </c>
      <c r="G209" t="inlineStr">
        <is>
          <t>GÄVLE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46249</v>
      </c>
      <c r="F210" t="inlineStr">
        <is>
          <t>GÄVLEBORGS LÄN</t>
        </is>
      </c>
      <c r="G210" t="inlineStr">
        <is>
          <t>GÄVLE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45467</v>
      </c>
      <c r="E211" s="1" t="n">
        <v>46249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öst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46249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46249</v>
      </c>
      <c r="F213" t="inlineStr">
        <is>
          <t>GÄVLEBORGS LÄN</t>
        </is>
      </c>
      <c r="G213" t="inlineStr">
        <is>
          <t>GÄVLE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46249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46249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40882-2025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46249</v>
      </c>
      <c r="F216" t="inlineStr">
        <is>
          <t>GÄVLEBORGS LÄN</t>
        </is>
      </c>
      <c r="G216" t="inlineStr">
        <is>
          <t>GÄVLE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46249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46249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46249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46249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46249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45485</v>
      </c>
      <c r="E222" s="1" t="n">
        <v>46249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46249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47108-2024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46249</v>
      </c>
      <c r="F224" t="inlineStr">
        <is>
          <t>GÄVLEBORGS LÄN</t>
        </is>
      </c>
      <c r="G224" t="inlineStr">
        <is>
          <t>GÄVLE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46249</v>
      </c>
      <c r="F225" t="inlineStr">
        <is>
          <t>GÄVLEBORGS LÄN</t>
        </is>
      </c>
      <c r="G225" t="inlineStr">
        <is>
          <t>GÄVLE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46249</v>
      </c>
      <c r="F226" t="inlineStr">
        <is>
          <t>GÄVLEBORGS LÄN</t>
        </is>
      </c>
      <c r="G226" t="inlineStr">
        <is>
          <t>GÄVLE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46249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44845</v>
      </c>
      <c r="E228" s="1" t="n">
        <v>46249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46249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45658</v>
      </c>
      <c r="E230" s="1" t="n">
        <v>46249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46249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46249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46249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46249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46249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46249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43356-2025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46249</v>
      </c>
      <c r="F237" t="inlineStr">
        <is>
          <t>GÄVLEBORGS LÄN</t>
        </is>
      </c>
      <c r="G237" t="inlineStr">
        <is>
          <t>GÄVLE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46249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46249</v>
      </c>
      <c r="F239" t="inlineStr">
        <is>
          <t>GÄVLEBORGS LÄN</t>
        </is>
      </c>
      <c r="G239" t="inlineStr">
        <is>
          <t>GÄVLE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46249</v>
      </c>
      <c r="F240" t="inlineStr">
        <is>
          <t>GÄVLEBORGS LÄN</t>
        </is>
      </c>
      <c r="G240" t="inlineStr">
        <is>
          <t>GÄVLE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39022-2025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46249</v>
      </c>
      <c r="F241" t="inlineStr">
        <is>
          <t>GÄVLEBORGS LÄN</t>
        </is>
      </c>
      <c r="G241" t="inlineStr">
        <is>
          <t>GÄVLE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46249</v>
      </c>
      <c r="F242" t="inlineStr">
        <is>
          <t>GÄVLEBORGS LÄN</t>
        </is>
      </c>
      <c r="G242" t="inlineStr">
        <is>
          <t>GÄVLE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46249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45850-2025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45923</v>
      </c>
      <c r="E244" s="1" t="n">
        <v>46249</v>
      </c>
      <c r="F244" t="inlineStr">
        <is>
          <t>GÄVLEBORGS LÄN</t>
        </is>
      </c>
      <c r="G244" t="inlineStr">
        <is>
          <t>GÄVLE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45896</v>
      </c>
      <c r="E245" s="1" t="n">
        <v>46249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46249</v>
      </c>
      <c r="F246" t="inlineStr">
        <is>
          <t>GÄVLEBORGS LÄN</t>
        </is>
      </c>
      <c r="G246" t="inlineStr">
        <is>
          <t>GÄVLE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46249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46249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46249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46249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46249</v>
      </c>
      <c r="F251" t="inlineStr">
        <is>
          <t>GÄVLEBORGS LÄN</t>
        </is>
      </c>
      <c r="G251" t="inlineStr">
        <is>
          <t>GÄVLE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46249</v>
      </c>
      <c r="F252" t="inlineStr">
        <is>
          <t>GÄVLEBORGS LÄN</t>
        </is>
      </c>
      <c r="G252" t="inlineStr">
        <is>
          <t>GÄVLE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55976-2022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44889</v>
      </c>
      <c r="E253" s="1" t="n">
        <v>46249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46249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65879-2021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44517</v>
      </c>
      <c r="E255" s="1" t="n">
        <v>46249</v>
      </c>
      <c r="F255" t="inlineStr">
        <is>
          <t>GÄVLEBORGS LÄN</t>
        </is>
      </c>
      <c r="G255" t="inlineStr">
        <is>
          <t>GÄVLE</t>
        </is>
      </c>
      <c r="H255" t="inlineStr">
        <is>
          <t>Kyrkan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46249</v>
      </c>
      <c r="F256" t="inlineStr">
        <is>
          <t>GÄVLEBORGS LÄN</t>
        </is>
      </c>
      <c r="G256" t="inlineStr">
        <is>
          <t>GÄVLE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46249</v>
      </c>
      <c r="F257" t="inlineStr">
        <is>
          <t>GÄVLEBORGS LÄN</t>
        </is>
      </c>
      <c r="G257" t="inlineStr">
        <is>
          <t>GÄVLE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46249</v>
      </c>
      <c r="F258" t="inlineStr">
        <is>
          <t>GÄVLEBORGS LÄN</t>
        </is>
      </c>
      <c r="G258" t="inlineStr">
        <is>
          <t>GÄVLE</t>
        </is>
      </c>
      <c r="H258" t="inlineStr">
        <is>
          <t>Kyrkan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46249</v>
      </c>
      <c r="F259" t="inlineStr">
        <is>
          <t>GÄVLEBORGS LÄN</t>
        </is>
      </c>
      <c r="G259" t="inlineStr">
        <is>
          <t>GÄVLE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46249</v>
      </c>
      <c r="F260" t="inlineStr">
        <is>
          <t>GÄVLEBORGS LÄN</t>
        </is>
      </c>
      <c r="G260" t="inlineStr">
        <is>
          <t>GÄVLE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46249</v>
      </c>
      <c r="F261" t="inlineStr">
        <is>
          <t>GÄVLEBORGS LÄN</t>
        </is>
      </c>
      <c r="G261" t="inlineStr">
        <is>
          <t>GÄVLE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48002-2025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46249</v>
      </c>
      <c r="F262" t="inlineStr">
        <is>
          <t>GÄVLEBORGS LÄN</t>
        </is>
      </c>
      <c r="G262" t="inlineStr">
        <is>
          <t>GÄVLE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46249</v>
      </c>
      <c r="F263" t="inlineStr">
        <is>
          <t>GÄVLEBORGS LÄN</t>
        </is>
      </c>
      <c r="G263" t="inlineStr">
        <is>
          <t>GÄVLE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46249</v>
      </c>
      <c r="F264" t="inlineStr">
        <is>
          <t>GÄVLEBORGS LÄN</t>
        </is>
      </c>
      <c r="G264" t="inlineStr">
        <is>
          <t>GÄVLE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46249</v>
      </c>
      <c r="F265" t="inlineStr">
        <is>
          <t>GÄVLEBORGS LÄN</t>
        </is>
      </c>
      <c r="G265" t="inlineStr">
        <is>
          <t>GÄVLE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46249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46249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46249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46249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45312</v>
      </c>
      <c r="E270" s="1" t="n">
        <v>46249</v>
      </c>
      <c r="F270" t="inlineStr">
        <is>
          <t>GÄVLEBORGS LÄN</t>
        </is>
      </c>
      <c r="G270" t="inlineStr">
        <is>
          <t>GÄVLE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46249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46249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46249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46249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46249</v>
      </c>
      <c r="F275" t="inlineStr">
        <is>
          <t>GÄVLEBORGS LÄN</t>
        </is>
      </c>
      <c r="G275" t="inlineStr">
        <is>
          <t>GÄVLE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46249</v>
      </c>
      <c r="F276" t="inlineStr">
        <is>
          <t>GÄVLEBORGS LÄN</t>
        </is>
      </c>
      <c r="G276" t="inlineStr">
        <is>
          <t>GÄVLE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46249</v>
      </c>
      <c r="F277" t="inlineStr">
        <is>
          <t>GÄVLEBORGS LÄN</t>
        </is>
      </c>
      <c r="G277" t="inlineStr">
        <is>
          <t>GÄVLE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46249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46249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46249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46249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46249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46249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46249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46249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64868-2023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45282</v>
      </c>
      <c r="E286" s="1" t="n">
        <v>46249</v>
      </c>
      <c r="F286" t="inlineStr">
        <is>
          <t>GÄVLEBORGS LÄN</t>
        </is>
      </c>
      <c r="G286" t="inlineStr">
        <is>
          <t>GÄVLE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64873-2023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45282</v>
      </c>
      <c r="E287" s="1" t="n">
        <v>46249</v>
      </c>
      <c r="F287" t="inlineStr">
        <is>
          <t>GÄVLEBORGS LÄN</t>
        </is>
      </c>
      <c r="G287" t="inlineStr">
        <is>
          <t>GÄVLE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46249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45944</v>
      </c>
      <c r="E289" s="1" t="n">
        <v>46249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45944</v>
      </c>
      <c r="E290" s="1" t="n">
        <v>46249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46249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44959</v>
      </c>
      <c r="E292" s="1" t="n">
        <v>46249</v>
      </c>
      <c r="F292" t="inlineStr">
        <is>
          <t>GÄVLEBORGS LÄN</t>
        </is>
      </c>
      <c r="G292" t="inlineStr">
        <is>
          <t>GÄVLE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46249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46249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46249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46249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46249</v>
      </c>
      <c r="F297" t="inlineStr">
        <is>
          <t>GÄVLEBORGS LÄN</t>
        </is>
      </c>
      <c r="G297" t="inlineStr">
        <is>
          <t>GÄVLE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13317-2026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46249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46095</v>
      </c>
      <c r="E299" s="1" t="n">
        <v>46249</v>
      </c>
      <c r="F299" t="inlineStr">
        <is>
          <t>GÄVLEBORGS LÄN</t>
        </is>
      </c>
      <c r="G299" t="inlineStr">
        <is>
          <t>GÄVLE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46249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46249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46249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46249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46249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44693</v>
      </c>
      <c r="E305" s="1" t="n">
        <v>46249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46249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46249</v>
      </c>
      <c r="F307" t="inlineStr">
        <is>
          <t>GÄVLEBORGS LÄN</t>
        </is>
      </c>
      <c r="G307" t="inlineStr">
        <is>
          <t>GÄVLE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46249</v>
      </c>
      <c r="F308" t="inlineStr">
        <is>
          <t>GÄVLEBORGS LÄN</t>
        </is>
      </c>
      <c r="G308" t="inlineStr">
        <is>
          <t>GÄVLE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15444-2024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46249</v>
      </c>
      <c r="F309" t="inlineStr">
        <is>
          <t>GÄVLEBORGS LÄN</t>
        </is>
      </c>
      <c r="G309" t="inlineStr">
        <is>
          <t>GÄVLE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45526</v>
      </c>
      <c r="E310" s="1" t="n">
        <v>46249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46249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46249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45950</v>
      </c>
      <c r="E313" s="1" t="n">
        <v>46249</v>
      </c>
      <c r="F313" t="inlineStr">
        <is>
          <t>GÄVLEBORGS LÄN</t>
        </is>
      </c>
      <c r="G313" t="inlineStr">
        <is>
          <t>GÄVLE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46249</v>
      </c>
      <c r="F314" t="inlineStr">
        <is>
          <t>GÄVLEBORGS LÄN</t>
        </is>
      </c>
      <c r="G314" t="inlineStr">
        <is>
          <t>GÄVLE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46249</v>
      </c>
      <c r="F315" t="inlineStr">
        <is>
          <t>GÄVLEBORGS LÄN</t>
        </is>
      </c>
      <c r="G315" t="inlineStr">
        <is>
          <t>GÄVLE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46249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46249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44806-2024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46249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45953</v>
      </c>
      <c r="E319" s="1" t="n">
        <v>46249</v>
      </c>
      <c r="F319" t="inlineStr">
        <is>
          <t>GÄVLEBORGS LÄN</t>
        </is>
      </c>
      <c r="G319" t="inlineStr">
        <is>
          <t>GÄVLE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46249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46249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46249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45019</v>
      </c>
      <c r="E323" s="1" t="n">
        <v>46249</v>
      </c>
      <c r="F323" t="inlineStr">
        <is>
          <t>GÄVLEBORGS LÄN</t>
        </is>
      </c>
      <c r="G323" t="inlineStr">
        <is>
          <t>GÄVLE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47458-2022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44853</v>
      </c>
      <c r="E324" s="1" t="n">
        <v>46249</v>
      </c>
      <c r="F324" t="inlineStr">
        <is>
          <t>GÄVLEBORGS LÄN</t>
        </is>
      </c>
      <c r="G324" t="inlineStr">
        <is>
          <t>GÄVLE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46249</v>
      </c>
      <c r="F325" t="inlineStr">
        <is>
          <t>GÄVLEBORGS LÄN</t>
        </is>
      </c>
      <c r="G325" t="inlineStr">
        <is>
          <t>GÄVLE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45652</v>
      </c>
      <c r="E326" s="1" t="n">
        <v>46249</v>
      </c>
      <c r="F326" t="inlineStr">
        <is>
          <t>GÄVLEBORGS LÄN</t>
        </is>
      </c>
      <c r="G326" t="inlineStr">
        <is>
          <t>GÄVLE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19095-2022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44691</v>
      </c>
      <c r="E327" s="1" t="n">
        <v>46249</v>
      </c>
      <c r="F327" t="inlineStr">
        <is>
          <t>GÄVLEBORGS LÄN</t>
        </is>
      </c>
      <c r="G327" t="inlineStr">
        <is>
          <t>GÄVLE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46249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18017-2023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45040</v>
      </c>
      <c r="E329" s="1" t="n">
        <v>46249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46249</v>
      </c>
      <c r="F330" t="inlineStr">
        <is>
          <t>GÄVLEBORGS LÄN</t>
        </is>
      </c>
      <c r="G330" t="inlineStr">
        <is>
          <t>GÄVLE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52970-2025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45957</v>
      </c>
      <c r="E331" s="1" t="n">
        <v>46249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46249</v>
      </c>
      <c r="F332" t="inlineStr">
        <is>
          <t>GÄVLEBORGS LÄN</t>
        </is>
      </c>
      <c r="G332" t="inlineStr">
        <is>
          <t>GÄVLE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46249</v>
      </c>
      <c r="F333" t="inlineStr">
        <is>
          <t>GÄVLEBORGS LÄN</t>
        </is>
      </c>
      <c r="G333" t="inlineStr">
        <is>
          <t>GÄVLE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46249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46249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44951</v>
      </c>
      <c r="E336" s="1" t="n">
        <v>46249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46249</v>
      </c>
      <c r="F337" t="inlineStr">
        <is>
          <t>GÄVLEBORGS LÄN</t>
        </is>
      </c>
      <c r="G337" t="inlineStr">
        <is>
          <t>GÄVLE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46249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46249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46249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46249</v>
      </c>
      <c r="F341" t="inlineStr">
        <is>
          <t>GÄVLEBORGS LÄN</t>
        </is>
      </c>
      <c r="G341" t="inlineStr">
        <is>
          <t>GÄVLE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46249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64871-2023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45282</v>
      </c>
      <c r="E343" s="1" t="n">
        <v>46249</v>
      </c>
      <c r="F343" t="inlineStr">
        <is>
          <t>GÄVLEBORGS LÄN</t>
        </is>
      </c>
      <c r="G343" t="inlineStr">
        <is>
          <t>GÄVLE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64875-2023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45282</v>
      </c>
      <c r="E344" s="1" t="n">
        <v>46249</v>
      </c>
      <c r="F344" t="inlineStr">
        <is>
          <t>GÄVLEBORGS LÄN</t>
        </is>
      </c>
      <c r="G344" t="inlineStr">
        <is>
          <t>GÄVLE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46249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46249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45726</v>
      </c>
      <c r="E347" s="1" t="n">
        <v>46249</v>
      </c>
      <c r="F347" t="inlineStr">
        <is>
          <t>GÄVLEBORGS LÄN</t>
        </is>
      </c>
      <c r="G347" t="inlineStr">
        <is>
          <t>GÄVLE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46249</v>
      </c>
      <c r="F348" t="inlineStr">
        <is>
          <t>GÄVLEBORGS LÄN</t>
        </is>
      </c>
      <c r="G348" t="inlineStr">
        <is>
          <t>GÄVLE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46249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22577-2022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44713</v>
      </c>
      <c r="E350" s="1" t="n">
        <v>46249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46249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46249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45611</v>
      </c>
      <c r="E353" s="1" t="n">
        <v>46249</v>
      </c>
      <c r="F353" t="inlineStr">
        <is>
          <t>GÄVLEBORGS LÄN</t>
        </is>
      </c>
      <c r="G353" t="inlineStr">
        <is>
          <t>GÄVLE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45330</v>
      </c>
      <c r="E354" s="1" t="n">
        <v>46249</v>
      </c>
      <c r="F354" t="inlineStr">
        <is>
          <t>GÄVLEBORGS LÄN</t>
        </is>
      </c>
      <c r="G354" t="inlineStr">
        <is>
          <t>GÄVLE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46249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46249</v>
      </c>
      <c r="F356" t="inlineStr">
        <is>
          <t>GÄVLEBORGS LÄN</t>
        </is>
      </c>
      <c r="G356" t="inlineStr">
        <is>
          <t>GÄVLE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46249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46249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46249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45967</v>
      </c>
      <c r="E360" s="1" t="n">
        <v>46249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55221-2025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46249</v>
      </c>
      <c r="F361" t="inlineStr">
        <is>
          <t>GÄVLEBORGS LÄN</t>
        </is>
      </c>
      <c r="G361" t="inlineStr">
        <is>
          <t>GÄVLE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45967</v>
      </c>
      <c r="E362" s="1" t="n">
        <v>46249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66493-2021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44519</v>
      </c>
      <c r="E363" s="1" t="n">
        <v>46249</v>
      </c>
      <c r="F363" t="inlineStr">
        <is>
          <t>GÄVLEBORGS LÄN</t>
        </is>
      </c>
      <c r="G363" t="inlineStr">
        <is>
          <t>GÄVLE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44603</v>
      </c>
      <c r="E364" s="1" t="n">
        <v>46249</v>
      </c>
      <c r="F364" t="inlineStr">
        <is>
          <t>GÄVLEBORGS LÄN</t>
        </is>
      </c>
      <c r="G364" t="inlineStr">
        <is>
          <t>GÄVLE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44973</v>
      </c>
      <c r="E365" s="1" t="n">
        <v>46249</v>
      </c>
      <c r="F365" t="inlineStr">
        <is>
          <t>GÄVLEBORGS LÄN</t>
        </is>
      </c>
      <c r="G365" t="inlineStr">
        <is>
          <t>GÄVLE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21795-2022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44708</v>
      </c>
      <c r="E366" s="1" t="n">
        <v>46249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46249</v>
      </c>
      <c r="F367" t="inlineStr">
        <is>
          <t>GÄVLEBORGS LÄN</t>
        </is>
      </c>
      <c r="G367" t="inlineStr">
        <is>
          <t>GÄVLE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46249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46249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46249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46249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46249</v>
      </c>
      <c r="F372" t="inlineStr">
        <is>
          <t>GÄVLEBORGS LÄN</t>
        </is>
      </c>
      <c r="G372" t="inlineStr">
        <is>
          <t>GÄVLE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46249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46249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46249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46249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46249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46249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46249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46249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46249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46249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45462</v>
      </c>
      <c r="E383" s="1" t="n">
        <v>46249</v>
      </c>
      <c r="F383" t="inlineStr">
        <is>
          <t>GÄVLEBORGS LÄN</t>
        </is>
      </c>
      <c r="G383" t="inlineStr">
        <is>
          <t>GÄVLE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25593-2024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46249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46249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46249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46249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44959</v>
      </c>
      <c r="E388" s="1" t="n">
        <v>46249</v>
      </c>
      <c r="F388" t="inlineStr">
        <is>
          <t>GÄVLEBORGS LÄN</t>
        </is>
      </c>
      <c r="G388" t="inlineStr">
        <is>
          <t>GÄVLE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60442-2022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44911</v>
      </c>
      <c r="E389" s="1" t="n">
        <v>46249</v>
      </c>
      <c r="F389" t="inlineStr">
        <is>
          <t>GÄVLEBORGS LÄN</t>
        </is>
      </c>
      <c r="G389" t="inlineStr">
        <is>
          <t>GÄVLE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26334-2022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44735</v>
      </c>
      <c r="E390" s="1" t="n">
        <v>46249</v>
      </c>
      <c r="F390" t="inlineStr">
        <is>
          <t>GÄVLEBORGS LÄN</t>
        </is>
      </c>
      <c r="G390" t="inlineStr">
        <is>
          <t>GÄVLE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46249</v>
      </c>
      <c r="F391" t="inlineStr">
        <is>
          <t>GÄVLEBORGS LÄN</t>
        </is>
      </c>
      <c r="G391" t="inlineStr">
        <is>
          <t>GÄVLE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46249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46077</v>
      </c>
      <c r="E393" s="1" t="n">
        <v>46249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46249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17695-2026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46249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46249</v>
      </c>
      <c r="F396" t="inlineStr">
        <is>
          <t>GÄVLEBORGS LÄN</t>
        </is>
      </c>
      <c r="G396" t="inlineStr">
        <is>
          <t>GÄVLE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46124</v>
      </c>
      <c r="E397" s="1" t="n">
        <v>46249</v>
      </c>
      <c r="F397" t="inlineStr">
        <is>
          <t>GÄVLEBORGS LÄN</t>
        </is>
      </c>
      <c r="G397" t="inlineStr">
        <is>
          <t>GÄVLE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17975-2026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46124</v>
      </c>
      <c r="E398" s="1" t="n">
        <v>46249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46124</v>
      </c>
      <c r="E399" s="1" t="n">
        <v>46249</v>
      </c>
      <c r="F399" t="inlineStr">
        <is>
          <t>GÄVLEBORGS LÄN</t>
        </is>
      </c>
      <c r="G399" t="inlineStr">
        <is>
          <t>GÄVLE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46249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43742-2025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45912</v>
      </c>
      <c r="E401" s="1" t="n">
        <v>46249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43774-2025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46249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45922</v>
      </c>
      <c r="E403" s="1" t="n">
        <v>46249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45548-2025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45922</v>
      </c>
      <c r="E404" s="1" t="n">
        <v>46249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45034</v>
      </c>
      <c r="E405" s="1" t="n">
        <v>46249</v>
      </c>
      <c r="F405" t="inlineStr">
        <is>
          <t>GÄVLEBORGS LÄN</t>
        </is>
      </c>
      <c r="G405" t="inlineStr">
        <is>
          <t>GÄVLE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46249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46249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46249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43771-2025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45912</v>
      </c>
      <c r="E409" s="1" t="n">
        <v>46249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43780-2025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45912</v>
      </c>
      <c r="E410" s="1" t="n">
        <v>46249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46249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46249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45987</v>
      </c>
      <c r="E413" s="1" t="n">
        <v>46249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46249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43764-2025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45912</v>
      </c>
      <c r="E415" s="1" t="n">
        <v>46249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46249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46249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46249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46124</v>
      </c>
      <c r="E419" s="1" t="n">
        <v>46249</v>
      </c>
      <c r="F419" t="inlineStr">
        <is>
          <t>GÄVLEBORGS LÄN</t>
        </is>
      </c>
      <c r="G419" t="inlineStr">
        <is>
          <t>GÄVLE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46249</v>
      </c>
      <c r="F420" t="inlineStr">
        <is>
          <t>GÄVLEBORGS LÄN</t>
        </is>
      </c>
      <c r="G420" t="inlineStr">
        <is>
          <t>GÄVLE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44693</v>
      </c>
      <c r="E421" s="1" t="n">
        <v>46249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46249</v>
      </c>
      <c r="F422" t="inlineStr">
        <is>
          <t>GÄVLEBORGS LÄN</t>
        </is>
      </c>
      <c r="G422" t="inlineStr">
        <is>
          <t>GÄVLE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46249</v>
      </c>
      <c r="F423" t="inlineStr">
        <is>
          <t>GÄVLEBORGS LÄN</t>
        </is>
      </c>
      <c r="G423" t="inlineStr">
        <is>
          <t>GÄVLE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46249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46249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46249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46249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46249</v>
      </c>
      <c r="F428" t="inlineStr">
        <is>
          <t>GÄVLEBORGS LÄN</t>
        </is>
      </c>
      <c r="G428" t="inlineStr">
        <is>
          <t>GÄVLE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46249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36.3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46249</v>
      </c>
      <c r="F430" t="inlineStr">
        <is>
          <t>GÄVLEBORGS LÄN</t>
        </is>
      </c>
      <c r="G430" t="inlineStr">
        <is>
          <t>GÄVLE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46249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46249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45089</v>
      </c>
      <c r="E433" s="1" t="n">
        <v>46249</v>
      </c>
      <c r="F433" t="inlineStr">
        <is>
          <t>GÄVLEBORGS LÄN</t>
        </is>
      </c>
      <c r="G433" t="inlineStr">
        <is>
          <t>GÄVLE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46249</v>
      </c>
      <c r="F434" t="inlineStr">
        <is>
          <t>GÄVLEBORGS LÄN</t>
        </is>
      </c>
      <c r="G434" t="inlineStr">
        <is>
          <t>GÄVLE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46249</v>
      </c>
      <c r="F435" t="inlineStr">
        <is>
          <t>GÄVLEBORGS LÄN</t>
        </is>
      </c>
      <c r="G435" t="inlineStr">
        <is>
          <t>GÄVLE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46031</v>
      </c>
      <c r="E436" s="1" t="n">
        <v>46249</v>
      </c>
      <c r="F436" t="inlineStr">
        <is>
          <t>GÄVLEBORGS LÄN</t>
        </is>
      </c>
      <c r="G436" t="inlineStr">
        <is>
          <t>GÄVLE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60532-2025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45995</v>
      </c>
      <c r="E437" s="1" t="n">
        <v>46249</v>
      </c>
      <c r="F437" t="inlineStr">
        <is>
          <t>GÄVLEBORGS LÄN</t>
        </is>
      </c>
      <c r="G437" t="inlineStr">
        <is>
          <t>GÄVLE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45968</v>
      </c>
      <c r="E438" s="1" t="n">
        <v>46249</v>
      </c>
      <c r="F438" t="inlineStr">
        <is>
          <t>GÄVLEBORGS LÄN</t>
        </is>
      </c>
      <c r="G438" t="inlineStr">
        <is>
          <t>GÄVLE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45672</v>
      </c>
      <c r="E439" s="1" t="n">
        <v>46249</v>
      </c>
      <c r="F439" t="inlineStr">
        <is>
          <t>GÄVLEBORGS LÄN</t>
        </is>
      </c>
      <c r="G439" t="inlineStr">
        <is>
          <t>GÄVLE</t>
        </is>
      </c>
      <c r="H439" t="inlineStr">
        <is>
          <t>Kyrkan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60364-2025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45995</v>
      </c>
      <c r="E440" s="1" t="n">
        <v>46249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46249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46249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44936</v>
      </c>
      <c r="E443" s="1" t="n">
        <v>46249</v>
      </c>
      <c r="F443" t="inlineStr">
        <is>
          <t>GÄVLEBORGS LÄN</t>
        </is>
      </c>
      <c r="G443" t="inlineStr">
        <is>
          <t>GÄVLE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46249</v>
      </c>
      <c r="F444" t="inlineStr">
        <is>
          <t>GÄVLEBORGS LÄN</t>
        </is>
      </c>
      <c r="G444" t="inlineStr">
        <is>
          <t>GÄVLE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66351-2021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44518</v>
      </c>
      <c r="E445" s="1" t="n">
        <v>46249</v>
      </c>
      <c r="F445" t="inlineStr">
        <is>
          <t>GÄVLEBORGS LÄN</t>
        </is>
      </c>
      <c r="G445" t="inlineStr">
        <is>
          <t>GÄVLE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46249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46249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46249</v>
      </c>
      <c r="F448" t="inlineStr">
        <is>
          <t>GÄVLEBORGS LÄN</t>
        </is>
      </c>
      <c r="G448" t="inlineStr">
        <is>
          <t>GÄVLE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45158</v>
      </c>
      <c r="E449" s="1" t="n">
        <v>46249</v>
      </c>
      <c r="F449" t="inlineStr">
        <is>
          <t>GÄVLEBORGS LÄN</t>
        </is>
      </c>
      <c r="G449" t="inlineStr">
        <is>
          <t>GÄVLE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45158</v>
      </c>
      <c r="E450" s="1" t="n">
        <v>46249</v>
      </c>
      <c r="F450" t="inlineStr">
        <is>
          <t>GÄVLEBORGS LÄN</t>
        </is>
      </c>
      <c r="G450" t="inlineStr">
        <is>
          <t>GÄVLE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46249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24724-2023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45084</v>
      </c>
      <c r="E452" s="1" t="n">
        <v>46249</v>
      </c>
      <c r="F452" t="inlineStr">
        <is>
          <t>GÄVLEBORGS LÄN</t>
        </is>
      </c>
      <c r="G452" t="inlineStr">
        <is>
          <t>GÄVLE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14750-2022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44656</v>
      </c>
      <c r="E453" s="1" t="n">
        <v>46249</v>
      </c>
      <c r="F453" t="inlineStr">
        <is>
          <t>GÄVLEBORGS LÄN</t>
        </is>
      </c>
      <c r="G453" t="inlineStr">
        <is>
          <t>GÄVLE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46002</v>
      </c>
      <c r="E454" s="1" t="n">
        <v>46249</v>
      </c>
      <c r="F454" t="inlineStr">
        <is>
          <t>GÄVLEBORGS LÄN</t>
        </is>
      </c>
      <c r="G454" t="inlineStr">
        <is>
          <t>GÄVLE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46002</v>
      </c>
      <c r="E455" s="1" t="n">
        <v>46249</v>
      </c>
      <c r="F455" t="inlineStr">
        <is>
          <t>GÄVLEBORGS LÄN</t>
        </is>
      </c>
      <c r="G455" t="inlineStr">
        <is>
          <t>GÄVLE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46249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46249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46249</v>
      </c>
      <c r="F458" t="inlineStr">
        <is>
          <t>GÄVLEBORGS LÄN</t>
        </is>
      </c>
      <c r="G458" t="inlineStr">
        <is>
          <t>GÄVLE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45631</v>
      </c>
      <c r="E459" s="1" t="n">
        <v>46249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19087-2026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46249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53432-2021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44468</v>
      </c>
      <c r="E461" s="1" t="n">
        <v>46249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45397</v>
      </c>
      <c r="E462" s="1" t="n">
        <v>46249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61449-2025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46001</v>
      </c>
      <c r="E463" s="1" t="n">
        <v>46249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44922</v>
      </c>
      <c r="E464" s="1" t="n">
        <v>46249</v>
      </c>
      <c r="F464" t="inlineStr">
        <is>
          <t>GÄVLEBORGS LÄN</t>
        </is>
      </c>
      <c r="G464" t="inlineStr">
        <is>
          <t>GÄVLE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61880-2025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46249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62226-2025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46249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46003</v>
      </c>
      <c r="E467" s="1" t="n">
        <v>46249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45089</v>
      </c>
      <c r="E468" s="1" t="n">
        <v>46249</v>
      </c>
      <c r="F468" t="inlineStr">
        <is>
          <t>GÄVLEBORGS LÄN</t>
        </is>
      </c>
      <c r="G468" t="inlineStr">
        <is>
          <t>GÄVLE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44694</v>
      </c>
      <c r="E469" s="1" t="n">
        <v>46249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19372-2026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46249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46249</v>
      </c>
      <c r="F471" t="inlineStr">
        <is>
          <t>GÄVLEBORGS LÄN</t>
        </is>
      </c>
      <c r="G471" t="inlineStr">
        <is>
          <t>GÄVLE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46249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14173-2022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44651</v>
      </c>
      <c r="E473" s="1" t="n">
        <v>46249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19370-2026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46133</v>
      </c>
      <c r="E474" s="1" t="n">
        <v>46249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46133</v>
      </c>
      <c r="E475" s="1" t="n">
        <v>46249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9307-2022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44616</v>
      </c>
      <c r="E476" s="1" t="n">
        <v>46249</v>
      </c>
      <c r="F476" t="inlineStr">
        <is>
          <t>GÄVLEBORGS LÄN</t>
        </is>
      </c>
      <c r="G476" t="inlineStr">
        <is>
          <t>GÄVLE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46249</v>
      </c>
      <c r="F477" t="inlineStr">
        <is>
          <t>GÄVLEBORGS LÄN</t>
        </is>
      </c>
      <c r="G477" t="inlineStr">
        <is>
          <t>GÄVLE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46249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46249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46249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46249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46249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31062-2023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45113</v>
      </c>
      <c r="E483" s="1" t="n">
        <v>46249</v>
      </c>
      <c r="F483" t="inlineStr">
        <is>
          <t>GÄVLEBORGS LÄN</t>
        </is>
      </c>
      <c r="G483" t="inlineStr">
        <is>
          <t>GÄVLE</t>
        </is>
      </c>
      <c r="H483" t="inlineStr">
        <is>
          <t>Kommuner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46249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44962</v>
      </c>
      <c r="E485" s="1" t="n">
        <v>46249</v>
      </c>
      <c r="F485" t="inlineStr">
        <is>
          <t>GÄVLEBORGS LÄN</t>
        </is>
      </c>
      <c r="G485" t="inlineStr">
        <is>
          <t>GÄVLE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46100</v>
      </c>
      <c r="E486" s="1" t="n">
        <v>46249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45915</v>
      </c>
      <c r="E487" s="1" t="n">
        <v>46249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45630</v>
      </c>
      <c r="E488" s="1" t="n">
        <v>46249</v>
      </c>
      <c r="F488" t="inlineStr">
        <is>
          <t>GÄVLEBORGS LÄN</t>
        </is>
      </c>
      <c r="G488" t="inlineStr">
        <is>
          <t>GÄVLE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46134</v>
      </c>
      <c r="E489" s="1" t="n">
        <v>46249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19716-2026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46134</v>
      </c>
      <c r="E490" s="1" t="n">
        <v>46249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43556-2023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46249</v>
      </c>
      <c r="F491" t="inlineStr">
        <is>
          <t>GÄVLEBORGS LÄN</t>
        </is>
      </c>
      <c r="G491" t="inlineStr">
        <is>
          <t>GÄVLE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46019</v>
      </c>
      <c r="E492" s="1" t="n">
        <v>46249</v>
      </c>
      <c r="F492" t="inlineStr">
        <is>
          <t>GÄVLEBORGS LÄN</t>
        </is>
      </c>
      <c r="G492" t="inlineStr">
        <is>
          <t>GÄVLE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45967</v>
      </c>
      <c r="E493" s="1" t="n">
        <v>46249</v>
      </c>
      <c r="F493" t="inlineStr">
        <is>
          <t>GÄVLEBORGS LÄN</t>
        </is>
      </c>
      <c r="G493" t="inlineStr">
        <is>
          <t>GÄVLE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47694-2025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46249</v>
      </c>
      <c r="F494" t="inlineStr">
        <is>
          <t>GÄVLEBORGS LÄN</t>
        </is>
      </c>
      <c r="G494" t="inlineStr">
        <is>
          <t>GÄVLE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46249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48864-2025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45937</v>
      </c>
      <c r="E496" s="1" t="n">
        <v>46249</v>
      </c>
      <c r="F496" t="inlineStr">
        <is>
          <t>GÄVLEBORGS LÄN</t>
        </is>
      </c>
      <c r="G496" t="inlineStr">
        <is>
          <t>GÄVLE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19730-2022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44694</v>
      </c>
      <c r="E497" s="1" t="n">
        <v>46249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45855</v>
      </c>
      <c r="E498" s="1" t="n">
        <v>46249</v>
      </c>
      <c r="F498" t="inlineStr">
        <is>
          <t>GÄVLEBORGS LÄN</t>
        </is>
      </c>
      <c r="G498" t="inlineStr">
        <is>
          <t>GÄVLE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46019</v>
      </c>
      <c r="E499" s="1" t="n">
        <v>46249</v>
      </c>
      <c r="F499" t="inlineStr">
        <is>
          <t>GÄVLEBORGS LÄN</t>
        </is>
      </c>
      <c r="G499" t="inlineStr">
        <is>
          <t>GÄVLE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42788-2025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45908</v>
      </c>
      <c r="E500" s="1" t="n">
        <v>46249</v>
      </c>
      <c r="F500" t="inlineStr">
        <is>
          <t>GÄVLEBORGS LÄN</t>
        </is>
      </c>
      <c r="G500" t="inlineStr">
        <is>
          <t>GÄVLE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46249</v>
      </c>
      <c r="F501" t="inlineStr">
        <is>
          <t>GÄVLEBORGS LÄN</t>
        </is>
      </c>
      <c r="G501" t="inlineStr">
        <is>
          <t>GÄVLE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46249</v>
      </c>
      <c r="F502" t="inlineStr">
        <is>
          <t>GÄVLEBORGS LÄN</t>
        </is>
      </c>
      <c r="G502" t="inlineStr">
        <is>
          <t>GÄVLE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48928-2025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46249</v>
      </c>
      <c r="F503" t="inlineStr">
        <is>
          <t>GÄVLEBORGS LÄN</t>
        </is>
      </c>
      <c r="G503" t="inlineStr">
        <is>
          <t>GÄVLE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45908</v>
      </c>
      <c r="E504" s="1" t="n">
        <v>46249</v>
      </c>
      <c r="F504" t="inlineStr">
        <is>
          <t>GÄVLEBORGS LÄN</t>
        </is>
      </c>
      <c r="G504" t="inlineStr">
        <is>
          <t>GÄVLE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64142-2025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46022</v>
      </c>
      <c r="E505" s="1" t="n">
        <v>46249</v>
      </c>
      <c r="F505" t="inlineStr">
        <is>
          <t>GÄVLEBORGS LÄN</t>
        </is>
      </c>
      <c r="G505" t="inlineStr">
        <is>
          <t>GÄVLE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46249</v>
      </c>
      <c r="F506" t="inlineStr">
        <is>
          <t>GÄVLEBORGS LÄN</t>
        </is>
      </c>
      <c r="G506" t="inlineStr">
        <is>
          <t>GÄVLE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45422</v>
      </c>
      <c r="E507" s="1" t="n">
        <v>46249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46249</v>
      </c>
      <c r="F508" t="inlineStr">
        <is>
          <t>GÄVLEBORGS LÄN</t>
        </is>
      </c>
      <c r="G508" t="inlineStr">
        <is>
          <t>GÄVLE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45632</v>
      </c>
      <c r="E509" s="1" t="n">
        <v>46249</v>
      </c>
      <c r="F509" t="inlineStr">
        <is>
          <t>GÄVLEBORGS LÄN</t>
        </is>
      </c>
      <c r="G509" t="inlineStr">
        <is>
          <t>GÄVLE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46249</v>
      </c>
      <c r="F510" t="inlineStr">
        <is>
          <t>GÄVLEBORGS LÄN</t>
        </is>
      </c>
      <c r="G510" t="inlineStr">
        <is>
          <t>GÄVLE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45660</v>
      </c>
      <c r="E511" s="1" t="n">
        <v>46249</v>
      </c>
      <c r="F511" t="inlineStr">
        <is>
          <t>GÄVLEBORGS LÄN</t>
        </is>
      </c>
      <c r="G511" t="inlineStr">
        <is>
          <t>GÄVLE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46249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44927</v>
      </c>
      <c r="E513" s="1" t="n">
        <v>46249</v>
      </c>
      <c r="F513" t="inlineStr">
        <is>
          <t>GÄVLEBORGS LÄN</t>
        </is>
      </c>
      <c r="G513" t="inlineStr">
        <is>
          <t>GÄVLE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45125</v>
      </c>
      <c r="E514" s="1" t="n">
        <v>46249</v>
      </c>
      <c r="F514" t="inlineStr">
        <is>
          <t>GÄVLEBORGS LÄN</t>
        </is>
      </c>
      <c r="G514" t="inlineStr">
        <is>
          <t>GÄVLE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64878-2023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45282</v>
      </c>
      <c r="E515" s="1" t="n">
        <v>46249</v>
      </c>
      <c r="F515" t="inlineStr">
        <is>
          <t>GÄVLEBORGS LÄN</t>
        </is>
      </c>
      <c r="G515" t="inlineStr">
        <is>
          <t>GÄVLE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29923-2022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44756</v>
      </c>
      <c r="E516" s="1" t="n">
        <v>46249</v>
      </c>
      <c r="F516" t="inlineStr">
        <is>
          <t>GÄVLEBORGS LÄN</t>
        </is>
      </c>
      <c r="G516" t="inlineStr">
        <is>
          <t>GÄVLE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29927-2022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44756</v>
      </c>
      <c r="E517" s="1" t="n">
        <v>46249</v>
      </c>
      <c r="F517" t="inlineStr">
        <is>
          <t>GÄVLEBORGS LÄN</t>
        </is>
      </c>
      <c r="G517" t="inlineStr">
        <is>
          <t>GÄVLE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45869</v>
      </c>
      <c r="E518" s="1" t="n">
        <v>46249</v>
      </c>
      <c r="F518" t="inlineStr">
        <is>
          <t>GÄVLEBORGS LÄN</t>
        </is>
      </c>
      <c r="G518" t="inlineStr">
        <is>
          <t>GÄVLE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46249</v>
      </c>
      <c r="F519" t="inlineStr">
        <is>
          <t>GÄVLEBORGS LÄN</t>
        </is>
      </c>
      <c r="G519" t="inlineStr">
        <is>
          <t>GÄVLE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45862</v>
      </c>
      <c r="E520" s="1" t="n">
        <v>46249</v>
      </c>
      <c r="F520" t="inlineStr">
        <is>
          <t>GÄVLEBORGS LÄN</t>
        </is>
      </c>
      <c r="G520" t="inlineStr">
        <is>
          <t>GÄVLE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46249</v>
      </c>
      <c r="F521" t="inlineStr">
        <is>
          <t>GÄVLEBORGS LÄN</t>
        </is>
      </c>
      <c r="G521" t="inlineStr">
        <is>
          <t>GÄVLE</t>
        </is>
      </c>
      <c r="H521" t="inlineStr">
        <is>
          <t>Kyrkan</t>
        </is>
      </c>
      <c r="I521" t="n">
        <v>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44600</v>
      </c>
      <c r="E522" s="1" t="n">
        <v>46249</v>
      </c>
      <c r="F522" t="inlineStr">
        <is>
          <t>GÄVLEBORGS LÄN</t>
        </is>
      </c>
      <c r="G522" t="inlineStr">
        <is>
          <t>GÄVLE</t>
        </is>
      </c>
      <c r="H522" t="inlineStr">
        <is>
          <t>Kyrkan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45652</v>
      </c>
      <c r="E523" s="1" t="n">
        <v>46249</v>
      </c>
      <c r="F523" t="inlineStr">
        <is>
          <t>GÄVLEBORGS LÄN</t>
        </is>
      </c>
      <c r="G523" t="inlineStr">
        <is>
          <t>GÄVLE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46249</v>
      </c>
      <c r="F524" t="inlineStr">
        <is>
          <t>GÄVLEBORGS LÄN</t>
        </is>
      </c>
      <c r="G524" t="inlineStr">
        <is>
          <t>GÄVLE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61878-2025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46249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44616</v>
      </c>
      <c r="E526" s="1" t="n">
        <v>46249</v>
      </c>
      <c r="F526" t="inlineStr">
        <is>
          <t>GÄVLEBORGS LÄN</t>
        </is>
      </c>
      <c r="G526" t="inlineStr">
        <is>
          <t>GÄVLE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35205-2024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46249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46077</v>
      </c>
      <c r="E528" s="1" t="n">
        <v>46249</v>
      </c>
      <c r="F528" t="inlineStr">
        <is>
          <t>GÄVLEBORGS LÄN</t>
        </is>
      </c>
      <c r="G528" t="inlineStr">
        <is>
          <t>GÄVLE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45146</v>
      </c>
      <c r="E529" s="1" t="n">
        <v>46249</v>
      </c>
      <c r="F529" t="inlineStr">
        <is>
          <t>GÄVLEBORGS LÄN</t>
        </is>
      </c>
      <c r="G529" t="inlineStr">
        <is>
          <t>GÄVLE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15536-2026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46249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52495-2021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44466</v>
      </c>
      <c r="E531" s="1" t="n">
        <v>46249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46249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16076-2026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46249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45744</v>
      </c>
      <c r="E534" s="1" t="n">
        <v>46249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45034</v>
      </c>
      <c r="E535" s="1" t="n">
        <v>46249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46249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46249</v>
      </c>
      <c r="F537" t="inlineStr">
        <is>
          <t>GÄVLEBORGS LÄN</t>
        </is>
      </c>
      <c r="G537" t="inlineStr">
        <is>
          <t>GÄVLE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45120</v>
      </c>
      <c r="E538" s="1" t="n">
        <v>46249</v>
      </c>
      <c r="F538" t="inlineStr">
        <is>
          <t>GÄVLEBORGS LÄN</t>
        </is>
      </c>
      <c r="G538" t="inlineStr">
        <is>
          <t>GÄVLE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26094-2025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45805</v>
      </c>
      <c r="E539" s="1" t="n">
        <v>46249</v>
      </c>
      <c r="F539" t="inlineStr">
        <is>
          <t>GÄVLEBORGS LÄN</t>
        </is>
      </c>
      <c r="G539" t="inlineStr">
        <is>
          <t>GÄVLE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46249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15324-2026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46249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44942</v>
      </c>
      <c r="E542" s="1" t="n">
        <v>46249</v>
      </c>
      <c r="F542" t="inlineStr">
        <is>
          <t>GÄVLEBORGS LÄN</t>
        </is>
      </c>
      <c r="G542" t="inlineStr">
        <is>
          <t>GÄVLE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15799-2026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46107</v>
      </c>
      <c r="E543" s="1" t="n">
        <v>46249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46249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9025-2026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46249</v>
      </c>
      <c r="F545" t="inlineStr">
        <is>
          <t>GÄVLEBORGS LÄN</t>
        </is>
      </c>
      <c r="G545" t="inlineStr">
        <is>
          <t>GÄVLE</t>
        </is>
      </c>
      <c r="I545" t="n">
        <v>12.7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46249</v>
      </c>
      <c r="F546" t="inlineStr">
        <is>
          <t>GÄVLEBORGS LÄN</t>
        </is>
      </c>
      <c r="G546" t="inlineStr">
        <is>
          <t>GÄVLE</t>
        </is>
      </c>
      <c r="I546" t="n">
        <v>9.699999999999999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46249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45685</v>
      </c>
      <c r="E548" s="1" t="n">
        <v>46249</v>
      </c>
      <c r="F548" t="inlineStr">
        <is>
          <t>GÄVLEBORGS LÄN</t>
        </is>
      </c>
      <c r="G548" t="inlineStr">
        <is>
          <t>GÄVLE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46045</v>
      </c>
      <c r="E549" s="1" t="n">
        <v>46249</v>
      </c>
      <c r="F549" t="inlineStr">
        <is>
          <t>GÄVLEBORGS LÄN</t>
        </is>
      </c>
      <c r="G549" t="inlineStr">
        <is>
          <t>GÄVLE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45660</v>
      </c>
      <c r="E550" s="1" t="n">
        <v>46249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45660</v>
      </c>
      <c r="E551" s="1" t="n">
        <v>46249</v>
      </c>
      <c r="F551" t="inlineStr">
        <is>
          <t>GÄVLEBORGS LÄN</t>
        </is>
      </c>
      <c r="G551" t="inlineStr">
        <is>
          <t>GÄVLE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41708-2023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46249</v>
      </c>
      <c r="F552" t="inlineStr">
        <is>
          <t>GÄVLEBORGS LÄN</t>
        </is>
      </c>
      <c r="G552" t="inlineStr">
        <is>
          <t>GÄVLE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41712-2023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45176</v>
      </c>
      <c r="E553" s="1" t="n">
        <v>46249</v>
      </c>
      <c r="F553" t="inlineStr">
        <is>
          <t>GÄVLEBORGS LÄN</t>
        </is>
      </c>
      <c r="G553" t="inlineStr">
        <is>
          <t>GÄVLE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45681</v>
      </c>
      <c r="E554" s="1" t="n">
        <v>46249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46249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46249</v>
      </c>
      <c r="F556" t="inlineStr">
        <is>
          <t>GÄVLEBORGS LÄN</t>
        </is>
      </c>
      <c r="G556" t="inlineStr">
        <is>
          <t>GÄVLE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45162</v>
      </c>
      <c r="E557" s="1" t="n">
        <v>46249</v>
      </c>
      <c r="F557" t="inlineStr">
        <is>
          <t>GÄVLEBORGS LÄN</t>
        </is>
      </c>
      <c r="G557" t="inlineStr">
        <is>
          <t>GÄVLE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44973</v>
      </c>
      <c r="E558" s="1" t="n">
        <v>46249</v>
      </c>
      <c r="F558" t="inlineStr">
        <is>
          <t>GÄVLEBORGS LÄN</t>
        </is>
      </c>
      <c r="G558" t="inlineStr">
        <is>
          <t>GÄVLE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46249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44589</v>
      </c>
      <c r="E560" s="1" t="n">
        <v>46249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45686</v>
      </c>
      <c r="E561" s="1" t="n">
        <v>46249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52250-2024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45608</v>
      </c>
      <c r="E562" s="1" t="n">
        <v>46249</v>
      </c>
      <c r="F562" t="inlineStr">
        <is>
          <t>GÄVLEBORGS LÄN</t>
        </is>
      </c>
      <c r="G562" t="inlineStr">
        <is>
          <t>GÄVLE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45243</v>
      </c>
      <c r="E563" s="1" t="n">
        <v>46249</v>
      </c>
      <c r="F563" t="inlineStr">
        <is>
          <t>GÄVLEBORGS LÄN</t>
        </is>
      </c>
      <c r="G563" t="inlineStr">
        <is>
          <t>GÄVLE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46249</v>
      </c>
      <c r="F564" t="inlineStr">
        <is>
          <t>GÄVLEBORGS LÄN</t>
        </is>
      </c>
      <c r="G564" t="inlineStr">
        <is>
          <t>GÄVLE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46249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46249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46249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21966-2025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46249</v>
      </c>
      <c r="F568" t="inlineStr">
        <is>
          <t>GÄVLEBORGS LÄN</t>
        </is>
      </c>
      <c r="G568" t="inlineStr">
        <is>
          <t>GÄVLE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5722-2026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46051</v>
      </c>
      <c r="E569" s="1" t="n">
        <v>46249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44951</v>
      </c>
      <c r="E570" s="1" t="n">
        <v>46249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46249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71249-2021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44539</v>
      </c>
      <c r="E572" s="1" t="n">
        <v>46249</v>
      </c>
      <c r="F572" t="inlineStr">
        <is>
          <t>GÄVLEBORGS LÄN</t>
        </is>
      </c>
      <c r="G572" t="inlineStr">
        <is>
          <t>GÄVLE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46249</v>
      </c>
      <c r="F573" t="inlineStr">
        <is>
          <t>GÄVLEBORGS LÄN</t>
        </is>
      </c>
      <c r="G573" t="inlineStr">
        <is>
          <t>GÄVLE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46249</v>
      </c>
      <c r="F574" t="inlineStr">
        <is>
          <t>GÄVLEBORGS LÄN</t>
        </is>
      </c>
      <c r="G574" t="inlineStr">
        <is>
          <t>GÄVLE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46249</v>
      </c>
      <c r="F575" t="inlineStr">
        <is>
          <t>GÄVLEBORGS LÄN</t>
        </is>
      </c>
      <c r="G575" t="inlineStr">
        <is>
          <t>GÄVLE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46249</v>
      </c>
      <c r="F576" t="inlineStr">
        <is>
          <t>GÄVLEBORGS LÄN</t>
        </is>
      </c>
      <c r="G576" t="inlineStr">
        <is>
          <t>GÄVLE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26129-2024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45468</v>
      </c>
      <c r="E577" s="1" t="n">
        <v>46249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41100-2024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45559</v>
      </c>
      <c r="E578" s="1" t="n">
        <v>46249</v>
      </c>
      <c r="F578" t="inlineStr">
        <is>
          <t>GÄVLEBORGS LÄN</t>
        </is>
      </c>
      <c r="G578" t="inlineStr">
        <is>
          <t>GÄVLE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46249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45278-2022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44840</v>
      </c>
      <c r="E580" s="1" t="n">
        <v>46249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8.5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45084</v>
      </c>
      <c r="E581" s="1" t="n">
        <v>46249</v>
      </c>
      <c r="F581" t="inlineStr">
        <is>
          <t>GÄVLEBORGS LÄN</t>
        </is>
      </c>
      <c r="G581" t="inlineStr">
        <is>
          <t>GÄVLE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16023-2023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45026</v>
      </c>
      <c r="E582" s="1" t="n">
        <v>46249</v>
      </c>
      <c r="F582" t="inlineStr">
        <is>
          <t>GÄVLEBORGS LÄN</t>
        </is>
      </c>
      <c r="G582" t="inlineStr">
        <is>
          <t>GÄVLE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46249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46029</v>
      </c>
      <c r="E584" s="1" t="n">
        <v>46249</v>
      </c>
      <c r="F584" t="inlineStr">
        <is>
          <t>GÄVLEBORGS LÄN</t>
        </is>
      </c>
      <c r="G584" t="inlineStr">
        <is>
          <t>GÄVLE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46249</v>
      </c>
      <c r="F585" t="inlineStr">
        <is>
          <t>GÄVLEBORGS LÄN</t>
        </is>
      </c>
      <c r="G585" t="inlineStr">
        <is>
          <t>GÄVLE</t>
        </is>
      </c>
      <c r="H585" t="inlineStr">
        <is>
          <t>Övriga statliga verk och myndigheter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46058</v>
      </c>
      <c r="E586" s="1" t="n">
        <v>46249</v>
      </c>
      <c r="F586" t="inlineStr">
        <is>
          <t>GÄVLEBORGS LÄN</t>
        </is>
      </c>
      <c r="G586" t="inlineStr">
        <is>
          <t>GÄVLE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50537-2025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45945</v>
      </c>
      <c r="E587" s="1" t="n">
        <v>46249</v>
      </c>
      <c r="F587" t="inlineStr">
        <is>
          <t>GÄVLEBORGS LÄN</t>
        </is>
      </c>
      <c r="G587" t="inlineStr">
        <is>
          <t>GÄVLE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46249</v>
      </c>
      <c r="F588" t="inlineStr">
        <is>
          <t>GÄVLEBORGS LÄN</t>
        </is>
      </c>
      <c r="G588" t="inlineStr">
        <is>
          <t>GÄVLE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71215-2021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44539</v>
      </c>
      <c r="E589" s="1" t="n">
        <v>46249</v>
      </c>
      <c r="F589" t="inlineStr">
        <is>
          <t>GÄVLEBORGS LÄN</t>
        </is>
      </c>
      <c r="G589" t="inlineStr">
        <is>
          <t>GÄVLE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3615-2024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46249</v>
      </c>
      <c r="F590" t="inlineStr">
        <is>
          <t>GÄVLEBORGS LÄN</t>
        </is>
      </c>
      <c r="G590" t="inlineStr">
        <is>
          <t>GÄVLE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46105</v>
      </c>
      <c r="E591" s="1" t="n">
        <v>46249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45014</v>
      </c>
      <c r="E592" s="1" t="n">
        <v>46249</v>
      </c>
      <c r="F592" t="inlineStr">
        <is>
          <t>GÄVLEBORGS LÄN</t>
        </is>
      </c>
      <c r="G592" t="inlineStr">
        <is>
          <t>GÄVLE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7665-2026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46062</v>
      </c>
      <c r="E593" s="1" t="n">
        <v>46249</v>
      </c>
      <c r="F593" t="inlineStr">
        <is>
          <t>GÄVLEBORGS LÄN</t>
        </is>
      </c>
      <c r="G593" t="inlineStr">
        <is>
          <t>GÄVLE</t>
        </is>
      </c>
      <c r="H593" t="inlineStr">
        <is>
          <t>Kyrkan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46062</v>
      </c>
      <c r="E594" s="1" t="n">
        <v>46249</v>
      </c>
      <c r="F594" t="inlineStr">
        <is>
          <t>GÄVLEBORGS LÄN</t>
        </is>
      </c>
      <c r="G594" t="inlineStr">
        <is>
          <t>GÄVLE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46249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46249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46063</v>
      </c>
      <c r="E597" s="1" t="n">
        <v>46249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46063</v>
      </c>
      <c r="E598" s="1" t="n">
        <v>46249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42592-2025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45905</v>
      </c>
      <c r="E599" s="1" t="n">
        <v>46249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56138-2023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45240</v>
      </c>
      <c r="E600" s="1" t="n">
        <v>46249</v>
      </c>
      <c r="F600" t="inlineStr">
        <is>
          <t>GÄVLEBORGS LÄN</t>
        </is>
      </c>
      <c r="G600" t="inlineStr">
        <is>
          <t>GÄVLE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25768-2022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44733</v>
      </c>
      <c r="E601" s="1" t="n">
        <v>46249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46065</v>
      </c>
      <c r="E602" s="1" t="n">
        <v>46249</v>
      </c>
      <c r="F602" t="inlineStr">
        <is>
          <t>GÄVLEBORGS LÄN</t>
        </is>
      </c>
      <c r="G602" t="inlineStr">
        <is>
          <t>GÄVLE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46249</v>
      </c>
      <c r="F603" t="inlineStr">
        <is>
          <t>GÄVLEBORGS LÄN</t>
        </is>
      </c>
      <c r="G603" t="inlineStr">
        <is>
          <t>GÄVLE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45593</v>
      </c>
      <c r="E604" s="1" t="n">
        <v>46249</v>
      </c>
      <c r="F604" t="inlineStr">
        <is>
          <t>GÄVLEBORGS LÄN</t>
        </is>
      </c>
      <c r="G604" t="inlineStr">
        <is>
          <t>GÄVLE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7743-2025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46249</v>
      </c>
      <c r="F605" t="inlineStr">
        <is>
          <t>GÄVLEBORGS LÄN</t>
        </is>
      </c>
      <c r="G605" t="inlineStr">
        <is>
          <t>GÄVLE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8954-2026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46069</v>
      </c>
      <c r="E606" s="1" t="n">
        <v>46249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45632</v>
      </c>
      <c r="E607" s="1" t="n">
        <v>46249</v>
      </c>
      <c r="F607" t="inlineStr">
        <is>
          <t>GÄVLEBORGS LÄN</t>
        </is>
      </c>
      <c r="G607" t="inlineStr">
        <is>
          <t>GÄVLE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46249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46031</v>
      </c>
      <c r="E609" s="1" t="n">
        <v>46249</v>
      </c>
      <c r="F609" t="inlineStr">
        <is>
          <t>GÄVLEBORGS LÄN</t>
        </is>
      </c>
      <c r="G609" t="inlineStr">
        <is>
          <t>GÄVLE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42876-2023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45182</v>
      </c>
      <c r="E610" s="1" t="n">
        <v>46249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22.7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47746-2023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45203</v>
      </c>
      <c r="E611" s="1" t="n">
        <v>46249</v>
      </c>
      <c r="F611" t="inlineStr">
        <is>
          <t>GÄVLEBORGS LÄN</t>
        </is>
      </c>
      <c r="G611" t="inlineStr">
        <is>
          <t>GÄVLE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46033</v>
      </c>
      <c r="E612" s="1" t="n">
        <v>46249</v>
      </c>
      <c r="F612" t="inlineStr">
        <is>
          <t>GÄVLEBORGS LÄN</t>
        </is>
      </c>
      <c r="G612" t="inlineStr">
        <is>
          <t>GÄVLE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9129-2026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46249</v>
      </c>
      <c r="F613" t="inlineStr">
        <is>
          <t>GÄVLEBORGS LÄN</t>
        </is>
      </c>
      <c r="G613" t="inlineStr">
        <is>
          <t>GÄVLE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47143-2024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45586</v>
      </c>
      <c r="E614" s="1" t="n">
        <v>46249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46071</v>
      </c>
      <c r="E615" s="1" t="n">
        <v>46249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8568-2026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46249</v>
      </c>
      <c r="F616" t="inlineStr">
        <is>
          <t>GÄVLEBORGS LÄN</t>
        </is>
      </c>
      <c r="G616" t="inlineStr">
        <is>
          <t>GÄVLE</t>
        </is>
      </c>
      <c r="I616" t="n">
        <v>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9779-2026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46072</v>
      </c>
      <c r="E617" s="1" t="n">
        <v>46249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46072</v>
      </c>
      <c r="E618" s="1" t="n">
        <v>46249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22466-2023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45070</v>
      </c>
      <c r="E619" s="1" t="n">
        <v>46249</v>
      </c>
      <c r="F619" t="inlineStr">
        <is>
          <t>GÄVLEBORGS LÄN</t>
        </is>
      </c>
      <c r="G619" t="inlineStr">
        <is>
          <t>GÄVLE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17605-2025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45757</v>
      </c>
      <c r="E620" s="1" t="n">
        <v>46249</v>
      </c>
      <c r="F620" t="inlineStr">
        <is>
          <t>GÄVLEBORGS LÄN</t>
        </is>
      </c>
      <c r="G620" t="inlineStr">
        <is>
          <t>GÄVLE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17607-2025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45757</v>
      </c>
      <c r="E621" s="1" t="n">
        <v>46249</v>
      </c>
      <c r="F621" t="inlineStr">
        <is>
          <t>GÄVLEBORGS LÄN</t>
        </is>
      </c>
      <c r="G621" t="inlineStr">
        <is>
          <t>GÄVLE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46249</v>
      </c>
      <c r="F622" t="inlineStr">
        <is>
          <t>GÄVLEBORGS LÄN</t>
        </is>
      </c>
      <c r="G622" t="inlineStr">
        <is>
          <t>GÄVLE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20685-2026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46249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20736-2026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46249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46249</v>
      </c>
      <c r="F625" t="inlineStr">
        <is>
          <t>GÄVLEBORGS LÄN</t>
        </is>
      </c>
      <c r="G625" t="inlineStr">
        <is>
          <t>GÄVLE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46249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16190-2026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46111</v>
      </c>
      <c r="E627" s="1" t="n">
        <v>46249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46111</v>
      </c>
      <c r="E628" s="1" t="n">
        <v>46249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20785-2026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46141</v>
      </c>
      <c r="E629" s="1" t="n">
        <v>46249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17404-2025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45757</v>
      </c>
      <c r="E630" s="1" t="n">
        <v>46249</v>
      </c>
      <c r="F630" t="inlineStr">
        <is>
          <t>GÄVLEBORGS LÄN</t>
        </is>
      </c>
      <c r="G630" t="inlineStr">
        <is>
          <t>GÄVLE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46249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10063-2026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46073</v>
      </c>
      <c r="E632" s="1" t="n">
        <v>46249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46077</v>
      </c>
      <c r="E633" s="1" t="n">
        <v>46249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45272</v>
      </c>
      <c r="E634" s="1" t="n">
        <v>46249</v>
      </c>
      <c r="F634" t="inlineStr">
        <is>
          <t>GÄVLEBORGS LÄN</t>
        </is>
      </c>
      <c r="G634" t="inlineStr">
        <is>
          <t>GÄVLE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52387-2022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44874</v>
      </c>
      <c r="E635" s="1" t="n">
        <v>46249</v>
      </c>
      <c r="F635" t="inlineStr">
        <is>
          <t>GÄVLEBORGS LÄN</t>
        </is>
      </c>
      <c r="G635" t="inlineStr">
        <is>
          <t>GÄVLE</t>
        </is>
      </c>
      <c r="H635" t="inlineStr">
        <is>
          <t>Kommuner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61786-2024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45649</v>
      </c>
      <c r="E636" s="1" t="n">
        <v>46249</v>
      </c>
      <c r="F636" t="inlineStr">
        <is>
          <t>GÄVLEBORGS LÄN</t>
        </is>
      </c>
      <c r="G636" t="inlineStr">
        <is>
          <t>GÄVLE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46142</v>
      </c>
      <c r="E637" s="1" t="n">
        <v>46249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46079</v>
      </c>
      <c r="E638" s="1" t="n">
        <v>46249</v>
      </c>
      <c r="F638" t="inlineStr">
        <is>
          <t>GÄVLEBORGS LÄN</t>
        </is>
      </c>
      <c r="G638" t="inlineStr">
        <is>
          <t>GÄVLE</t>
        </is>
      </c>
      <c r="H638" t="inlineStr">
        <is>
          <t>Kommuner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50871-2022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44867</v>
      </c>
      <c r="E639" s="1" t="n">
        <v>46249</v>
      </c>
      <c r="F639" t="inlineStr">
        <is>
          <t>GÄVLEBORGS LÄN</t>
        </is>
      </c>
      <c r="G639" t="inlineStr">
        <is>
          <t>GÄVLE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46249</v>
      </c>
      <c r="F640" t="inlineStr">
        <is>
          <t>GÄVLEBORGS LÄN</t>
        </is>
      </c>
      <c r="G640" t="inlineStr">
        <is>
          <t>GÄVLE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20735-2026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46249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46142</v>
      </c>
      <c r="E642" s="1" t="n">
        <v>46249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46249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46249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46249</v>
      </c>
      <c r="F645" t="inlineStr">
        <is>
          <t>GÄVLEBORGS LÄN</t>
        </is>
      </c>
      <c r="G645" t="inlineStr">
        <is>
          <t>GÄVLE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39509-2022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44818</v>
      </c>
      <c r="E646" s="1" t="n">
        <v>46249</v>
      </c>
      <c r="F646" t="inlineStr">
        <is>
          <t>GÄVLEBORGS LÄN</t>
        </is>
      </c>
      <c r="G646" t="inlineStr">
        <is>
          <t>GÄVLE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40091-2023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45168</v>
      </c>
      <c r="E647" s="1" t="n">
        <v>46249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45334</v>
      </c>
      <c r="E648" s="1" t="n">
        <v>46249</v>
      </c>
      <c r="F648" t="inlineStr">
        <is>
          <t>GÄVLEBORGS LÄN</t>
        </is>
      </c>
      <c r="G648" t="inlineStr">
        <is>
          <t>GÄVLE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46249</v>
      </c>
      <c r="F649" t="inlineStr">
        <is>
          <t>GÄVLEBORGS LÄN</t>
        </is>
      </c>
      <c r="G649" t="inlineStr">
        <is>
          <t>GÄVLE</t>
        </is>
      </c>
      <c r="H649" t="inlineStr">
        <is>
          <t>Kyrkan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16144-2026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46108</v>
      </c>
      <c r="E650" s="1" t="n">
        <v>46249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21364-2026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46147</v>
      </c>
      <c r="E651" s="1" t="n">
        <v>46249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14707-2026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46249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29862-2023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45107</v>
      </c>
      <c r="E653" s="1" t="n">
        <v>46249</v>
      </c>
      <c r="F653" t="inlineStr">
        <is>
          <t>GÄVLEBORGS LÄN</t>
        </is>
      </c>
      <c r="G653" t="inlineStr">
        <is>
          <t>GÄVLE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45699</v>
      </c>
      <c r="E654" s="1" t="n">
        <v>46249</v>
      </c>
      <c r="F654" t="inlineStr">
        <is>
          <t>GÄVLEBORGS LÄN</t>
        </is>
      </c>
      <c r="G654" t="inlineStr">
        <is>
          <t>GÄVLE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15935-2025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45749</v>
      </c>
      <c r="E655" s="1" t="n">
        <v>46249</v>
      </c>
      <c r="F655" t="inlineStr">
        <is>
          <t>GÄVLEBORGS LÄN</t>
        </is>
      </c>
      <c r="G655" t="inlineStr">
        <is>
          <t>GÄVLE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45526</v>
      </c>
      <c r="E656" s="1" t="n">
        <v>46249</v>
      </c>
      <c r="F656" t="inlineStr">
        <is>
          <t>GÄVLEBORGS LÄN</t>
        </is>
      </c>
      <c r="G656" t="inlineStr">
        <is>
          <t>GÄVLE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14666-2026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46249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29929-2022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44756</v>
      </c>
      <c r="E658" s="1" t="n">
        <v>46249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46154</v>
      </c>
      <c r="E659" s="1" t="n">
        <v>46249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22356-2026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46154</v>
      </c>
      <c r="E660" s="1" t="n">
        <v>46249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22053-2026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46153</v>
      </c>
      <c r="E661" s="1" t="n">
        <v>46249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46153</v>
      </c>
      <c r="E662" s="1" t="n">
        <v>46249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22111-2026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46249</v>
      </c>
      <c r="F663" t="inlineStr">
        <is>
          <t>GÄVLEBORGS LÄN</t>
        </is>
      </c>
      <c r="G663" t="inlineStr">
        <is>
          <t>GÄVLE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22054-2026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46153</v>
      </c>
      <c r="E664" s="1" t="n">
        <v>46249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46154</v>
      </c>
      <c r="E665" s="1" t="n">
        <v>46249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46154</v>
      </c>
      <c r="E666" s="1" t="n">
        <v>46249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22363-2026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46154</v>
      </c>
      <c r="E667" s="1" t="n">
        <v>46249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46800-2021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44446</v>
      </c>
      <c r="E668" s="1" t="n">
        <v>46249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väst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22570-2026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46249</v>
      </c>
      <c r="F669" t="inlineStr">
        <is>
          <t>GÄVLEBORGS LÄN</t>
        </is>
      </c>
      <c r="G669" t="inlineStr">
        <is>
          <t>GÄVLE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22584-2026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46249</v>
      </c>
      <c r="F670" t="inlineStr">
        <is>
          <t>GÄVLEBORGS LÄN</t>
        </is>
      </c>
      <c r="G670" t="inlineStr">
        <is>
          <t>GÄVLE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10352-2025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45720</v>
      </c>
      <c r="E671" s="1" t="n">
        <v>46249</v>
      </c>
      <c r="F671" t="inlineStr">
        <is>
          <t>GÄVLEBORGS LÄN</t>
        </is>
      </c>
      <c r="G671" t="inlineStr">
        <is>
          <t>GÄVLE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46119</v>
      </c>
      <c r="E672" s="1" t="n">
        <v>46249</v>
      </c>
      <c r="F672" t="inlineStr">
        <is>
          <t>GÄVLEBORGS LÄN</t>
        </is>
      </c>
      <c r="G672" t="inlineStr">
        <is>
          <t>GÄVLE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46105</v>
      </c>
      <c r="E673" s="1" t="n">
        <v>46249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61016-2024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45645</v>
      </c>
      <c r="E674" s="1" t="n">
        <v>46249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46155</v>
      </c>
      <c r="E675" s="1" t="n">
        <v>46249</v>
      </c>
      <c r="F675" t="inlineStr">
        <is>
          <t>GÄVLEBORGS LÄN</t>
        </is>
      </c>
      <c r="G675" t="inlineStr">
        <is>
          <t>GÄVLE</t>
        </is>
      </c>
      <c r="H675" t="inlineStr">
        <is>
          <t>Kyrkan</t>
        </is>
      </c>
      <c r="I675" t="n">
        <v>10.1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46249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45672</v>
      </c>
      <c r="E677" s="1" t="n">
        <v>46249</v>
      </c>
      <c r="F677" t="inlineStr">
        <is>
          <t>GÄVLEBORGS LÄN</t>
        </is>
      </c>
      <c r="G677" t="inlineStr">
        <is>
          <t>GÄVLE</t>
        </is>
      </c>
      <c r="H677" t="inlineStr">
        <is>
          <t>Kyrkan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45660</v>
      </c>
      <c r="E678" s="1" t="n">
        <v>46249</v>
      </c>
      <c r="F678" t="inlineStr">
        <is>
          <t>GÄVLEBORGS LÄN</t>
        </is>
      </c>
      <c r="G678" t="inlineStr">
        <is>
          <t>GÄVLE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45660</v>
      </c>
      <c r="E679" s="1" t="n">
        <v>46249</v>
      </c>
      <c r="F679" t="inlineStr">
        <is>
          <t>GÄVLEBORGS LÄN</t>
        </is>
      </c>
      <c r="G679" t="inlineStr">
        <is>
          <t>GÄVLE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46249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31544-2023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45117</v>
      </c>
      <c r="E681" s="1" t="n">
        <v>46249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44935</v>
      </c>
      <c r="E682" s="1" t="n">
        <v>46249</v>
      </c>
      <c r="F682" t="inlineStr">
        <is>
          <t>GÄVLEBORGS LÄN</t>
        </is>
      </c>
      <c r="G682" t="inlineStr">
        <is>
          <t>GÄVLE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46249</v>
      </c>
      <c r="F683" t="inlineStr">
        <is>
          <t>GÄVLEBORGS LÄN</t>
        </is>
      </c>
      <c r="G683" t="inlineStr">
        <is>
          <t>GÄVLE</t>
        </is>
      </c>
      <c r="H683" t="inlineStr">
        <is>
          <t>Kyrkan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46105</v>
      </c>
      <c r="E684" s="1" t="n">
        <v>46249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46249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46249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31011-2023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46249</v>
      </c>
      <c r="F687" t="inlineStr">
        <is>
          <t>GÄVLEBORGS LÄN</t>
        </is>
      </c>
      <c r="G687" t="inlineStr">
        <is>
          <t>GÄVLE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46249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58445-2021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44488</v>
      </c>
      <c r="E689" s="1" t="n">
        <v>46249</v>
      </c>
      <c r="F689" t="inlineStr">
        <is>
          <t>GÄVLEBORGS LÄN</t>
        </is>
      </c>
      <c r="G689" t="inlineStr">
        <is>
          <t>GÄVLE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22848-2026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46160</v>
      </c>
      <c r="E690" s="1" t="n">
        <v>46249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35206-2024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45530</v>
      </c>
      <c r="E691" s="1" t="n">
        <v>46249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46161</v>
      </c>
      <c r="E692" s="1" t="n">
        <v>46249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45266</v>
      </c>
      <c r="E693" s="1" t="n">
        <v>46249</v>
      </c>
      <c r="F693" t="inlineStr">
        <is>
          <t>GÄVLEBORGS LÄN</t>
        </is>
      </c>
      <c r="G693" t="inlineStr">
        <is>
          <t>GÄVLE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45312</v>
      </c>
      <c r="E694" s="1" t="n">
        <v>46249</v>
      </c>
      <c r="F694" t="inlineStr">
        <is>
          <t>GÄVLEBORGS LÄN</t>
        </is>
      </c>
      <c r="G694" t="inlineStr">
        <is>
          <t>GÄVLE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21300-2024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45440</v>
      </c>
      <c r="E695" s="1" t="n">
        <v>46249</v>
      </c>
      <c r="F695" t="inlineStr">
        <is>
          <t>GÄVLEBORGS LÄN</t>
        </is>
      </c>
      <c r="G695" t="inlineStr">
        <is>
          <t>GÄVLE</t>
        </is>
      </c>
      <c r="I695" t="n">
        <v>8.6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45312</v>
      </c>
      <c r="E696" s="1" t="n">
        <v>46249</v>
      </c>
      <c r="F696" t="inlineStr">
        <is>
          <t>GÄVLEBORGS LÄN</t>
        </is>
      </c>
      <c r="G696" t="inlineStr">
        <is>
          <t>GÄVLE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45162</v>
      </c>
      <c r="E697" s="1" t="n">
        <v>46249</v>
      </c>
      <c r="F697" t="inlineStr">
        <is>
          <t>GÄVLEBORGS LÄN</t>
        </is>
      </c>
      <c r="G697" t="inlineStr">
        <is>
          <t>GÄVLE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61843-2023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45266</v>
      </c>
      <c r="E698" s="1" t="n">
        <v>46249</v>
      </c>
      <c r="F698" t="inlineStr">
        <is>
          <t>GÄVLEBORGS LÄN</t>
        </is>
      </c>
      <c r="G698" t="inlineStr">
        <is>
          <t>GÄVLE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45660</v>
      </c>
      <c r="E699" s="1" t="n">
        <v>46249</v>
      </c>
      <c r="F699" t="inlineStr">
        <is>
          <t>GÄVLEBORGS LÄN</t>
        </is>
      </c>
      <c r="G699" t="inlineStr">
        <is>
          <t>GÄVLE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49401-2024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45595</v>
      </c>
      <c r="E700" s="1" t="n">
        <v>46249</v>
      </c>
      <c r="F700" t="inlineStr">
        <is>
          <t>GÄVLEBORGS LÄN</t>
        </is>
      </c>
      <c r="G700" t="inlineStr">
        <is>
          <t>GÄVLE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50314-2024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46249</v>
      </c>
      <c r="F701" t="inlineStr">
        <is>
          <t>GÄVLEBORGS LÄN</t>
        </is>
      </c>
      <c r="G701" t="inlineStr">
        <is>
          <t>GÄVLE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45938-2024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45580</v>
      </c>
      <c r="E702" s="1" t="n">
        <v>46249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20621-2025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45776</v>
      </c>
      <c r="E703" s="1" t="n">
        <v>46249</v>
      </c>
      <c r="F703" t="inlineStr">
        <is>
          <t>GÄVLEBORGS LÄN</t>
        </is>
      </c>
      <c r="G703" t="inlineStr">
        <is>
          <t>GÄVLE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33449-2024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45519</v>
      </c>
      <c r="E704" s="1" t="n">
        <v>46249</v>
      </c>
      <c r="F704" t="inlineStr">
        <is>
          <t>GÄVLEBORGS LÄN</t>
        </is>
      </c>
      <c r="G704" t="inlineStr">
        <is>
          <t>GÄVLE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45539</v>
      </c>
      <c r="E705" s="1" t="n">
        <v>46249</v>
      </c>
      <c r="F705" t="inlineStr">
        <is>
          <t>GÄVLEBORGS LÄN</t>
        </is>
      </c>
      <c r="G705" t="inlineStr">
        <is>
          <t>GÄVLE</t>
        </is>
      </c>
      <c r="I705" t="n">
        <v>9.4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14974-2026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46104</v>
      </c>
      <c r="E706" s="1" t="n">
        <v>46249</v>
      </c>
      <c r="F706" t="inlineStr">
        <is>
          <t>GÄVLEBORGS LÄN</t>
        </is>
      </c>
      <c r="G706" t="inlineStr">
        <is>
          <t>GÄVLE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46249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60349-2022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44910</v>
      </c>
      <c r="E708" s="1" t="n">
        <v>46249</v>
      </c>
      <c r="F708" t="inlineStr">
        <is>
          <t>GÄVLEBORGS LÄN</t>
        </is>
      </c>
      <c r="G708" t="inlineStr">
        <is>
          <t>GÄVLE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60396-2022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44910</v>
      </c>
      <c r="E709" s="1" t="n">
        <v>46249</v>
      </c>
      <c r="F709" t="inlineStr">
        <is>
          <t>GÄVLEBORGS LÄN</t>
        </is>
      </c>
      <c r="G709" t="inlineStr">
        <is>
          <t>GÄVLE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21431-2025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45782</v>
      </c>
      <c r="E710" s="1" t="n">
        <v>46249</v>
      </c>
      <c r="F710" t="inlineStr">
        <is>
          <t>GÄVLEBORGS LÄN</t>
        </is>
      </c>
      <c r="G710" t="inlineStr">
        <is>
          <t>GÄVLE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62766-2022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44885</v>
      </c>
      <c r="E711" s="1" t="n">
        <v>46249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46549-2021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44445</v>
      </c>
      <c r="E712" s="1" t="n">
        <v>46249</v>
      </c>
      <c r="F712" t="inlineStr">
        <is>
          <t>GÄVLEBORGS LÄN</t>
        </is>
      </c>
      <c r="G712" t="inlineStr">
        <is>
          <t>GÄVLE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23591-2026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46163</v>
      </c>
      <c r="E713" s="1" t="n">
        <v>46249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59044-2023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45252</v>
      </c>
      <c r="E714" s="1" t="n">
        <v>46249</v>
      </c>
      <c r="F714" t="inlineStr">
        <is>
          <t>GÄVLEBORGS LÄN</t>
        </is>
      </c>
      <c r="G714" t="inlineStr">
        <is>
          <t>GÄVLE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46210</v>
      </c>
      <c r="E715" s="1" t="n">
        <v>46249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45306</v>
      </c>
      <c r="E716" s="1" t="n">
        <v>46249</v>
      </c>
      <c r="F716" t="inlineStr">
        <is>
          <t>GÄVLEBORGS LÄN</t>
        </is>
      </c>
      <c r="G716" t="inlineStr">
        <is>
          <t>GÄVLE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24099-2026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46249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46249</v>
      </c>
      <c r="F718" t="inlineStr">
        <is>
          <t>GÄVLEBORGS LÄN</t>
        </is>
      </c>
      <c r="G718" t="inlineStr">
        <is>
          <t>GÄVLE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45705</v>
      </c>
      <c r="E719" s="1" t="n">
        <v>46249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46249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46168</v>
      </c>
      <c r="E721" s="1" t="n">
        <v>46249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väst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7202-2025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45702</v>
      </c>
      <c r="E722" s="1" t="n">
        <v>46249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46207</v>
      </c>
      <c r="E723" s="1" t="n">
        <v>46249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38255-2023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45161</v>
      </c>
      <c r="E724" s="1" t="n">
        <v>46249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72734-2021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44546</v>
      </c>
      <c r="E725" s="1" t="n">
        <v>46249</v>
      </c>
      <c r="F725" t="inlineStr">
        <is>
          <t>GÄVLEBORGS LÄN</t>
        </is>
      </c>
      <c r="G725" t="inlineStr">
        <is>
          <t>GÄVLE</t>
        </is>
      </c>
      <c r="H725" t="inlineStr">
        <is>
          <t>Kommuner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3862-2024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45322</v>
      </c>
      <c r="E726" s="1" t="n">
        <v>46249</v>
      </c>
      <c r="F726" t="inlineStr">
        <is>
          <t>GÄVLEBORGS LÄN</t>
        </is>
      </c>
      <c r="G726" t="inlineStr">
        <is>
          <t>GÄVLE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45104</v>
      </c>
      <c r="E727" s="1" t="n">
        <v>46249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46249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46210</v>
      </c>
      <c r="E729" s="1" t="n">
        <v>46249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17245-2024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45414</v>
      </c>
      <c r="E730" s="1" t="n">
        <v>46249</v>
      </c>
      <c r="F730" t="inlineStr">
        <is>
          <t>GÄVLEBORGS LÄN</t>
        </is>
      </c>
      <c r="G730" t="inlineStr">
        <is>
          <t>GÄVLE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46249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24400-2026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46249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17113-2024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45412</v>
      </c>
      <c r="E733" s="1" t="n">
        <v>46249</v>
      </c>
      <c r="F733" t="inlineStr">
        <is>
          <t>GÄVLEBORGS LÄN</t>
        </is>
      </c>
      <c r="G733" t="inlineStr">
        <is>
          <t>GÄVLE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32353-2023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45120</v>
      </c>
      <c r="E734" s="1" t="n">
        <v>46249</v>
      </c>
      <c r="F734" t="inlineStr">
        <is>
          <t>GÄVLEBORGS LÄN</t>
        </is>
      </c>
      <c r="G734" t="inlineStr">
        <is>
          <t>GÄVLE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46249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46249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24325-2026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46249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24373-2026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46249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24294-2026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46249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46249</v>
      </c>
      <c r="F740" t="inlineStr">
        <is>
          <t>GÄVLEBORGS LÄN</t>
        </is>
      </c>
      <c r="G740" t="inlineStr">
        <is>
          <t>GÄVLE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12228-2022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44637</v>
      </c>
      <c r="E741" s="1" t="n">
        <v>46249</v>
      </c>
      <c r="F741" t="inlineStr">
        <is>
          <t>GÄVLEBORGS LÄN</t>
        </is>
      </c>
      <c r="G741" t="inlineStr">
        <is>
          <t>GÄVLE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10001-2025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45719</v>
      </c>
      <c r="E742" s="1" t="n">
        <v>46249</v>
      </c>
      <c r="F742" t="inlineStr">
        <is>
          <t>GÄVLEBORGS LÄN</t>
        </is>
      </c>
      <c r="G742" t="inlineStr">
        <is>
          <t>GÄVLE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22923-2025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45790</v>
      </c>
      <c r="E743" s="1" t="n">
        <v>46249</v>
      </c>
      <c r="F743" t="inlineStr">
        <is>
          <t>GÄVLEBORGS LÄN</t>
        </is>
      </c>
      <c r="G743" t="inlineStr">
        <is>
          <t>GÄVLE</t>
        </is>
      </c>
      <c r="I743" t="n">
        <v>20.8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30967-2026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46249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22879-2025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45790</v>
      </c>
      <c r="E745" s="1" t="n">
        <v>46249</v>
      </c>
      <c r="F745" t="inlineStr">
        <is>
          <t>GÄVLEBORGS LÄN</t>
        </is>
      </c>
      <c r="G745" t="inlineStr">
        <is>
          <t>GÄVLE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45660</v>
      </c>
      <c r="E746" s="1" t="n">
        <v>46249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23324-2025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45791</v>
      </c>
      <c r="E747" s="1" t="n">
        <v>46249</v>
      </c>
      <c r="F747" t="inlineStr">
        <is>
          <t>GÄVLEBORGS LÄN</t>
        </is>
      </c>
      <c r="G747" t="inlineStr">
        <is>
          <t>GÄVLE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30948-2026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46249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23291-2025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45791</v>
      </c>
      <c r="E749" s="1" t="n">
        <v>46249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23232-2025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46249</v>
      </c>
      <c r="F750" t="inlineStr">
        <is>
          <t>GÄVLEBORGS LÄN</t>
        </is>
      </c>
      <c r="G750" t="inlineStr">
        <is>
          <t>GÄVLE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24669-2026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46249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21.4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4290-2024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45324</v>
      </c>
      <c r="E752" s="1" t="n">
        <v>46249</v>
      </c>
      <c r="F752" t="inlineStr">
        <is>
          <t>GÄVLEBORGS LÄN</t>
        </is>
      </c>
      <c r="G752" t="inlineStr">
        <is>
          <t>GÄVLE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24810-2026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46173</v>
      </c>
      <c r="E753" s="1" t="n">
        <v>46249</v>
      </c>
      <c r="F753" t="inlineStr">
        <is>
          <t>GÄVLEBORGS LÄN</t>
        </is>
      </c>
      <c r="G753" t="inlineStr">
        <is>
          <t>GÄVLE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48913-2024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46249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46249</v>
      </c>
      <c r="F755" t="inlineStr">
        <is>
          <t>GÄVLEBORGS LÄN</t>
        </is>
      </c>
      <c r="G755" t="inlineStr">
        <is>
          <t>GÄVLE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46213</v>
      </c>
      <c r="E756" s="1" t="n">
        <v>46249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42934-2023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45182</v>
      </c>
      <c r="E757" s="1" t="n">
        <v>46249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30951-2026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46213</v>
      </c>
      <c r="E758" s="1" t="n">
        <v>46249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55878-2024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45623</v>
      </c>
      <c r="E759" s="1" t="n">
        <v>46249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46217</v>
      </c>
      <c r="E760" s="1" t="n">
        <v>46249</v>
      </c>
      <c r="F760" t="inlineStr">
        <is>
          <t>GÄVLEBORGS LÄN</t>
        </is>
      </c>
      <c r="G760" t="inlineStr">
        <is>
          <t>GÄVLE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44585</v>
      </c>
      <c r="E761" s="1" t="n">
        <v>46249</v>
      </c>
      <c r="F761" t="inlineStr">
        <is>
          <t>GÄVLEBORGS LÄN</t>
        </is>
      </c>
      <c r="G761" t="inlineStr">
        <is>
          <t>GÄVLE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35440-2023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45146</v>
      </c>
      <c r="E762" s="1" t="n">
        <v>46249</v>
      </c>
      <c r="F762" t="inlineStr">
        <is>
          <t>GÄVLEBORGS LÄN</t>
        </is>
      </c>
      <c r="G762" t="inlineStr">
        <is>
          <t>GÄVLE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58373-2024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45632</v>
      </c>
      <c r="E763" s="1" t="n">
        <v>46249</v>
      </c>
      <c r="F763" t="inlineStr">
        <is>
          <t>GÄVLEBORGS LÄN</t>
        </is>
      </c>
      <c r="G763" t="inlineStr">
        <is>
          <t>GÄVLE</t>
        </is>
      </c>
      <c r="I763" t="n">
        <v>13.1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31866-2023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45106</v>
      </c>
      <c r="E764" s="1" t="n">
        <v>46249</v>
      </c>
      <c r="F764" t="inlineStr">
        <is>
          <t>GÄVLEBORGS LÄN</t>
        </is>
      </c>
      <c r="G764" t="inlineStr">
        <is>
          <t>GÄVLE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45797</v>
      </c>
      <c r="E765" s="1" t="n">
        <v>46249</v>
      </c>
      <c r="F765" t="inlineStr">
        <is>
          <t>GÄVLEBORGS LÄN</t>
        </is>
      </c>
      <c r="G765" t="inlineStr">
        <is>
          <t>GÄVLE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24614-2025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45798</v>
      </c>
      <c r="E766" s="1" t="n">
        <v>46249</v>
      </c>
      <c r="F766" t="inlineStr">
        <is>
          <t>GÄVLEBORGS LÄN</t>
        </is>
      </c>
      <c r="G766" t="inlineStr">
        <is>
          <t>GÄVLE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24228-2025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45797</v>
      </c>
      <c r="E767" s="1" t="n">
        <v>46249</v>
      </c>
      <c r="F767" t="inlineStr">
        <is>
          <t>GÄVLEBORGS LÄN</t>
        </is>
      </c>
      <c r="G767" t="inlineStr">
        <is>
          <t>GÄVLE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31367-2024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45505</v>
      </c>
      <c r="E768" s="1" t="n">
        <v>46249</v>
      </c>
      <c r="F768" t="inlineStr">
        <is>
          <t>GÄVLEBORGS LÄN</t>
        </is>
      </c>
      <c r="G768" t="inlineStr">
        <is>
          <t>GÄVLE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33901-2024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45523</v>
      </c>
      <c r="E769" s="1" t="n">
        <v>46249</v>
      </c>
      <c r="F769" t="inlineStr">
        <is>
          <t>GÄVLEBORGS LÄN</t>
        </is>
      </c>
      <c r="G769" t="inlineStr">
        <is>
          <t>GÄVLE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45660</v>
      </c>
      <c r="E770" s="1" t="n">
        <v>46249</v>
      </c>
      <c r="F770" t="inlineStr">
        <is>
          <t>GÄVLEBORGS LÄN</t>
        </is>
      </c>
      <c r="G770" t="inlineStr">
        <is>
          <t>GÄVLE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21365-2026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46147</v>
      </c>
      <c r="E771" s="1" t="n">
        <v>46249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46177</v>
      </c>
      <c r="E772" s="1" t="n">
        <v>46249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25582-2026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46249</v>
      </c>
      <c r="F773" t="inlineStr">
        <is>
          <t>GÄVLEBORGS LÄN</t>
        </is>
      </c>
      <c r="G773" t="inlineStr">
        <is>
          <t>GÄVLE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60792-2024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45644</v>
      </c>
      <c r="E774" s="1" t="n">
        <v>46249</v>
      </c>
      <c r="F774" t="inlineStr">
        <is>
          <t>GÄVLEBORGS LÄN</t>
        </is>
      </c>
      <c r="G774" t="inlineStr">
        <is>
          <t>GÄVLE</t>
        </is>
      </c>
      <c r="H774" t="inlineStr">
        <is>
          <t>Kyrkan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25513-2026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46177</v>
      </c>
      <c r="E775" s="1" t="n">
        <v>46249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25623-2026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46249</v>
      </c>
      <c r="F776" t="inlineStr">
        <is>
          <t>GÄVLEBORGS LÄN</t>
        </is>
      </c>
      <c r="G776" t="inlineStr">
        <is>
          <t>GÄVLE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20676-2026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46141</v>
      </c>
      <c r="E777" s="1" t="n">
        <v>46249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46147</v>
      </c>
      <c r="E778" s="1" t="n">
        <v>46249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25367-2026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46249</v>
      </c>
      <c r="F779" t="inlineStr">
        <is>
          <t>GÄVLEBORGS LÄN</t>
        </is>
      </c>
      <c r="G779" t="inlineStr">
        <is>
          <t>GÄVLE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26564-2022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44739</v>
      </c>
      <c r="E780" s="1" t="n">
        <v>46249</v>
      </c>
      <c r="F780" t="inlineStr">
        <is>
          <t>GÄVLEBORGS LÄN</t>
        </is>
      </c>
      <c r="G780" t="inlineStr">
        <is>
          <t>GÄVLE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25384-2026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46249</v>
      </c>
      <c r="F781" t="inlineStr">
        <is>
          <t>GÄVLEBORGS LÄN</t>
        </is>
      </c>
      <c r="G781" t="inlineStr">
        <is>
          <t>GÄVLE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25878-2025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45804</v>
      </c>
      <c r="E782" s="1" t="n">
        <v>46249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46217</v>
      </c>
      <c r="E783" s="1" t="n">
        <v>46249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28905-2023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45104</v>
      </c>
      <c r="E784" s="1" t="n">
        <v>46249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31566-2026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46223</v>
      </c>
      <c r="E785" s="1" t="n">
        <v>46249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7235-2025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45702</v>
      </c>
      <c r="E786" s="1" t="n">
        <v>46249</v>
      </c>
      <c r="F786" t="inlineStr">
        <is>
          <t>GÄVLEBORGS LÄN</t>
        </is>
      </c>
      <c r="G786" t="inlineStr">
        <is>
          <t>GÄVLE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25808-2026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46249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25829-2026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46178</v>
      </c>
      <c r="E788" s="1" t="n">
        <v>46249</v>
      </c>
      <c r="F788" t="inlineStr">
        <is>
          <t>GÄVLEBORGS LÄN</t>
        </is>
      </c>
      <c r="G788" t="inlineStr">
        <is>
          <t>GÄVLE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31528-2026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46220</v>
      </c>
      <c r="E789" s="1" t="n">
        <v>46249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11.4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61004-2024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45645</v>
      </c>
      <c r="E790" s="1" t="n">
        <v>46249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30662-2022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44763</v>
      </c>
      <c r="E791" s="1" t="n">
        <v>46249</v>
      </c>
      <c r="F791" t="inlineStr">
        <is>
          <t>GÄVLEBORGS LÄN</t>
        </is>
      </c>
      <c r="G791" t="inlineStr">
        <is>
          <t>GÄVLE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26016-2026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46181</v>
      </c>
      <c r="E792" s="1" t="n">
        <v>46249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46249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26599-2026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46249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18217-2024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45420</v>
      </c>
      <c r="E795" s="1" t="n">
        <v>46249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27611-2025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45813</v>
      </c>
      <c r="E796" s="1" t="n">
        <v>46249</v>
      </c>
      <c r="F796" t="inlineStr">
        <is>
          <t>GÄVLEBORGS LÄN</t>
        </is>
      </c>
      <c r="G796" t="inlineStr">
        <is>
          <t>GÄVLE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27666-2025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45813</v>
      </c>
      <c r="E797" s="1" t="n">
        <v>46249</v>
      </c>
      <c r="F797" t="inlineStr">
        <is>
          <t>GÄVLEBORGS LÄN</t>
        </is>
      </c>
      <c r="G797" t="inlineStr">
        <is>
          <t>GÄVLE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20682-2023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45058</v>
      </c>
      <c r="E798" s="1" t="n">
        <v>46249</v>
      </c>
      <c r="F798" t="inlineStr">
        <is>
          <t>GÄVLEBORGS LÄN</t>
        </is>
      </c>
      <c r="G798" t="inlineStr">
        <is>
          <t>GÄVLE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8693-2024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45356</v>
      </c>
      <c r="E799" s="1" t="n">
        <v>46249</v>
      </c>
      <c r="F799" t="inlineStr">
        <is>
          <t>GÄVLEBORGS LÄN</t>
        </is>
      </c>
      <c r="G799" t="inlineStr">
        <is>
          <t>GÄVLE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46249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44586</v>
      </c>
      <c r="E801" s="1" t="n">
        <v>46249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46249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27057-2026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46249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46185</v>
      </c>
      <c r="E804" s="1" t="n">
        <v>46249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27052-2026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46249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27053-2026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46249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46249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28009-2025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45817</v>
      </c>
      <c r="E808" s="1" t="n">
        <v>46249</v>
      </c>
      <c r="F808" t="inlineStr">
        <is>
          <t>GÄVLEBORGS LÄN</t>
        </is>
      </c>
      <c r="G808" t="inlineStr">
        <is>
          <t>GÄVLE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27042-2026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46249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46249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27040-2026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46185</v>
      </c>
      <c r="E811" s="1" t="n">
        <v>46249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27041-2026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46249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27051-2026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46249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27055-2026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46249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46249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61501-2024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45646</v>
      </c>
      <c r="E816" s="1" t="n">
        <v>46249</v>
      </c>
      <c r="F816" t="inlineStr">
        <is>
          <t>GÄVLEBORGS LÄN</t>
        </is>
      </c>
      <c r="G816" t="inlineStr">
        <is>
          <t>GÄVLE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27066-2026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46249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27069-2026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46249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28481-2025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45819</v>
      </c>
      <c r="E819" s="1" t="n">
        <v>46249</v>
      </c>
      <c r="F819" t="inlineStr">
        <is>
          <t>GÄVLEBORGS LÄN</t>
        </is>
      </c>
      <c r="G819" t="inlineStr">
        <is>
          <t>GÄVLE</t>
        </is>
      </c>
      <c r="I819" t="n">
        <v>13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26885-2026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46249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13193-2025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45735</v>
      </c>
      <c r="E821" s="1" t="n">
        <v>46249</v>
      </c>
      <c r="F821" t="inlineStr">
        <is>
          <t>GÄVLEBORGS LÄN</t>
        </is>
      </c>
      <c r="G821" t="inlineStr">
        <is>
          <t>GÄVLE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28624-2025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45819</v>
      </c>
      <c r="E822" s="1" t="n">
        <v>46249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26942-2026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46249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26991-2026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46249</v>
      </c>
      <c r="F824" t="inlineStr">
        <is>
          <t>GÄVLEBORGS LÄN</t>
        </is>
      </c>
      <c r="G824" t="inlineStr">
        <is>
          <t>GÄVLE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46249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46249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46249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27065-2026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46249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27067-2026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46249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14563-2025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45741</v>
      </c>
      <c r="E830" s="1" t="n">
        <v>46249</v>
      </c>
      <c r="F830" t="inlineStr">
        <is>
          <t>GÄVLEBORGS LÄN</t>
        </is>
      </c>
      <c r="G830" t="inlineStr">
        <is>
          <t>GÄVLE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38793-2024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45547</v>
      </c>
      <c r="E831" s="1" t="n">
        <v>46249</v>
      </c>
      <c r="F831" t="inlineStr">
        <is>
          <t>GÄVLEBORGS LÄN</t>
        </is>
      </c>
      <c r="G831" t="inlineStr">
        <is>
          <t>GÄVLE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27359-2026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46249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46249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30300-2025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45827</v>
      </c>
      <c r="E834" s="1" t="n">
        <v>46249</v>
      </c>
      <c r="F834" t="inlineStr">
        <is>
          <t>GÄVLEBORGS LÄN</t>
        </is>
      </c>
      <c r="G834" t="inlineStr">
        <is>
          <t>GÄVLE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30304-2025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45827</v>
      </c>
      <c r="E835" s="1" t="n">
        <v>46249</v>
      </c>
      <c r="F835" t="inlineStr">
        <is>
          <t>GÄVLEBORGS LÄN</t>
        </is>
      </c>
      <c r="G835" t="inlineStr">
        <is>
          <t>GÄVLE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30301-2025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45827</v>
      </c>
      <c r="E836" s="1" t="n">
        <v>46249</v>
      </c>
      <c r="F836" t="inlineStr">
        <is>
          <t>GÄVLEBORGS LÄN</t>
        </is>
      </c>
      <c r="G836" t="inlineStr">
        <is>
          <t>GÄVLE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30202-2025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45827</v>
      </c>
      <c r="E837" s="1" t="n">
        <v>46249</v>
      </c>
      <c r="F837" t="inlineStr">
        <is>
          <t>GÄVLEBORGS LÄN</t>
        </is>
      </c>
      <c r="G837" t="inlineStr">
        <is>
          <t>GÄVLE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45673</v>
      </c>
      <c r="E838" s="1" t="n">
        <v>46249</v>
      </c>
      <c r="F838" t="inlineStr">
        <is>
          <t>GÄVLEBORGS LÄN</t>
        </is>
      </c>
      <c r="G838" t="inlineStr">
        <is>
          <t>GÄVLE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2374-2025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45673</v>
      </c>
      <c r="E839" s="1" t="n">
        <v>46249</v>
      </c>
      <c r="F839" t="inlineStr">
        <is>
          <t>GÄVLEBORGS LÄN</t>
        </is>
      </c>
      <c r="G839" t="inlineStr">
        <is>
          <t>GÄVLE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30915-2025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45832</v>
      </c>
      <c r="E840" s="1" t="n">
        <v>46249</v>
      </c>
      <c r="F840" t="inlineStr">
        <is>
          <t>GÄVLEBORGS LÄN</t>
        </is>
      </c>
      <c r="G840" t="inlineStr">
        <is>
          <t>GÄVLE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27361-2026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46249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18162-2022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44684</v>
      </c>
      <c r="E842" s="1" t="n">
        <v>46249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12079-2025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45728</v>
      </c>
      <c r="E843" s="1" t="n">
        <v>46249</v>
      </c>
      <c r="F843" t="inlineStr">
        <is>
          <t>GÄVLEBORGS LÄN</t>
        </is>
      </c>
      <c r="G843" t="inlineStr">
        <is>
          <t>GÄVLE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24618-2023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45084</v>
      </c>
      <c r="E844" s="1" t="n">
        <v>46249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7410-2025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45705</v>
      </c>
      <c r="E845" s="1" t="n">
        <v>46249</v>
      </c>
      <c r="F845" t="inlineStr">
        <is>
          <t>GÄVLEBORGS LÄN</t>
        </is>
      </c>
      <c r="G845" t="inlineStr">
        <is>
          <t>GÄVLE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19164-2026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46249</v>
      </c>
      <c r="F846" t="inlineStr">
        <is>
          <t>GÄVLEBORGS LÄN</t>
        </is>
      </c>
      <c r="G846" t="inlineStr">
        <is>
          <t>GÄVLE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25814-2023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45090</v>
      </c>
      <c r="E847" s="1" t="n">
        <v>46249</v>
      </c>
      <c r="F847" t="inlineStr">
        <is>
          <t>GÄVLEBORGS LÄN</t>
        </is>
      </c>
      <c r="G847" t="inlineStr">
        <is>
          <t>GÄVLE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1066-2025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45666</v>
      </c>
      <c r="E848" s="1" t="n">
        <v>46249</v>
      </c>
      <c r="F848" t="inlineStr">
        <is>
          <t>GÄVLEBORGS LÄN</t>
        </is>
      </c>
      <c r="G848" t="inlineStr">
        <is>
          <t>GÄVLE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31920-2025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45834</v>
      </c>
      <c r="E849" s="1" t="n">
        <v>46249</v>
      </c>
      <c r="F849" t="inlineStr">
        <is>
          <t>GÄVLEBORGS LÄN</t>
        </is>
      </c>
      <c r="G849" t="inlineStr">
        <is>
          <t>GÄVLE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32022-2025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45835</v>
      </c>
      <c r="E850" s="1" t="n">
        <v>46249</v>
      </c>
      <c r="F850" t="inlineStr">
        <is>
          <t>GÄVLEBORGS LÄN</t>
        </is>
      </c>
      <c r="G850" t="inlineStr">
        <is>
          <t>GÄVLE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18168-2022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44684</v>
      </c>
      <c r="E851" s="1" t="n">
        <v>46249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51071-2023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45218</v>
      </c>
      <c r="E852" s="1" t="n">
        <v>46249</v>
      </c>
      <c r="F852" t="inlineStr">
        <is>
          <t>GÄVLEBORGS LÄN</t>
        </is>
      </c>
      <c r="G852" t="inlineStr">
        <is>
          <t>GÄVLE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3639-2022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44586</v>
      </c>
      <c r="E853" s="1" t="n">
        <v>46249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1062-2025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45666</v>
      </c>
      <c r="E854" s="1" t="n">
        <v>46249</v>
      </c>
      <c r="F854" t="inlineStr">
        <is>
          <t>GÄVLEBORGS LÄN</t>
        </is>
      </c>
      <c r="G854" t="inlineStr">
        <is>
          <t>GÄVLE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28140-2026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46195</v>
      </c>
      <c r="E855" s="1" t="n">
        <v>46249</v>
      </c>
      <c r="F855" t="inlineStr">
        <is>
          <t>GÄVLEBORGS LÄN</t>
        </is>
      </c>
      <c r="G855" t="inlineStr">
        <is>
          <t>GÄVLE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22358-2026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46154</v>
      </c>
      <c r="E856" s="1" t="n">
        <v>46249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57168-2023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45245</v>
      </c>
      <c r="E857" s="1" t="n">
        <v>46249</v>
      </c>
      <c r="F857" t="inlineStr">
        <is>
          <t>GÄVLEBORGS LÄN</t>
        </is>
      </c>
      <c r="G857" t="inlineStr">
        <is>
          <t>GÄVLE</t>
        </is>
      </c>
      <c r="H857" t="inlineStr">
        <is>
          <t>Kyrkan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34116-2025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46249</v>
      </c>
      <c r="F858" t="inlineStr">
        <is>
          <t>GÄVLEBORGS LÄN</t>
        </is>
      </c>
      <c r="G858" t="inlineStr">
        <is>
          <t>GÄVLE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21978-2025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45784</v>
      </c>
      <c r="E859" s="1" t="n">
        <v>46249</v>
      </c>
      <c r="F859" t="inlineStr">
        <is>
          <t>GÄVLEBORGS LÄN</t>
        </is>
      </c>
      <c r="G859" t="inlineStr">
        <is>
          <t>GÄVLE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34113-2025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46249</v>
      </c>
      <c r="F860" t="inlineStr">
        <is>
          <t>GÄVLEBORGS LÄN</t>
        </is>
      </c>
      <c r="G860" t="inlineStr">
        <is>
          <t>GÄVLE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29494-2026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46198</v>
      </c>
      <c r="E861" s="1" t="n">
        <v>46249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34722-2025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45848</v>
      </c>
      <c r="E862" s="1" t="n">
        <v>46249</v>
      </c>
      <c r="F862" t="inlineStr">
        <is>
          <t>GÄVLEBORGS LÄN</t>
        </is>
      </c>
      <c r="G862" t="inlineStr">
        <is>
          <t>GÄVLE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29506-2026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46198</v>
      </c>
      <c r="E863" s="1" t="n">
        <v>46249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52.7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32436-2026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46239</v>
      </c>
      <c r="E864" s="1" t="n">
        <v>46249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34725-2025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45848</v>
      </c>
      <c r="E865" s="1" t="n">
        <v>46249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37253-2024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45540</v>
      </c>
      <c r="E866" s="1" t="n">
        <v>46249</v>
      </c>
      <c r="F866" t="inlineStr">
        <is>
          <t>GÄVLEBORGS LÄN</t>
        </is>
      </c>
      <c r="G866" t="inlineStr">
        <is>
          <t>GÄVLE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28379-2026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46196</v>
      </c>
      <c r="E867" s="1" t="n">
        <v>46249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28485-2026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46197</v>
      </c>
      <c r="E868" s="1" t="n">
        <v>46249</v>
      </c>
      <c r="F868" t="inlineStr">
        <is>
          <t>GÄVLEBORGS LÄN</t>
        </is>
      </c>
      <c r="G868" t="inlineStr">
        <is>
          <t>GÄVLE</t>
        </is>
      </c>
      <c r="H868" t="inlineStr">
        <is>
          <t>BillerudKorsnäs AB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28332-2026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46249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28334-2026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46196</v>
      </c>
      <c r="E870" s="1" t="n">
        <v>46249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22968-2026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46160</v>
      </c>
      <c r="E871" s="1" t="n">
        <v>46249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35337-2025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45854</v>
      </c>
      <c r="E872" s="1" t="n">
        <v>46249</v>
      </c>
      <c r="F872" t="inlineStr">
        <is>
          <t>GÄVLEBORGS LÄN</t>
        </is>
      </c>
      <c r="G872" t="inlineStr">
        <is>
          <t>GÄVLE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28331-2026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46196</v>
      </c>
      <c r="E873" s="1" t="n">
        <v>46249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32437-2026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46239</v>
      </c>
      <c r="E874" s="1" t="n">
        <v>46249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35650-2025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45859</v>
      </c>
      <c r="E875" s="1" t="n">
        <v>46249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35938-2025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45862</v>
      </c>
      <c r="E876" s="1" t="n">
        <v>46249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35878-2025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45862</v>
      </c>
      <c r="E877" s="1" t="n">
        <v>46249</v>
      </c>
      <c r="F877" t="inlineStr">
        <is>
          <t>GÄVLEBORGS LÄN</t>
        </is>
      </c>
      <c r="G877" t="inlineStr">
        <is>
          <t>GÄVLE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35919-2025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45862</v>
      </c>
      <c r="E878" s="1" t="n">
        <v>46249</v>
      </c>
      <c r="F878" t="inlineStr">
        <is>
          <t>GÄVLEBORGS LÄN</t>
        </is>
      </c>
      <c r="G878" t="inlineStr">
        <is>
          <t>GÄVLE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32888-2026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46249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36106-2025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45866</v>
      </c>
      <c r="E880" s="1" t="n">
        <v>46249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36255-2025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45867</v>
      </c>
      <c r="E881" s="1" t="n">
        <v>46249</v>
      </c>
      <c r="F881" t="inlineStr">
        <is>
          <t>GÄVLEBORGS LÄN</t>
        </is>
      </c>
      <c r="G881" t="inlineStr">
        <is>
          <t>GÄVLE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28654-2026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46198</v>
      </c>
      <c r="E882" s="1" t="n">
        <v>46249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36516-2025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45869</v>
      </c>
      <c r="E883" s="1" t="n">
        <v>46249</v>
      </c>
      <c r="F883" t="inlineStr">
        <is>
          <t>GÄVLEBORGS LÄN</t>
        </is>
      </c>
      <c r="G883" t="inlineStr">
        <is>
          <t>GÄVLE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36493-2025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45869</v>
      </c>
      <c r="E884" s="1" t="n">
        <v>46249</v>
      </c>
      <c r="F884" t="inlineStr">
        <is>
          <t>GÄVLEBORGS LÄN</t>
        </is>
      </c>
      <c r="G884" t="inlineStr">
        <is>
          <t>GÄVLE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28655-2026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46198</v>
      </c>
      <c r="E885" s="1" t="n">
        <v>46249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28657-2026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46198</v>
      </c>
      <c r="E886" s="1" t="n">
        <v>46249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28658-2026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46249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32890-2026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46249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28656-2026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46249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28659-2026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46198</v>
      </c>
      <c r="E890" s="1" t="n">
        <v>46249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36680-2025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45873</v>
      </c>
      <c r="E891" s="1" t="n">
        <v>46249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32887-2026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46249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29333-2026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46202</v>
      </c>
      <c r="E893" s="1" t="n">
        <v>46249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29142-2026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46202</v>
      </c>
      <c r="E894" s="1" t="n">
        <v>46249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33231-2026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46246</v>
      </c>
      <c r="E895" s="1" t="n">
        <v>46249</v>
      </c>
      <c r="F895" t="inlineStr">
        <is>
          <t>GÄVLEBORGS LÄN</t>
        </is>
      </c>
      <c r="G895" t="inlineStr">
        <is>
          <t>GÄVLE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33350-2026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46246</v>
      </c>
      <c r="E896" s="1" t="n">
        <v>46249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46246</v>
      </c>
      <c r="E897" s="1" t="n">
        <v>46249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46246</v>
      </c>
      <c r="E898" s="1" t="n">
        <v>46249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46249</v>
      </c>
      <c r="F899" t="inlineStr">
        <is>
          <t>GÄVLEBORGS LÄN</t>
        </is>
      </c>
      <c r="G899" t="inlineStr">
        <is>
          <t>GÄVLE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46203</v>
      </c>
      <c r="E900" s="1" t="n">
        <v>46249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33349-2026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46246</v>
      </c>
      <c r="E901" s="1" t="n">
        <v>46249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33347-2026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46246</v>
      </c>
      <c r="E902" s="1" t="n">
        <v>46249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33662-2026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46248</v>
      </c>
      <c r="E903" s="1" t="n">
        <v>46249</v>
      </c>
      <c r="F903" t="inlineStr">
        <is>
          <t>GÄVLEBORGS LÄN</t>
        </is>
      </c>
      <c r="G903" t="inlineStr">
        <is>
          <t>GÄVLE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33586-2026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46248</v>
      </c>
      <c r="E904" s="1" t="n">
        <v>46249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31019-2026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46249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33585-2026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46248</v>
      </c>
      <c r="E906" s="1" t="n">
        <v>46249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9.5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33664-2026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46248</v>
      </c>
      <c r="E907" s="1" t="n">
        <v>46249</v>
      </c>
      <c r="F907" t="inlineStr">
        <is>
          <t>GÄVLEBORGS LÄN</t>
        </is>
      </c>
      <c r="G907" t="inlineStr">
        <is>
          <t>GÄVLE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3425-2023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45205</v>
      </c>
      <c r="E908" s="1" t="n">
        <v>46249</v>
      </c>
      <c r="F908" t="inlineStr">
        <is>
          <t>GÄVLEBORGS LÄN</t>
        </is>
      </c>
      <c r="G908" t="inlineStr">
        <is>
          <t>GÄVLE</t>
        </is>
      </c>
      <c r="I908" t="n">
        <v>0.2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  <c r="Z908">
        <f>HYPERLINK("https://klasma.github.io/Logging_2180/knärot/S 3425-2023 karta knärot.png", "S 3425-2023")</f>
        <v/>
      </c>
      <c r="AA908">
        <f>HYPERLINK("https://klasma.github.io/Logging_2180/klagomål/S 3425-2023 FSC-klagomål.docx", "S 3425-2023")</f>
        <v/>
      </c>
      <c r="AB908">
        <f>HYPERLINK("https://klasma.github.io/Logging_2180/klagomålsmail/S 3425-2023 FSC-klagomål mail.docx", "S 3425-2023")</f>
        <v/>
      </c>
      <c r="AC908">
        <f>HYPERLINK("https://klasma.github.io/Logging_2180/tillsyn/S 3425-2023 tillsynsbegäran.docx", "S 3425-2023")</f>
        <v/>
      </c>
      <c r="AD908">
        <f>HYPERLINK("https://klasma.github.io/Logging_2180/tillsynsmail/S 3425-2023 tillsynsbegäran mail.docx", "S 3425-2023")</f>
        <v/>
      </c>
    </row>
    <row r="909" ht="15" customHeight="1">
      <c r="A909" t="inlineStr">
        <is>
          <t>S 889-2023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44995</v>
      </c>
      <c r="E909" s="1" t="n">
        <v>46249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886-2024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45376</v>
      </c>
      <c r="E910" s="1" t="n">
        <v>46249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2464-2024</t>
        </is>
      </c>
      <c r="B911" t="inlineStr">
        <is>
          <t>samrådsanmälan</t>
        </is>
      </c>
      <c r="C911" t="inlineStr">
        <is>
          <t>Skogsbilväg</t>
        </is>
      </c>
      <c r="D911" s="1" t="n">
        <v>45470</v>
      </c>
      <c r="E911" s="1" t="n">
        <v>46249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644-2026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46249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29.2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2026-08-15T08:29:11Z</dcterms:created>
  <dcterms:modified xmlns:dcterms="http://purl.org/dc/terms/" xmlns:xsi="http://www.w3.org/2001/XMLSchema-instance" xsi:type="dcterms:W3CDTF">2026-08-15T08:29:11Z</dcterms:modified>
</cp:coreProperties>
</file>