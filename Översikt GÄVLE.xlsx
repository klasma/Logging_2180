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46305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46305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46305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46305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46305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46305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46305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46305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46305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46305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46305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46305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46305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46305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46305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46305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46305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46305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46305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46305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46305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46305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46305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46305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42114-2026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46304</v>
      </c>
      <c r="E37" s="1" t="n">
        <v>46305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13</v>
      </c>
      <c r="J37" t="n">
        <v>1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Ask
Gullpudra
Svart trolldruva
Blåsippa</t>
        </is>
      </c>
      <c r="W37">
        <f>HYPERLINK("https://klasma.github.io/Logging_2180/artfynd/A 42114-2026 artfynd.xlsx", "A 42114-2026")</f>
        <v/>
      </c>
      <c r="X37">
        <f>HYPERLINK("https://klasma.github.io/Logging_2180/kartor/A 42114-2026 karta.png", "A 42114-2026")</f>
        <v/>
      </c>
      <c r="Y37">
        <f>HYPERLINK("https://klasma.github.io/Logging_2180/kartor_geotiff/A 42114-2026 georefererad karta.tif", "A 42114-2026")</f>
        <v/>
      </c>
      <c r="AA37">
        <f>HYPERLINK("https://klasma.github.io/Logging_2180/klagomål/A 42114-2026 FSC-klagomål.docx", "A 42114-2026")</f>
        <v/>
      </c>
      <c r="AB37">
        <f>HYPERLINK("https://klasma.github.io/Logging_2180/klagomålsmail/A 42114-2026 FSC-klagomål mail.docx", "A 42114-2026")</f>
        <v/>
      </c>
      <c r="AC37">
        <f>HYPERLINK("https://klasma.github.io/Logging_2180/tillsyn/A 42114-2026 tillsynsbegäran.docx", "A 42114-2026")</f>
        <v/>
      </c>
      <c r="AD37">
        <f>HYPERLINK("https://klasma.github.io/Logging_2180/tillsynsmail/A 42114-2026 tillsynsbegäran mail.docx", "A 42114-2026")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46305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46305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46305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46305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10169-2026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46305</v>
      </c>
      <c r="F43" t="inlineStr">
        <is>
          <t>GÄVLEBORGS LÄN</t>
        </is>
      </c>
      <c r="G43" t="inlineStr">
        <is>
          <t>GÄVLE</t>
        </is>
      </c>
      <c r="I43" t="n">
        <v>2.1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Nordfladdermus
Blåsippa
Vattenfladdermus</t>
        </is>
      </c>
      <c r="W43">
        <f>HYPERLINK("https://klasma.github.io/Logging_2180/artfynd/A 10169-2026 artfynd.xlsx", "A 10169-2026")</f>
        <v/>
      </c>
      <c r="X43">
        <f>HYPERLINK("https://klasma.github.io/Logging_2180/kartor/A 10169-2026 karta.png", "A 10169-2026")</f>
        <v/>
      </c>
      <c r="Y43">
        <f>HYPERLINK("https://klasma.github.io/Logging_2180/kartor_geotiff/A 10169-2026 georefererad karta.tif", "A 10169-2026")</f>
        <v/>
      </c>
      <c r="AA43">
        <f>HYPERLINK("https://klasma.github.io/Logging_2180/klagomål/A 10169-2026 FSC-klagomål.docx", "A 10169-2026")</f>
        <v/>
      </c>
      <c r="AB43">
        <f>HYPERLINK("https://klasma.github.io/Logging_2180/klagomålsmail/A 10169-2026 FSC-klagomål mail.docx", "A 10169-2026")</f>
        <v/>
      </c>
      <c r="AC43">
        <f>HYPERLINK("https://klasma.github.io/Logging_2180/tillsyn/A 10169-2026 tillsynsbegäran.docx", "A 10169-2026")</f>
        <v/>
      </c>
      <c r="AD43">
        <f>HYPERLINK("https://klasma.github.io/Logging_2180/tillsynsmail/A 10169-2026 tillsynsbegäran mail.docx", "A 10169-2026")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46305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46305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46305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46305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46305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46305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46305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56538-2022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46305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Dropptaggsvamp
Blåsippa</t>
        </is>
      </c>
      <c r="W51">
        <f>HYPERLINK("https://klasma.github.io/Logging_2180/artfynd/A 56538-2022 artfynd.xlsx", "A 56538-2022")</f>
        <v/>
      </c>
      <c r="X51">
        <f>HYPERLINK("https://klasma.github.io/Logging_2180/kartor/A 56538-2022 karta.png", "A 56538-2022")</f>
        <v/>
      </c>
      <c r="Y51">
        <f>HYPERLINK("https://klasma.github.io/Logging_2180/kartor_geotiff/A 56538-2022 georefererad karta.tif", "A 56538-2022")</f>
        <v/>
      </c>
      <c r="AA51">
        <f>HYPERLINK("https://klasma.github.io/Logging_2180/klagomål/A 56538-2022 FSC-klagomål.docx", "A 56538-2022")</f>
        <v/>
      </c>
      <c r="AB51">
        <f>HYPERLINK("https://klasma.github.io/Logging_2180/klagomålsmail/A 56538-2022 FSC-klagomål mail.docx", "A 56538-2022")</f>
        <v/>
      </c>
      <c r="AC51">
        <f>HYPERLINK("https://klasma.github.io/Logging_2180/tillsyn/A 56538-2022 tillsynsbegäran.docx", "A 56538-2022")</f>
        <v/>
      </c>
      <c r="AD51">
        <f>HYPERLINK("https://klasma.github.io/Logging_2180/tillsynsmail/A 56538-2022 tillsynsbegäran mail.docx", "A 56538-2022")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46305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46305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64533-2023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46305</v>
      </c>
      <c r="F54" t="inlineStr">
        <is>
          <t>GÄVLEBORGS LÄN</t>
        </is>
      </c>
      <c r="G54" t="inlineStr">
        <is>
          <t>GÄVLE</t>
        </is>
      </c>
      <c r="I54" t="n">
        <v>1.1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Aspvedgnagare
Jättesvampmal</t>
        </is>
      </c>
      <c r="W54">
        <f>HYPERLINK("https://klasma.github.io/Logging_2180/artfynd/A 64533-2023 artfynd.xlsx", "A 64533-2023")</f>
        <v/>
      </c>
      <c r="X54">
        <f>HYPERLINK("https://klasma.github.io/Logging_2180/kartor/A 64533-2023 karta.png", "A 64533-2023")</f>
        <v/>
      </c>
      <c r="Y54">
        <f>HYPERLINK("https://klasma.github.io/Logging_2180/kartor_geotiff/A 64533-2023 georefererad karta.tif", "A 64533-2023")</f>
        <v/>
      </c>
      <c r="AA54">
        <f>HYPERLINK("https://klasma.github.io/Logging_2180/klagomål/A 64533-2023 FSC-klagomål.docx", "A 64533-2023")</f>
        <v/>
      </c>
      <c r="AB54">
        <f>HYPERLINK("https://klasma.github.io/Logging_2180/klagomålsmail/A 64533-2023 FSC-klagomål mail.docx", "A 64533-2023")</f>
        <v/>
      </c>
      <c r="AC54">
        <f>HYPERLINK("https://klasma.github.io/Logging_2180/tillsyn/A 64533-2023 tillsynsbegäran.docx", "A 64533-2023")</f>
        <v/>
      </c>
      <c r="AD54">
        <f>HYPERLINK("https://klasma.github.io/Logging_2180/tillsynsmail/A 64533-2023 tillsynsbegäran mail.docx", "A 64533-2023")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46305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23447-2025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46305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Kopparödla
Fläcknycklar</t>
        </is>
      </c>
      <c r="W56">
        <f>HYPERLINK("https://klasma.github.io/Logging_2180/artfynd/A 23447-2025 artfynd.xlsx", "A 23447-2025")</f>
        <v/>
      </c>
      <c r="X56">
        <f>HYPERLINK("https://klasma.github.io/Logging_2180/kartor/A 23447-2025 karta.png", "A 23447-2025")</f>
        <v/>
      </c>
      <c r="Y56">
        <f>HYPERLINK("https://klasma.github.io/Logging_2180/kartor_geotiff/A 23447-2025 georefererad karta.tif", "A 23447-2025")</f>
        <v/>
      </c>
      <c r="AA56">
        <f>HYPERLINK("https://klasma.github.io/Logging_2180/klagomål/A 23447-2025 FSC-klagomål.docx", "A 23447-2025")</f>
        <v/>
      </c>
      <c r="AB56">
        <f>HYPERLINK("https://klasma.github.io/Logging_2180/klagomålsmail/A 23447-2025 FSC-klagomål mail.docx", "A 23447-2025")</f>
        <v/>
      </c>
      <c r="AC56">
        <f>HYPERLINK("https://klasma.github.io/Logging_2180/tillsyn/A 23447-2025 tillsynsbegäran.docx", "A 23447-2025")</f>
        <v/>
      </c>
      <c r="AD56">
        <f>HYPERLINK("https://klasma.github.io/Logging_2180/tillsynsmail/A 23447-2025 tillsynsbegäran mail.docx", "A 23447-2025")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46305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46305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13727-2025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46305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2</v>
      </c>
      <c r="V59" s="2" t="inlineStr">
        <is>
          <t>Ullticka
Järpe</t>
        </is>
      </c>
      <c r="W59">
        <f>HYPERLINK("https://klasma.github.io/Logging_2180/artfynd/A 13727-2025 artfynd.xlsx", "A 13727-2025")</f>
        <v/>
      </c>
      <c r="X59">
        <f>HYPERLINK("https://klasma.github.io/Logging_2180/kartor/A 13727-2025 karta.png", "A 13727-2025")</f>
        <v/>
      </c>
      <c r="Y59">
        <f>HYPERLINK("https://klasma.github.io/Logging_2180/kartor_geotiff/A 13727-2025 georefererad karta.tif", "A 13727-2025")</f>
        <v/>
      </c>
      <c r="AA59">
        <f>HYPERLINK("https://klasma.github.io/Logging_2180/klagomål/A 13727-2025 FSC-klagomål.docx", "A 13727-2025")</f>
        <v/>
      </c>
      <c r="AB59">
        <f>HYPERLINK("https://klasma.github.io/Logging_2180/klagomålsmail/A 13727-2025 FSC-klagomål mail.docx", "A 13727-2025")</f>
        <v/>
      </c>
      <c r="AC59">
        <f>HYPERLINK("https://klasma.github.io/Logging_2180/tillsyn/A 13727-2025 tillsynsbegäran.docx", "A 13727-2025")</f>
        <v/>
      </c>
      <c r="AD59">
        <f>HYPERLINK("https://klasma.github.io/Logging_2180/tillsynsmail/A 13727-2025 tillsynsbegäran mail.docx", "A 13727-2025")</f>
        <v/>
      </c>
      <c r="AE59">
        <f>HYPERLINK("https://klasma.github.io/Logging_2180/fåglar/A 13727-2025 prioriterade fågelarter.docx", "A 13727-2025")</f>
        <v/>
      </c>
    </row>
    <row r="60" ht="15" customHeight="1">
      <c r="A60" t="inlineStr">
        <is>
          <t>A 35989-2024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45533</v>
      </c>
      <c r="E60" s="1" t="n">
        <v>46305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3.1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Knärot
Jättesvampmal</t>
        </is>
      </c>
      <c r="W60">
        <f>HYPERLINK("https://klasma.github.io/Logging_2180/artfynd/A 35989-2024 artfynd.xlsx", "A 35989-2024")</f>
        <v/>
      </c>
      <c r="X60">
        <f>HYPERLINK("https://klasma.github.io/Logging_2180/kartor/A 35989-2024 karta.png", "A 35989-2024")</f>
        <v/>
      </c>
      <c r="Y60">
        <f>HYPERLINK("https://klasma.github.io/Logging_2180/kartor_geotiff/A 35989-2024 georefererad karta.tif", "A 35989-2024")</f>
        <v/>
      </c>
      <c r="Z60">
        <f>HYPERLINK("https://klasma.github.io/Logging_2180/knärot/A 35989-2024 karta knärot.png", "A 35989-2024")</f>
        <v/>
      </c>
      <c r="AA60">
        <f>HYPERLINK("https://klasma.github.io/Logging_2180/klagomål/A 35989-2024 FSC-klagomål.docx", "A 35989-2024")</f>
        <v/>
      </c>
      <c r="AB60">
        <f>HYPERLINK("https://klasma.github.io/Logging_2180/klagomålsmail/A 35989-2024 FSC-klagomål mail.docx", "A 35989-2024")</f>
        <v/>
      </c>
      <c r="AC60">
        <f>HYPERLINK("https://klasma.github.io/Logging_2180/tillsyn/A 35989-2024 tillsynsbegäran.docx", "A 35989-2024")</f>
        <v/>
      </c>
      <c r="AD60">
        <f>HYPERLINK("https://klasma.github.io/Logging_2180/tillsynsmail/A 35989-2024 tillsynsbegäran mail.docx", "A 35989-2024")</f>
        <v/>
      </c>
    </row>
    <row r="61" ht="15" customHeight="1">
      <c r="A61" t="inlineStr">
        <is>
          <t>A 13487-2026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46305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0.6</v>
      </c>
      <c r="J61" t="n">
        <v>2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Pärluggla
Sparvuggla</t>
        </is>
      </c>
      <c r="W61">
        <f>HYPERLINK("https://klasma.github.io/Logging_2180/artfynd/A 13487-2026 artfynd.xlsx", "A 13487-2026")</f>
        <v/>
      </c>
      <c r="X61">
        <f>HYPERLINK("https://klasma.github.io/Logging_2180/kartor/A 13487-2026 karta.png", "A 13487-2026")</f>
        <v/>
      </c>
      <c r="Y61">
        <f>HYPERLINK("https://klasma.github.io/Logging_2180/kartor_geotiff/A 13487-2026 georefererad karta.tif", "A 13487-2026")</f>
        <v/>
      </c>
      <c r="AA61">
        <f>HYPERLINK("https://klasma.github.io/Logging_2180/klagomål/A 13487-2026 FSC-klagomål.docx", "A 13487-2026")</f>
        <v/>
      </c>
      <c r="AB61">
        <f>HYPERLINK("https://klasma.github.io/Logging_2180/klagomålsmail/A 13487-2026 FSC-klagomål mail.docx", "A 13487-2026")</f>
        <v/>
      </c>
      <c r="AC61">
        <f>HYPERLINK("https://klasma.github.io/Logging_2180/tillsyn/A 13487-2026 tillsynsbegäran.docx", "A 13487-2026")</f>
        <v/>
      </c>
      <c r="AD61">
        <f>HYPERLINK("https://klasma.github.io/Logging_2180/tillsynsmail/A 13487-2026 tillsynsbegäran mail.docx", "A 13487-2026")</f>
        <v/>
      </c>
      <c r="AE61">
        <f>HYPERLINK("https://klasma.github.io/Logging_2180/fåglar/A 13487-2026 prioriterade fågelarter.docx", "A 13487-2026")</f>
        <v/>
      </c>
    </row>
    <row r="62" ht="15" customHeight="1">
      <c r="A62" t="inlineStr">
        <is>
          <t>A 60202-2025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46305</v>
      </c>
      <c r="F62" t="inlineStr">
        <is>
          <t>GÄVLEBORGS LÄN</t>
        </is>
      </c>
      <c r="G62" t="inlineStr">
        <is>
          <t>GÄVLE</t>
        </is>
      </c>
      <c r="I62" t="n">
        <v>4.3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Spillkråka</t>
        </is>
      </c>
      <c r="W62">
        <f>HYPERLINK("https://klasma.github.io/Logging_2180/artfynd/A 60202-2025 artfynd.xlsx", "A 60202-2025")</f>
        <v/>
      </c>
      <c r="X62">
        <f>HYPERLINK("https://klasma.github.io/Logging_2180/kartor/A 60202-2025 karta.png", "A 60202-2025")</f>
        <v/>
      </c>
      <c r="Y62">
        <f>HYPERLINK("https://klasma.github.io/Logging_2180/kartor_geotiff/A 60202-2025 georefererad karta.tif", "A 60202-2025")</f>
        <v/>
      </c>
      <c r="AA62">
        <f>HYPERLINK("https://klasma.github.io/Logging_2180/klagomål/A 60202-2025 FSC-klagomål.docx", "A 60202-2025")</f>
        <v/>
      </c>
      <c r="AB62">
        <f>HYPERLINK("https://klasma.github.io/Logging_2180/klagomålsmail/A 60202-2025 FSC-klagomål mail.docx", "A 60202-2025")</f>
        <v/>
      </c>
      <c r="AC62">
        <f>HYPERLINK("https://klasma.github.io/Logging_2180/tillsyn/A 60202-2025 tillsynsbegäran.docx", "A 60202-2025")</f>
        <v/>
      </c>
      <c r="AD62">
        <f>HYPERLINK("https://klasma.github.io/Logging_2180/tillsynsmail/A 60202-2025 tillsynsbegäran mail.docx", "A 60202-2025")</f>
        <v/>
      </c>
      <c r="AE62">
        <f>HYPERLINK("https://klasma.github.io/Logging_2180/fåglar/A 60202-2025 prioriterade fågelarter.docx", "A 60202-2025")</f>
        <v/>
      </c>
    </row>
    <row r="63" ht="15" customHeight="1">
      <c r="A63" t="inlineStr">
        <is>
          <t>A 19718-2026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46305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10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Rödvingetrast
Nattskärra</t>
        </is>
      </c>
      <c r="W63">
        <f>HYPERLINK("https://klasma.github.io/Logging_2180/artfynd/A 19718-2026 artfynd.xlsx", "A 19718-2026")</f>
        <v/>
      </c>
      <c r="X63">
        <f>HYPERLINK("https://klasma.github.io/Logging_2180/kartor/A 19718-2026 karta.png", "A 19718-2026")</f>
        <v/>
      </c>
      <c r="Y63">
        <f>HYPERLINK("https://klasma.github.io/Logging_2180/kartor_geotiff/A 19718-2026 georefererad karta.tif", "A 19718-2026")</f>
        <v/>
      </c>
      <c r="AA63">
        <f>HYPERLINK("https://klasma.github.io/Logging_2180/klagomål/A 19718-2026 FSC-klagomål.docx", "A 19718-2026")</f>
        <v/>
      </c>
      <c r="AB63">
        <f>HYPERLINK("https://klasma.github.io/Logging_2180/klagomålsmail/A 19718-2026 FSC-klagomål mail.docx", "A 19718-2026")</f>
        <v/>
      </c>
      <c r="AC63">
        <f>HYPERLINK("https://klasma.github.io/Logging_2180/tillsyn/A 19718-2026 tillsynsbegäran.docx", "A 19718-2026")</f>
        <v/>
      </c>
      <c r="AD63">
        <f>HYPERLINK("https://klasma.github.io/Logging_2180/tillsynsmail/A 19718-2026 tillsynsbegäran mail.docx", "A 19718-2026")</f>
        <v/>
      </c>
      <c r="AE63">
        <f>HYPERLINK("https://klasma.github.io/Logging_2180/fåglar/A 19718-2026 prioriterade fågelarter.docx", "A 19718-2026")</f>
        <v/>
      </c>
    </row>
    <row r="64" ht="15" customHeight="1">
      <c r="A64" t="inlineStr">
        <is>
          <t>A 29821-2023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46305</v>
      </c>
      <c r="F64" t="inlineStr">
        <is>
          <t>GÄVLEBORGS LÄN</t>
        </is>
      </c>
      <c r="G64" t="inlineStr">
        <is>
          <t>GÄVLE</t>
        </is>
      </c>
      <c r="I64" t="n">
        <v>5.3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Järnsparv
Svartvit flugsnappare</t>
        </is>
      </c>
      <c r="W64">
        <f>HYPERLINK("https://klasma.github.io/Logging_2180/artfynd/A 29821-2023 artfynd.xlsx", "A 29821-2023")</f>
        <v/>
      </c>
      <c r="X64">
        <f>HYPERLINK("https://klasma.github.io/Logging_2180/kartor/A 29821-2023 karta.png", "A 29821-2023")</f>
        <v/>
      </c>
      <c r="Y64">
        <f>HYPERLINK("https://klasma.github.io/Logging_2180/kartor_geotiff/A 29821-2023 georefererad karta.tif", "A 29821-2023")</f>
        <v/>
      </c>
      <c r="AA64">
        <f>HYPERLINK("https://klasma.github.io/Logging_2180/klagomål/A 29821-2023 FSC-klagomål.docx", "A 29821-2023")</f>
        <v/>
      </c>
      <c r="AB64">
        <f>HYPERLINK("https://klasma.github.io/Logging_2180/klagomålsmail/A 29821-2023 FSC-klagomål mail.docx", "A 29821-2023")</f>
        <v/>
      </c>
      <c r="AC64">
        <f>HYPERLINK("https://klasma.github.io/Logging_2180/tillsyn/A 29821-2023 tillsynsbegäran.docx", "A 29821-2023")</f>
        <v/>
      </c>
      <c r="AD64">
        <f>HYPERLINK("https://klasma.github.io/Logging_2180/tillsynsmail/A 29821-2023 tillsynsbegäran mail.docx", "A 29821-2023")</f>
        <v/>
      </c>
      <c r="AE64">
        <f>HYPERLINK("https://klasma.github.io/Logging_2180/fåglar/A 29821-2023 prioriterade fågelarter.docx", "A 29821-2023")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46305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46305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46305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46305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46305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46305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46305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Brunag
Strandlummer</t>
        </is>
      </c>
      <c r="W71">
        <f>HYPERLINK("https://klasma.github.io/Logging_2180/artfynd/A 29634-2026 artfynd.xlsx", "A 29634-2026")</f>
        <v/>
      </c>
      <c r="X71">
        <f>HYPERLINK("https://klasma.github.io/Logging_2180/kartor/A 29634-2026 karta.png", "A 29634-2026")</f>
        <v/>
      </c>
      <c r="Y71">
        <f>HYPERLINK("https://klasma.github.io/Logging_2180/kartor_geotiff/A 29634-2026 georefererad karta.tif", "A 29634-2026")</f>
        <v/>
      </c>
      <c r="AA71">
        <f>HYPERLINK("https://klasma.github.io/Logging_2180/klagomål/A 29634-2026 FSC-klagomål.docx", "A 29634-2026")</f>
        <v/>
      </c>
      <c r="AB71">
        <f>HYPERLINK("https://klasma.github.io/Logging_2180/klagomålsmail/A 29634-2026 FSC-klagomål mail.docx", "A 29634-2026")</f>
        <v/>
      </c>
      <c r="AC71">
        <f>HYPERLINK("https://klasma.github.io/Logging_2180/tillsyn/A 29634-2026 tillsynsbegäran.docx", "A 29634-2026")</f>
        <v/>
      </c>
      <c r="AD71">
        <f>HYPERLINK("https://klasma.github.io/Logging_2180/tillsynsmail/A 29634-2026 tillsynsbegäran mail.docx", "A 29634-2026")</f>
        <v/>
      </c>
    </row>
    <row r="72" ht="15" customHeight="1">
      <c r="A72" t="inlineStr">
        <is>
          <t>A 38046-2026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46280</v>
      </c>
      <c r="E72" s="1" t="n">
        <v>46305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4.3</v>
      </c>
      <c r="J72" t="n">
        <v>1</v>
      </c>
      <c r="K72" t="n">
        <v>0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Garnlav
Knärot</t>
        </is>
      </c>
      <c r="W72">
        <f>HYPERLINK("https://klasma.github.io/Logging_2180/artfynd/A 38046-2026 artfynd.xlsx", "A 38046-2026")</f>
        <v/>
      </c>
      <c r="X72">
        <f>HYPERLINK("https://klasma.github.io/Logging_2180/kartor/A 38046-2026 karta.png", "A 38046-2026")</f>
        <v/>
      </c>
      <c r="Y72">
        <f>HYPERLINK("https://klasma.github.io/Logging_2180/kartor_geotiff/A 38046-2026 georefererad karta.tif", "A 38046-2026")</f>
        <v/>
      </c>
      <c r="Z72">
        <f>HYPERLINK("https://klasma.github.io/Logging_2180/knärot/A 38046-2026 karta knärot.png", "A 38046-2026")</f>
        <v/>
      </c>
      <c r="AA72">
        <f>HYPERLINK("https://klasma.github.io/Logging_2180/klagomål/A 38046-2026 FSC-klagomål.docx", "A 38046-2026")</f>
        <v/>
      </c>
      <c r="AB72">
        <f>HYPERLINK("https://klasma.github.io/Logging_2180/klagomålsmail/A 38046-2026 FSC-klagomål mail.docx", "A 38046-2026")</f>
        <v/>
      </c>
      <c r="AC72">
        <f>HYPERLINK("https://klasma.github.io/Logging_2180/tillsyn/A 38046-2026 tillsynsbegäran.docx", "A 38046-2026")</f>
        <v/>
      </c>
      <c r="AD72">
        <f>HYPERLINK("https://klasma.github.io/Logging_2180/tillsynsmail/A 38046-2026 tillsynsbegäran mail.docx", "A 38046-2026")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46305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46305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14554-2026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46305</v>
      </c>
      <c r="F75" t="inlineStr">
        <is>
          <t>GÄVLEBORGS LÄN</t>
        </is>
      </c>
      <c r="G75" t="inlineStr">
        <is>
          <t>GÄVLE</t>
        </is>
      </c>
      <c r="H75" t="inlineStr">
        <is>
          <t>Övriga statliga verk och myndigheter</t>
        </is>
      </c>
      <c r="I75" t="n">
        <v>6.6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121</v>
      </c>
      <c r="U75" t="n">
        <v>0</v>
      </c>
      <c r="V75" s="2" t="inlineStr">
        <is>
          <t>Väddnätfjäril
Sotnätfjäril</t>
        </is>
      </c>
      <c r="W75">
        <f>HYPERLINK("https://klasma.github.io/Logging_2180/artfynd/A 14554-2026 artfynd.xlsx", "A 14554-2026")</f>
        <v/>
      </c>
      <c r="X75">
        <f>HYPERLINK("https://klasma.github.io/Logging_2180/kartor/A 14554-2026 karta.png", "A 14554-2026")</f>
        <v/>
      </c>
      <c r="Y75">
        <f>HYPERLINK("https://klasma.github.io/Logging_2180/kartor_geotiff/A 14554-2026 georefererad karta.tif", "A 14554-2026")</f>
        <v/>
      </c>
      <c r="AA75">
        <f>HYPERLINK("https://klasma.github.io/Logging_2180/klagomål/A 14554-2026 FSC-klagomål.docx", "A 14554-2026")</f>
        <v/>
      </c>
      <c r="AB75">
        <f>HYPERLINK("https://klasma.github.io/Logging_2180/klagomålsmail/A 14554-2026 FSC-klagomål mail.docx", "A 14554-2026")</f>
        <v/>
      </c>
      <c r="AC75">
        <f>HYPERLINK("https://klasma.github.io/Logging_2180/tillsyn/A 14554-2026 tillsynsbegäran.docx", "A 14554-2026")</f>
        <v/>
      </c>
      <c r="AD75">
        <f>HYPERLINK("https://klasma.github.io/Logging_2180/tillsynsmail/A 14554-2026 tillsynsbegäran mail.docx", "A 14554-2026")</f>
        <v/>
      </c>
    </row>
    <row r="76" ht="15" customHeight="1">
      <c r="A76" t="inlineStr">
        <is>
          <t>A 13248-2026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46305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Kattfotslav
Fläcknycklar</t>
        </is>
      </c>
      <c r="W76">
        <f>HYPERLINK("https://klasma.github.io/Logging_2180/artfynd/A 13248-2026 artfynd.xlsx", "A 13248-2026")</f>
        <v/>
      </c>
      <c r="X76">
        <f>HYPERLINK("https://klasma.github.io/Logging_2180/kartor/A 13248-2026 karta.png", "A 13248-2026")</f>
        <v/>
      </c>
      <c r="Y76">
        <f>HYPERLINK("https://klasma.github.io/Logging_2180/kartor_geotiff/A 13248-2026 georefererad karta.tif", "A 13248-2026")</f>
        <v/>
      </c>
      <c r="AA76">
        <f>HYPERLINK("https://klasma.github.io/Logging_2180/klagomål/A 13248-2026 FSC-klagomål.docx", "A 13248-2026")</f>
        <v/>
      </c>
      <c r="AB76">
        <f>HYPERLINK("https://klasma.github.io/Logging_2180/klagomålsmail/A 13248-2026 FSC-klagomål mail.docx", "A 13248-2026")</f>
        <v/>
      </c>
      <c r="AC76">
        <f>HYPERLINK("https://klasma.github.io/Logging_2180/tillsyn/A 13248-2026 tillsynsbegäran.docx", "A 13248-2026")</f>
        <v/>
      </c>
      <c r="AD76">
        <f>HYPERLINK("https://klasma.github.io/Logging_2180/tillsynsmail/A 13248-2026 tillsynsbegäran mail.docx", "A 13248-2026")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46305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46305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12437-2024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45379</v>
      </c>
      <c r="E79" s="1" t="n">
        <v>46305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7.4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HYPERLINK("https://klasma.github.io/Logging_2180/artfynd/A 12437-2024 artfynd.xlsx", "A 12437-2024")</f>
        <v/>
      </c>
      <c r="X79">
        <f>HYPERLINK("https://klasma.github.io/Logging_2180/kartor/A 12437-2024 karta.png", "A 12437-2024")</f>
        <v/>
      </c>
      <c r="Y79">
        <f>HYPERLINK("https://klasma.github.io/Logging_2180/kartor_geotiff/A 12437-2024 georefererad karta.tif", "A 12437-2024")</f>
        <v/>
      </c>
      <c r="AA79">
        <f>HYPERLINK("https://klasma.github.io/Logging_2180/klagomål/A 12437-2024 FSC-klagomål.docx", "A 12437-2024")</f>
        <v/>
      </c>
      <c r="AB79">
        <f>HYPERLINK("https://klasma.github.io/Logging_2180/klagomålsmail/A 12437-2024 FSC-klagomål mail.docx", "A 12437-2024")</f>
        <v/>
      </c>
      <c r="AC79">
        <f>HYPERLINK("https://klasma.github.io/Logging_2180/tillsyn/A 12437-2024 tillsynsbegäran.docx", "A 12437-2024")</f>
        <v/>
      </c>
      <c r="AD79">
        <f>HYPERLINK("https://klasma.github.io/Logging_2180/tillsynsmail/A 12437-2024 tillsynsbegäran mail.docx", "A 12437-2024")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46305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46305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46305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5409-2023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46305</v>
      </c>
      <c r="F83" t="inlineStr">
        <is>
          <t>GÄVLEBORGS LÄN</t>
        </is>
      </c>
      <c r="G83" t="inlineStr">
        <is>
          <t>GÄVLE</t>
        </is>
      </c>
      <c r="I83" t="n">
        <v>0.3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HYPERLINK("https://klasma.github.io/Logging_2180/artfynd/A 5409-2023 artfynd.xlsx", "A 5409-2023")</f>
        <v/>
      </c>
      <c r="X83">
        <f>HYPERLINK("https://klasma.github.io/Logging_2180/kartor/A 5409-2023 karta.png", "A 5409-2023")</f>
        <v/>
      </c>
      <c r="Y83">
        <f>HYPERLINK("https://klasma.github.io/Logging_2180/kartor_geotiff/A 5409-2023 georefererad karta.tif", "A 5409-2023")</f>
        <v/>
      </c>
      <c r="AA83">
        <f>HYPERLINK("https://klasma.github.io/Logging_2180/klagomål/A 5409-2023 FSC-klagomål.docx", "A 5409-2023")</f>
        <v/>
      </c>
      <c r="AB83">
        <f>HYPERLINK("https://klasma.github.io/Logging_2180/klagomålsmail/A 5409-2023 FSC-klagomål mail.docx", "A 5409-2023")</f>
        <v/>
      </c>
      <c r="AC83">
        <f>HYPERLINK("https://klasma.github.io/Logging_2180/tillsyn/A 5409-2023 tillsynsbegäran.docx", "A 5409-2023")</f>
        <v/>
      </c>
      <c r="AD83">
        <f>HYPERLINK("https://klasma.github.io/Logging_2180/tillsynsmail/A 5409-2023 tillsynsbegäran mail.docx", "A 5409-2023")</f>
        <v/>
      </c>
    </row>
    <row r="84" ht="15" customHeight="1">
      <c r="A84" t="inlineStr">
        <is>
          <t>A 5415-2023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46305</v>
      </c>
      <c r="F84" t="inlineStr">
        <is>
          <t>GÄVLEBORGS LÄN</t>
        </is>
      </c>
      <c r="G84" t="inlineStr">
        <is>
          <t>GÄVLE</t>
        </is>
      </c>
      <c r="I84" t="n">
        <v>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HYPERLINK("https://klasma.github.io/Logging_2180/artfynd/A 5415-2023 artfynd.xlsx", "A 5415-2023")</f>
        <v/>
      </c>
      <c r="X84">
        <f>HYPERLINK("https://klasma.github.io/Logging_2180/kartor/A 5415-2023 karta.png", "A 5415-2023")</f>
        <v/>
      </c>
      <c r="Y84">
        <f>HYPERLINK("https://klasma.github.io/Logging_2180/kartor_geotiff/A 5415-2023 georefererad karta.tif", "A 5415-2023")</f>
        <v/>
      </c>
      <c r="AA84">
        <f>HYPERLINK("https://klasma.github.io/Logging_2180/klagomål/A 5415-2023 FSC-klagomål.docx", "A 5415-2023")</f>
        <v/>
      </c>
      <c r="AB84">
        <f>HYPERLINK("https://klasma.github.io/Logging_2180/klagomålsmail/A 5415-2023 FSC-klagomål mail.docx", "A 5415-2023")</f>
        <v/>
      </c>
      <c r="AC84">
        <f>HYPERLINK("https://klasma.github.io/Logging_2180/tillsyn/A 5415-2023 tillsynsbegäran.docx", "A 5415-2023")</f>
        <v/>
      </c>
      <c r="AD84">
        <f>HYPERLINK("https://klasma.github.io/Logging_2180/tillsynsmail/A 5415-2023 tillsynsbegäran mail.docx", "A 5415-2023")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46305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12381-2023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46305</v>
      </c>
      <c r="F86" t="inlineStr">
        <is>
          <t>GÄVLEBORGS LÄN</t>
        </is>
      </c>
      <c r="G86" t="inlineStr">
        <is>
          <t>GÄVLE</t>
        </is>
      </c>
      <c r="I86" t="n">
        <v>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Brunlångöra</t>
        </is>
      </c>
      <c r="W86">
        <f>HYPERLINK("https://klasma.github.io/Logging_2180/artfynd/A 12381-2023 artfynd.xlsx", "A 12381-2023")</f>
        <v/>
      </c>
      <c r="X86">
        <f>HYPERLINK("https://klasma.github.io/Logging_2180/kartor/A 12381-2023 karta.png", "A 12381-2023")</f>
        <v/>
      </c>
      <c r="Y86">
        <f>HYPERLINK("https://klasma.github.io/Logging_2180/kartor_geotiff/A 12381-2023 georefererad karta.tif", "A 12381-2023")</f>
        <v/>
      </c>
      <c r="AA86">
        <f>HYPERLINK("https://klasma.github.io/Logging_2180/klagomål/A 12381-2023 FSC-klagomål.docx", "A 12381-2023")</f>
        <v/>
      </c>
      <c r="AB86">
        <f>HYPERLINK("https://klasma.github.io/Logging_2180/klagomålsmail/A 12381-2023 FSC-klagomål mail.docx", "A 12381-2023")</f>
        <v/>
      </c>
      <c r="AC86">
        <f>HYPERLINK("https://klasma.github.io/Logging_2180/tillsyn/A 12381-2023 tillsynsbegäran.docx", "A 12381-2023")</f>
        <v/>
      </c>
      <c r="AD86">
        <f>HYPERLINK("https://klasma.github.io/Logging_2180/tillsynsmail/A 12381-2023 tillsynsbegäran mail.docx", "A 12381-2023")</f>
        <v/>
      </c>
    </row>
    <row r="87" ht="15" customHeight="1">
      <c r="A87" t="inlineStr">
        <is>
          <t>A 21282-2024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46305</v>
      </c>
      <c r="F87" t="inlineStr">
        <is>
          <t>GÄVLEBORGS LÄN</t>
        </is>
      </c>
      <c r="G87" t="inlineStr">
        <is>
          <t>GÄVLE</t>
        </is>
      </c>
      <c r="I87" t="n">
        <v>7.4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21282-2024 artfynd.xlsx", "A 21282-2024")</f>
        <v/>
      </c>
      <c r="X87">
        <f>HYPERLINK("https://klasma.github.io/Logging_2180/kartor/A 21282-2024 karta.png", "A 21282-2024")</f>
        <v/>
      </c>
      <c r="Y87">
        <f>HYPERLINK("https://klasma.github.io/Logging_2180/kartor_geotiff/A 21282-2024 georefererad karta.tif", "A 21282-2024")</f>
        <v/>
      </c>
      <c r="AA87">
        <f>HYPERLINK("https://klasma.github.io/Logging_2180/klagomål/A 21282-2024 FSC-klagomål.docx", "A 21282-2024")</f>
        <v/>
      </c>
      <c r="AB87">
        <f>HYPERLINK("https://klasma.github.io/Logging_2180/klagomålsmail/A 21282-2024 FSC-klagomål mail.docx", "A 21282-2024")</f>
        <v/>
      </c>
      <c r="AC87">
        <f>HYPERLINK("https://klasma.github.io/Logging_2180/tillsyn/A 21282-2024 tillsynsbegäran.docx", "A 21282-2024")</f>
        <v/>
      </c>
      <c r="AD87">
        <f>HYPERLINK("https://klasma.github.io/Logging_2180/tillsynsmail/A 21282-2024 tillsynsbegäran mail.docx", "A 21282-2024")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46305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57932-2024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45631</v>
      </c>
      <c r="E89" s="1" t="n">
        <v>46305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48.7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Tjäder</t>
        </is>
      </c>
      <c r="W89">
        <f>HYPERLINK("https://klasma.github.io/Logging_2180/artfynd/A 57932-2024 artfynd.xlsx", "A 57932-2024")</f>
        <v/>
      </c>
      <c r="X89">
        <f>HYPERLINK("https://klasma.github.io/Logging_2180/kartor/A 57932-2024 karta.png", "A 57932-2024")</f>
        <v/>
      </c>
      <c r="Y89">
        <f>HYPERLINK("https://klasma.github.io/Logging_2180/kartor_geotiff/A 57932-2024 georefererad karta.tif", "A 57932-2024")</f>
        <v/>
      </c>
      <c r="AA89">
        <f>HYPERLINK("https://klasma.github.io/Logging_2180/klagomål/A 57932-2024 FSC-klagomål.docx", "A 57932-2024")</f>
        <v/>
      </c>
      <c r="AB89">
        <f>HYPERLINK("https://klasma.github.io/Logging_2180/klagomålsmail/A 57932-2024 FSC-klagomål mail.docx", "A 57932-2024")</f>
        <v/>
      </c>
      <c r="AC89">
        <f>HYPERLINK("https://klasma.github.io/Logging_2180/tillsyn/A 57932-2024 tillsynsbegäran.docx", "A 57932-2024")</f>
        <v/>
      </c>
      <c r="AD89">
        <f>HYPERLINK("https://klasma.github.io/Logging_2180/tillsynsmail/A 57932-2024 tillsynsbegäran mail.docx", "A 57932-2024")</f>
        <v/>
      </c>
      <c r="AE89">
        <f>HYPERLINK("https://klasma.github.io/Logging_2180/fåglar/A 57932-2024 prioriterade fågelarter.docx", "A 57932-2024")</f>
        <v/>
      </c>
    </row>
    <row r="90" ht="15" customHeight="1">
      <c r="A90" t="inlineStr">
        <is>
          <t>A 51508-2024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46305</v>
      </c>
      <c r="F90" t="inlineStr">
        <is>
          <t>GÄVLEBORGS LÄN</t>
        </is>
      </c>
      <c r="G90" t="inlineStr">
        <is>
          <t>GÄVLE</t>
        </is>
      </c>
      <c r="I90" t="n">
        <v>0.9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HYPERLINK("https://klasma.github.io/Logging_2180/artfynd/A 51508-2024 artfynd.xlsx", "A 51508-2024")</f>
        <v/>
      </c>
      <c r="X90">
        <f>HYPERLINK("https://klasma.github.io/Logging_2180/kartor/A 51508-2024 karta.png", "A 51508-2024")</f>
        <v/>
      </c>
      <c r="Y90">
        <f>HYPERLINK("https://klasma.github.io/Logging_2180/kartor_geotiff/A 51508-2024 georefererad karta.tif", "A 51508-2024")</f>
        <v/>
      </c>
      <c r="AA90">
        <f>HYPERLINK("https://klasma.github.io/Logging_2180/klagomål/A 51508-2024 FSC-klagomål.docx", "A 51508-2024")</f>
        <v/>
      </c>
      <c r="AB90">
        <f>HYPERLINK("https://klasma.github.io/Logging_2180/klagomålsmail/A 51508-2024 FSC-klagomål mail.docx", "A 51508-2024")</f>
        <v/>
      </c>
      <c r="AC90">
        <f>HYPERLINK("https://klasma.github.io/Logging_2180/tillsyn/A 51508-2024 tillsynsbegäran.docx", "A 51508-2024")</f>
        <v/>
      </c>
      <c r="AD90">
        <f>HYPERLINK("https://klasma.github.io/Logging_2180/tillsynsmail/A 51508-2024 tillsynsbegäran mail.docx", "A 51508-2024")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46305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47642-2024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46305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8.199999999999999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Orre</t>
        </is>
      </c>
      <c r="W92">
        <f>HYPERLINK("https://klasma.github.io/Logging_2180/artfynd/A 47642-2024 artfynd.xlsx", "A 47642-2024")</f>
        <v/>
      </c>
      <c r="X92">
        <f>HYPERLINK("https://klasma.github.io/Logging_2180/kartor/A 47642-2024 karta.png", "A 47642-2024")</f>
        <v/>
      </c>
      <c r="Y92">
        <f>HYPERLINK("https://klasma.github.io/Logging_2180/kartor_geotiff/A 47642-2024 georefererad karta.tif", "A 47642-2024")</f>
        <v/>
      </c>
      <c r="AA92">
        <f>HYPERLINK("https://klasma.github.io/Logging_2180/klagomål/A 47642-2024 FSC-klagomål.docx", "A 47642-2024")</f>
        <v/>
      </c>
      <c r="AB92">
        <f>HYPERLINK("https://klasma.github.io/Logging_2180/klagomålsmail/A 47642-2024 FSC-klagomål mail.docx", "A 47642-2024")</f>
        <v/>
      </c>
      <c r="AC92">
        <f>HYPERLINK("https://klasma.github.io/Logging_2180/tillsyn/A 47642-2024 tillsynsbegäran.docx", "A 47642-2024")</f>
        <v/>
      </c>
      <c r="AD92">
        <f>HYPERLINK("https://klasma.github.io/Logging_2180/tillsynsmail/A 47642-2024 tillsynsbegäran mail.docx", "A 47642-2024")</f>
        <v/>
      </c>
      <c r="AE92">
        <f>HYPERLINK("https://klasma.github.io/Logging_2180/fåglar/A 47642-2024 prioriterade fågelarter.docx", "A 47642-2024")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46305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12338-2025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46305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6.8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1</v>
      </c>
      <c r="V94" s="2" t="inlineStr">
        <is>
          <t>Skogsklocka</t>
        </is>
      </c>
      <c r="W94">
        <f>HYPERLINK("https://klasma.github.io/Logging_2180/artfynd/A 12338-2025 artfynd.xlsx", "A 12338-2025")</f>
        <v/>
      </c>
      <c r="X94">
        <f>HYPERLINK("https://klasma.github.io/Logging_2180/kartor/A 12338-2025 karta.png", "A 12338-2025")</f>
        <v/>
      </c>
      <c r="Y94">
        <f>HYPERLINK("https://klasma.github.io/Logging_2180/kartor_geotiff/A 12338-2025 georefererad karta.tif", "A 12338-2025")</f>
        <v/>
      </c>
      <c r="AA94">
        <f>HYPERLINK("https://klasma.github.io/Logging_2180/klagomål/A 12338-2025 FSC-klagomål.docx", "A 12338-2025")</f>
        <v/>
      </c>
      <c r="AB94">
        <f>HYPERLINK("https://klasma.github.io/Logging_2180/klagomålsmail/A 12338-2025 FSC-klagomål mail.docx", "A 12338-2025")</f>
        <v/>
      </c>
      <c r="AC94">
        <f>HYPERLINK("https://klasma.github.io/Logging_2180/tillsyn/A 12338-2025 tillsynsbegäran.docx", "A 12338-2025")</f>
        <v/>
      </c>
      <c r="AD94">
        <f>HYPERLINK("https://klasma.github.io/Logging_2180/tillsynsmail/A 12338-2025 tillsynsbegäran mail.docx", "A 12338-2025")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46305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15001-2023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46305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Ängsblåvinge</t>
        </is>
      </c>
      <c r="W96">
        <f>HYPERLINK("https://klasma.github.io/Logging_2180/artfynd/A 15001-2023 artfynd.xlsx", "A 15001-2023")</f>
        <v/>
      </c>
      <c r="X96">
        <f>HYPERLINK("https://klasma.github.io/Logging_2180/kartor/A 15001-2023 karta.png", "A 15001-2023")</f>
        <v/>
      </c>
      <c r="Y96">
        <f>HYPERLINK("https://klasma.github.io/Logging_2180/kartor_geotiff/A 15001-2023 georefererad karta.tif", "A 15001-2023")</f>
        <v/>
      </c>
      <c r="AA96">
        <f>HYPERLINK("https://klasma.github.io/Logging_2180/klagomål/A 15001-2023 FSC-klagomål.docx", "A 15001-2023")</f>
        <v/>
      </c>
      <c r="AB96">
        <f>HYPERLINK("https://klasma.github.io/Logging_2180/klagomålsmail/A 15001-2023 FSC-klagomål mail.docx", "A 15001-2023")</f>
        <v/>
      </c>
      <c r="AC96">
        <f>HYPERLINK("https://klasma.github.io/Logging_2180/tillsyn/A 15001-2023 tillsynsbegäran.docx", "A 15001-2023")</f>
        <v/>
      </c>
      <c r="AD96">
        <f>HYPERLINK("https://klasma.github.io/Logging_2180/tillsynsmail/A 15001-2023 tillsynsbegäran mail.docx", "A 15001-2023")</f>
        <v/>
      </c>
    </row>
    <row r="97" ht="15" customHeight="1">
      <c r="A97" t="inlineStr">
        <is>
          <t>A 30302-2025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46305</v>
      </c>
      <c r="F97" t="inlineStr">
        <is>
          <t>GÄVLEBORGS LÄN</t>
        </is>
      </c>
      <c r="G97" t="inlineStr">
        <is>
          <t>GÄVLE</t>
        </is>
      </c>
      <c r="I97" t="n">
        <v>1.4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Fläcknycklar</t>
        </is>
      </c>
      <c r="W97">
        <f>HYPERLINK("https://klasma.github.io/Logging_2180/artfynd/A 30302-2025 artfynd.xlsx", "A 30302-2025")</f>
        <v/>
      </c>
      <c r="X97">
        <f>HYPERLINK("https://klasma.github.io/Logging_2180/kartor/A 30302-2025 karta.png", "A 30302-2025")</f>
        <v/>
      </c>
      <c r="Y97">
        <f>HYPERLINK("https://klasma.github.io/Logging_2180/kartor_geotiff/A 30302-2025 georefererad karta.tif", "A 30302-2025")</f>
        <v/>
      </c>
      <c r="AA97">
        <f>HYPERLINK("https://klasma.github.io/Logging_2180/klagomål/A 30302-2025 FSC-klagomål.docx", "A 30302-2025")</f>
        <v/>
      </c>
      <c r="AB97">
        <f>HYPERLINK("https://klasma.github.io/Logging_2180/klagomålsmail/A 30302-2025 FSC-klagomål mail.docx", "A 30302-2025")</f>
        <v/>
      </c>
      <c r="AC97">
        <f>HYPERLINK("https://klasma.github.io/Logging_2180/tillsyn/A 30302-2025 tillsynsbegäran.docx", "A 30302-2025")</f>
        <v/>
      </c>
      <c r="AD97">
        <f>HYPERLINK("https://klasma.github.io/Logging_2180/tillsynsmail/A 30302-2025 tillsynsbegäran mail.docx", "A 30302-2025")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46305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61056-2024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46305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5.3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Myggblomster</t>
        </is>
      </c>
      <c r="W99">
        <f>HYPERLINK("https://klasma.github.io/Logging_2180/artfynd/A 61056-2024 artfynd.xlsx", "A 61056-2024")</f>
        <v/>
      </c>
      <c r="X99">
        <f>HYPERLINK("https://klasma.github.io/Logging_2180/kartor/A 61056-2024 karta.png", "A 61056-2024")</f>
        <v/>
      </c>
      <c r="Y99">
        <f>HYPERLINK("https://klasma.github.io/Logging_2180/kartor_geotiff/A 61056-2024 georefererad karta.tif", "A 61056-2024")</f>
        <v/>
      </c>
      <c r="AA99">
        <f>HYPERLINK("https://klasma.github.io/Logging_2180/klagomål/A 61056-2024 FSC-klagomål.docx", "A 61056-2024")</f>
        <v/>
      </c>
      <c r="AB99">
        <f>HYPERLINK("https://klasma.github.io/Logging_2180/klagomålsmail/A 61056-2024 FSC-klagomål mail.docx", "A 61056-2024")</f>
        <v/>
      </c>
      <c r="AC99">
        <f>HYPERLINK("https://klasma.github.io/Logging_2180/tillsyn/A 61056-2024 tillsynsbegäran.docx", "A 61056-2024")</f>
        <v/>
      </c>
      <c r="AD99">
        <f>HYPERLINK("https://klasma.github.io/Logging_2180/tillsynsmail/A 61056-2024 tillsynsbegäran mail.docx", "A 61056-2024")</f>
        <v/>
      </c>
    </row>
    <row r="100" ht="15" customHeight="1">
      <c r="A100" t="inlineStr">
        <is>
          <t>A 33812-2022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44790</v>
      </c>
      <c r="E100" s="1" t="n">
        <v>46305</v>
      </c>
      <c r="F100" t="inlineStr">
        <is>
          <t>GÄVLEBORGS LÄN</t>
        </is>
      </c>
      <c r="G100" t="inlineStr">
        <is>
          <t>GÄVLE</t>
        </is>
      </c>
      <c r="I100" t="n">
        <v>2.1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HYPERLINK("https://klasma.github.io/Logging_2180/artfynd/A 33812-2022 artfynd.xlsx", "A 33812-2022")</f>
        <v/>
      </c>
      <c r="X100">
        <f>HYPERLINK("https://klasma.github.io/Logging_2180/kartor/A 33812-2022 karta.png", "A 33812-2022")</f>
        <v/>
      </c>
      <c r="Y100">
        <f>HYPERLINK("https://klasma.github.io/Logging_2180/kartor_geotiff/A 33812-2022 georefererad karta.tif", "A 33812-2022")</f>
        <v/>
      </c>
      <c r="AA100">
        <f>HYPERLINK("https://klasma.github.io/Logging_2180/klagomål/A 33812-2022 FSC-klagomål.docx", "A 33812-2022")</f>
        <v/>
      </c>
      <c r="AB100">
        <f>HYPERLINK("https://klasma.github.io/Logging_2180/klagomålsmail/A 33812-2022 FSC-klagomål mail.docx", "A 33812-2022")</f>
        <v/>
      </c>
      <c r="AC100">
        <f>HYPERLINK("https://klasma.github.io/Logging_2180/tillsyn/A 33812-2022 tillsynsbegäran.docx", "A 33812-2022")</f>
        <v/>
      </c>
      <c r="AD100">
        <f>HYPERLINK("https://klasma.github.io/Logging_2180/tillsynsmail/A 33812-2022 tillsynsbegäran mail.docx", "A 33812-2022")</f>
        <v/>
      </c>
    </row>
    <row r="101" ht="15" customHeight="1">
      <c r="A101" t="inlineStr">
        <is>
          <t>A 12083-2025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46305</v>
      </c>
      <c r="F101" t="inlineStr">
        <is>
          <t>GÄVLEBORGS LÄN</t>
        </is>
      </c>
      <c r="G101" t="inlineStr">
        <is>
          <t>GÄVLE</t>
        </is>
      </c>
      <c r="I101" t="n">
        <v>6.3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Grönsiska</t>
        </is>
      </c>
      <c r="W101">
        <f>HYPERLINK("https://klasma.github.io/Logging_2180/artfynd/A 12083-2025 artfynd.xlsx", "A 12083-2025")</f>
        <v/>
      </c>
      <c r="X101">
        <f>HYPERLINK("https://klasma.github.io/Logging_2180/kartor/A 12083-2025 karta.png", "A 12083-2025")</f>
        <v/>
      </c>
      <c r="Y101">
        <f>HYPERLINK("https://klasma.github.io/Logging_2180/kartor_geotiff/A 12083-2025 georefererad karta.tif", "A 12083-2025")</f>
        <v/>
      </c>
      <c r="AA101">
        <f>HYPERLINK("https://klasma.github.io/Logging_2180/klagomål/A 12083-2025 FSC-klagomål.docx", "A 12083-2025")</f>
        <v/>
      </c>
      <c r="AB101">
        <f>HYPERLINK("https://klasma.github.io/Logging_2180/klagomålsmail/A 12083-2025 FSC-klagomål mail.docx", "A 12083-2025")</f>
        <v/>
      </c>
      <c r="AC101">
        <f>HYPERLINK("https://klasma.github.io/Logging_2180/tillsyn/A 12083-2025 tillsynsbegäran.docx", "A 12083-2025")</f>
        <v/>
      </c>
      <c r="AD101">
        <f>HYPERLINK("https://klasma.github.io/Logging_2180/tillsynsmail/A 12083-2025 tillsynsbegäran mail.docx", "A 12083-2025")</f>
        <v/>
      </c>
    </row>
    <row r="102" ht="15" customHeight="1">
      <c r="A102" t="inlineStr">
        <is>
          <t>A 45241-2022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46305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Blåsippa</t>
        </is>
      </c>
      <c r="W102">
        <f>HYPERLINK("https://klasma.github.io/Logging_2180/artfynd/A 45241-2022 artfynd.xlsx", "A 45241-2022")</f>
        <v/>
      </c>
      <c r="X102">
        <f>HYPERLINK("https://klasma.github.io/Logging_2180/kartor/A 45241-2022 karta.png", "A 45241-2022")</f>
        <v/>
      </c>
      <c r="Y102">
        <f>HYPERLINK("https://klasma.github.io/Logging_2180/kartor_geotiff/A 45241-2022 georefererad karta.tif", "A 45241-2022")</f>
        <v/>
      </c>
      <c r="AA102">
        <f>HYPERLINK("https://klasma.github.io/Logging_2180/klagomål/A 45241-2022 FSC-klagomål.docx", "A 45241-2022")</f>
        <v/>
      </c>
      <c r="AB102">
        <f>HYPERLINK("https://klasma.github.io/Logging_2180/klagomålsmail/A 45241-2022 FSC-klagomål mail.docx", "A 45241-2022")</f>
        <v/>
      </c>
      <c r="AC102">
        <f>HYPERLINK("https://klasma.github.io/Logging_2180/tillsyn/A 45241-2022 tillsynsbegäran.docx", "A 45241-2022")</f>
        <v/>
      </c>
      <c r="AD102">
        <f>HYPERLINK("https://klasma.github.io/Logging_2180/tillsynsmail/A 45241-2022 tillsynsbegäran mail.docx", "A 45241-2022")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46305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46305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46305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37927-2022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46305</v>
      </c>
      <c r="F106" t="inlineStr">
        <is>
          <t>GÄVLEBORGS LÄN</t>
        </is>
      </c>
      <c r="G106" t="inlineStr">
        <is>
          <t>GÄVLE</t>
        </is>
      </c>
      <c r="I106" t="n">
        <v>1.6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10</v>
      </c>
      <c r="U106" t="n">
        <v>10</v>
      </c>
      <c r="V106" s="2" t="inlineStr">
        <is>
          <t>Knärot</t>
        </is>
      </c>
      <c r="W106">
        <f>HYPERLINK("https://klasma.github.io/Logging_2180/artfynd/A 37927-2022 artfynd.xlsx", "A 37927-2022")</f>
        <v/>
      </c>
      <c r="X106">
        <f>HYPERLINK("https://klasma.github.io/Logging_2180/kartor/A 37927-2022 karta.png", "A 37927-2022")</f>
        <v/>
      </c>
      <c r="Y106">
        <f>HYPERLINK("https://klasma.github.io/Logging_2180/kartor_geotiff/A 37927-2022 georefererad karta.tif", "A 37927-2022")</f>
        <v/>
      </c>
      <c r="Z106">
        <f>HYPERLINK("https://klasma.github.io/Logging_2180/knärot/A 37927-2022 karta knärot.png", "A 37927-2022")</f>
        <v/>
      </c>
      <c r="AA106">
        <f>HYPERLINK("https://klasma.github.io/Logging_2180/klagomål/A 37927-2022 FSC-klagomål.docx", "A 37927-2022")</f>
        <v/>
      </c>
      <c r="AB106">
        <f>HYPERLINK("https://klasma.github.io/Logging_2180/klagomålsmail/A 37927-2022 FSC-klagomål mail.docx", "A 37927-2022")</f>
        <v/>
      </c>
      <c r="AC106">
        <f>HYPERLINK("https://klasma.github.io/Logging_2180/tillsyn/A 37927-2022 tillsynsbegäran.docx", "A 37927-2022")</f>
        <v/>
      </c>
      <c r="AD106">
        <f>HYPERLINK("https://klasma.github.io/Logging_2180/tillsynsmail/A 37927-2022 tillsynsbegäran mail.docx", "A 37927-2022")</f>
        <v/>
      </c>
    </row>
    <row r="107" ht="15" customHeight="1">
      <c r="A107" t="inlineStr">
        <is>
          <t>A 13396-2026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46305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HYPERLINK("https://klasma.github.io/Logging_2180/artfynd/A 13396-2026 artfynd.xlsx", "A 13396-2026")</f>
        <v/>
      </c>
      <c r="X107">
        <f>HYPERLINK("https://klasma.github.io/Logging_2180/kartor/A 13396-2026 karta.png", "A 13396-2026")</f>
        <v/>
      </c>
      <c r="Y107">
        <f>HYPERLINK("https://klasma.github.io/Logging_2180/kartor_geotiff/A 13396-2026 georefererad karta.tif", "A 13396-2026")</f>
        <v/>
      </c>
      <c r="AA107">
        <f>HYPERLINK("https://klasma.github.io/Logging_2180/klagomål/A 13396-2026 FSC-klagomål.docx", "A 13396-2026")</f>
        <v/>
      </c>
      <c r="AB107">
        <f>HYPERLINK("https://klasma.github.io/Logging_2180/klagomålsmail/A 13396-2026 FSC-klagomål mail.docx", "A 13396-2026")</f>
        <v/>
      </c>
      <c r="AC107">
        <f>HYPERLINK("https://klasma.github.io/Logging_2180/tillsyn/A 13396-2026 tillsynsbegäran.docx", "A 13396-2026")</f>
        <v/>
      </c>
      <c r="AD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46305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14730-2026 artfynd.xlsx", "A 14730-2026")</f>
        <v/>
      </c>
      <c r="X108">
        <f>HYPERLINK("https://klasma.github.io/Logging_2180/kartor/A 14730-2026 karta.png", "A 14730-2026")</f>
        <v/>
      </c>
      <c r="Y108">
        <f>HYPERLINK("https://klasma.github.io/Logging_2180/kartor_geotiff/A 14730-2026 georefererad karta.tif", "A 14730-2026")</f>
        <v/>
      </c>
      <c r="AA108">
        <f>HYPERLINK("https://klasma.github.io/Logging_2180/klagomål/A 14730-2026 FSC-klagomål.docx", "A 14730-2026")</f>
        <v/>
      </c>
      <c r="AB108">
        <f>HYPERLINK("https://klasma.github.io/Logging_2180/klagomålsmail/A 14730-2026 FSC-klagomål mail.docx", "A 14730-2026")</f>
        <v/>
      </c>
      <c r="AC108">
        <f>HYPERLINK("https://klasma.github.io/Logging_2180/tillsyn/A 14730-2026 tillsynsbegäran.docx", "A 14730-2026")</f>
        <v/>
      </c>
      <c r="AD108">
        <f>HYPERLINK("https://klasma.github.io/Logging_2180/tillsynsmail/A 14730-2026 tillsynsbegäran mail.docx", "A 14730-2026")</f>
        <v/>
      </c>
      <c r="AE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46305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46305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Tjäder</t>
        </is>
      </c>
      <c r="W110">
        <f>HYPERLINK("https://klasma.github.io/Logging_2180/artfynd/A 14714-2026 artfynd.xlsx", "A 14714-2026")</f>
        <v/>
      </c>
      <c r="X110">
        <f>HYPERLINK("https://klasma.github.io/Logging_2180/kartor/A 14714-2026 karta.png", "A 14714-2026")</f>
        <v/>
      </c>
      <c r="Y110">
        <f>HYPERLINK("https://klasma.github.io/Logging_2180/kartor_geotiff/A 14714-2026 georefererad karta.tif", "A 14714-2026")</f>
        <v/>
      </c>
      <c r="AA110">
        <f>HYPERLINK("https://klasma.github.io/Logging_2180/klagomål/A 14714-2026 FSC-klagomål.docx", "A 14714-2026")</f>
        <v/>
      </c>
      <c r="AB110">
        <f>HYPERLINK("https://klasma.github.io/Logging_2180/klagomålsmail/A 14714-2026 FSC-klagomål mail.docx", "A 14714-2026")</f>
        <v/>
      </c>
      <c r="AC110">
        <f>HYPERLINK("https://klasma.github.io/Logging_2180/tillsyn/A 14714-2026 tillsynsbegäran.docx", "A 14714-2026")</f>
        <v/>
      </c>
      <c r="AD110">
        <f>HYPERLINK("https://klasma.github.io/Logging_2180/tillsynsmail/A 14714-2026 tillsynsbegäran mail.docx", "A 14714-2026")</f>
        <v/>
      </c>
      <c r="AE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46305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46305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14703-2026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46305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14703-2026 artfynd.xlsx", "A 14703-2026")</f>
        <v/>
      </c>
      <c r="X113">
        <f>HYPERLINK("https://klasma.github.io/Logging_2180/kartor/A 14703-2026 karta.png", "A 14703-2026")</f>
        <v/>
      </c>
      <c r="Y113">
        <f>HYPERLINK("https://klasma.github.io/Logging_2180/kartor_geotiff/A 14703-2026 georefererad karta.tif", "A 14703-2026")</f>
        <v/>
      </c>
      <c r="AA113">
        <f>HYPERLINK("https://klasma.github.io/Logging_2180/klagomål/A 14703-2026 FSC-klagomål.docx", "A 14703-2026")</f>
        <v/>
      </c>
      <c r="AB113">
        <f>HYPERLINK("https://klasma.github.io/Logging_2180/klagomålsmail/A 14703-2026 FSC-klagomål mail.docx", "A 14703-2026")</f>
        <v/>
      </c>
      <c r="AC113">
        <f>HYPERLINK("https://klasma.github.io/Logging_2180/tillsyn/A 14703-2026 tillsynsbegäran.docx", "A 14703-2026")</f>
        <v/>
      </c>
      <c r="AD113">
        <f>HYPERLINK("https://klasma.github.io/Logging_2180/tillsynsmail/A 14703-2026 tillsynsbegäran mail.docx", "A 14703-2026")</f>
        <v/>
      </c>
      <c r="AE113">
        <f>HYPERLINK("https://klasma.github.io/Logging_2180/fåglar/A 14703-2026 prioriterade fågelarter.docx", "A 14703-2026")</f>
        <v/>
      </c>
    </row>
    <row r="114" ht="15" customHeight="1">
      <c r="A114" t="inlineStr">
        <is>
          <t>A 22052-2026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46305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22052-2026 artfynd.xlsx", "A 22052-2026")</f>
        <v/>
      </c>
      <c r="X114">
        <f>HYPERLINK("https://klasma.github.io/Logging_2180/kartor/A 22052-2026 karta.png", "A 22052-2026")</f>
        <v/>
      </c>
      <c r="Y114">
        <f>HYPERLINK("https://klasma.github.io/Logging_2180/kartor_geotiff/A 22052-2026 georefererad karta.tif", "A 22052-2026")</f>
        <v/>
      </c>
      <c r="AA114">
        <f>HYPERLINK("https://klasma.github.io/Logging_2180/klagomål/A 22052-2026 FSC-klagomål.docx", "A 22052-2026")</f>
        <v/>
      </c>
      <c r="AB114">
        <f>HYPERLINK("https://klasma.github.io/Logging_2180/klagomålsmail/A 22052-2026 FSC-klagomål mail.docx", "A 22052-2026")</f>
        <v/>
      </c>
      <c r="AC114">
        <f>HYPERLINK("https://klasma.github.io/Logging_2180/tillsyn/A 22052-2026 tillsynsbegäran.docx", "A 22052-2026")</f>
        <v/>
      </c>
      <c r="AD114">
        <f>HYPERLINK("https://klasma.github.io/Logging_2180/tillsynsmail/A 22052-2026 tillsynsbegäran mail.docx", "A 22052-2026")</f>
        <v/>
      </c>
    </row>
    <row r="115" ht="15" customHeight="1">
      <c r="A115" t="inlineStr">
        <is>
          <t>A 50052-2025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46305</v>
      </c>
      <c r="F115" t="inlineStr">
        <is>
          <t>GÄVLEBORGS LÄN</t>
        </is>
      </c>
      <c r="G115" t="inlineStr">
        <is>
          <t>GÄVLE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Mosippa</t>
        </is>
      </c>
      <c r="W115">
        <f>HYPERLINK("https://klasma.github.io/Logging_2180/artfynd/A 50052-2025 artfynd.xlsx", "A 50052-2025")</f>
        <v/>
      </c>
      <c r="X115">
        <f>HYPERLINK("https://klasma.github.io/Logging_2180/kartor/A 50052-2025 karta.png", "A 50052-2025")</f>
        <v/>
      </c>
      <c r="Y115">
        <f>HYPERLINK("https://klasma.github.io/Logging_2180/kartor_geotiff/A 50052-2025 georefererad karta.tif", "A 50052-2025")</f>
        <v/>
      </c>
      <c r="AA115">
        <f>HYPERLINK("https://klasma.github.io/Logging_2180/klagomål/A 50052-2025 FSC-klagomål.docx", "A 50052-2025")</f>
        <v/>
      </c>
      <c r="AB115">
        <f>HYPERLINK("https://klasma.github.io/Logging_2180/klagomålsmail/A 50052-2025 FSC-klagomål mail.docx", "A 50052-2025")</f>
        <v/>
      </c>
      <c r="AC115">
        <f>HYPERLINK("https://klasma.github.io/Logging_2180/tillsyn/A 50052-2025 tillsynsbegäran.docx", "A 50052-2025")</f>
        <v/>
      </c>
      <c r="AD115">
        <f>HYPERLINK("https://klasma.github.io/Logging_2180/tillsynsmail/A 50052-2025 tillsynsbegäran mail.docx", "A 50052-2025")</f>
        <v/>
      </c>
    </row>
    <row r="116" ht="15" customHeight="1">
      <c r="A116" t="inlineStr">
        <is>
          <t>A 22892-2026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46305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22892-2026 artfynd.xlsx", "A 22892-2026")</f>
        <v/>
      </c>
      <c r="X116">
        <f>HYPERLINK("https://klasma.github.io/Logging_2180/kartor/A 22892-2026 karta.png", "A 22892-2026")</f>
        <v/>
      </c>
      <c r="Y116">
        <f>HYPERLINK("https://klasma.github.io/Logging_2180/kartor_geotiff/A 22892-2026 georefererad karta.tif", "A 22892-2026")</f>
        <v/>
      </c>
      <c r="AA116">
        <f>HYPERLINK("https://klasma.github.io/Logging_2180/klagomål/A 22892-2026 FSC-klagomål.docx", "A 22892-2026")</f>
        <v/>
      </c>
      <c r="AB116">
        <f>HYPERLINK("https://klasma.github.io/Logging_2180/klagomålsmail/A 22892-2026 FSC-klagomål mail.docx", "A 22892-2026")</f>
        <v/>
      </c>
      <c r="AC116">
        <f>HYPERLINK("https://klasma.github.io/Logging_2180/tillsyn/A 22892-2026 tillsynsbegäran.docx", "A 22892-2026")</f>
        <v/>
      </c>
      <c r="AD116">
        <f>HYPERLINK("https://klasma.github.io/Logging_2180/tillsynsmail/A 22892-2026 tillsynsbegäran mail.docx", "A 22892-2026")</f>
        <v/>
      </c>
      <c r="AE116">
        <f>HYPERLINK("https://klasma.github.io/Logging_2180/fåglar/A 22892-2026 prioriterade fågelarter.docx", "A 22892-2026")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46305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46305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27043-2026 artfynd.xlsx", "A 27043-2026")</f>
        <v/>
      </c>
      <c r="X118">
        <f>HYPERLINK("https://klasma.github.io/Logging_2180/kartor/A 27043-2026 karta.png", "A 27043-2026")</f>
        <v/>
      </c>
      <c r="Y118">
        <f>HYPERLINK("https://klasma.github.io/Logging_2180/kartor_geotiff/A 27043-2026 georefererad karta.tif", "A 27043-2026")</f>
        <v/>
      </c>
      <c r="AA118">
        <f>HYPERLINK("https://klasma.github.io/Logging_2180/klagomål/A 27043-2026 FSC-klagomål.docx", "A 27043-2026")</f>
        <v/>
      </c>
      <c r="AB118">
        <f>HYPERLINK("https://klasma.github.io/Logging_2180/klagomålsmail/A 27043-2026 FSC-klagomål mail.docx", "A 27043-2026")</f>
        <v/>
      </c>
      <c r="AC118">
        <f>HYPERLINK("https://klasma.github.io/Logging_2180/tillsyn/A 27043-2026 tillsynsbegäran.docx", "A 27043-2026")</f>
        <v/>
      </c>
      <c r="AD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27058-2026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46305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Gullpudra</t>
        </is>
      </c>
      <c r="W119">
        <f>HYPERLINK("https://klasma.github.io/Logging_2180/artfynd/A 27058-2026 artfynd.xlsx", "A 27058-2026")</f>
        <v/>
      </c>
      <c r="X119">
        <f>HYPERLINK("https://klasma.github.io/Logging_2180/kartor/A 27058-2026 karta.png", "A 27058-2026")</f>
        <v/>
      </c>
      <c r="Y119">
        <f>HYPERLINK("https://klasma.github.io/Logging_2180/kartor_geotiff/A 27058-2026 georefererad karta.tif", "A 27058-2026")</f>
        <v/>
      </c>
      <c r="AA119">
        <f>HYPERLINK("https://klasma.github.io/Logging_2180/klagomål/A 27058-2026 FSC-klagomål.docx", "A 27058-2026")</f>
        <v/>
      </c>
      <c r="AB119">
        <f>HYPERLINK("https://klasma.github.io/Logging_2180/klagomålsmail/A 27058-2026 FSC-klagomål mail.docx", "A 27058-2026")</f>
        <v/>
      </c>
      <c r="AC119">
        <f>HYPERLINK("https://klasma.github.io/Logging_2180/tillsyn/A 27058-2026 tillsynsbegäran.docx", "A 27058-2026")</f>
        <v/>
      </c>
      <c r="AD119">
        <f>HYPERLINK("https://klasma.github.io/Logging_2180/tillsynsmail/A 27058-2026 tillsynsbegäran mail.docx", "A 27058-2026")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46305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46305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31448-2026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46217</v>
      </c>
      <c r="E122" s="1" t="n">
        <v>46305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tåtelsmygare</t>
        </is>
      </c>
      <c r="W122">
        <f>HYPERLINK("https://klasma.github.io/Logging_2180/artfynd/A 31448-2026 artfynd.xlsx", "A 31448-2026")</f>
        <v/>
      </c>
      <c r="X122">
        <f>HYPERLINK("https://klasma.github.io/Logging_2180/kartor/A 31448-2026 karta.png", "A 31448-2026")</f>
        <v/>
      </c>
      <c r="Y122">
        <f>HYPERLINK("https://klasma.github.io/Logging_2180/kartor_geotiff/A 31448-2026 georefererad karta.tif", "A 31448-2026")</f>
        <v/>
      </c>
      <c r="AA122">
        <f>HYPERLINK("https://klasma.github.io/Logging_2180/klagomål/A 31448-2026 FSC-klagomål.docx", "A 31448-2026")</f>
        <v/>
      </c>
      <c r="AB122">
        <f>HYPERLINK("https://klasma.github.io/Logging_2180/klagomålsmail/A 31448-2026 FSC-klagomål mail.docx", "A 31448-2026")</f>
        <v/>
      </c>
      <c r="AC122">
        <f>HYPERLINK("https://klasma.github.io/Logging_2180/tillsyn/A 31448-2026 tillsynsbegäran.docx", "A 31448-2026")</f>
        <v/>
      </c>
      <c r="AD122">
        <f>HYPERLINK("https://klasma.github.io/Logging_2180/tillsynsmail/A 31448-2026 tillsynsbegäran mail.docx", "A 31448-2026")</f>
        <v/>
      </c>
    </row>
    <row r="123" ht="15" customHeight="1">
      <c r="A123" t="inlineStr">
        <is>
          <t>A 36090-2026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46267</v>
      </c>
      <c r="E123" s="1" t="n">
        <v>46305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HYPERLINK("https://klasma.github.io/Logging_2180/artfynd/A 36090-2026 artfynd.xlsx", "A 36090-2026")</f>
        <v/>
      </c>
      <c r="X123">
        <f>HYPERLINK("https://klasma.github.io/Logging_2180/kartor/A 36090-2026 karta.png", "A 36090-2026")</f>
        <v/>
      </c>
      <c r="Y123">
        <f>HYPERLINK("https://klasma.github.io/Logging_2180/kartor_geotiff/A 36090-2026 georefererad karta.tif", "A 36090-2026")</f>
        <v/>
      </c>
      <c r="AA123">
        <f>HYPERLINK("https://klasma.github.io/Logging_2180/klagomål/A 36090-2026 FSC-klagomål.docx", "A 36090-2026")</f>
        <v/>
      </c>
      <c r="AB123">
        <f>HYPERLINK("https://klasma.github.io/Logging_2180/klagomålsmail/A 36090-2026 FSC-klagomål mail.docx", "A 36090-2026")</f>
        <v/>
      </c>
      <c r="AC123">
        <f>HYPERLINK("https://klasma.github.io/Logging_2180/tillsyn/A 36090-2026 tillsynsbegäran.docx", "A 36090-2026")</f>
        <v/>
      </c>
      <c r="AD123">
        <f>HYPERLINK("https://klasma.github.io/Logging_2180/tillsynsmail/A 36090-2026 tillsynsbegäran mail.docx", "A 36090-2026")</f>
        <v/>
      </c>
    </row>
    <row r="124" ht="15" customHeight="1">
      <c r="A124" t="inlineStr">
        <is>
          <t>A 37220-2026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46274</v>
      </c>
      <c r="E124" s="1" t="n">
        <v>46305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5.1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HYPERLINK("https://klasma.github.io/Logging_2180/artfynd/A 37220-2026 artfynd.xlsx", "A 37220-2026")</f>
        <v/>
      </c>
      <c r="X124">
        <f>HYPERLINK("https://klasma.github.io/Logging_2180/kartor/A 37220-2026 karta.png", "A 37220-2026")</f>
        <v/>
      </c>
      <c r="Y124">
        <f>HYPERLINK("https://klasma.github.io/Logging_2180/kartor_geotiff/A 37220-2026 georefererad karta.tif", "A 37220-2026")</f>
        <v/>
      </c>
      <c r="AA124">
        <f>HYPERLINK("https://klasma.github.io/Logging_2180/klagomål/A 37220-2026 FSC-klagomål.docx", "A 37220-2026")</f>
        <v/>
      </c>
      <c r="AB124">
        <f>HYPERLINK("https://klasma.github.io/Logging_2180/klagomålsmail/A 37220-2026 FSC-klagomål mail.docx", "A 37220-2026")</f>
        <v/>
      </c>
      <c r="AC124">
        <f>HYPERLINK("https://klasma.github.io/Logging_2180/tillsyn/A 37220-2026 tillsynsbegäran.docx", "A 37220-2026")</f>
        <v/>
      </c>
      <c r="AD124">
        <f>HYPERLINK("https://klasma.github.io/Logging_2180/tillsynsmail/A 37220-2026 tillsynsbegäran mail.docx", "A 37220-2026")</f>
        <v/>
      </c>
    </row>
    <row r="125" ht="15" customHeight="1">
      <c r="A125" t="inlineStr">
        <is>
          <t>A 38300-2026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46305</v>
      </c>
      <c r="F125" t="inlineStr">
        <is>
          <t>GÄVLEBORGS LÄN</t>
        </is>
      </c>
      <c r="G125" t="inlineStr">
        <is>
          <t>GÄVLE</t>
        </is>
      </c>
      <c r="I125" t="n">
        <v>3.7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Sparvuggla</t>
        </is>
      </c>
      <c r="W125">
        <f>HYPERLINK("https://klasma.github.io/Logging_2180/artfynd/A 38300-2026 artfynd.xlsx", "A 38300-2026")</f>
        <v/>
      </c>
      <c r="X125">
        <f>HYPERLINK("https://klasma.github.io/Logging_2180/kartor/A 38300-2026 karta.png", "A 38300-2026")</f>
        <v/>
      </c>
      <c r="Y125">
        <f>HYPERLINK("https://klasma.github.io/Logging_2180/kartor_geotiff/A 38300-2026 georefererad karta.tif", "A 38300-2026")</f>
        <v/>
      </c>
      <c r="AA125">
        <f>HYPERLINK("https://klasma.github.io/Logging_2180/klagomål/A 38300-2026 FSC-klagomål.docx", "A 38300-2026")</f>
        <v/>
      </c>
      <c r="AB125">
        <f>HYPERLINK("https://klasma.github.io/Logging_2180/klagomålsmail/A 38300-2026 FSC-klagomål mail.docx", "A 38300-2026")</f>
        <v/>
      </c>
      <c r="AC125">
        <f>HYPERLINK("https://klasma.github.io/Logging_2180/tillsyn/A 38300-2026 tillsynsbegäran.docx", "A 38300-2026")</f>
        <v/>
      </c>
      <c r="AD125">
        <f>HYPERLINK("https://klasma.github.io/Logging_2180/tillsynsmail/A 38300-2026 tillsynsbegäran mail.docx", "A 38300-2026")</f>
        <v/>
      </c>
      <c r="AE125">
        <f>HYPERLINK("https://klasma.github.io/Logging_2180/fåglar/A 38300-2026 prioriterade fågelarter.docx", "A 38300-2026")</f>
        <v/>
      </c>
    </row>
    <row r="126" ht="15" customHeight="1">
      <c r="A126" t="inlineStr">
        <is>
          <t>A 38571-2026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46283</v>
      </c>
      <c r="E126" s="1" t="n">
        <v>46305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Platt spretmossa</t>
        </is>
      </c>
      <c r="W126">
        <f>HYPERLINK("https://klasma.github.io/Logging_2180/artfynd/A 38571-2026 artfynd.xlsx", "A 38571-2026")</f>
        <v/>
      </c>
      <c r="X126">
        <f>HYPERLINK("https://klasma.github.io/Logging_2180/kartor/A 38571-2026 karta.png", "A 38571-2026")</f>
        <v/>
      </c>
      <c r="Y126">
        <f>HYPERLINK("https://klasma.github.io/Logging_2180/kartor_geotiff/A 38571-2026 georefererad karta.tif", "A 38571-2026")</f>
        <v/>
      </c>
      <c r="AA126">
        <f>HYPERLINK("https://klasma.github.io/Logging_2180/klagomål/A 38571-2026 FSC-klagomål.docx", "A 38571-2026")</f>
        <v/>
      </c>
      <c r="AB126">
        <f>HYPERLINK("https://klasma.github.io/Logging_2180/klagomålsmail/A 38571-2026 FSC-klagomål mail.docx", "A 38571-2026")</f>
        <v/>
      </c>
      <c r="AC126">
        <f>HYPERLINK("https://klasma.github.io/Logging_2180/tillsyn/A 38571-2026 tillsynsbegäran.docx", "A 38571-2026")</f>
        <v/>
      </c>
      <c r="AD126">
        <f>HYPERLINK("https://klasma.github.io/Logging_2180/tillsynsmail/A 38571-2026 tillsynsbegäran mail.docx", "A 38571-2026")</f>
        <v/>
      </c>
    </row>
    <row r="127" ht="15" customHeight="1">
      <c r="A127" t="inlineStr">
        <is>
          <t>A 35830-2026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46305</v>
      </c>
      <c r="F127" t="inlineStr">
        <is>
          <t>GÄVLEBORGS LÄN</t>
        </is>
      </c>
      <c r="G127" t="inlineStr">
        <is>
          <t>GÄVLE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Bredgentiana</t>
        </is>
      </c>
      <c r="W127">
        <f>HYPERLINK("https://klasma.github.io/Logging_2180/artfynd/A 35830-2026 artfynd.xlsx", "A 35830-2026")</f>
        <v/>
      </c>
      <c r="X127">
        <f>HYPERLINK("https://klasma.github.io/Logging_2180/kartor/A 35830-2026 karta.png", "A 35830-2026")</f>
        <v/>
      </c>
      <c r="Y127">
        <f>HYPERLINK("https://klasma.github.io/Logging_2180/kartor_geotiff/A 35830-2026 georefererad karta.tif", "A 35830-2026")</f>
        <v/>
      </c>
      <c r="AA127">
        <f>HYPERLINK("https://klasma.github.io/Logging_2180/klagomål/A 35830-2026 FSC-klagomål.docx", "A 35830-2026")</f>
        <v/>
      </c>
      <c r="AB127">
        <f>HYPERLINK("https://klasma.github.io/Logging_2180/klagomålsmail/A 35830-2026 FSC-klagomål mail.docx", "A 35830-2026")</f>
        <v/>
      </c>
      <c r="AC127">
        <f>HYPERLINK("https://klasma.github.io/Logging_2180/tillsyn/A 35830-2026 tillsynsbegäran.docx", "A 35830-2026")</f>
        <v/>
      </c>
      <c r="AD127">
        <f>HYPERLINK("https://klasma.github.io/Logging_2180/tillsynsmail/A 35830-2026 tillsynsbegäran mail.docx", "A 35830-2026")</f>
        <v/>
      </c>
    </row>
    <row r="128" ht="15" customHeight="1">
      <c r="A128" t="inlineStr">
        <is>
          <t>A 39065-2026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46287</v>
      </c>
      <c r="E128" s="1" t="n">
        <v>46305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Vedskivlav</t>
        </is>
      </c>
      <c r="W128">
        <f>HYPERLINK("https://klasma.github.io/Logging_2180/artfynd/A 39065-2026 artfynd.xlsx", "A 39065-2026")</f>
        <v/>
      </c>
      <c r="X128">
        <f>HYPERLINK("https://klasma.github.io/Logging_2180/kartor/A 39065-2026 karta.png", "A 39065-2026")</f>
        <v/>
      </c>
      <c r="Y128">
        <f>HYPERLINK("https://klasma.github.io/Logging_2180/kartor_geotiff/A 39065-2026 georefererad karta.tif", "A 39065-2026")</f>
        <v/>
      </c>
      <c r="AA128">
        <f>HYPERLINK("https://klasma.github.io/Logging_2180/klagomål/A 39065-2026 FSC-klagomål.docx", "A 39065-2026")</f>
        <v/>
      </c>
      <c r="AB128">
        <f>HYPERLINK("https://klasma.github.io/Logging_2180/klagomålsmail/A 39065-2026 FSC-klagomål mail.docx", "A 39065-2026")</f>
        <v/>
      </c>
      <c r="AC128">
        <f>HYPERLINK("https://klasma.github.io/Logging_2180/tillsyn/A 39065-2026 tillsynsbegäran.docx", "A 39065-2026")</f>
        <v/>
      </c>
      <c r="AD128">
        <f>HYPERLINK("https://klasma.github.io/Logging_2180/tillsynsmail/A 39065-2026 tillsynsbegäran mail.docx", "A 39065-2026")</f>
        <v/>
      </c>
    </row>
    <row r="129" ht="15" customHeight="1">
      <c r="A129" t="inlineStr">
        <is>
          <t>A 26871-2026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46305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HYPERLINK("https://klasma.github.io/Logging_2180/artfynd/A 26871-2026 artfynd.xlsx", "A 26871-2026")</f>
        <v/>
      </c>
      <c r="X129">
        <f>HYPERLINK("https://klasma.github.io/Logging_2180/kartor/A 26871-2026 karta.png", "A 26871-2026")</f>
        <v/>
      </c>
      <c r="Y129">
        <f>HYPERLINK("https://klasma.github.io/Logging_2180/kartor_geotiff/A 26871-2026 georefererad karta.tif", "A 26871-2026")</f>
        <v/>
      </c>
      <c r="AA129">
        <f>HYPERLINK("https://klasma.github.io/Logging_2180/klagomål/A 26871-2026 FSC-klagomål.docx", "A 26871-2026")</f>
        <v/>
      </c>
      <c r="AB129">
        <f>HYPERLINK("https://klasma.github.io/Logging_2180/klagomålsmail/A 26871-2026 FSC-klagomål mail.docx", "A 26871-2026")</f>
        <v/>
      </c>
      <c r="AC129">
        <f>HYPERLINK("https://klasma.github.io/Logging_2180/tillsyn/A 26871-2026 tillsynsbegäran.docx", "A 26871-2026")</f>
        <v/>
      </c>
      <c r="AD129">
        <f>HYPERLINK("https://klasma.github.io/Logging_2180/tillsynsmail/A 26871-2026 tillsynsbegäran mail.docx", "A 26871-2026")</f>
        <v/>
      </c>
    </row>
    <row r="130" ht="15" customHeight="1">
      <c r="A130" t="inlineStr">
        <is>
          <t>A 39763-2026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46290</v>
      </c>
      <c r="E130" s="1" t="n">
        <v>46305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HYPERLINK("https://klasma.github.io/Logging_2180/artfynd/A 39763-2026 artfynd.xlsx", "A 39763-2026")</f>
        <v/>
      </c>
      <c r="X130">
        <f>HYPERLINK("https://klasma.github.io/Logging_2180/kartor/A 39763-2026 karta.png", "A 39763-2026")</f>
        <v/>
      </c>
      <c r="Y130">
        <f>HYPERLINK("https://klasma.github.io/Logging_2180/kartor_geotiff/A 39763-2026 georefererad karta.tif", "A 39763-2026")</f>
        <v/>
      </c>
      <c r="AA130">
        <f>HYPERLINK("https://klasma.github.io/Logging_2180/klagomål/A 39763-2026 FSC-klagomål.docx", "A 39763-2026")</f>
        <v/>
      </c>
      <c r="AB130">
        <f>HYPERLINK("https://klasma.github.io/Logging_2180/klagomålsmail/A 39763-2026 FSC-klagomål mail.docx", "A 39763-2026")</f>
        <v/>
      </c>
      <c r="AC130">
        <f>HYPERLINK("https://klasma.github.io/Logging_2180/tillsyn/A 39763-2026 tillsynsbegäran.docx", "A 39763-2026")</f>
        <v/>
      </c>
      <c r="AD130">
        <f>HYPERLINK("https://klasma.github.io/Logging_2180/tillsynsmail/A 39763-2026 tillsynsbegäran mail.docx", "A 39763-2026")</f>
        <v/>
      </c>
    </row>
    <row r="131" ht="15" customHeight="1">
      <c r="A131" t="inlineStr">
        <is>
          <t>A 39719-2026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46305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8.300000000000001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HYPERLINK("https://klasma.github.io/Logging_2180/artfynd/A 39719-2026 artfynd.xlsx", "A 39719-2026")</f>
        <v/>
      </c>
      <c r="X131">
        <f>HYPERLINK("https://klasma.github.io/Logging_2180/kartor/A 39719-2026 karta.png", "A 39719-2026")</f>
        <v/>
      </c>
      <c r="Y131">
        <f>HYPERLINK("https://klasma.github.io/Logging_2180/kartor_geotiff/A 39719-2026 georefererad karta.tif", "A 39719-2026")</f>
        <v/>
      </c>
      <c r="AA131">
        <f>HYPERLINK("https://klasma.github.io/Logging_2180/klagomål/A 39719-2026 FSC-klagomål.docx", "A 39719-2026")</f>
        <v/>
      </c>
      <c r="AB131">
        <f>HYPERLINK("https://klasma.github.io/Logging_2180/klagomålsmail/A 39719-2026 FSC-klagomål mail.docx", "A 39719-2026")</f>
        <v/>
      </c>
      <c r="AC131">
        <f>HYPERLINK("https://klasma.github.io/Logging_2180/tillsyn/A 39719-2026 tillsynsbegäran.docx", "A 39719-2026")</f>
        <v/>
      </c>
      <c r="AD131">
        <f>HYPERLINK("https://klasma.github.io/Logging_2180/tillsynsmail/A 39719-2026 tillsynsbegäran mail.docx", "A 39719-2026")</f>
        <v/>
      </c>
    </row>
    <row r="132" ht="15" customHeight="1">
      <c r="A132" t="inlineStr">
        <is>
          <t>A 40279-2026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46294</v>
      </c>
      <c r="E132" s="1" t="n">
        <v>46305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Myggblomster</t>
        </is>
      </c>
      <c r="W132">
        <f>HYPERLINK("https://klasma.github.io/Logging_2180/artfynd/A 40279-2026 artfynd.xlsx", "A 40279-2026")</f>
        <v/>
      </c>
      <c r="X132">
        <f>HYPERLINK("https://klasma.github.io/Logging_2180/kartor/A 40279-2026 karta.png", "A 40279-2026")</f>
        <v/>
      </c>
      <c r="Y132">
        <f>HYPERLINK("https://klasma.github.io/Logging_2180/kartor_geotiff/A 40279-2026 georefererad karta.tif", "A 40279-2026")</f>
        <v/>
      </c>
      <c r="AA132">
        <f>HYPERLINK("https://klasma.github.io/Logging_2180/klagomål/A 40279-2026 FSC-klagomål.docx", "A 40279-2026")</f>
        <v/>
      </c>
      <c r="AB132">
        <f>HYPERLINK("https://klasma.github.io/Logging_2180/klagomålsmail/A 40279-2026 FSC-klagomål mail.docx", "A 40279-2026")</f>
        <v/>
      </c>
      <c r="AC132">
        <f>HYPERLINK("https://klasma.github.io/Logging_2180/tillsyn/A 40279-2026 tillsynsbegäran.docx", "A 40279-2026")</f>
        <v/>
      </c>
      <c r="AD132">
        <f>HYPERLINK("https://klasma.github.io/Logging_2180/tillsynsmail/A 40279-2026 tillsynsbegäran mail.docx", "A 40279-2026")</f>
        <v/>
      </c>
    </row>
    <row r="133" ht="15" customHeight="1">
      <c r="A133" t="inlineStr">
        <is>
          <t>A 33832-2026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46251</v>
      </c>
      <c r="E133" s="1" t="n">
        <v>46305</v>
      </c>
      <c r="F133" t="inlineStr">
        <is>
          <t>GÄVLEBORGS LÄN</t>
        </is>
      </c>
      <c r="G133" t="inlineStr">
        <is>
          <t>GÄVLE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HYPERLINK("https://klasma.github.io/Logging_2180/artfynd/A 33832-2026 artfynd.xlsx", "A 33832-2026")</f>
        <v/>
      </c>
      <c r="X133">
        <f>HYPERLINK("https://klasma.github.io/Logging_2180/kartor/A 33832-2026 karta.png", "A 33832-2026")</f>
        <v/>
      </c>
      <c r="Y133">
        <f>HYPERLINK("https://klasma.github.io/Logging_2180/kartor_geotiff/A 33832-2026 georefererad karta.tif", "A 33832-2026")</f>
        <v/>
      </c>
      <c r="AA133">
        <f>HYPERLINK("https://klasma.github.io/Logging_2180/klagomål/A 33832-2026 FSC-klagomål.docx", "A 33832-2026")</f>
        <v/>
      </c>
      <c r="AB133">
        <f>HYPERLINK("https://klasma.github.io/Logging_2180/klagomålsmail/A 33832-2026 FSC-klagomål mail.docx", "A 33832-2026")</f>
        <v/>
      </c>
      <c r="AC133">
        <f>HYPERLINK("https://klasma.github.io/Logging_2180/tillsyn/A 33832-2026 tillsynsbegäran.docx", "A 33832-2026")</f>
        <v/>
      </c>
      <c r="AD133">
        <f>HYPERLINK("https://klasma.github.io/Logging_2180/tillsynsmail/A 33832-2026 tillsynsbegäran mail.docx", "A 33832-2026")</f>
        <v/>
      </c>
    </row>
    <row r="134" ht="15" customHeight="1">
      <c r="A134" t="inlineStr">
        <is>
          <t>A 34086-2026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46305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HYPERLINK("https://klasma.github.io/Logging_2180/artfynd/A 34086-2026 artfynd.xlsx", "A 34086-2026")</f>
        <v/>
      </c>
      <c r="X134">
        <f>HYPERLINK("https://klasma.github.io/Logging_2180/kartor/A 34086-2026 karta.png", "A 34086-2026")</f>
        <v/>
      </c>
      <c r="Y134">
        <f>HYPERLINK("https://klasma.github.io/Logging_2180/kartor_geotiff/A 34086-2026 georefererad karta.tif", "A 34086-2026")</f>
        <v/>
      </c>
      <c r="AA134">
        <f>HYPERLINK("https://klasma.github.io/Logging_2180/klagomål/A 34086-2026 FSC-klagomål.docx", "A 34086-2026")</f>
        <v/>
      </c>
      <c r="AB134">
        <f>HYPERLINK("https://klasma.github.io/Logging_2180/klagomålsmail/A 34086-2026 FSC-klagomål mail.docx", "A 34086-2026")</f>
        <v/>
      </c>
      <c r="AC134">
        <f>HYPERLINK("https://klasma.github.io/Logging_2180/tillsyn/A 34086-2026 tillsynsbegäran.docx", "A 34086-2026")</f>
        <v/>
      </c>
      <c r="AD134">
        <f>HYPERLINK("https://klasma.github.io/Logging_2180/tillsynsmail/A 34086-2026 tillsynsbegäran mail.docx", "A 34086-2026")</f>
        <v/>
      </c>
    </row>
    <row r="135" ht="15" customHeight="1">
      <c r="A135" t="inlineStr">
        <is>
          <t>A 13269-2026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46305</v>
      </c>
      <c r="F135" t="inlineStr">
        <is>
          <t>GÄVLEBORGS LÄN</t>
        </is>
      </c>
      <c r="G135" t="inlineStr">
        <is>
          <t>GÄVLE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Havsörn</t>
        </is>
      </c>
      <c r="W135">
        <f>HYPERLINK("https://klasma.github.io/Logging_2180/artfynd/A 13269-2026 artfynd.xlsx", "A 13269-2026")</f>
        <v/>
      </c>
      <c r="X135">
        <f>HYPERLINK("https://klasma.github.io/Logging_2180/kartor/A 13269-2026 karta.png", "A 13269-2026")</f>
        <v/>
      </c>
      <c r="Y135">
        <f>HYPERLINK("https://klasma.github.io/Logging_2180/kartor_geotiff/A 13269-2026 georefererad karta.tif", "A 13269-2026")</f>
        <v/>
      </c>
      <c r="AA135">
        <f>HYPERLINK("https://klasma.github.io/Logging_2180/klagomål/A 13269-2026 FSC-klagomål.docx", "A 13269-2026")</f>
        <v/>
      </c>
      <c r="AB135">
        <f>HYPERLINK("https://klasma.github.io/Logging_2180/klagomålsmail/A 13269-2026 FSC-klagomål mail.docx", "A 13269-2026")</f>
        <v/>
      </c>
      <c r="AC135">
        <f>HYPERLINK("https://klasma.github.io/Logging_2180/tillsyn/A 13269-2026 tillsynsbegäran.docx", "A 13269-2026")</f>
        <v/>
      </c>
      <c r="AD135">
        <f>HYPERLINK("https://klasma.github.io/Logging_2180/tillsynsmail/A 13269-2026 tillsynsbegäran mail.docx", "A 13269-2026")</f>
        <v/>
      </c>
      <c r="AE135">
        <f>HYPERLINK("https://klasma.github.io/Logging_2180/fåglar/A 13269-2026 prioriterade fågelarter.docx", "A 13269-2026")</f>
        <v/>
      </c>
    </row>
    <row r="136" ht="15" customHeight="1">
      <c r="A136" t="inlineStr">
        <is>
          <t>A 23003-2026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46305</v>
      </c>
      <c r="F136" t="inlineStr">
        <is>
          <t>GÄVLEBORGS LÄN</t>
        </is>
      </c>
      <c r="G136" t="inlineStr">
        <is>
          <t>GÄVLE</t>
        </is>
      </c>
      <c r="I136" t="n">
        <v>12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Tjäder</t>
        </is>
      </c>
      <c r="W136">
        <f>HYPERLINK("https://klasma.github.io/Logging_2180/artfynd/A 23003-2026 artfynd.xlsx", "A 23003-2026")</f>
        <v/>
      </c>
      <c r="X136">
        <f>HYPERLINK("https://klasma.github.io/Logging_2180/kartor/A 23003-2026 karta.png", "A 23003-2026")</f>
        <v/>
      </c>
      <c r="Y136">
        <f>HYPERLINK("https://klasma.github.io/Logging_2180/kartor_geotiff/A 23003-2026 georefererad karta.tif", "A 23003-2026")</f>
        <v/>
      </c>
      <c r="AA136">
        <f>HYPERLINK("https://klasma.github.io/Logging_2180/klagomål/A 23003-2026 FSC-klagomål.docx", "A 23003-2026")</f>
        <v/>
      </c>
      <c r="AB136">
        <f>HYPERLINK("https://klasma.github.io/Logging_2180/klagomålsmail/A 23003-2026 FSC-klagomål mail.docx", "A 23003-2026")</f>
        <v/>
      </c>
      <c r="AC136">
        <f>HYPERLINK("https://klasma.github.io/Logging_2180/tillsyn/A 23003-2026 tillsynsbegäran.docx", "A 23003-2026")</f>
        <v/>
      </c>
      <c r="AD136">
        <f>HYPERLINK("https://klasma.github.io/Logging_2180/tillsynsmail/A 23003-2026 tillsynsbegäran mail.docx", "A 23003-2026")</f>
        <v/>
      </c>
      <c r="AE136">
        <f>HYPERLINK("https://klasma.github.io/Logging_2180/fåglar/A 23003-2026 prioriterade fågelarter.docx", "A 23003-2026")</f>
        <v/>
      </c>
    </row>
    <row r="137" ht="15" customHeight="1">
      <c r="A137" t="inlineStr">
        <is>
          <t>A 17251-2026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46305</v>
      </c>
      <c r="F137" t="inlineStr">
        <is>
          <t>GÄVLEBORGS LÄN</t>
        </is>
      </c>
      <c r="G137" t="inlineStr">
        <is>
          <t>GÄVLE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HYPERLINK("https://klasma.github.io/Logging_2180/artfynd/A 17251-2026 artfynd.xlsx", "A 17251-2026")</f>
        <v/>
      </c>
      <c r="X137">
        <f>HYPERLINK("https://klasma.github.io/Logging_2180/kartor/A 17251-2026 karta.png", "A 17251-2026")</f>
        <v/>
      </c>
      <c r="Y137">
        <f>HYPERLINK("https://klasma.github.io/Logging_2180/kartor_geotiff/A 17251-2026 georefererad karta.tif", "A 17251-2026")</f>
        <v/>
      </c>
      <c r="AA137">
        <f>HYPERLINK("https://klasma.github.io/Logging_2180/klagomål/A 17251-2026 FSC-klagomål.docx", "A 17251-2026")</f>
        <v/>
      </c>
      <c r="AB137">
        <f>HYPERLINK("https://klasma.github.io/Logging_2180/klagomålsmail/A 17251-2026 FSC-klagomål mail.docx", "A 17251-2026")</f>
        <v/>
      </c>
      <c r="AC137">
        <f>HYPERLINK("https://klasma.github.io/Logging_2180/tillsyn/A 17251-2026 tillsynsbegäran.docx", "A 17251-2026")</f>
        <v/>
      </c>
      <c r="AD137">
        <f>HYPERLINK("https://klasma.github.io/Logging_2180/tillsynsmail/A 17251-2026 tillsynsbegäran mail.docx", "A 17251-2026")</f>
        <v/>
      </c>
    </row>
    <row r="138" ht="15" customHeight="1">
      <c r="A138" t="inlineStr">
        <is>
          <t>A 34589-2026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46305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15.3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HYPERLINK("https://klasma.github.io/Logging_2180/artfynd/A 34589-2026 artfynd.xlsx", "A 34589-2026")</f>
        <v/>
      </c>
      <c r="X138">
        <f>HYPERLINK("https://klasma.github.io/Logging_2180/kartor/A 34589-2026 karta.png", "A 34589-2026")</f>
        <v/>
      </c>
      <c r="Y138">
        <f>HYPERLINK("https://klasma.github.io/Logging_2180/kartor_geotiff/A 34589-2026 georefererad karta.tif", "A 34589-2026")</f>
        <v/>
      </c>
      <c r="AA138">
        <f>HYPERLINK("https://klasma.github.io/Logging_2180/klagomål/A 34589-2026 FSC-klagomål.docx", "A 34589-2026")</f>
        <v/>
      </c>
      <c r="AB138">
        <f>HYPERLINK("https://klasma.github.io/Logging_2180/klagomålsmail/A 34589-2026 FSC-klagomål mail.docx", "A 34589-2026")</f>
        <v/>
      </c>
      <c r="AC138">
        <f>HYPERLINK("https://klasma.github.io/Logging_2180/tillsyn/A 34589-2026 tillsynsbegäran.docx", "A 34589-2026")</f>
        <v/>
      </c>
      <c r="AD138">
        <f>HYPERLINK("https://klasma.github.io/Logging_2180/tillsynsmail/A 34589-2026 tillsynsbegäran mail.docx", "A 34589-2026")</f>
        <v/>
      </c>
    </row>
    <row r="139" ht="15" customHeight="1">
      <c r="A139" t="inlineStr">
        <is>
          <t>A 19635-2026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46305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Skinnlav</t>
        </is>
      </c>
      <c r="W139">
        <f>HYPERLINK("https://klasma.github.io/Logging_2180/artfynd/A 19635-2026 artfynd.xlsx", "A 19635-2026")</f>
        <v/>
      </c>
      <c r="X139">
        <f>HYPERLINK("https://klasma.github.io/Logging_2180/kartor/A 19635-2026 karta.png", "A 19635-2026")</f>
        <v/>
      </c>
      <c r="Y139">
        <f>HYPERLINK("https://klasma.github.io/Logging_2180/kartor_geotiff/A 19635-2026 georefererad karta.tif", "A 19635-2026")</f>
        <v/>
      </c>
      <c r="AA139">
        <f>HYPERLINK("https://klasma.github.io/Logging_2180/klagomål/A 19635-2026 FSC-klagomål.docx", "A 19635-2026")</f>
        <v/>
      </c>
      <c r="AB139">
        <f>HYPERLINK("https://klasma.github.io/Logging_2180/klagomålsmail/A 19635-2026 FSC-klagomål mail.docx", "A 19635-2026")</f>
        <v/>
      </c>
      <c r="AC139">
        <f>HYPERLINK("https://klasma.github.io/Logging_2180/tillsyn/A 19635-2026 tillsynsbegäran.docx", "A 19635-2026")</f>
        <v/>
      </c>
      <c r="AD139">
        <f>HYPERLINK("https://klasma.github.io/Logging_2180/tillsynsmail/A 19635-2026 tillsynsbegäran mail.docx", "A 19635-2026")</f>
        <v/>
      </c>
    </row>
    <row r="140" ht="15" customHeight="1">
      <c r="A140" t="inlineStr">
        <is>
          <t>A 18216-2024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46305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Dofttaggsvamp</t>
        </is>
      </c>
      <c r="W140">
        <f>HYPERLINK("https://klasma.github.io/Logging_2180/artfynd/A 18216-2024 artfynd.xlsx", "A 18216-2024")</f>
        <v/>
      </c>
      <c r="X140">
        <f>HYPERLINK("https://klasma.github.io/Logging_2180/kartor/A 18216-2024 karta.png", "A 18216-2024")</f>
        <v/>
      </c>
      <c r="Y140">
        <f>HYPERLINK("https://klasma.github.io/Logging_2180/kartor_geotiff/A 18216-2024 georefererad karta.tif", "A 18216-2024")</f>
        <v/>
      </c>
      <c r="AA140">
        <f>HYPERLINK("https://klasma.github.io/Logging_2180/klagomål/A 18216-2024 FSC-klagomål.docx", "A 18216-2024")</f>
        <v/>
      </c>
      <c r="AB140">
        <f>HYPERLINK("https://klasma.github.io/Logging_2180/klagomålsmail/A 18216-2024 FSC-klagomål mail.docx", "A 18216-2024")</f>
        <v/>
      </c>
      <c r="AC140">
        <f>HYPERLINK("https://klasma.github.io/Logging_2180/tillsyn/A 18216-2024 tillsynsbegäran.docx", "A 18216-2024")</f>
        <v/>
      </c>
      <c r="AD140">
        <f>HYPERLINK("https://klasma.github.io/Logging_2180/tillsynsmail/A 18216-2024 tillsynsbegäran mail.docx", "A 18216-2024")</f>
        <v/>
      </c>
    </row>
    <row r="141" ht="15" customHeight="1">
      <c r="A141" t="inlineStr">
        <is>
          <t>A 56123-2025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46305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10.5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Talltita</t>
        </is>
      </c>
      <c r="W141">
        <f>HYPERLINK("https://klasma.github.io/Logging_2180/artfynd/A 56123-2025 artfynd.xlsx", "A 56123-2025")</f>
        <v/>
      </c>
      <c r="X141">
        <f>HYPERLINK("https://klasma.github.io/Logging_2180/kartor/A 56123-2025 karta.png", "A 56123-2025")</f>
        <v/>
      </c>
      <c r="Y141">
        <f>HYPERLINK("https://klasma.github.io/Logging_2180/kartor_geotiff/A 56123-2025 georefererad karta.tif", "A 56123-2025")</f>
        <v/>
      </c>
      <c r="AA141">
        <f>HYPERLINK("https://klasma.github.io/Logging_2180/klagomål/A 56123-2025 FSC-klagomål.docx", "A 56123-2025")</f>
        <v/>
      </c>
      <c r="AB141">
        <f>HYPERLINK("https://klasma.github.io/Logging_2180/klagomålsmail/A 56123-2025 FSC-klagomål mail.docx", "A 56123-2025")</f>
        <v/>
      </c>
      <c r="AC141">
        <f>HYPERLINK("https://klasma.github.io/Logging_2180/tillsyn/A 56123-2025 tillsynsbegäran.docx", "A 56123-2025")</f>
        <v/>
      </c>
      <c r="AD141">
        <f>HYPERLINK("https://klasma.github.io/Logging_2180/tillsynsmail/A 56123-2025 tillsynsbegäran mail.docx", "A 56123-2025")</f>
        <v/>
      </c>
      <c r="AE141">
        <f>HYPERLINK("https://klasma.github.io/Logging_2180/fåglar/A 56123-2025 prioriterade fågelarter.docx", "A 56123-2025")</f>
        <v/>
      </c>
    </row>
    <row r="142" ht="15" customHeight="1">
      <c r="A142" t="inlineStr">
        <is>
          <t>A 34890-2026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46259</v>
      </c>
      <c r="E142" s="1" t="n">
        <v>46305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18.3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4</v>
      </c>
      <c r="U142" t="n">
        <v>0</v>
      </c>
      <c r="V142" s="2" t="inlineStr">
        <is>
          <t>Spillkråka</t>
        </is>
      </c>
      <c r="W142">
        <f>HYPERLINK("https://klasma.github.io/Logging_2180/artfynd/A 34890-2026 artfynd.xlsx", "A 34890-2026")</f>
        <v/>
      </c>
      <c r="X142">
        <f>HYPERLINK("https://klasma.github.io/Logging_2180/kartor/A 34890-2026 karta.png", "A 34890-2026")</f>
        <v/>
      </c>
      <c r="Y142">
        <f>HYPERLINK("https://klasma.github.io/Logging_2180/kartor_geotiff/A 34890-2026 georefererad karta.tif", "A 34890-2026")</f>
        <v/>
      </c>
      <c r="AA142">
        <f>HYPERLINK("https://klasma.github.io/Logging_2180/klagomål/A 34890-2026 FSC-klagomål.docx", "A 34890-2026")</f>
        <v/>
      </c>
      <c r="AB142">
        <f>HYPERLINK("https://klasma.github.io/Logging_2180/klagomålsmail/A 34890-2026 FSC-klagomål mail.docx", "A 34890-2026")</f>
        <v/>
      </c>
      <c r="AC142">
        <f>HYPERLINK("https://klasma.github.io/Logging_2180/tillsyn/A 34890-2026 tillsynsbegäran.docx", "A 34890-2026")</f>
        <v/>
      </c>
      <c r="AD142">
        <f>HYPERLINK("https://klasma.github.io/Logging_2180/tillsynsmail/A 34890-2026 tillsynsbegäran mail.docx", "A 34890-2026")</f>
        <v/>
      </c>
      <c r="AE142">
        <f>HYPERLINK("https://klasma.github.io/Logging_2180/fåglar/A 34890-2026 prioriterade fågelarter.docx", "A 34890-2026")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46305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46305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46305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46305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46305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46305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46305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46305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46305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46305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46305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46305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46305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46305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46305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46305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46305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46305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46305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46305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46305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46305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46305</v>
      </c>
      <c r="F165" t="inlineStr">
        <is>
          <t>GÄVLEBORGS LÄN</t>
        </is>
      </c>
      <c r="G165" t="inlineStr">
        <is>
          <t>GÄVLE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46305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46305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46305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46305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46305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46305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46305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46305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44589</v>
      </c>
      <c r="E174" s="1" t="n">
        <v>46305</v>
      </c>
      <c r="F174" t="inlineStr">
        <is>
          <t>GÄVLEBORGS LÄN</t>
        </is>
      </c>
      <c r="G174" t="inlineStr">
        <is>
          <t>GÄVLE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46305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44599</v>
      </c>
      <c r="E176" s="1" t="n">
        <v>46305</v>
      </c>
      <c r="F176" t="inlineStr">
        <is>
          <t>GÄVLEBORGS LÄN</t>
        </is>
      </c>
      <c r="G176" t="inlineStr">
        <is>
          <t>GÄVLE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46305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46305</v>
      </c>
      <c r="F178" t="inlineStr">
        <is>
          <t>GÄVLEBORGS LÄN</t>
        </is>
      </c>
      <c r="G178" t="inlineStr">
        <is>
          <t>GÄVLE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22466-2023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45070</v>
      </c>
      <c r="E179" s="1" t="n">
        <v>46305</v>
      </c>
      <c r="F179" t="inlineStr">
        <is>
          <t>GÄVLEBORGS LÄN</t>
        </is>
      </c>
      <c r="G179" t="inlineStr">
        <is>
          <t>GÄVLE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46305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46305</v>
      </c>
      <c r="F181" t="inlineStr">
        <is>
          <t>GÄVLEBORGS LÄN</t>
        </is>
      </c>
      <c r="G181" t="inlineStr">
        <is>
          <t>GÄVLE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17607-2025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45757</v>
      </c>
      <c r="E182" s="1" t="n">
        <v>46305</v>
      </c>
      <c r="F182" t="inlineStr">
        <is>
          <t>GÄVLEBORGS LÄN</t>
        </is>
      </c>
      <c r="G182" t="inlineStr">
        <is>
          <t>GÄVLE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46305</v>
      </c>
      <c r="F183" t="inlineStr">
        <is>
          <t>GÄVLEBORGS LÄN</t>
        </is>
      </c>
      <c r="G183" t="inlineStr">
        <is>
          <t>GÄVLE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46305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46305</v>
      </c>
      <c r="F185" t="inlineStr">
        <is>
          <t>GÄVLEBORGS LÄN</t>
        </is>
      </c>
      <c r="G185" t="inlineStr">
        <is>
          <t>GÄVLE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59515-2021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46305</v>
      </c>
      <c r="F186" t="inlineStr">
        <is>
          <t>GÄVLEBORGS LÄN</t>
        </is>
      </c>
      <c r="G186" t="inlineStr">
        <is>
          <t>GÄVLE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46305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52250-2024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45608</v>
      </c>
      <c r="E188" s="1" t="n">
        <v>46305</v>
      </c>
      <c r="F188" t="inlineStr">
        <is>
          <t>GÄVLEBORGS LÄN</t>
        </is>
      </c>
      <c r="G188" t="inlineStr">
        <is>
          <t>GÄVLE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46305</v>
      </c>
      <c r="F189" t="inlineStr">
        <is>
          <t>GÄVLEBORGS LÄN</t>
        </is>
      </c>
      <c r="G189" t="inlineStr">
        <is>
          <t>GÄVLE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46305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46305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46305</v>
      </c>
      <c r="F192" t="inlineStr">
        <is>
          <t>GÄVLEBORGS LÄN</t>
        </is>
      </c>
      <c r="G192" t="inlineStr">
        <is>
          <t>GÄVLE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45400</v>
      </c>
      <c r="E193" s="1" t="n">
        <v>46305</v>
      </c>
      <c r="F193" t="inlineStr">
        <is>
          <t>GÄVLEBORGS LÄN</t>
        </is>
      </c>
      <c r="G193" t="inlineStr">
        <is>
          <t>GÄVLE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44804</v>
      </c>
      <c r="E194" s="1" t="n">
        <v>46305</v>
      </c>
      <c r="F194" t="inlineStr">
        <is>
          <t>GÄVLEBORGS LÄN</t>
        </is>
      </c>
      <c r="G194" t="inlineStr">
        <is>
          <t>GÄVLE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46305</v>
      </c>
      <c r="F195" t="inlineStr">
        <is>
          <t>GÄVLEBORGS LÄN</t>
        </is>
      </c>
      <c r="G195" t="inlineStr">
        <is>
          <t>GÄVLE</t>
        </is>
      </c>
      <c r="H195" t="inlineStr">
        <is>
          <t>Kommuner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50871-2022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44867</v>
      </c>
      <c r="E196" s="1" t="n">
        <v>46305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20689-2024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45436</v>
      </c>
      <c r="E197" s="1" t="n">
        <v>46305</v>
      </c>
      <c r="F197" t="inlineStr">
        <is>
          <t>GÄVLEBORGS LÄN</t>
        </is>
      </c>
      <c r="G197" t="inlineStr">
        <is>
          <t>GÄVLE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46305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46305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46305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46305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71215-2021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46305</v>
      </c>
      <c r="F202" t="inlineStr">
        <is>
          <t>GÄVLEBORGS LÄN</t>
        </is>
      </c>
      <c r="G202" t="inlineStr">
        <is>
          <t>GÄVLE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46305</v>
      </c>
      <c r="F203" t="inlineStr">
        <is>
          <t>GÄVLEBORGS LÄN</t>
        </is>
      </c>
      <c r="G203" t="inlineStr">
        <is>
          <t>GÄVLE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46305</v>
      </c>
      <c r="F204" t="inlineStr">
        <is>
          <t>GÄVLEBORGS LÄN</t>
        </is>
      </c>
      <c r="G204" t="inlineStr">
        <is>
          <t>GÄVLE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46305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46305</v>
      </c>
      <c r="F206" t="inlineStr">
        <is>
          <t>GÄVLEBORGS LÄN</t>
        </is>
      </c>
      <c r="G206" t="inlineStr">
        <is>
          <t>GÄVLE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44876</v>
      </c>
      <c r="E207" s="1" t="n">
        <v>46305</v>
      </c>
      <c r="F207" t="inlineStr">
        <is>
          <t>GÄVLEBORGS LÄN</t>
        </is>
      </c>
      <c r="G207" t="inlineStr">
        <is>
          <t>GÄVLE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46305</v>
      </c>
      <c r="F208" t="inlineStr">
        <is>
          <t>GÄVLEBORGS LÄN</t>
        </is>
      </c>
      <c r="G208" t="inlineStr">
        <is>
          <t>GÄVLE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44733</v>
      </c>
      <c r="E209" s="1" t="n">
        <v>46305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46305</v>
      </c>
      <c r="F210" t="inlineStr">
        <is>
          <t>GÄVLEBORGS LÄN</t>
        </is>
      </c>
      <c r="G210" t="inlineStr">
        <is>
          <t>GÄVLE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46305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46305</v>
      </c>
      <c r="F212" t="inlineStr">
        <is>
          <t>GÄVLEBORGS LÄN</t>
        </is>
      </c>
      <c r="G212" t="inlineStr">
        <is>
          <t>GÄVLE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46305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46305</v>
      </c>
      <c r="F214" t="inlineStr">
        <is>
          <t>GÄVLEBORGS LÄN</t>
        </is>
      </c>
      <c r="G214" t="inlineStr">
        <is>
          <t>GÄVLE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45467</v>
      </c>
      <c r="E215" s="1" t="n">
        <v>46305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45526</v>
      </c>
      <c r="E216" s="1" t="n">
        <v>46305</v>
      </c>
      <c r="F216" t="inlineStr">
        <is>
          <t>GÄVLEBORGS LÄN</t>
        </is>
      </c>
      <c r="G216" t="inlineStr">
        <is>
          <t>GÄVLE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46305</v>
      </c>
      <c r="F217" t="inlineStr">
        <is>
          <t>GÄVLEBORGS LÄN</t>
        </is>
      </c>
      <c r="G217" t="inlineStr">
        <is>
          <t>GÄVLE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46305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45454</v>
      </c>
      <c r="E219" s="1" t="n">
        <v>46305</v>
      </c>
      <c r="F219" t="inlineStr">
        <is>
          <t>GÄVLEBORGS LÄN</t>
        </is>
      </c>
      <c r="G219" t="inlineStr">
        <is>
          <t>GÄVLE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46305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45454</v>
      </c>
      <c r="E221" s="1" t="n">
        <v>46305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46305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46305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46305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46305</v>
      </c>
      <c r="F225" t="inlineStr">
        <is>
          <t>GÄVLEBORGS LÄN</t>
        </is>
      </c>
      <c r="G225" t="inlineStr">
        <is>
          <t>GÄVLE</t>
        </is>
      </c>
      <c r="H225" t="inlineStr">
        <is>
          <t>Kyrkan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45660</v>
      </c>
      <c r="E226" s="1" t="n">
        <v>46305</v>
      </c>
      <c r="F226" t="inlineStr">
        <is>
          <t>GÄVLEBORGS LÄN</t>
        </is>
      </c>
      <c r="G226" t="inlineStr">
        <is>
          <t>GÄVLE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45660</v>
      </c>
      <c r="E227" s="1" t="n">
        <v>46305</v>
      </c>
      <c r="F227" t="inlineStr">
        <is>
          <t>GÄVLEBORGS LÄN</t>
        </is>
      </c>
      <c r="G227" t="inlineStr">
        <is>
          <t>GÄVLE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61351-2021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44498</v>
      </c>
      <c r="E228" s="1" t="n">
        <v>46305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46305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46305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46305</v>
      </c>
      <c r="F231" t="inlineStr">
        <is>
          <t>GÄVLEBORGS LÄN</t>
        </is>
      </c>
      <c r="G231" t="inlineStr">
        <is>
          <t>GÄVLE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61786-2024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45649</v>
      </c>
      <c r="E232" s="1" t="n">
        <v>46305</v>
      </c>
      <c r="F232" t="inlineStr">
        <is>
          <t>GÄVLEBORGS LÄN</t>
        </is>
      </c>
      <c r="G232" t="inlineStr">
        <is>
          <t>GÄVLE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46305</v>
      </c>
      <c r="F233" t="inlineStr">
        <is>
          <t>GÄVLEBORGS LÄN</t>
        </is>
      </c>
      <c r="G233" t="inlineStr">
        <is>
          <t>GÄVLE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46305</v>
      </c>
      <c r="F234" t="inlineStr">
        <is>
          <t>GÄVLEBORGS LÄN</t>
        </is>
      </c>
      <c r="G234" t="inlineStr">
        <is>
          <t>GÄVLE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46305</v>
      </c>
      <c r="F235" t="inlineStr">
        <is>
          <t>GÄVLEBORGS LÄN</t>
        </is>
      </c>
      <c r="G235" t="inlineStr">
        <is>
          <t>GÄVLE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46305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46305</v>
      </c>
      <c r="F237" t="inlineStr">
        <is>
          <t>GÄVLEBORGS LÄN</t>
        </is>
      </c>
      <c r="G237" t="inlineStr">
        <is>
          <t>GÄVLE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46305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46305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46305</v>
      </c>
      <c r="F240" t="inlineStr">
        <is>
          <t>GÄVLEBORGS LÄN</t>
        </is>
      </c>
      <c r="G240" t="inlineStr">
        <is>
          <t>GÄVLE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46305</v>
      </c>
      <c r="F241" t="inlineStr">
        <is>
          <t>GÄVLEBORGS LÄN</t>
        </is>
      </c>
      <c r="G241" t="inlineStr">
        <is>
          <t>GÄVLE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46305</v>
      </c>
      <c r="F242" t="inlineStr">
        <is>
          <t>GÄVLEBORGS LÄN</t>
        </is>
      </c>
      <c r="G242" t="inlineStr">
        <is>
          <t>GÄVLE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46305</v>
      </c>
      <c r="F243" t="inlineStr">
        <is>
          <t>GÄVLEBORGS LÄN</t>
        </is>
      </c>
      <c r="G243" t="inlineStr">
        <is>
          <t>GÄVLE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70043-2021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44533</v>
      </c>
      <c r="E244" s="1" t="n">
        <v>46305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45519</v>
      </c>
      <c r="E245" s="1" t="n">
        <v>46305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46305</v>
      </c>
      <c r="F246" t="inlineStr">
        <is>
          <t>GÄVLEBORGS LÄN</t>
        </is>
      </c>
      <c r="G246" t="inlineStr">
        <is>
          <t>GÄVLE</t>
        </is>
      </c>
      <c r="I246" t="n">
        <v>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44756</v>
      </c>
      <c r="E247" s="1" t="n">
        <v>46305</v>
      </c>
      <c r="F247" t="inlineStr">
        <is>
          <t>GÄVLEBORGS LÄN</t>
        </is>
      </c>
      <c r="G247" t="inlineStr">
        <is>
          <t>GÄVLE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46305</v>
      </c>
      <c r="F248" t="inlineStr">
        <is>
          <t>GÄVLEBORGS LÄN</t>
        </is>
      </c>
      <c r="G248" t="inlineStr">
        <is>
          <t>GÄVLE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44910</v>
      </c>
      <c r="E249" s="1" t="n">
        <v>46305</v>
      </c>
      <c r="F249" t="inlineStr">
        <is>
          <t>GÄVLEBORGS LÄN</t>
        </is>
      </c>
      <c r="G249" t="inlineStr">
        <is>
          <t>GÄVLE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44942</v>
      </c>
      <c r="E250" s="1" t="n">
        <v>46305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46305</v>
      </c>
      <c r="F251" t="inlineStr">
        <is>
          <t>GÄVLEBORGS LÄN</t>
        </is>
      </c>
      <c r="G251" t="inlineStr">
        <is>
          <t>GÄVLE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62766-2022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44885</v>
      </c>
      <c r="E252" s="1" t="n">
        <v>46305</v>
      </c>
      <c r="F252" t="inlineStr">
        <is>
          <t>GÄVLEBORGS LÄN</t>
        </is>
      </c>
      <c r="G252" t="inlineStr">
        <is>
          <t>GÄVLE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46305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46305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46305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40297-2025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45895</v>
      </c>
      <c r="E256" s="1" t="n">
        <v>46305</v>
      </c>
      <c r="F256" t="inlineStr">
        <is>
          <t>GÄVLEBORGS LÄN</t>
        </is>
      </c>
      <c r="G256" t="inlineStr">
        <is>
          <t>GÄVLE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46305</v>
      </c>
      <c r="F257" t="inlineStr">
        <is>
          <t>GÄVLEBORGS LÄN</t>
        </is>
      </c>
      <c r="G257" t="inlineStr">
        <is>
          <t>GÄVLE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46305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46305</v>
      </c>
      <c r="F259" t="inlineStr">
        <is>
          <t>GÄVLEBORGS LÄN</t>
        </is>
      </c>
      <c r="G259" t="inlineStr">
        <is>
          <t>GÄVLE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46305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46305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46305</v>
      </c>
      <c r="F262" t="inlineStr">
        <is>
          <t>GÄVLEBORGS LÄN</t>
        </is>
      </c>
      <c r="G262" t="inlineStr">
        <is>
          <t>GÄVLE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46305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46305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46305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46305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46305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10352-2025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45720</v>
      </c>
      <c r="E268" s="1" t="n">
        <v>46305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46305</v>
      </c>
      <c r="F269" t="inlineStr">
        <is>
          <t>GÄVLEBORGS LÄN</t>
        </is>
      </c>
      <c r="G269" t="inlineStr">
        <is>
          <t>GÄVLE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46305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46305</v>
      </c>
      <c r="F271" t="inlineStr">
        <is>
          <t>GÄVLEBORGS LÄN</t>
        </is>
      </c>
      <c r="G271" t="inlineStr">
        <is>
          <t>GÄVLE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45749</v>
      </c>
      <c r="E272" s="1" t="n">
        <v>46305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46305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46305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45658</v>
      </c>
      <c r="E275" s="1" t="n">
        <v>46305</v>
      </c>
      <c r="F275" t="inlineStr">
        <is>
          <t>GÄVLEBORGS LÄN</t>
        </is>
      </c>
      <c r="G275" t="inlineStr">
        <is>
          <t>GÄVLE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46305</v>
      </c>
      <c r="F276" t="inlineStr">
        <is>
          <t>GÄVLEBORGS LÄN</t>
        </is>
      </c>
      <c r="G276" t="inlineStr">
        <is>
          <t>GÄVLE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46305</v>
      </c>
      <c r="F277" t="inlineStr">
        <is>
          <t>GÄVLEBORGS LÄN</t>
        </is>
      </c>
      <c r="G277" t="inlineStr">
        <is>
          <t>GÄVLE</t>
        </is>
      </c>
      <c r="H277" t="inlineStr">
        <is>
          <t>Kyrkan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46305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45306</v>
      </c>
      <c r="E279" s="1" t="n">
        <v>46305</v>
      </c>
      <c r="F279" t="inlineStr">
        <is>
          <t>GÄVLEBORGS LÄN</t>
        </is>
      </c>
      <c r="G279" t="inlineStr">
        <is>
          <t>GÄVLE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46305</v>
      </c>
      <c r="F280" t="inlineStr">
        <is>
          <t>GÄVLEBORGS LÄN</t>
        </is>
      </c>
      <c r="G280" t="inlineStr">
        <is>
          <t>GÄVLE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45312</v>
      </c>
      <c r="E281" s="1" t="n">
        <v>46305</v>
      </c>
      <c r="F281" t="inlineStr">
        <is>
          <t>GÄVLEBORGS LÄN</t>
        </is>
      </c>
      <c r="G281" t="inlineStr">
        <is>
          <t>GÄVLE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46305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45440</v>
      </c>
      <c r="E283" s="1" t="n">
        <v>46305</v>
      </c>
      <c r="F283" t="inlineStr">
        <is>
          <t>GÄVLEBORGS LÄN</t>
        </is>
      </c>
      <c r="G283" t="inlineStr">
        <is>
          <t>GÄVLE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46305</v>
      </c>
      <c r="F284" t="inlineStr">
        <is>
          <t>GÄVLEBORGS LÄN</t>
        </is>
      </c>
      <c r="G284" t="inlineStr">
        <is>
          <t>GÄVLE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46305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46305</v>
      </c>
      <c r="F286" t="inlineStr">
        <is>
          <t>GÄVLEBORGS LÄN</t>
        </is>
      </c>
      <c r="G286" t="inlineStr">
        <is>
          <t>GÄVLE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46305</v>
      </c>
      <c r="F287" t="inlineStr">
        <is>
          <t>GÄVLEBORGS LÄN</t>
        </is>
      </c>
      <c r="G287" t="inlineStr">
        <is>
          <t>GÄVLE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72734-2021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44546</v>
      </c>
      <c r="E288" s="1" t="n">
        <v>46305</v>
      </c>
      <c r="F288" t="inlineStr">
        <is>
          <t>GÄVLEBORGS LÄN</t>
        </is>
      </c>
      <c r="G288" t="inlineStr">
        <is>
          <t>GÄVLE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45595</v>
      </c>
      <c r="E289" s="1" t="n">
        <v>46305</v>
      </c>
      <c r="F289" t="inlineStr">
        <is>
          <t>GÄVLEBORGS LÄN</t>
        </is>
      </c>
      <c r="G289" t="inlineStr">
        <is>
          <t>GÄVLE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46305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46305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45475</v>
      </c>
      <c r="E292" s="1" t="n">
        <v>46305</v>
      </c>
      <c r="F292" t="inlineStr">
        <is>
          <t>GÄVLEBORGS LÄN</t>
        </is>
      </c>
      <c r="G292" t="inlineStr">
        <is>
          <t>GÄVLE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45580</v>
      </c>
      <c r="E293" s="1" t="n">
        <v>46305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46305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45776</v>
      </c>
      <c r="E295" s="1" t="n">
        <v>46305</v>
      </c>
      <c r="F295" t="inlineStr">
        <is>
          <t>GÄVLEBORGS LÄN</t>
        </is>
      </c>
      <c r="G295" t="inlineStr">
        <is>
          <t>GÄVLE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46305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46305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46305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46305</v>
      </c>
      <c r="F299" t="inlineStr">
        <is>
          <t>GÄVLEBORGS LÄN</t>
        </is>
      </c>
      <c r="G299" t="inlineStr">
        <is>
          <t>GÄVLE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46305</v>
      </c>
      <c r="F300" t="inlineStr">
        <is>
          <t>GÄVLEBORGS LÄN</t>
        </is>
      </c>
      <c r="G300" t="inlineStr">
        <is>
          <t>GÄVLE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45414</v>
      </c>
      <c r="E301" s="1" t="n">
        <v>46305</v>
      </c>
      <c r="F301" t="inlineStr">
        <is>
          <t>GÄVLEBORGS LÄN</t>
        </is>
      </c>
      <c r="G301" t="inlineStr">
        <is>
          <t>GÄVLE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45412</v>
      </c>
      <c r="E302" s="1" t="n">
        <v>46305</v>
      </c>
      <c r="F302" t="inlineStr">
        <is>
          <t>GÄVLEBORGS LÄN</t>
        </is>
      </c>
      <c r="G302" t="inlineStr">
        <is>
          <t>GÄVLE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45120</v>
      </c>
      <c r="E303" s="1" t="n">
        <v>46305</v>
      </c>
      <c r="F303" t="inlineStr">
        <is>
          <t>GÄVLEBORGS LÄN</t>
        </is>
      </c>
      <c r="G303" t="inlineStr">
        <is>
          <t>GÄVLE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46305</v>
      </c>
      <c r="F304" t="inlineStr">
        <is>
          <t>GÄVLEBORGS LÄN</t>
        </is>
      </c>
      <c r="G304" t="inlineStr">
        <is>
          <t>GÄVLE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46305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44637</v>
      </c>
      <c r="E306" s="1" t="n">
        <v>46305</v>
      </c>
      <c r="F306" t="inlineStr">
        <is>
          <t>GÄVLEBORGS LÄN</t>
        </is>
      </c>
      <c r="G306" t="inlineStr">
        <is>
          <t>GÄVLE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46305</v>
      </c>
      <c r="F307" t="inlineStr">
        <is>
          <t>GÄVLEBORGS LÄN</t>
        </is>
      </c>
      <c r="G307" t="inlineStr">
        <is>
          <t>GÄVLE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65879-2021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44517</v>
      </c>
      <c r="E308" s="1" t="n">
        <v>46305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46305</v>
      </c>
      <c r="F309" t="inlineStr">
        <is>
          <t>GÄVLEBORGS LÄN</t>
        </is>
      </c>
      <c r="G309" t="inlineStr">
        <is>
          <t>GÄVLE</t>
        </is>
      </c>
      <c r="H309" t="inlineStr">
        <is>
          <t>Kyrkan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46305</v>
      </c>
      <c r="F310" t="inlineStr">
        <is>
          <t>GÄVLEBORGS LÄN</t>
        </is>
      </c>
      <c r="G310" t="inlineStr">
        <is>
          <t>GÄVLE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46305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44585</v>
      </c>
      <c r="E312" s="1" t="n">
        <v>46305</v>
      </c>
      <c r="F312" t="inlineStr">
        <is>
          <t>GÄVLEBORGS LÄN</t>
        </is>
      </c>
      <c r="G312" t="inlineStr">
        <is>
          <t>GÄVLE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46305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46305</v>
      </c>
      <c r="F314" t="inlineStr">
        <is>
          <t>GÄVLEBORGS LÄN</t>
        </is>
      </c>
      <c r="G314" t="inlineStr">
        <is>
          <t>GÄVLE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45182</v>
      </c>
      <c r="E315" s="1" t="n">
        <v>46305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46305</v>
      </c>
      <c r="F316" t="inlineStr">
        <is>
          <t>GÄVLEBORGS LÄN</t>
        </is>
      </c>
      <c r="G316" t="inlineStr">
        <is>
          <t>GÄVLE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46305</v>
      </c>
      <c r="F317" t="inlineStr">
        <is>
          <t>GÄVLEBORGS LÄN</t>
        </is>
      </c>
      <c r="G317" t="inlineStr">
        <is>
          <t>GÄVLE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45547</v>
      </c>
      <c r="E318" s="1" t="n">
        <v>46305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39022-2025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46305</v>
      </c>
      <c r="F319" t="inlineStr">
        <is>
          <t>GÄVLEBORGS LÄN</t>
        </is>
      </c>
      <c r="G319" t="inlineStr">
        <is>
          <t>GÄVLE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44585</v>
      </c>
      <c r="E320" s="1" t="n">
        <v>46305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46305</v>
      </c>
      <c r="F321" t="inlineStr">
        <is>
          <t>GÄVLEBORGS LÄN</t>
        </is>
      </c>
      <c r="G321" t="inlineStr">
        <is>
          <t>GÄVLE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46305</v>
      </c>
      <c r="F322" t="inlineStr">
        <is>
          <t>GÄVLEBORGS LÄN</t>
        </is>
      </c>
      <c r="G322" t="inlineStr">
        <is>
          <t>GÄVLE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44959</v>
      </c>
      <c r="E323" s="1" t="n">
        <v>46305</v>
      </c>
      <c r="F323" t="inlineStr">
        <is>
          <t>GÄVLEBORGS LÄN</t>
        </is>
      </c>
      <c r="G323" t="inlineStr">
        <is>
          <t>GÄVLE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46305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45850-2025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45923</v>
      </c>
      <c r="E325" s="1" t="n">
        <v>46305</v>
      </c>
      <c r="F325" t="inlineStr">
        <is>
          <t>GÄVLEBORGS LÄN</t>
        </is>
      </c>
      <c r="G325" t="inlineStr">
        <is>
          <t>GÄVLE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46305</v>
      </c>
      <c r="F326" t="inlineStr">
        <is>
          <t>GÄVLEBORGS LÄN</t>
        </is>
      </c>
      <c r="G326" t="inlineStr">
        <is>
          <t>GÄVLE</t>
        </is>
      </c>
      <c r="I326" t="n">
        <v>20.8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44693</v>
      </c>
      <c r="E327" s="1" t="n">
        <v>46305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46305</v>
      </c>
      <c r="F328" t="inlineStr">
        <is>
          <t>GÄVLEBORGS LÄN</t>
        </is>
      </c>
      <c r="G328" t="inlineStr">
        <is>
          <t>GÄVLE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46305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46305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45523</v>
      </c>
      <c r="E331" s="1" t="n">
        <v>46305</v>
      </c>
      <c r="F331" t="inlineStr">
        <is>
          <t>GÄVLEBORGS LÄN</t>
        </is>
      </c>
      <c r="G331" t="inlineStr">
        <is>
          <t>GÄVLE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45660</v>
      </c>
      <c r="E332" s="1" t="n">
        <v>46305</v>
      </c>
      <c r="F332" t="inlineStr">
        <is>
          <t>GÄVLEBORGS LÄN</t>
        </is>
      </c>
      <c r="G332" t="inlineStr">
        <is>
          <t>GÄVLE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46305</v>
      </c>
      <c r="F333" t="inlineStr">
        <is>
          <t>GÄVLEBORGS LÄN</t>
        </is>
      </c>
      <c r="G333" t="inlineStr">
        <is>
          <t>GÄVLE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45660</v>
      </c>
      <c r="E334" s="1" t="n">
        <v>46305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46305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45791</v>
      </c>
      <c r="E336" s="1" t="n">
        <v>46305</v>
      </c>
      <c r="F336" t="inlineStr">
        <is>
          <t>GÄVLEBORGS LÄN</t>
        </is>
      </c>
      <c r="G336" t="inlineStr">
        <is>
          <t>GÄVLE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45644</v>
      </c>
      <c r="E337" s="1" t="n">
        <v>46305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46305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46305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46305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45019</v>
      </c>
      <c r="E341" s="1" t="n">
        <v>46305</v>
      </c>
      <c r="F341" t="inlineStr">
        <is>
          <t>GÄVLEBORGS LÄN</t>
        </is>
      </c>
      <c r="G341" t="inlineStr">
        <is>
          <t>GÄVLE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46305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45652</v>
      </c>
      <c r="E343" s="1" t="n">
        <v>46305</v>
      </c>
      <c r="F343" t="inlineStr">
        <is>
          <t>GÄVLEBORGS LÄN</t>
        </is>
      </c>
      <c r="G343" t="inlineStr">
        <is>
          <t>GÄVLE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46305</v>
      </c>
      <c r="F344" t="inlineStr">
        <is>
          <t>GÄVLEBORGS LÄN</t>
        </is>
      </c>
      <c r="G344" t="inlineStr">
        <is>
          <t>GÄVLE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46305</v>
      </c>
      <c r="F345" t="inlineStr">
        <is>
          <t>GÄVLEBORGS LÄN</t>
        </is>
      </c>
      <c r="G345" t="inlineStr">
        <is>
          <t>GÄVLE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46305</v>
      </c>
      <c r="F346" t="inlineStr">
        <is>
          <t>GÄVLEBORGS LÄN</t>
        </is>
      </c>
      <c r="G346" t="inlineStr">
        <is>
          <t>GÄVLE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19095-2022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44691</v>
      </c>
      <c r="E347" s="1" t="n">
        <v>46305</v>
      </c>
      <c r="F347" t="inlineStr">
        <is>
          <t>GÄVLEBORGS LÄN</t>
        </is>
      </c>
      <c r="G347" t="inlineStr">
        <is>
          <t>GÄVLE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46305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46305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46305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55878-2024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45623</v>
      </c>
      <c r="E351" s="1" t="n">
        <v>46305</v>
      </c>
      <c r="F351" t="inlineStr">
        <is>
          <t>GÄVLEBORGS LÄN</t>
        </is>
      </c>
      <c r="G351" t="inlineStr">
        <is>
          <t>GÄVLE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45702</v>
      </c>
      <c r="E352" s="1" t="n">
        <v>46305</v>
      </c>
      <c r="F352" t="inlineStr">
        <is>
          <t>GÄVLEBORGS LÄN</t>
        </is>
      </c>
      <c r="G352" t="inlineStr">
        <is>
          <t>GÄVLE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45595</v>
      </c>
      <c r="E353" s="1" t="n">
        <v>46305</v>
      </c>
      <c r="F353" t="inlineStr">
        <is>
          <t>GÄVLEBORGS LÄN</t>
        </is>
      </c>
      <c r="G353" t="inlineStr">
        <is>
          <t>GÄVLE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46305</v>
      </c>
      <c r="F354" t="inlineStr">
        <is>
          <t>GÄVLEBORGS LÄN</t>
        </is>
      </c>
      <c r="G354" t="inlineStr">
        <is>
          <t>GÄVLE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45632</v>
      </c>
      <c r="E355" s="1" t="n">
        <v>46305</v>
      </c>
      <c r="F355" t="inlineStr">
        <is>
          <t>GÄVLEBORGS LÄN</t>
        </is>
      </c>
      <c r="G355" t="inlineStr">
        <is>
          <t>GÄVLE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45932</v>
      </c>
      <c r="E356" s="1" t="n">
        <v>46305</v>
      </c>
      <c r="F356" t="inlineStr">
        <is>
          <t>GÄVLEBORGS LÄN</t>
        </is>
      </c>
      <c r="G356" t="inlineStr">
        <is>
          <t>GÄVLE</t>
        </is>
      </c>
      <c r="I356" t="n">
        <v>10.1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47612-2025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46305</v>
      </c>
      <c r="F357" t="inlineStr">
        <is>
          <t>GÄVLEBORGS LÄN</t>
        </is>
      </c>
      <c r="G357" t="inlineStr">
        <is>
          <t>GÄVLE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46305</v>
      </c>
      <c r="F358" t="inlineStr">
        <is>
          <t>GÄVLEBORGS LÄN</t>
        </is>
      </c>
      <c r="G358" t="inlineStr">
        <is>
          <t>GÄVLE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44951</v>
      </c>
      <c r="E359" s="1" t="n">
        <v>46305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46305</v>
      </c>
      <c r="F360" t="inlineStr">
        <is>
          <t>GÄVLEBORGS LÄN</t>
        </is>
      </c>
      <c r="G360" t="inlineStr">
        <is>
          <t>GÄVLE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46305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46305</v>
      </c>
      <c r="F362" t="inlineStr">
        <is>
          <t>GÄVLEBORGS LÄN</t>
        </is>
      </c>
      <c r="G362" t="inlineStr">
        <is>
          <t>GÄVLE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45797</v>
      </c>
      <c r="E363" s="1" t="n">
        <v>46305</v>
      </c>
      <c r="F363" t="inlineStr">
        <is>
          <t>GÄVLEBORGS LÄN</t>
        </is>
      </c>
      <c r="G363" t="inlineStr">
        <is>
          <t>GÄVLE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46305</v>
      </c>
      <c r="F364" t="inlineStr">
        <is>
          <t>GÄVLEBORGS LÄN</t>
        </is>
      </c>
      <c r="G364" t="inlineStr">
        <is>
          <t>GÄVLE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46305</v>
      </c>
      <c r="F365" t="inlineStr">
        <is>
          <t>GÄVLEBORGS LÄN</t>
        </is>
      </c>
      <c r="G365" t="inlineStr">
        <is>
          <t>GÄVLE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45505</v>
      </c>
      <c r="E366" s="1" t="n">
        <v>46305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64871-2023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45282</v>
      </c>
      <c r="E367" s="1" t="n">
        <v>46305</v>
      </c>
      <c r="F367" t="inlineStr">
        <is>
          <t>GÄVLEBORGS LÄN</t>
        </is>
      </c>
      <c r="G367" t="inlineStr">
        <is>
          <t>GÄVLE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64875-2023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45282</v>
      </c>
      <c r="E368" s="1" t="n">
        <v>46305</v>
      </c>
      <c r="F368" t="inlineStr">
        <is>
          <t>GÄVLEBORGS LÄN</t>
        </is>
      </c>
      <c r="G368" t="inlineStr">
        <is>
          <t>GÄVLE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46305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44763</v>
      </c>
      <c r="E370" s="1" t="n">
        <v>46305</v>
      </c>
      <c r="F370" t="inlineStr">
        <is>
          <t>GÄVLEBORGS LÄN</t>
        </is>
      </c>
      <c r="G370" t="inlineStr">
        <is>
          <t>GÄVLE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22577-2022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44713</v>
      </c>
      <c r="E371" s="1" t="n">
        <v>46305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46305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45330</v>
      </c>
      <c r="E373" s="1" t="n">
        <v>46305</v>
      </c>
      <c r="F373" t="inlineStr">
        <is>
          <t>GÄVLEBORGS LÄN</t>
        </is>
      </c>
      <c r="G373" t="inlineStr">
        <is>
          <t>GÄVLE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46305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26564-2022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44739</v>
      </c>
      <c r="E375" s="1" t="n">
        <v>46305</v>
      </c>
      <c r="F375" t="inlineStr">
        <is>
          <t>GÄVLEBORGS LÄN</t>
        </is>
      </c>
      <c r="G375" t="inlineStr">
        <is>
          <t>GÄVLE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46305</v>
      </c>
      <c r="F376" t="inlineStr">
        <is>
          <t>GÄVLEBORGS LÄN</t>
        </is>
      </c>
      <c r="G376" t="inlineStr">
        <is>
          <t>GÄVLE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46305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46305</v>
      </c>
      <c r="F378" t="inlineStr">
        <is>
          <t>GÄVLEBORGS LÄN</t>
        </is>
      </c>
      <c r="G378" t="inlineStr">
        <is>
          <t>GÄVLE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46305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46305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46305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44708</v>
      </c>
      <c r="E382" s="1" t="n">
        <v>46305</v>
      </c>
      <c r="F382" t="inlineStr">
        <is>
          <t>GÄVLEBORGS LÄN</t>
        </is>
      </c>
      <c r="G382" t="inlineStr">
        <is>
          <t>GÄVLE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45699</v>
      </c>
      <c r="E383" s="1" t="n">
        <v>46305</v>
      </c>
      <c r="F383" t="inlineStr">
        <is>
          <t>GÄVLEBORGS LÄN</t>
        </is>
      </c>
      <c r="G383" t="inlineStr">
        <is>
          <t>GÄVLE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46305</v>
      </c>
      <c r="F384" t="inlineStr">
        <is>
          <t>GÄVLEBORGS LÄN</t>
        </is>
      </c>
      <c r="G384" t="inlineStr">
        <is>
          <t>GÄVLE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46305</v>
      </c>
      <c r="F385" t="inlineStr">
        <is>
          <t>GÄVLEBORGS LÄN</t>
        </is>
      </c>
      <c r="G385" t="inlineStr">
        <is>
          <t>GÄVLE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45735</v>
      </c>
      <c r="E386" s="1" t="n">
        <v>46305</v>
      </c>
      <c r="F386" t="inlineStr">
        <is>
          <t>GÄVLEBORGS LÄN</t>
        </is>
      </c>
      <c r="G386" t="inlineStr">
        <is>
          <t>GÄVLE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46305</v>
      </c>
      <c r="F387" t="inlineStr">
        <is>
          <t>GÄVLEBORGS LÄN</t>
        </is>
      </c>
      <c r="G387" t="inlineStr">
        <is>
          <t>GÄVLE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46305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44369-2025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46305</v>
      </c>
      <c r="F389" t="inlineStr">
        <is>
          <t>GÄVLEBORGS LÄN</t>
        </is>
      </c>
      <c r="G389" t="inlineStr">
        <is>
          <t>GÄVLE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46305</v>
      </c>
      <c r="F390" t="inlineStr">
        <is>
          <t>GÄVLEBORGS LÄN</t>
        </is>
      </c>
      <c r="G390" t="inlineStr">
        <is>
          <t>GÄVLE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46305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46305</v>
      </c>
      <c r="F392" t="inlineStr">
        <is>
          <t>GÄVLEBORGS LÄN</t>
        </is>
      </c>
      <c r="G392" t="inlineStr">
        <is>
          <t>GÄVLE</t>
        </is>
      </c>
      <c r="H392" t="inlineStr">
        <is>
          <t>Kyrkan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38793-2024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45547</v>
      </c>
      <c r="E393" s="1" t="n">
        <v>46305</v>
      </c>
      <c r="F393" t="inlineStr">
        <is>
          <t>GÄVLEBORGS LÄN</t>
        </is>
      </c>
      <c r="G393" t="inlineStr">
        <is>
          <t>GÄVLE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45943</v>
      </c>
      <c r="E394" s="1" t="n">
        <v>46305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46305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46305</v>
      </c>
      <c r="F396" t="inlineStr">
        <is>
          <t>GÄVLEBORGS LÄN</t>
        </is>
      </c>
      <c r="G396" t="inlineStr">
        <is>
          <t>GÄVLE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46305</v>
      </c>
      <c r="F397" t="inlineStr">
        <is>
          <t>GÄVLEBORGS LÄN</t>
        </is>
      </c>
      <c r="G397" t="inlineStr">
        <is>
          <t>GÄVLE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46305</v>
      </c>
      <c r="F398" t="inlineStr">
        <is>
          <t>GÄVLEBORGS LÄN</t>
        </is>
      </c>
      <c r="G398" t="inlineStr">
        <is>
          <t>GÄVLE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45673</v>
      </c>
      <c r="E399" s="1" t="n">
        <v>46305</v>
      </c>
      <c r="F399" t="inlineStr">
        <is>
          <t>GÄVLEBORGS LÄN</t>
        </is>
      </c>
      <c r="G399" t="inlineStr">
        <is>
          <t>GÄVLE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46305</v>
      </c>
      <c r="F400" t="inlineStr">
        <is>
          <t>GÄVLEBORGS LÄN</t>
        </is>
      </c>
      <c r="G400" t="inlineStr">
        <is>
          <t>GÄVLE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46305</v>
      </c>
      <c r="F401" t="inlineStr">
        <is>
          <t>GÄVLEBORGS LÄN</t>
        </is>
      </c>
      <c r="G401" t="inlineStr">
        <is>
          <t>GÄVLE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44684</v>
      </c>
      <c r="E402" s="1" t="n">
        <v>46305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46305</v>
      </c>
      <c r="F403" t="inlineStr">
        <is>
          <t>GÄVLEBORGS LÄN</t>
        </is>
      </c>
      <c r="G403" t="inlineStr">
        <is>
          <t>GÄVLE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45034</v>
      </c>
      <c r="E404" s="1" t="n">
        <v>46305</v>
      </c>
      <c r="F404" t="inlineStr">
        <is>
          <t>GÄVLEBORGS LÄN</t>
        </is>
      </c>
      <c r="G404" t="inlineStr">
        <is>
          <t>GÄVLE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46305</v>
      </c>
      <c r="F405" t="inlineStr">
        <is>
          <t>GÄVLEBORGS LÄN</t>
        </is>
      </c>
      <c r="G405" t="inlineStr">
        <is>
          <t>GÄVLE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46305</v>
      </c>
      <c r="F406" t="inlineStr">
        <is>
          <t>GÄVLEBORGS LÄN</t>
        </is>
      </c>
      <c r="G406" t="inlineStr">
        <is>
          <t>GÄVLE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45090</v>
      </c>
      <c r="E407" s="1" t="n">
        <v>46305</v>
      </c>
      <c r="F407" t="inlineStr">
        <is>
          <t>GÄVLEBORGS LÄN</t>
        </is>
      </c>
      <c r="G407" t="inlineStr">
        <is>
          <t>GÄVLE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46305</v>
      </c>
      <c r="F408" t="inlineStr">
        <is>
          <t>GÄVLEBORGS LÄN</t>
        </is>
      </c>
      <c r="G408" t="inlineStr">
        <is>
          <t>GÄVLE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46305</v>
      </c>
      <c r="F409" t="inlineStr">
        <is>
          <t>GÄVLEBORGS LÄN</t>
        </is>
      </c>
      <c r="G409" t="inlineStr">
        <is>
          <t>GÄVLE</t>
        </is>
      </c>
      <c r="I409" t="n">
        <v>13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44684</v>
      </c>
      <c r="E410" s="1" t="n">
        <v>46305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46305</v>
      </c>
      <c r="F411" t="inlineStr">
        <is>
          <t>GÄVLEBORGS LÄN</t>
        </is>
      </c>
      <c r="G411" t="inlineStr">
        <is>
          <t>GÄVLE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46305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45741</v>
      </c>
      <c r="E413" s="1" t="n">
        <v>46305</v>
      </c>
      <c r="F413" t="inlineStr">
        <is>
          <t>GÄVLEBORGS LÄN</t>
        </is>
      </c>
      <c r="G413" t="inlineStr">
        <is>
          <t>GÄVLE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45666</v>
      </c>
      <c r="E414" s="1" t="n">
        <v>46305</v>
      </c>
      <c r="F414" t="inlineStr">
        <is>
          <t>GÄVLEBORGS LÄN</t>
        </is>
      </c>
      <c r="G414" t="inlineStr">
        <is>
          <t>GÄVLE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46305</v>
      </c>
      <c r="F415" t="inlineStr">
        <is>
          <t>GÄVLEBORGS LÄN</t>
        </is>
      </c>
      <c r="G415" t="inlineStr">
        <is>
          <t>GÄVLE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46305</v>
      </c>
      <c r="F416" t="inlineStr">
        <is>
          <t>GÄVLEBORGS LÄN</t>
        </is>
      </c>
      <c r="G416" t="inlineStr">
        <is>
          <t>GÄVLE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46305</v>
      </c>
      <c r="F417" t="inlineStr">
        <is>
          <t>GÄVLEBORGS LÄN</t>
        </is>
      </c>
      <c r="G417" t="inlineStr">
        <is>
          <t>GÄVLE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30202-2025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45827</v>
      </c>
      <c r="E418" s="1" t="n">
        <v>46305</v>
      </c>
      <c r="F418" t="inlineStr">
        <is>
          <t>GÄVLEBORGS LÄN</t>
        </is>
      </c>
      <c r="G418" t="inlineStr">
        <is>
          <t>GÄVLE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51893-2025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45952</v>
      </c>
      <c r="E419" s="1" t="n">
        <v>46305</v>
      </c>
      <c r="F419" t="inlineStr">
        <is>
          <t>GÄVLEBORGS LÄN</t>
        </is>
      </c>
      <c r="G419" t="inlineStr">
        <is>
          <t>GÄVLE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46305</v>
      </c>
      <c r="F420" t="inlineStr">
        <is>
          <t>GÄVLEBORGS LÄN</t>
        </is>
      </c>
      <c r="G420" t="inlineStr">
        <is>
          <t>GÄVLE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46305</v>
      </c>
      <c r="F421" t="inlineStr">
        <is>
          <t>GÄVLEBORGS LÄN</t>
        </is>
      </c>
      <c r="G421" t="inlineStr">
        <is>
          <t>GÄVLE</t>
        </is>
      </c>
      <c r="H421" t="inlineStr">
        <is>
          <t>Kyrkan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46305</v>
      </c>
      <c r="F422" t="inlineStr">
        <is>
          <t>GÄVLEBORGS LÄN</t>
        </is>
      </c>
      <c r="G422" t="inlineStr">
        <is>
          <t>GÄVLE</t>
        </is>
      </c>
      <c r="H422" t="inlineStr">
        <is>
          <t>Kyrkan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46305</v>
      </c>
      <c r="F423" t="inlineStr">
        <is>
          <t>GÄVLEBORGS LÄN</t>
        </is>
      </c>
      <c r="G423" t="inlineStr">
        <is>
          <t>GÄVLE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46305</v>
      </c>
      <c r="F424" t="inlineStr">
        <is>
          <t>GÄVLEBORGS LÄN</t>
        </is>
      </c>
      <c r="G424" t="inlineStr">
        <is>
          <t>GÄVLE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52897-2025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45957</v>
      </c>
      <c r="E425" s="1" t="n">
        <v>46305</v>
      </c>
      <c r="F425" t="inlineStr">
        <is>
          <t>GÄVLEBORGS LÄN</t>
        </is>
      </c>
      <c r="G425" t="inlineStr">
        <is>
          <t>GÄVLE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52970-2025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45957</v>
      </c>
      <c r="E426" s="1" t="n">
        <v>46305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46305</v>
      </c>
      <c r="F427" t="inlineStr">
        <is>
          <t>GÄVLEBORGS LÄN</t>
        </is>
      </c>
      <c r="G427" t="inlineStr">
        <is>
          <t>GÄVLE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44936</v>
      </c>
      <c r="E428" s="1" t="n">
        <v>46305</v>
      </c>
      <c r="F428" t="inlineStr">
        <is>
          <t>GÄVLEBORGS LÄN</t>
        </is>
      </c>
      <c r="G428" t="inlineStr">
        <is>
          <t>GÄVLE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33880-2022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44790</v>
      </c>
      <c r="E429" s="1" t="n">
        <v>46305</v>
      </c>
      <c r="F429" t="inlineStr">
        <is>
          <t>GÄVLEBORGS LÄN</t>
        </is>
      </c>
      <c r="G429" t="inlineStr">
        <is>
          <t>GÄVLE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66351-2021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44518</v>
      </c>
      <c r="E430" s="1" t="n">
        <v>46305</v>
      </c>
      <c r="F430" t="inlineStr">
        <is>
          <t>GÄVLEBORGS LÄN</t>
        </is>
      </c>
      <c r="G430" t="inlineStr">
        <is>
          <t>GÄVLE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46305</v>
      </c>
      <c r="F431" t="inlineStr">
        <is>
          <t>GÄVLEBORGS LÄN</t>
        </is>
      </c>
      <c r="G431" t="inlineStr">
        <is>
          <t>GÄVLE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46305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46305</v>
      </c>
      <c r="F433" t="inlineStr">
        <is>
          <t>GÄVLEBORGS LÄN</t>
        </is>
      </c>
      <c r="G433" t="inlineStr">
        <is>
          <t>GÄVLE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46305</v>
      </c>
      <c r="F434" t="inlineStr">
        <is>
          <t>GÄVLEBORGS LÄN</t>
        </is>
      </c>
      <c r="G434" t="inlineStr">
        <is>
          <t>GÄVLE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46305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26249-2022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44735</v>
      </c>
      <c r="E436" s="1" t="n">
        <v>46305</v>
      </c>
      <c r="F436" t="inlineStr">
        <is>
          <t>GÄVLEBORGS LÄN</t>
        </is>
      </c>
      <c r="G436" t="inlineStr">
        <is>
          <t>GÄVLE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44701</v>
      </c>
      <c r="E437" s="1" t="n">
        <v>46305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44922</v>
      </c>
      <c r="E438" s="1" t="n">
        <v>46305</v>
      </c>
      <c r="F438" t="inlineStr">
        <is>
          <t>GÄVLEBORGS LÄN</t>
        </is>
      </c>
      <c r="G438" t="inlineStr">
        <is>
          <t>GÄVLE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46305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25532-2023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46305</v>
      </c>
      <c r="F440" t="inlineStr">
        <is>
          <t>GÄVLEBORGS LÄN</t>
        </is>
      </c>
      <c r="G440" t="inlineStr">
        <is>
          <t>GÄVLE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46305</v>
      </c>
      <c r="F441" t="inlineStr">
        <is>
          <t>GÄVLEBORGS LÄN</t>
        </is>
      </c>
      <c r="G441" t="inlineStr">
        <is>
          <t>GÄVLE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45014</v>
      </c>
      <c r="E442" s="1" t="n">
        <v>46305</v>
      </c>
      <c r="F442" t="inlineStr">
        <is>
          <t>GÄVLEBORGS LÄN</t>
        </is>
      </c>
      <c r="G442" t="inlineStr">
        <is>
          <t>GÄVLE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46305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46305</v>
      </c>
      <c r="F444" t="inlineStr">
        <is>
          <t>GÄVLEBORGS LÄN</t>
        </is>
      </c>
      <c r="G444" t="inlineStr">
        <is>
          <t>GÄVLE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31062-2023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45113</v>
      </c>
      <c r="E445" s="1" t="n">
        <v>46305</v>
      </c>
      <c r="F445" t="inlineStr">
        <is>
          <t>GÄVLEBORGS LÄN</t>
        </is>
      </c>
      <c r="G445" t="inlineStr">
        <is>
          <t>GÄVLE</t>
        </is>
      </c>
      <c r="H445" t="inlineStr">
        <is>
          <t>Kommuner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44741</v>
      </c>
      <c r="E446" s="1" t="n">
        <v>46305</v>
      </c>
      <c r="F446" t="inlineStr">
        <is>
          <t>GÄVLEBORGS LÄN</t>
        </is>
      </c>
      <c r="G446" t="inlineStr">
        <is>
          <t>GÄVLE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44800</v>
      </c>
      <c r="E447" s="1" t="n">
        <v>46305</v>
      </c>
      <c r="F447" t="inlineStr">
        <is>
          <t>GÄVLEBORGS LÄN</t>
        </is>
      </c>
      <c r="G447" t="inlineStr">
        <is>
          <t>GÄVLE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45845</v>
      </c>
      <c r="E448" s="1" t="n">
        <v>46305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46305</v>
      </c>
      <c r="F449" t="inlineStr">
        <is>
          <t>GÄVLEBORGS LÄN</t>
        </is>
      </c>
      <c r="G449" t="inlineStr">
        <is>
          <t>GÄVLE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45784</v>
      </c>
      <c r="E450" s="1" t="n">
        <v>46305</v>
      </c>
      <c r="F450" t="inlineStr">
        <is>
          <t>GÄVLEBORGS LÄN</t>
        </is>
      </c>
      <c r="G450" t="inlineStr">
        <is>
          <t>GÄVLE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45845</v>
      </c>
      <c r="E451" s="1" t="n">
        <v>46305</v>
      </c>
      <c r="F451" t="inlineStr">
        <is>
          <t>GÄVLEBORGS LÄN</t>
        </is>
      </c>
      <c r="G451" t="inlineStr">
        <is>
          <t>GÄVLE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46305</v>
      </c>
      <c r="F452" t="inlineStr">
        <is>
          <t>GÄVLEBORGS LÄN</t>
        </is>
      </c>
      <c r="G452" t="inlineStr">
        <is>
          <t>GÄVLE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43556-2023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45184</v>
      </c>
      <c r="E453" s="1" t="n">
        <v>46305</v>
      </c>
      <c r="F453" t="inlineStr">
        <is>
          <t>GÄVLEBORGS LÄN</t>
        </is>
      </c>
      <c r="G453" t="inlineStr">
        <is>
          <t>GÄVLE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19730-2022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44694</v>
      </c>
      <c r="E454" s="1" t="n">
        <v>46305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46305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46305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46305</v>
      </c>
      <c r="F457" t="inlineStr">
        <is>
          <t>GÄVLEBORGS LÄN</t>
        </is>
      </c>
      <c r="G457" t="inlineStr">
        <is>
          <t>GÄVLE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56268-2025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46305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46305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46305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44904</v>
      </c>
      <c r="E461" s="1" t="n">
        <v>46305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45848</v>
      </c>
      <c r="E462" s="1" t="n">
        <v>46305</v>
      </c>
      <c r="F462" t="inlineStr">
        <is>
          <t>GÄVLEBORGS LÄN</t>
        </is>
      </c>
      <c r="G462" t="inlineStr">
        <is>
          <t>GÄVLE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46305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45540</v>
      </c>
      <c r="E464" s="1" t="n">
        <v>46305</v>
      </c>
      <c r="F464" t="inlineStr">
        <is>
          <t>GÄVLEBORGS LÄN</t>
        </is>
      </c>
      <c r="G464" t="inlineStr">
        <is>
          <t>GÄVLE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46305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58370-2024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46305</v>
      </c>
      <c r="F466" t="inlineStr">
        <is>
          <t>GÄVLEBORGS LÄN</t>
        </is>
      </c>
      <c r="G466" t="inlineStr">
        <is>
          <t>GÄVLE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56267-2025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46305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46305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46305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46305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45973</v>
      </c>
      <c r="E471" s="1" t="n">
        <v>46305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45660</v>
      </c>
      <c r="E472" s="1" t="n">
        <v>46305</v>
      </c>
      <c r="F472" t="inlineStr">
        <is>
          <t>GÄVLEBORGS LÄN</t>
        </is>
      </c>
      <c r="G472" t="inlineStr">
        <is>
          <t>GÄVLE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46305</v>
      </c>
      <c r="F473" t="inlineStr">
        <is>
          <t>GÄVLEBORGS LÄN</t>
        </is>
      </c>
      <c r="G473" t="inlineStr">
        <is>
          <t>GÄVLE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44756</v>
      </c>
      <c r="E474" s="1" t="n">
        <v>46305</v>
      </c>
      <c r="F474" t="inlineStr">
        <is>
          <t>GÄVLEBORGS LÄN</t>
        </is>
      </c>
      <c r="G474" t="inlineStr">
        <is>
          <t>GÄVLE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44756</v>
      </c>
      <c r="E475" s="1" t="n">
        <v>46305</v>
      </c>
      <c r="F475" t="inlineStr">
        <is>
          <t>GÄVLEBORGS LÄN</t>
        </is>
      </c>
      <c r="G475" t="inlineStr">
        <is>
          <t>GÄVLE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45265</v>
      </c>
      <c r="E476" s="1" t="n">
        <v>46305</v>
      </c>
      <c r="F476" t="inlineStr">
        <is>
          <t>GÄVLEBORGS LÄN</t>
        </is>
      </c>
      <c r="G476" t="inlineStr">
        <is>
          <t>GÄVLE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46305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46305</v>
      </c>
      <c r="F478" t="inlineStr">
        <is>
          <t>GÄVLEBORGS LÄN</t>
        </is>
      </c>
      <c r="G478" t="inlineStr">
        <is>
          <t>GÄVLE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45862</v>
      </c>
      <c r="E479" s="1" t="n">
        <v>46305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46305</v>
      </c>
      <c r="F480" t="inlineStr">
        <is>
          <t>GÄVLEBORGS LÄN</t>
        </is>
      </c>
      <c r="G480" t="inlineStr">
        <is>
          <t>GÄVLE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30875-2022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44767</v>
      </c>
      <c r="E481" s="1" t="n">
        <v>46305</v>
      </c>
      <c r="F481" t="inlineStr">
        <is>
          <t>GÄVLEBORGS LÄN</t>
        </is>
      </c>
      <c r="G481" t="inlineStr">
        <is>
          <t>GÄVLE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35919-2025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45862</v>
      </c>
      <c r="E482" s="1" t="n">
        <v>46305</v>
      </c>
      <c r="F482" t="inlineStr">
        <is>
          <t>GÄVLEBORGS LÄN</t>
        </is>
      </c>
      <c r="G482" t="inlineStr">
        <is>
          <t>GÄVLE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45715</v>
      </c>
      <c r="E483" s="1" t="n">
        <v>46305</v>
      </c>
      <c r="F483" t="inlineStr">
        <is>
          <t>GÄVLEBORGS LÄN</t>
        </is>
      </c>
      <c r="G483" t="inlineStr">
        <is>
          <t>GÄVLE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61879-2024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45652</v>
      </c>
      <c r="E484" s="1" t="n">
        <v>46305</v>
      </c>
      <c r="F484" t="inlineStr">
        <is>
          <t>GÄVLEBORGS LÄN</t>
        </is>
      </c>
      <c r="G484" t="inlineStr">
        <is>
          <t>GÄVLE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46305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46305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36106-2025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45866</v>
      </c>
      <c r="E487" s="1" t="n">
        <v>46305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46305</v>
      </c>
      <c r="F488" t="inlineStr">
        <is>
          <t>GÄVLEBORGS LÄN</t>
        </is>
      </c>
      <c r="G488" t="inlineStr">
        <is>
          <t>GÄVLE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60885-2023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45261</v>
      </c>
      <c r="E489" s="1" t="n">
        <v>46305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56773-2025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46305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36516-2025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45869</v>
      </c>
      <c r="E491" s="1" t="n">
        <v>46305</v>
      </c>
      <c r="F491" t="inlineStr">
        <is>
          <t>GÄVLEBORGS LÄN</t>
        </is>
      </c>
      <c r="G491" t="inlineStr">
        <is>
          <t>GÄVLE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45530</v>
      </c>
      <c r="E492" s="1" t="n">
        <v>46305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45869</v>
      </c>
      <c r="E493" s="1" t="n">
        <v>46305</v>
      </c>
      <c r="F493" t="inlineStr">
        <is>
          <t>GÄVLEBORGS LÄN</t>
        </is>
      </c>
      <c r="G493" t="inlineStr">
        <is>
          <t>GÄVLE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45312</v>
      </c>
      <c r="E494" s="1" t="n">
        <v>46305</v>
      </c>
      <c r="F494" t="inlineStr">
        <is>
          <t>GÄVLEBORGS LÄN</t>
        </is>
      </c>
      <c r="G494" t="inlineStr">
        <is>
          <t>GÄVLE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45089</v>
      </c>
      <c r="E495" s="1" t="n">
        <v>46305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45685</v>
      </c>
      <c r="E496" s="1" t="n">
        <v>46305</v>
      </c>
      <c r="F496" t="inlineStr">
        <is>
          <t>GÄVLEBORGS LÄN</t>
        </is>
      </c>
      <c r="G496" t="inlineStr">
        <is>
          <t>GÄVLE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45873</v>
      </c>
      <c r="E497" s="1" t="n">
        <v>46305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46305</v>
      </c>
      <c r="F498" t="inlineStr">
        <is>
          <t>GÄVLEBORGS LÄN</t>
        </is>
      </c>
      <c r="G498" t="inlineStr">
        <is>
          <t>GÄVLE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46305</v>
      </c>
      <c r="F499" t="inlineStr">
        <is>
          <t>GÄVLEBORGS LÄN</t>
        </is>
      </c>
      <c r="G499" t="inlineStr">
        <is>
          <t>GÄVLE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46305</v>
      </c>
      <c r="F500" t="inlineStr">
        <is>
          <t>GÄVLEBORGS LÄN</t>
        </is>
      </c>
      <c r="G500" t="inlineStr">
        <is>
          <t>GÄVLE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46305</v>
      </c>
      <c r="F501" t="inlineStr">
        <is>
          <t>GÄVLEBORGS LÄN</t>
        </is>
      </c>
      <c r="G501" t="inlineStr">
        <is>
          <t>GÄVLE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45681</v>
      </c>
      <c r="E502" s="1" t="n">
        <v>46305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8031-2024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45350</v>
      </c>
      <c r="E503" s="1" t="n">
        <v>46305</v>
      </c>
      <c r="F503" t="inlineStr">
        <is>
          <t>GÄVLEBORGS LÄN</t>
        </is>
      </c>
      <c r="G503" t="inlineStr">
        <is>
          <t>GÄVLE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44973</v>
      </c>
      <c r="E504" s="1" t="n">
        <v>46305</v>
      </c>
      <c r="F504" t="inlineStr">
        <is>
          <t>GÄVLEBORGS LÄN</t>
        </is>
      </c>
      <c r="G504" t="inlineStr">
        <is>
          <t>GÄVLE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44589</v>
      </c>
      <c r="E505" s="1" t="n">
        <v>46305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46305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38240-2024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46305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64868-2023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46305</v>
      </c>
      <c r="F508" t="inlineStr">
        <is>
          <t>GÄVLEBORGS LÄN</t>
        </is>
      </c>
      <c r="G508" t="inlineStr">
        <is>
          <t>GÄVLE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64873-2023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45282</v>
      </c>
      <c r="E509" s="1" t="n">
        <v>46305</v>
      </c>
      <c r="F509" t="inlineStr">
        <is>
          <t>GÄVLEBORGS LÄN</t>
        </is>
      </c>
      <c r="G509" t="inlineStr">
        <is>
          <t>GÄVLE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56487-2023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45243</v>
      </c>
      <c r="E510" s="1" t="n">
        <v>46305</v>
      </c>
      <c r="F510" t="inlineStr">
        <is>
          <t>GÄVLEBORGS LÄN</t>
        </is>
      </c>
      <c r="G510" t="inlineStr">
        <is>
          <t>GÄVLE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46305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46305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46305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71249-2021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44539</v>
      </c>
      <c r="E514" s="1" t="n">
        <v>46305</v>
      </c>
      <c r="F514" t="inlineStr">
        <is>
          <t>GÄVLEBORGS LÄN</t>
        </is>
      </c>
      <c r="G514" t="inlineStr">
        <is>
          <t>GÄVLE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46305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46305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45392</v>
      </c>
      <c r="E517" s="1" t="n">
        <v>46305</v>
      </c>
      <c r="F517" t="inlineStr">
        <is>
          <t>GÄVLEBORGS LÄN</t>
        </is>
      </c>
      <c r="G517" t="inlineStr">
        <is>
          <t>GÄVLE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46305</v>
      </c>
      <c r="F518" t="inlineStr">
        <is>
          <t>GÄVLEBORGS LÄN</t>
        </is>
      </c>
      <c r="G518" t="inlineStr">
        <is>
          <t>GÄVLE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34668-2024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45526</v>
      </c>
      <c r="E519" s="1" t="n">
        <v>46305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46305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46100</v>
      </c>
      <c r="E521" s="1" t="n">
        <v>46305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46305</v>
      </c>
      <c r="F522" t="inlineStr">
        <is>
          <t>GÄVLEBORGS LÄN</t>
        </is>
      </c>
      <c r="G522" t="inlineStr">
        <is>
          <t>GÄVLE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46305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44806-2024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45574</v>
      </c>
      <c r="E524" s="1" t="n">
        <v>46305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46305</v>
      </c>
      <c r="F525" t="inlineStr">
        <is>
          <t>GÄVLEBORGS LÄN</t>
        </is>
      </c>
      <c r="G525" t="inlineStr">
        <is>
          <t>GÄVLE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16023-2023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45026</v>
      </c>
      <c r="E526" s="1" t="n">
        <v>46305</v>
      </c>
      <c r="F526" t="inlineStr">
        <is>
          <t>GÄVLEBORGS LÄN</t>
        </is>
      </c>
      <c r="G526" t="inlineStr">
        <is>
          <t>GÄVLE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15097-2026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46305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44853</v>
      </c>
      <c r="E528" s="1" t="n">
        <v>46305</v>
      </c>
      <c r="F528" t="inlineStr">
        <is>
          <t>GÄVLEBORGS LÄN</t>
        </is>
      </c>
      <c r="G528" t="inlineStr">
        <is>
          <t>GÄVLE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46305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45245</v>
      </c>
      <c r="E530" s="1" t="n">
        <v>46305</v>
      </c>
      <c r="F530" t="inlineStr">
        <is>
          <t>GÄVLEBORGS LÄN</t>
        </is>
      </c>
      <c r="G530" t="inlineStr">
        <is>
          <t>GÄVLE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46305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45922</v>
      </c>
      <c r="E532" s="1" t="n">
        <v>46305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45912</v>
      </c>
      <c r="E533" s="1" t="n">
        <v>46305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46305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45469-2025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46305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45922</v>
      </c>
      <c r="E536" s="1" t="n">
        <v>46305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15535-2026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46305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46305</v>
      </c>
      <c r="F538" t="inlineStr">
        <is>
          <t>GÄVLEBORGS LÄN</t>
        </is>
      </c>
      <c r="G538" t="inlineStr">
        <is>
          <t>GÄVLE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45520</v>
      </c>
      <c r="E539" s="1" t="n">
        <v>46305</v>
      </c>
      <c r="F539" t="inlineStr">
        <is>
          <t>GÄVLEBORGS LÄN</t>
        </is>
      </c>
      <c r="G539" t="inlineStr">
        <is>
          <t>GÄVLE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33637-2024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46305</v>
      </c>
      <c r="F540" t="inlineStr">
        <is>
          <t>GÄVLEBORGS LÄN</t>
        </is>
      </c>
      <c r="G540" t="inlineStr">
        <is>
          <t>GÄVLE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45014</v>
      </c>
      <c r="E541" s="1" t="n">
        <v>46305</v>
      </c>
      <c r="F541" t="inlineStr">
        <is>
          <t>GÄVLEBORGS LÄN</t>
        </is>
      </c>
      <c r="G541" t="inlineStr">
        <is>
          <t>GÄVLE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46305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45922</v>
      </c>
      <c r="E543" s="1" t="n">
        <v>46305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45922</v>
      </c>
      <c r="E544" s="1" t="n">
        <v>46305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46305</v>
      </c>
      <c r="F545" t="inlineStr">
        <is>
          <t>GÄVLEBORGS LÄN</t>
        </is>
      </c>
      <c r="G545" t="inlineStr">
        <is>
          <t>GÄVLE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43771-2025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45912</v>
      </c>
      <c r="E546" s="1" t="n">
        <v>46305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43780-2025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45912</v>
      </c>
      <c r="E547" s="1" t="n">
        <v>46305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45415-2025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45922</v>
      </c>
      <c r="E548" s="1" t="n">
        <v>46305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45922</v>
      </c>
      <c r="E549" s="1" t="n">
        <v>46305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46305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46305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45922</v>
      </c>
      <c r="E552" s="1" t="n">
        <v>46305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43764-2025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45912</v>
      </c>
      <c r="E553" s="1" t="n">
        <v>46305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45410-2025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45922</v>
      </c>
      <c r="E554" s="1" t="n">
        <v>46305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45922</v>
      </c>
      <c r="E555" s="1" t="n">
        <v>46305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46305</v>
      </c>
      <c r="F556" t="inlineStr">
        <is>
          <t>GÄVLEBORGS LÄN</t>
        </is>
      </c>
      <c r="G556" t="inlineStr">
        <is>
          <t>GÄVLE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53138-2024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45611</v>
      </c>
      <c r="E557" s="1" t="n">
        <v>46305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46305</v>
      </c>
      <c r="F558" t="inlineStr">
        <is>
          <t>GÄVLEBORGS LÄN</t>
        </is>
      </c>
      <c r="G558" t="inlineStr">
        <is>
          <t>GÄVLE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46305</v>
      </c>
      <c r="F559" t="inlineStr">
        <is>
          <t>GÄVLEBORGS LÄN</t>
        </is>
      </c>
      <c r="G559" t="inlineStr">
        <is>
          <t>GÄVLE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47746-2023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45203</v>
      </c>
      <c r="E560" s="1" t="n">
        <v>46305</v>
      </c>
      <c r="F560" t="inlineStr">
        <is>
          <t>GÄVLEBORGS LÄN</t>
        </is>
      </c>
      <c r="G560" t="inlineStr">
        <is>
          <t>GÄVLE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46305</v>
      </c>
      <c r="F561" t="inlineStr">
        <is>
          <t>GÄVLEBORGS LÄN</t>
        </is>
      </c>
      <c r="G561" t="inlineStr">
        <is>
          <t>GÄVLE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66493-2021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44519</v>
      </c>
      <c r="E562" s="1" t="n">
        <v>46305</v>
      </c>
      <c r="F562" t="inlineStr">
        <is>
          <t>GÄVLEBORGS LÄN</t>
        </is>
      </c>
      <c r="G562" t="inlineStr">
        <is>
          <t>GÄVLE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46305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46305</v>
      </c>
      <c r="F564" t="inlineStr">
        <is>
          <t>GÄVLEBORGS LÄN</t>
        </is>
      </c>
      <c r="G564" t="inlineStr">
        <is>
          <t>GÄVLE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46305</v>
      </c>
      <c r="F565" t="inlineStr">
        <is>
          <t>GÄVLEBORGS LÄN</t>
        </is>
      </c>
      <c r="G565" t="inlineStr">
        <is>
          <t>GÄVLE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46305</v>
      </c>
      <c r="F566" t="inlineStr">
        <is>
          <t>GÄVLEBORGS LÄN</t>
        </is>
      </c>
      <c r="G566" t="inlineStr">
        <is>
          <t>GÄVLE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46124</v>
      </c>
      <c r="E567" s="1" t="n">
        <v>46305</v>
      </c>
      <c r="F567" t="inlineStr">
        <is>
          <t>GÄVLEBORGS LÄN</t>
        </is>
      </c>
      <c r="G567" t="inlineStr">
        <is>
          <t>GÄVLE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46124</v>
      </c>
      <c r="E568" s="1" t="n">
        <v>46305</v>
      </c>
      <c r="F568" t="inlineStr">
        <is>
          <t>GÄVLEBORGS LÄN</t>
        </is>
      </c>
      <c r="G568" t="inlineStr">
        <is>
          <t>GÄVLE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45994</v>
      </c>
      <c r="E569" s="1" t="n">
        <v>46305</v>
      </c>
      <c r="F569" t="inlineStr">
        <is>
          <t>GÄVLEBORGS LÄN</t>
        </is>
      </c>
      <c r="G569" t="inlineStr">
        <is>
          <t>GÄVLE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46305</v>
      </c>
      <c r="F570" t="inlineStr">
        <is>
          <t>GÄVLEBORGS LÄN</t>
        </is>
      </c>
      <c r="G570" t="inlineStr">
        <is>
          <t>GÄVLE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17830-2026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46122</v>
      </c>
      <c r="E571" s="1" t="n">
        <v>46305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46031</v>
      </c>
      <c r="E572" s="1" t="n">
        <v>46305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46124</v>
      </c>
      <c r="E573" s="1" t="n">
        <v>46305</v>
      </c>
      <c r="F573" t="inlineStr">
        <is>
          <t>GÄVLEBORGS LÄN</t>
        </is>
      </c>
      <c r="G573" t="inlineStr">
        <is>
          <t>GÄVLE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46305</v>
      </c>
      <c r="F574" t="inlineStr">
        <is>
          <t>GÄVLEBORGS LÄN</t>
        </is>
      </c>
      <c r="G574" t="inlineStr">
        <is>
          <t>GÄVLE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60532-2025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46305</v>
      </c>
      <c r="F575" t="inlineStr">
        <is>
          <t>GÄVLEBORGS LÄN</t>
        </is>
      </c>
      <c r="G575" t="inlineStr">
        <is>
          <t>GÄVLE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46125</v>
      </c>
      <c r="E576" s="1" t="n">
        <v>46305</v>
      </c>
      <c r="F576" t="inlineStr">
        <is>
          <t>GÄVLEBORGS LÄN</t>
        </is>
      </c>
      <c r="G576" t="inlineStr">
        <is>
          <t>GÄVLE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45968</v>
      </c>
      <c r="E577" s="1" t="n">
        <v>46305</v>
      </c>
      <c r="F577" t="inlineStr">
        <is>
          <t>GÄVLEBORGS LÄN</t>
        </is>
      </c>
      <c r="G577" t="inlineStr">
        <is>
          <t>GÄVLE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46305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46305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45995</v>
      </c>
      <c r="E580" s="1" t="n">
        <v>46305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46305</v>
      </c>
      <c r="F581" t="inlineStr">
        <is>
          <t>GÄVLEBORGS LÄN</t>
        </is>
      </c>
      <c r="G581" t="inlineStr">
        <is>
          <t>GÄVLE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46002</v>
      </c>
      <c r="E582" s="1" t="n">
        <v>46305</v>
      </c>
      <c r="F582" t="inlineStr">
        <is>
          <t>GÄVLEBORGS LÄN</t>
        </is>
      </c>
      <c r="G582" t="inlineStr">
        <is>
          <t>GÄVLE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61651-2025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46002</v>
      </c>
      <c r="E583" s="1" t="n">
        <v>46305</v>
      </c>
      <c r="F583" t="inlineStr">
        <is>
          <t>GÄVLEBORGS LÄN</t>
        </is>
      </c>
      <c r="G583" t="inlineStr">
        <is>
          <t>GÄVLE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46305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46002</v>
      </c>
      <c r="E585" s="1" t="n">
        <v>46305</v>
      </c>
      <c r="F585" t="inlineStr">
        <is>
          <t>GÄVLEBORGS LÄN</t>
        </is>
      </c>
      <c r="G585" t="inlineStr">
        <is>
          <t>GÄVLE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46305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46305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46305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46305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46305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46305</v>
      </c>
      <c r="F591" t="inlineStr">
        <is>
          <t>GÄVLEBORGS LÄN</t>
        </is>
      </c>
      <c r="G591" t="inlineStr">
        <is>
          <t>GÄVLE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46305</v>
      </c>
      <c r="F592" t="inlineStr">
        <is>
          <t>GÄVLEBORGS LÄN</t>
        </is>
      </c>
      <c r="G592" t="inlineStr">
        <is>
          <t>GÄVLE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60442-2022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44911</v>
      </c>
      <c r="E593" s="1" t="n">
        <v>46305</v>
      </c>
      <c r="F593" t="inlineStr">
        <is>
          <t>GÄVLEBORGS LÄN</t>
        </is>
      </c>
      <c r="G593" t="inlineStr">
        <is>
          <t>GÄVLE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26334-2022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44735</v>
      </c>
      <c r="E594" s="1" t="n">
        <v>46305</v>
      </c>
      <c r="F594" t="inlineStr">
        <is>
          <t>GÄVLEBORGS LÄN</t>
        </is>
      </c>
      <c r="G594" t="inlineStr">
        <is>
          <t>GÄVLE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44960</v>
      </c>
      <c r="E595" s="1" t="n">
        <v>46305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19085-2026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46305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46305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46305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46305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46305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46305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46305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46305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14365-2026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46100</v>
      </c>
      <c r="E604" s="1" t="n">
        <v>46305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44693</v>
      </c>
      <c r="E605" s="1" t="n">
        <v>46305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46305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46305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46305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46305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62742-2025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46008</v>
      </c>
      <c r="E610" s="1" t="n">
        <v>46305</v>
      </c>
      <c r="F610" t="inlineStr">
        <is>
          <t>GÄVLEBORGS LÄN</t>
        </is>
      </c>
      <c r="G610" t="inlineStr">
        <is>
          <t>GÄVLE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46305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46305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46305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46305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19716-2026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46305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46305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45158</v>
      </c>
      <c r="E617" s="1" t="n">
        <v>46305</v>
      </c>
      <c r="F617" t="inlineStr">
        <is>
          <t>GÄVLEBORGS LÄN</t>
        </is>
      </c>
      <c r="G617" t="inlineStr">
        <is>
          <t>GÄVLE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45158</v>
      </c>
      <c r="E618" s="1" t="n">
        <v>46305</v>
      </c>
      <c r="F618" t="inlineStr">
        <is>
          <t>GÄVLEBORGS LÄN</t>
        </is>
      </c>
      <c r="G618" t="inlineStr">
        <is>
          <t>GÄVLE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14750-2022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44656</v>
      </c>
      <c r="E619" s="1" t="n">
        <v>46305</v>
      </c>
      <c r="F619" t="inlineStr">
        <is>
          <t>GÄVLEBORGS LÄN</t>
        </is>
      </c>
      <c r="G619" t="inlineStr">
        <is>
          <t>GÄVLE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45397</v>
      </c>
      <c r="E620" s="1" t="n">
        <v>46305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46305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19712-2022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44694</v>
      </c>
      <c r="E622" s="1" t="n">
        <v>46305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45869</v>
      </c>
      <c r="E623" s="1" t="n">
        <v>46305</v>
      </c>
      <c r="F623" t="inlineStr">
        <is>
          <t>GÄVLEBORGS LÄN</t>
        </is>
      </c>
      <c r="G623" t="inlineStr">
        <is>
          <t>GÄVLE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35916-2025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45862</v>
      </c>
      <c r="E624" s="1" t="n">
        <v>46305</v>
      </c>
      <c r="F624" t="inlineStr">
        <is>
          <t>GÄVLEBORGS LÄN</t>
        </is>
      </c>
      <c r="G624" t="inlineStr">
        <is>
          <t>GÄVLE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6331-2022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44600</v>
      </c>
      <c r="E625" s="1" t="n">
        <v>46305</v>
      </c>
      <c r="F625" t="inlineStr">
        <is>
          <t>GÄVLEBORGS LÄN</t>
        </is>
      </c>
      <c r="G625" t="inlineStr">
        <is>
          <t>GÄVLE</t>
        </is>
      </c>
      <c r="H625" t="inlineStr">
        <is>
          <t>Kyrkan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63801-2025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46019</v>
      </c>
      <c r="E626" s="1" t="n">
        <v>46305</v>
      </c>
      <c r="F626" t="inlineStr">
        <is>
          <t>GÄVLEBORGS LÄN</t>
        </is>
      </c>
      <c r="G626" t="inlineStr">
        <is>
          <t>GÄVLE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45967</v>
      </c>
      <c r="E627" s="1" t="n">
        <v>46305</v>
      </c>
      <c r="F627" t="inlineStr">
        <is>
          <t>GÄVLEBORGS LÄN</t>
        </is>
      </c>
      <c r="G627" t="inlineStr">
        <is>
          <t>GÄVLE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47694-2025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45931</v>
      </c>
      <c r="E628" s="1" t="n">
        <v>46305</v>
      </c>
      <c r="F628" t="inlineStr">
        <is>
          <t>GÄVLEBORGS LÄN</t>
        </is>
      </c>
      <c r="G628" t="inlineStr">
        <is>
          <t>GÄVLE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48864-2025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45937</v>
      </c>
      <c r="E629" s="1" t="n">
        <v>46305</v>
      </c>
      <c r="F629" t="inlineStr">
        <is>
          <t>GÄVLEBORGS LÄN</t>
        </is>
      </c>
      <c r="G629" t="inlineStr">
        <is>
          <t>GÄVLE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45855</v>
      </c>
      <c r="E630" s="1" t="n">
        <v>46305</v>
      </c>
      <c r="F630" t="inlineStr">
        <is>
          <t>GÄVLEBORGS LÄN</t>
        </is>
      </c>
      <c r="G630" t="inlineStr">
        <is>
          <t>GÄVLE</t>
        </is>
      </c>
      <c r="I630" t="n">
        <v>8.199999999999999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14173-2022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44651</v>
      </c>
      <c r="E631" s="1" t="n">
        <v>46305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46019</v>
      </c>
      <c r="E632" s="1" t="n">
        <v>46305</v>
      </c>
      <c r="F632" t="inlineStr">
        <is>
          <t>GÄVLEBORGS LÄN</t>
        </is>
      </c>
      <c r="G632" t="inlineStr">
        <is>
          <t>GÄVLE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45908</v>
      </c>
      <c r="E633" s="1" t="n">
        <v>46305</v>
      </c>
      <c r="F633" t="inlineStr">
        <is>
          <t>GÄVLEBORGS LÄN</t>
        </is>
      </c>
      <c r="G633" t="inlineStr">
        <is>
          <t>GÄVLE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47942-2025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45932</v>
      </c>
      <c r="E634" s="1" t="n">
        <v>46305</v>
      </c>
      <c r="F634" t="inlineStr">
        <is>
          <t>GÄVLEBORGS LÄN</t>
        </is>
      </c>
      <c r="G634" t="inlineStr">
        <is>
          <t>GÄVLE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47981-2025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45932</v>
      </c>
      <c r="E635" s="1" t="n">
        <v>46305</v>
      </c>
      <c r="F635" t="inlineStr">
        <is>
          <t>GÄVLEBORGS LÄN</t>
        </is>
      </c>
      <c r="G635" t="inlineStr">
        <is>
          <t>GÄVLE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45937</v>
      </c>
      <c r="E636" s="1" t="n">
        <v>46305</v>
      </c>
      <c r="F636" t="inlineStr">
        <is>
          <t>GÄVLEBORGS LÄN</t>
        </is>
      </c>
      <c r="G636" t="inlineStr">
        <is>
          <t>GÄVLE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42692-2025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45908</v>
      </c>
      <c r="E637" s="1" t="n">
        <v>46305</v>
      </c>
      <c r="F637" t="inlineStr">
        <is>
          <t>GÄVLEBORGS LÄN</t>
        </is>
      </c>
      <c r="G637" t="inlineStr">
        <is>
          <t>GÄVLE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9307-2022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44616</v>
      </c>
      <c r="E638" s="1" t="n">
        <v>46305</v>
      </c>
      <c r="F638" t="inlineStr">
        <is>
          <t>GÄVLEBORGS LÄN</t>
        </is>
      </c>
      <c r="G638" t="inlineStr">
        <is>
          <t>GÄVLE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10487-2026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46305</v>
      </c>
      <c r="F639" t="inlineStr">
        <is>
          <t>GÄVLEBORGS LÄN</t>
        </is>
      </c>
      <c r="G639" t="inlineStr">
        <is>
          <t>GÄVLE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64142-2025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46022</v>
      </c>
      <c r="E640" s="1" t="n">
        <v>46305</v>
      </c>
      <c r="F640" t="inlineStr">
        <is>
          <t>GÄVLEBORGS LÄN</t>
        </is>
      </c>
      <c r="G640" t="inlineStr">
        <is>
          <t>GÄVLE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46106</v>
      </c>
      <c r="E641" s="1" t="n">
        <v>46305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46305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47916-2025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45932</v>
      </c>
      <c r="E643" s="1" t="n">
        <v>46305</v>
      </c>
      <c r="F643" t="inlineStr">
        <is>
          <t>GÄVLEBORGS LÄN</t>
        </is>
      </c>
      <c r="G643" t="inlineStr">
        <is>
          <t>GÄVLE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46305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5728-2023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44962</v>
      </c>
      <c r="E645" s="1" t="n">
        <v>46305</v>
      </c>
      <c r="F645" t="inlineStr">
        <is>
          <t>GÄVLEBORGS LÄN</t>
        </is>
      </c>
      <c r="G645" t="inlineStr">
        <is>
          <t>GÄVLE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15101-2025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45744</v>
      </c>
      <c r="E646" s="1" t="n">
        <v>46305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46305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46305</v>
      </c>
      <c r="F648" t="inlineStr">
        <is>
          <t>GÄVLEBORGS LÄN</t>
        </is>
      </c>
      <c r="G648" t="inlineStr">
        <is>
          <t>GÄVLE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46305</v>
      </c>
      <c r="F649" t="inlineStr">
        <is>
          <t>GÄVLEBORGS LÄN</t>
        </is>
      </c>
      <c r="G649" t="inlineStr">
        <is>
          <t>GÄVLE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46105</v>
      </c>
      <c r="E650" s="1" t="n">
        <v>46305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46305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46305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46305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46069</v>
      </c>
      <c r="E654" s="1" t="n">
        <v>46305</v>
      </c>
      <c r="F654" t="inlineStr">
        <is>
          <t>GÄVLEBORGS LÄN</t>
        </is>
      </c>
      <c r="G654" t="inlineStr">
        <is>
          <t>GÄVLE</t>
        </is>
      </c>
      <c r="I654" t="n">
        <v>12.7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46305</v>
      </c>
      <c r="F655" t="inlineStr">
        <is>
          <t>GÄVLEBORGS LÄN</t>
        </is>
      </c>
      <c r="G655" t="inlineStr">
        <is>
          <t>GÄVLE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18361-2024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45422</v>
      </c>
      <c r="E656" s="1" t="n">
        <v>46305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44927</v>
      </c>
      <c r="E657" s="1" t="n">
        <v>46305</v>
      </c>
      <c r="F657" t="inlineStr">
        <is>
          <t>GÄVLEBORGS LÄN</t>
        </is>
      </c>
      <c r="G657" t="inlineStr">
        <is>
          <t>GÄVLE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45125</v>
      </c>
      <c r="E658" s="1" t="n">
        <v>46305</v>
      </c>
      <c r="F658" t="inlineStr">
        <is>
          <t>GÄVLEBORGS LÄN</t>
        </is>
      </c>
      <c r="G658" t="inlineStr">
        <is>
          <t>GÄVLE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46305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46305</v>
      </c>
      <c r="F660" t="inlineStr">
        <is>
          <t>GÄVLEBORGS LÄN</t>
        </is>
      </c>
      <c r="G660" t="inlineStr">
        <is>
          <t>GÄVLE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64878-2023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45282</v>
      </c>
      <c r="E661" s="1" t="n">
        <v>46305</v>
      </c>
      <c r="F661" t="inlineStr">
        <is>
          <t>GÄVLEBORGS LÄN</t>
        </is>
      </c>
      <c r="G661" t="inlineStr">
        <is>
          <t>GÄVLE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45705</v>
      </c>
      <c r="E662" s="1" t="n">
        <v>46305</v>
      </c>
      <c r="F662" t="inlineStr">
        <is>
          <t>GÄVLEBORGS LÄN</t>
        </is>
      </c>
      <c r="G662" t="inlineStr">
        <is>
          <t>GÄVLE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21966-2025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46305</v>
      </c>
      <c r="F663" t="inlineStr">
        <is>
          <t>GÄVLEBORGS LÄN</t>
        </is>
      </c>
      <c r="G663" t="inlineStr">
        <is>
          <t>GÄVLE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46305</v>
      </c>
      <c r="F664" t="inlineStr">
        <is>
          <t>GÄVLEBORGS LÄN</t>
        </is>
      </c>
      <c r="G664" t="inlineStr">
        <is>
          <t>GÄVLE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10521-2026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46305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46029</v>
      </c>
      <c r="E666" s="1" t="n">
        <v>46305</v>
      </c>
      <c r="F666" t="inlineStr">
        <is>
          <t>GÄVLEBORGS LÄN</t>
        </is>
      </c>
      <c r="G666" t="inlineStr">
        <is>
          <t>GÄVLE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45945</v>
      </c>
      <c r="E667" s="1" t="n">
        <v>46305</v>
      </c>
      <c r="F667" t="inlineStr">
        <is>
          <t>GÄVLEBORGS LÄN</t>
        </is>
      </c>
      <c r="G667" t="inlineStr">
        <is>
          <t>GÄVLE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9235-2022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44616</v>
      </c>
      <c r="E668" s="1" t="n">
        <v>46305</v>
      </c>
      <c r="F668" t="inlineStr">
        <is>
          <t>GÄVLEBORGS LÄN</t>
        </is>
      </c>
      <c r="G668" t="inlineStr">
        <is>
          <t>GÄVLE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46041</v>
      </c>
      <c r="E669" s="1" t="n">
        <v>46305</v>
      </c>
      <c r="F669" t="inlineStr">
        <is>
          <t>GÄVLEBORGS LÄN</t>
        </is>
      </c>
      <c r="G669" t="inlineStr">
        <is>
          <t>GÄVLE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35445-2023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45146</v>
      </c>
      <c r="E670" s="1" t="n">
        <v>46305</v>
      </c>
      <c r="F670" t="inlineStr">
        <is>
          <t>GÄVLEBORGS LÄN</t>
        </is>
      </c>
      <c r="G670" t="inlineStr">
        <is>
          <t>GÄVLE</t>
        </is>
      </c>
      <c r="I670" t="n">
        <v>6.2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46105</v>
      </c>
      <c r="E671" s="1" t="n">
        <v>46305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42592-2025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45905</v>
      </c>
      <c r="E672" s="1" t="n">
        <v>46305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45034</v>
      </c>
      <c r="E673" s="1" t="n">
        <v>46305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4444-2026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46305</v>
      </c>
      <c r="F674" t="inlineStr">
        <is>
          <t>GÄVLEBORGS LÄN</t>
        </is>
      </c>
      <c r="G674" t="inlineStr">
        <is>
          <t>GÄVLE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45120</v>
      </c>
      <c r="E675" s="1" t="n">
        <v>46305</v>
      </c>
      <c r="F675" t="inlineStr">
        <is>
          <t>GÄVLEBORGS LÄN</t>
        </is>
      </c>
      <c r="G675" t="inlineStr">
        <is>
          <t>GÄVLE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45744</v>
      </c>
      <c r="E676" s="1" t="n">
        <v>46305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44942</v>
      </c>
      <c r="E677" s="1" t="n">
        <v>46305</v>
      </c>
      <c r="F677" t="inlineStr">
        <is>
          <t>GÄVLEBORGS LÄN</t>
        </is>
      </c>
      <c r="G677" t="inlineStr">
        <is>
          <t>GÄVLE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46305</v>
      </c>
      <c r="F678" t="inlineStr">
        <is>
          <t>GÄVLEBORGS LÄN</t>
        </is>
      </c>
      <c r="G678" t="inlineStr">
        <is>
          <t>GÄVLE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46045</v>
      </c>
      <c r="E679" s="1" t="n">
        <v>46305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46033</v>
      </c>
      <c r="E680" s="1" t="n">
        <v>46305</v>
      </c>
      <c r="F680" t="inlineStr">
        <is>
          <t>GÄVLEBORGS LÄN</t>
        </is>
      </c>
      <c r="G680" t="inlineStr">
        <is>
          <t>GÄVLE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46065</v>
      </c>
      <c r="E681" s="1" t="n">
        <v>46305</v>
      </c>
      <c r="F681" t="inlineStr">
        <is>
          <t>GÄVLEBORGS LÄN</t>
        </is>
      </c>
      <c r="G681" t="inlineStr">
        <is>
          <t>GÄVLE</t>
        </is>
      </c>
      <c r="I681" t="n">
        <v>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46305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20736-2026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46305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46305</v>
      </c>
      <c r="F684" t="inlineStr">
        <is>
          <t>GÄVLEBORGS LÄN</t>
        </is>
      </c>
      <c r="G684" t="inlineStr">
        <is>
          <t>GÄVLE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16190-2026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46305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46305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20785-2026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46141</v>
      </c>
      <c r="E687" s="1" t="n">
        <v>46305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46305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46052</v>
      </c>
      <c r="E689" s="1" t="n">
        <v>46305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46305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46305</v>
      </c>
      <c r="F691" t="inlineStr">
        <is>
          <t>GÄVLEBORGS LÄN</t>
        </is>
      </c>
      <c r="G691" t="inlineStr">
        <is>
          <t>GÄVLE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46305</v>
      </c>
      <c r="F692" t="inlineStr">
        <is>
          <t>GÄVLEBORGS LÄN</t>
        </is>
      </c>
      <c r="G692" t="inlineStr">
        <is>
          <t>GÄVLE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6673-2026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46305</v>
      </c>
      <c r="F693" t="inlineStr">
        <is>
          <t>GÄVLEBORGS LÄN</t>
        </is>
      </c>
      <c r="G693" t="inlineStr">
        <is>
          <t>GÄVLE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46305</v>
      </c>
      <c r="F694" t="inlineStr">
        <is>
          <t>GÄVLEBORGS LÄN</t>
        </is>
      </c>
      <c r="G694" t="inlineStr">
        <is>
          <t>GÄVLE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7239-2026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46058</v>
      </c>
      <c r="E695" s="1" t="n">
        <v>46305</v>
      </c>
      <c r="F695" t="inlineStr">
        <is>
          <t>GÄVLEBORGS LÄN</t>
        </is>
      </c>
      <c r="G695" t="inlineStr">
        <is>
          <t>GÄVLE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46305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20906-2026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46142</v>
      </c>
      <c r="E697" s="1" t="n">
        <v>46305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46305</v>
      </c>
      <c r="F698" t="inlineStr">
        <is>
          <t>GÄVLEBORGS LÄN</t>
        </is>
      </c>
      <c r="G698" t="inlineStr">
        <is>
          <t>GÄVLE</t>
        </is>
      </c>
      <c r="H698" t="inlineStr">
        <is>
          <t>Kyrkan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46305</v>
      </c>
      <c r="F699" t="inlineStr">
        <is>
          <t>GÄVLEBORGS LÄN</t>
        </is>
      </c>
      <c r="G699" t="inlineStr">
        <is>
          <t>GÄVLE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46305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46305</v>
      </c>
      <c r="F701" t="inlineStr">
        <is>
          <t>GÄVLEBORGS LÄN</t>
        </is>
      </c>
      <c r="G701" t="inlineStr">
        <is>
          <t>GÄVLE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46305</v>
      </c>
      <c r="F702" t="inlineStr">
        <is>
          <t>GÄVLEBORGS LÄN</t>
        </is>
      </c>
      <c r="G702" t="inlineStr">
        <is>
          <t>GÄVLE</t>
        </is>
      </c>
      <c r="H702" t="inlineStr">
        <is>
          <t>Kyrkan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16144-2026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46108</v>
      </c>
      <c r="E703" s="1" t="n">
        <v>46305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46305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8558-2026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46305</v>
      </c>
      <c r="F705" t="inlineStr">
        <is>
          <t>GÄVLEBORGS LÄN</t>
        </is>
      </c>
      <c r="G705" t="inlineStr">
        <is>
          <t>GÄVLE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14707-2026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46305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46305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9129-2026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46069</v>
      </c>
      <c r="E708" s="1" t="n">
        <v>46305</v>
      </c>
      <c r="F708" t="inlineStr">
        <is>
          <t>GÄVLEBORGS LÄN</t>
        </is>
      </c>
      <c r="G708" t="inlineStr">
        <is>
          <t>GÄVLE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9534-2026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46305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9779-2026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46305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14666-2026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46305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46305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46305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46076</v>
      </c>
      <c r="E714" s="1" t="n">
        <v>46305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10504-2026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46077</v>
      </c>
      <c r="E715" s="1" t="n">
        <v>46305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46153</v>
      </c>
      <c r="E716" s="1" t="n">
        <v>46305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46079</v>
      </c>
      <c r="E717" s="1" t="n">
        <v>46305</v>
      </c>
      <c r="F717" t="inlineStr">
        <is>
          <t>GÄVLEBORGS LÄN</t>
        </is>
      </c>
      <c r="G717" t="inlineStr">
        <is>
          <t>GÄVLE</t>
        </is>
      </c>
      <c r="H717" t="inlineStr">
        <is>
          <t>Kommuner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46153</v>
      </c>
      <c r="E718" s="1" t="n">
        <v>46305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11523-2026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46083</v>
      </c>
      <c r="E719" s="1" t="n">
        <v>46305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22570-2026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46305</v>
      </c>
      <c r="F720" t="inlineStr">
        <is>
          <t>GÄVLEBORGS LÄN</t>
        </is>
      </c>
      <c r="G720" t="inlineStr">
        <is>
          <t>GÄVLE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46305</v>
      </c>
      <c r="F721" t="inlineStr">
        <is>
          <t>GÄVLEBORGS LÄN</t>
        </is>
      </c>
      <c r="G721" t="inlineStr">
        <is>
          <t>GÄVLE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46305</v>
      </c>
      <c r="F722" t="inlineStr">
        <is>
          <t>GÄVLEBORGS LÄN</t>
        </is>
      </c>
      <c r="G722" t="inlineStr">
        <is>
          <t>GÄVLE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46085</v>
      </c>
      <c r="E723" s="1" t="n">
        <v>46305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15152-2026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46305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46305</v>
      </c>
      <c r="F725" t="inlineStr">
        <is>
          <t>GÄVLEBORGS LÄN</t>
        </is>
      </c>
      <c r="G725" t="inlineStr">
        <is>
          <t>GÄVLE</t>
        </is>
      </c>
      <c r="H725" t="inlineStr">
        <is>
          <t>Kyrkan</t>
        </is>
      </c>
      <c r="I725" t="n">
        <v>10.1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15158-2026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46105</v>
      </c>
      <c r="E726" s="1" t="n">
        <v>46305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46305</v>
      </c>
      <c r="F727" t="inlineStr">
        <is>
          <t>GÄVLEBORGS LÄN</t>
        </is>
      </c>
      <c r="G727" t="inlineStr">
        <is>
          <t>GÄVLE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46305</v>
      </c>
      <c r="F728" t="inlineStr">
        <is>
          <t>GÄVLEBORGS LÄN</t>
        </is>
      </c>
      <c r="G728" t="inlineStr">
        <is>
          <t>GÄVLE</t>
        </is>
      </c>
      <c r="H728" t="inlineStr">
        <is>
          <t>Kyrkan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46105</v>
      </c>
      <c r="E729" s="1" t="n">
        <v>46305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15711-2026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46107</v>
      </c>
      <c r="E730" s="1" t="n">
        <v>46305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15469-2026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46305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15790-2026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46107</v>
      </c>
      <c r="E732" s="1" t="n">
        <v>46305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46305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12990-2026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46305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12948-2026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46305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46305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46305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46305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46305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45312</v>
      </c>
      <c r="E740" s="1" t="n">
        <v>46305</v>
      </c>
      <c r="F740" t="inlineStr">
        <is>
          <t>GÄVLEBORGS LÄN</t>
        </is>
      </c>
      <c r="G740" t="inlineStr">
        <is>
          <t>GÄVLE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13317-2026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46305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13574-2026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46095</v>
      </c>
      <c r="E742" s="1" t="n">
        <v>46305</v>
      </c>
      <c r="F742" t="inlineStr">
        <is>
          <t>GÄVLEBORGS LÄN</t>
        </is>
      </c>
      <c r="G742" t="inlineStr">
        <is>
          <t>GÄVLE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13489-2026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46305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13329-2026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46305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46305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46305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23591-2026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46163</v>
      </c>
      <c r="E747" s="1" t="n">
        <v>46305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46305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23956-2026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46167</v>
      </c>
      <c r="E749" s="1" t="n">
        <v>46305</v>
      </c>
      <c r="F749" t="inlineStr">
        <is>
          <t>GÄVLEBORGS LÄN</t>
        </is>
      </c>
      <c r="G749" t="inlineStr">
        <is>
          <t>GÄVLE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46305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46305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46305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24295-2026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46305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46305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24325-2026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46169</v>
      </c>
      <c r="E755" s="1" t="n">
        <v>46305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24294-2026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46169</v>
      </c>
      <c r="E756" s="1" t="n">
        <v>46305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24810-2026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46173</v>
      </c>
      <c r="E757" s="1" t="n">
        <v>46305</v>
      </c>
      <c r="F757" t="inlineStr">
        <is>
          <t>GÄVLEBORGS LÄN</t>
        </is>
      </c>
      <c r="G757" t="inlineStr">
        <is>
          <t>GÄVLE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46305</v>
      </c>
      <c r="F758" t="inlineStr">
        <is>
          <t>GÄVLEBORGS LÄN</t>
        </is>
      </c>
      <c r="G758" t="inlineStr">
        <is>
          <t>GÄVLE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46305</v>
      </c>
      <c r="F759" t="inlineStr">
        <is>
          <t>GÄVLEBORGS LÄN</t>
        </is>
      </c>
      <c r="G759" t="inlineStr">
        <is>
          <t>GÄVLE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46305</v>
      </c>
      <c r="F760" t="inlineStr">
        <is>
          <t>GÄVLEBORGS LÄN</t>
        </is>
      </c>
      <c r="G760" t="inlineStr">
        <is>
          <t>GÄVLE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46141</v>
      </c>
      <c r="E761" s="1" t="n">
        <v>46305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46305</v>
      </c>
      <c r="F762" t="inlineStr">
        <is>
          <t>GÄVLEBORGS LÄN</t>
        </is>
      </c>
      <c r="G762" t="inlineStr">
        <is>
          <t>GÄVLE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25384-2026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46305</v>
      </c>
      <c r="F763" t="inlineStr">
        <is>
          <t>GÄVLEBORGS LÄN</t>
        </is>
      </c>
      <c r="G763" t="inlineStr">
        <is>
          <t>GÄVLE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25829-2026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46178</v>
      </c>
      <c r="E764" s="1" t="n">
        <v>46305</v>
      </c>
      <c r="F764" t="inlineStr">
        <is>
          <t>GÄVLEBORGS LÄN</t>
        </is>
      </c>
      <c r="G764" t="inlineStr">
        <is>
          <t>GÄVLE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46183</v>
      </c>
      <c r="E765" s="1" t="n">
        <v>46305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26600-2026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46183</v>
      </c>
      <c r="E766" s="1" t="n">
        <v>46305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46305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46305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46305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46305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46305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46305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27041-2026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46305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46305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46305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46305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46305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46305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46305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26991-2026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46305</v>
      </c>
      <c r="F780" t="inlineStr">
        <is>
          <t>GÄVLEBORGS LÄN</t>
        </is>
      </c>
      <c r="G780" t="inlineStr">
        <is>
          <t>GÄVLE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46305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46305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46305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27065-2026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46305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46305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46305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27360-2026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46188</v>
      </c>
      <c r="E787" s="1" t="n">
        <v>46305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27361-2026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46305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46305</v>
      </c>
      <c r="F789" t="inlineStr">
        <is>
          <t>GÄVLEBORGS LÄN</t>
        </is>
      </c>
      <c r="G789" t="inlineStr">
        <is>
          <t>GÄVLE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28140-2026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46305</v>
      </c>
      <c r="F790" t="inlineStr">
        <is>
          <t>GÄVLEBORGS LÄN</t>
        </is>
      </c>
      <c r="G790" t="inlineStr">
        <is>
          <t>GÄVLE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46305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46305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väst AB</t>
        </is>
      </c>
      <c r="I792" t="n">
        <v>52.7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46305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46305</v>
      </c>
      <c r="F794" t="inlineStr">
        <is>
          <t>GÄVLEBORGS LÄN</t>
        </is>
      </c>
      <c r="G794" t="inlineStr">
        <is>
          <t>GÄVLE</t>
        </is>
      </c>
      <c r="H794" t="inlineStr">
        <is>
          <t>BillerudKorsnäs AB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46196</v>
      </c>
      <c r="E795" s="1" t="n">
        <v>46305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46196</v>
      </c>
      <c r="E796" s="1" t="n">
        <v>46305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46160</v>
      </c>
      <c r="E797" s="1" t="n">
        <v>46305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46305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46305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28655-2026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46305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46305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28658-2026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46305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28656-2026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46305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28659-2026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46305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29333-2026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46202</v>
      </c>
      <c r="E805" s="1" t="n">
        <v>46305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46202</v>
      </c>
      <c r="E806" s="1" t="n">
        <v>46305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29364-2026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46305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31019-2026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46305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51758-2025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45950</v>
      </c>
      <c r="E809" s="1" t="n">
        <v>46305</v>
      </c>
      <c r="F809" t="inlineStr">
        <is>
          <t>GÄVLEBORGS LÄN</t>
        </is>
      </c>
      <c r="G809" t="inlineStr">
        <is>
          <t>GÄVLE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46106</v>
      </c>
      <c r="E810" s="1" t="n">
        <v>46305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22363-2026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46154</v>
      </c>
      <c r="E811" s="1" t="n">
        <v>46305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46207</v>
      </c>
      <c r="E812" s="1" t="n">
        <v>46305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30601-2026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46210</v>
      </c>
      <c r="E813" s="1" t="n">
        <v>46305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30951-2026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46305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30967-2026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46213</v>
      </c>
      <c r="E815" s="1" t="n">
        <v>46305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31445-2026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46217</v>
      </c>
      <c r="E816" s="1" t="n">
        <v>46305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31234-2026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46217</v>
      </c>
      <c r="E817" s="1" t="n">
        <v>46305</v>
      </c>
      <c r="F817" t="inlineStr">
        <is>
          <t>GÄVLEBORGS LÄN</t>
        </is>
      </c>
      <c r="G817" t="inlineStr">
        <is>
          <t>GÄVLE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31528-2026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46220</v>
      </c>
      <c r="E818" s="1" t="n">
        <v>46305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46305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35780-2026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46265</v>
      </c>
      <c r="E820" s="1" t="n">
        <v>46305</v>
      </c>
      <c r="F820" t="inlineStr">
        <is>
          <t>GÄVLEBORGS LÄN</t>
        </is>
      </c>
      <c r="G820" t="inlineStr">
        <is>
          <t>GÄVLE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46265</v>
      </c>
      <c r="E821" s="1" t="n">
        <v>46305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36086-2026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46267</v>
      </c>
      <c r="E822" s="1" t="n">
        <v>46305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36091-2026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46267</v>
      </c>
      <c r="E823" s="1" t="n">
        <v>46305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36132-2026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46267</v>
      </c>
      <c r="E824" s="1" t="n">
        <v>46305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36093-2026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46267</v>
      </c>
      <c r="E825" s="1" t="n">
        <v>46305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36089-2026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46267</v>
      </c>
      <c r="E826" s="1" t="n">
        <v>46305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36512-2026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46305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46305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46305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36522-2026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46269</v>
      </c>
      <c r="E830" s="1" t="n">
        <v>46305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36784-2026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46272</v>
      </c>
      <c r="E831" s="1" t="n">
        <v>46305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46272</v>
      </c>
      <c r="E832" s="1" t="n">
        <v>46305</v>
      </c>
      <c r="F832" t="inlineStr">
        <is>
          <t>GÄVLEBORGS LÄN</t>
        </is>
      </c>
      <c r="G832" t="inlineStr">
        <is>
          <t>GÄVLE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36732-2026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46272</v>
      </c>
      <c r="E833" s="1" t="n">
        <v>46305</v>
      </c>
      <c r="F833" t="inlineStr">
        <is>
          <t>GÄVLEBORGS LÄN</t>
        </is>
      </c>
      <c r="G833" t="inlineStr">
        <is>
          <t>GÄVLE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37223-2026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46274</v>
      </c>
      <c r="E834" s="1" t="n">
        <v>46305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36920-2026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46273</v>
      </c>
      <c r="E835" s="1" t="n">
        <v>46305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37134-2026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46274</v>
      </c>
      <c r="E836" s="1" t="n">
        <v>46305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37150-2026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46274</v>
      </c>
      <c r="E837" s="1" t="n">
        <v>46305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36945-2026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46273</v>
      </c>
      <c r="E838" s="1" t="n">
        <v>46305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36957-2026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46305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36962-2026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46273</v>
      </c>
      <c r="E840" s="1" t="n">
        <v>46305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36909-2026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46273</v>
      </c>
      <c r="E841" s="1" t="n">
        <v>46305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36935-2026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46273</v>
      </c>
      <c r="E842" s="1" t="n">
        <v>46305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37553-2026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46276</v>
      </c>
      <c r="E843" s="1" t="n">
        <v>46305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46276</v>
      </c>
      <c r="E844" s="1" t="n">
        <v>46305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46305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37401-2026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46275</v>
      </c>
      <c r="E846" s="1" t="n">
        <v>46305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19.1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37640-2026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46276</v>
      </c>
      <c r="E847" s="1" t="n">
        <v>46305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37573-2026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46276</v>
      </c>
      <c r="E848" s="1" t="n">
        <v>46305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37937-2026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46280</v>
      </c>
      <c r="E849" s="1" t="n">
        <v>46305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38012-2026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46280</v>
      </c>
      <c r="E850" s="1" t="n">
        <v>46305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37934-2026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46280</v>
      </c>
      <c r="E851" s="1" t="n">
        <v>46305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37935-2026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46280</v>
      </c>
      <c r="E852" s="1" t="n">
        <v>46305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46279</v>
      </c>
      <c r="E853" s="1" t="n">
        <v>46305</v>
      </c>
      <c r="F853" t="inlineStr">
        <is>
          <t>GÄVLEBORGS LÄN</t>
        </is>
      </c>
      <c r="G853" t="inlineStr">
        <is>
          <t>GÄVLE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37765-2026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46279</v>
      </c>
      <c r="E854" s="1" t="n">
        <v>46305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37938-2026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46280</v>
      </c>
      <c r="E855" s="1" t="n">
        <v>46305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38045-2026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46280</v>
      </c>
      <c r="E856" s="1" t="n">
        <v>46305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38049-2026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46280</v>
      </c>
      <c r="E857" s="1" t="n">
        <v>46305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38014-2026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46305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38144-2026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46281</v>
      </c>
      <c r="E859" s="1" t="n">
        <v>46305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32437-2026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46239</v>
      </c>
      <c r="E860" s="1" t="n">
        <v>46305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38333-2026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46282</v>
      </c>
      <c r="E861" s="1" t="n">
        <v>46305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46282</v>
      </c>
      <c r="E862" s="1" t="n">
        <v>46305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38393-2026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46282</v>
      </c>
      <c r="E863" s="1" t="n">
        <v>46305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19.8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46282</v>
      </c>
      <c r="E864" s="1" t="n">
        <v>46305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46282</v>
      </c>
      <c r="E865" s="1" t="n">
        <v>46305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32436-2026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46239</v>
      </c>
      <c r="E866" s="1" t="n">
        <v>46305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38336-2026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46282</v>
      </c>
      <c r="E867" s="1" t="n">
        <v>46305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38130-2026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46281</v>
      </c>
      <c r="E868" s="1" t="n">
        <v>46305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38386-2026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46282</v>
      </c>
      <c r="E869" s="1" t="n">
        <v>46305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46305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38653-2026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46283</v>
      </c>
      <c r="E871" s="1" t="n">
        <v>46305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38612-2026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46283</v>
      </c>
      <c r="E872" s="1" t="n">
        <v>46305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38524-2026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46283</v>
      </c>
      <c r="E873" s="1" t="n">
        <v>46305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38588-2026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46305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38979-2026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46286</v>
      </c>
      <c r="E875" s="1" t="n">
        <v>46305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38584-2026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46283</v>
      </c>
      <c r="E876" s="1" t="n">
        <v>46305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38568-2026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46283</v>
      </c>
      <c r="E877" s="1" t="n">
        <v>46305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38586-2026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46283</v>
      </c>
      <c r="E878" s="1" t="n">
        <v>46305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38587-2026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46283</v>
      </c>
      <c r="E879" s="1" t="n">
        <v>46305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46305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38562-2026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46283</v>
      </c>
      <c r="E881" s="1" t="n">
        <v>46305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38623-2026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46305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46305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46305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38582-2026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46305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39120-2026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46287</v>
      </c>
      <c r="E886" s="1" t="n">
        <v>46305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39083-2026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46287</v>
      </c>
      <c r="E887" s="1" t="n">
        <v>46305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39437-2026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46288</v>
      </c>
      <c r="E888" s="1" t="n">
        <v>46305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32887-2026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46244</v>
      </c>
      <c r="E889" s="1" t="n">
        <v>46305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39021-2026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46287</v>
      </c>
      <c r="E890" s="1" t="n">
        <v>46305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39031-2026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46287</v>
      </c>
      <c r="E891" s="1" t="n">
        <v>46305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32888-2026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46305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32890-2026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46305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39227-2026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46287</v>
      </c>
      <c r="E894" s="1" t="n">
        <v>46305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38997-2026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46305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27048-2026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46305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46246</v>
      </c>
      <c r="E897" s="1" t="n">
        <v>46305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46246</v>
      </c>
      <c r="E898" s="1" t="n">
        <v>46305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46305</v>
      </c>
      <c r="F899" t="inlineStr">
        <is>
          <t>GÄVLEBORGS LÄN</t>
        </is>
      </c>
      <c r="G899" t="inlineStr">
        <is>
          <t>GÄVLE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33231-2026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46246</v>
      </c>
      <c r="E900" s="1" t="n">
        <v>46305</v>
      </c>
      <c r="F900" t="inlineStr">
        <is>
          <t>GÄVLEBORGS LÄN</t>
        </is>
      </c>
      <c r="G900" t="inlineStr">
        <is>
          <t>GÄVLE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39729-2026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46290</v>
      </c>
      <c r="E901" s="1" t="n">
        <v>46305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46305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39534-2026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46305</v>
      </c>
      <c r="F903" t="inlineStr">
        <is>
          <t>GÄVLEBORGS LÄN</t>
        </is>
      </c>
      <c r="G903" t="inlineStr">
        <is>
          <t>GÄVLE</t>
        </is>
      </c>
      <c r="I903" t="n">
        <v>7.1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33346-2026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46305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33349-2026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46305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33347-2026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46246</v>
      </c>
      <c r="E906" s="1" t="n">
        <v>46305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39685-2026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46289</v>
      </c>
      <c r="E907" s="1" t="n">
        <v>46305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39891-2026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46290</v>
      </c>
      <c r="E908" s="1" t="n">
        <v>46305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28624-2025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45819</v>
      </c>
      <c r="E909" s="1" t="n">
        <v>46305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39684-2026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46289</v>
      </c>
      <c r="E910" s="1" t="n">
        <v>46305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39702-2026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46305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39805-2026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46290</v>
      </c>
      <c r="E912" s="1" t="n">
        <v>46305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46293</v>
      </c>
      <c r="E913" s="1" t="n">
        <v>46305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40375-2026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46294</v>
      </c>
      <c r="E914" s="1" t="n">
        <v>46305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33662-2026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46248</v>
      </c>
      <c r="E915" s="1" t="n">
        <v>46305</v>
      </c>
      <c r="F915" t="inlineStr">
        <is>
          <t>GÄVLEBORGS LÄN</t>
        </is>
      </c>
      <c r="G915" t="inlineStr">
        <is>
          <t>GÄVLE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33664-2026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46248</v>
      </c>
      <c r="E916" s="1" t="n">
        <v>46305</v>
      </c>
      <c r="F916" t="inlineStr">
        <is>
          <t>GÄVLEBORGS LÄN</t>
        </is>
      </c>
      <c r="G916" t="inlineStr">
        <is>
          <t>GÄVLE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24367-2026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46169</v>
      </c>
      <c r="E917" s="1" t="n">
        <v>46305</v>
      </c>
      <c r="F917" t="inlineStr">
        <is>
          <t>GÄVLEBORGS LÄN</t>
        </is>
      </c>
      <c r="G917" t="inlineStr">
        <is>
          <t>GÄVLE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33585-2026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46248</v>
      </c>
      <c r="E918" s="1" t="n">
        <v>46305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33586-2026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46248</v>
      </c>
      <c r="E919" s="1" t="n">
        <v>46305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40052-2026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46305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14974-2026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46104</v>
      </c>
      <c r="E921" s="1" t="n">
        <v>46305</v>
      </c>
      <c r="F921" t="inlineStr">
        <is>
          <t>GÄVLEBORGS LÄN</t>
        </is>
      </c>
      <c r="G921" t="inlineStr">
        <is>
          <t>GÄVLE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23117-2026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46161</v>
      </c>
      <c r="E922" s="1" t="n">
        <v>46305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40173-2026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46293</v>
      </c>
      <c r="E923" s="1" t="n">
        <v>46305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40180-2026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46293</v>
      </c>
      <c r="E924" s="1" t="n">
        <v>46305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40791-2026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46296</v>
      </c>
      <c r="E925" s="1" t="n">
        <v>46305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33719-2026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46251</v>
      </c>
      <c r="E926" s="1" t="n">
        <v>46305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40504-2026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46295</v>
      </c>
      <c r="E927" s="1" t="n">
        <v>46305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5.2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40507-2026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46295</v>
      </c>
      <c r="E928" s="1" t="n">
        <v>46305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34033-2026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46252</v>
      </c>
      <c r="E929" s="1" t="n">
        <v>46305</v>
      </c>
      <c r="F929" t="inlineStr">
        <is>
          <t>GÄVLEBORGS LÄN</t>
        </is>
      </c>
      <c r="G929" t="inlineStr">
        <is>
          <t>GÄVLE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40505-2026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46295</v>
      </c>
      <c r="E930" s="1" t="n">
        <v>46305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54960-2025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45967</v>
      </c>
      <c r="E931" s="1" t="n">
        <v>46305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50345-2025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45944</v>
      </c>
      <c r="E932" s="1" t="n">
        <v>46305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34591-2026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46305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58925-2025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45987</v>
      </c>
      <c r="E934" s="1" t="n">
        <v>46305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41106-2026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46300</v>
      </c>
      <c r="E935" s="1" t="n">
        <v>46305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27051-2026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46305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46094</v>
      </c>
      <c r="E937" s="1" t="n">
        <v>46305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54959-2025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45967</v>
      </c>
      <c r="E938" s="1" t="n">
        <v>46305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40896-2026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46297</v>
      </c>
      <c r="E939" s="1" t="n">
        <v>46305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46063</v>
      </c>
      <c r="E940" s="1" t="n">
        <v>46305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21367-2026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46147</v>
      </c>
      <c r="E941" s="1" t="n">
        <v>46305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40943-2026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46297</v>
      </c>
      <c r="E942" s="1" t="n">
        <v>46305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40947-2026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46297</v>
      </c>
      <c r="E943" s="1" t="n">
        <v>46305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46254</v>
      </c>
      <c r="E944" s="1" t="n">
        <v>46305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38051-2026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46280</v>
      </c>
      <c r="E945" s="1" t="n">
        <v>46305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34415-2026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46254</v>
      </c>
      <c r="E946" s="1" t="n">
        <v>46305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26016-2026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46181</v>
      </c>
      <c r="E947" s="1" t="n">
        <v>46305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46305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5.5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34590-2026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46255</v>
      </c>
      <c r="E949" s="1" t="n">
        <v>46305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34593-2026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46255</v>
      </c>
      <c r="E950" s="1" t="n">
        <v>46305</v>
      </c>
      <c r="F950" t="inlineStr">
        <is>
          <t>GÄVLEBORGS LÄN</t>
        </is>
      </c>
      <c r="G950" t="inlineStr">
        <is>
          <t>GÄVLE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40948-2026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46297</v>
      </c>
      <c r="E951" s="1" t="n">
        <v>46305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46297</v>
      </c>
      <c r="E952" s="1" t="n">
        <v>46305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46147</v>
      </c>
      <c r="E953" s="1" t="n">
        <v>46305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40938-2026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46305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46305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46210</v>
      </c>
      <c r="E956" s="1" t="n">
        <v>46305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25808-2026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46305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40790-2026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46296</v>
      </c>
      <c r="E958" s="1" t="n">
        <v>46305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34686-2026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46258</v>
      </c>
      <c r="E959" s="1" t="n">
        <v>46305</v>
      </c>
      <c r="F959" t="inlineStr">
        <is>
          <t>GÄVLEBORGS LÄN</t>
        </is>
      </c>
      <c r="G959" t="inlineStr">
        <is>
          <t>GÄVLE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26094-2025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45805</v>
      </c>
      <c r="E960" s="1" t="n">
        <v>46305</v>
      </c>
      <c r="F960" t="inlineStr">
        <is>
          <t>GÄVLEBORGS LÄN</t>
        </is>
      </c>
      <c r="G960" t="inlineStr">
        <is>
          <t>GÄVLE</t>
        </is>
      </c>
      <c r="I960" t="n">
        <v>12.4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38191-2026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46281</v>
      </c>
      <c r="E961" s="1" t="n">
        <v>46305</v>
      </c>
      <c r="F961" t="inlineStr">
        <is>
          <t>GÄVLEBORGS LÄN</t>
        </is>
      </c>
      <c r="G961" t="inlineStr">
        <is>
          <t>GÄVLE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41543-2026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46301</v>
      </c>
      <c r="E962" s="1" t="n">
        <v>46305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41544-2026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46301</v>
      </c>
      <c r="E963" s="1" t="n">
        <v>46305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34822-2026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46305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41542-2026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46301</v>
      </c>
      <c r="E965" s="1" t="n">
        <v>46305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5.7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35577-2026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46262</v>
      </c>
      <c r="E966" s="1" t="n">
        <v>46305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42029-2026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46304</v>
      </c>
      <c r="E967" s="1" t="n">
        <v>46305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11572-2026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46084</v>
      </c>
      <c r="E968" s="1" t="n">
        <v>46305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42061-2026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46304</v>
      </c>
      <c r="E969" s="1" t="n">
        <v>46305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42112-2026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46304</v>
      </c>
      <c r="E970" s="1" t="n">
        <v>46305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7.3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41793-2026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46303</v>
      </c>
      <c r="E971" s="1" t="n">
        <v>46305</v>
      </c>
      <c r="F971" t="inlineStr">
        <is>
          <t>GÄVLEBORGS LÄN</t>
        </is>
      </c>
      <c r="G971" t="inlineStr">
        <is>
          <t>GÄVLE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35302-2026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46261</v>
      </c>
      <c r="E972" s="1" t="n">
        <v>46305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18217-2024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45420</v>
      </c>
      <c r="E973" s="1" t="n">
        <v>46305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35541-2026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46262</v>
      </c>
      <c r="E974" s="1" t="n">
        <v>46305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14553-2026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46100</v>
      </c>
      <c r="E975" s="1" t="n">
        <v>46305</v>
      </c>
      <c r="F975" t="inlineStr">
        <is>
          <t>GÄVLEBORGS LÄN</t>
        </is>
      </c>
      <c r="G975" t="inlineStr">
        <is>
          <t>GÄVLE</t>
        </is>
      </c>
      <c r="H975" t="inlineStr">
        <is>
          <t>Övriga statliga verk och myndigheter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35120-2026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46260</v>
      </c>
      <c r="E976" s="1" t="n">
        <v>46305</v>
      </c>
      <c r="F976" t="inlineStr">
        <is>
          <t>GÄVLEBORGS LÄN</t>
        </is>
      </c>
      <c r="G976" t="inlineStr">
        <is>
          <t>GÄVLE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42080-2026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46304</v>
      </c>
      <c r="E977" s="1" t="n">
        <v>46305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42137-2026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46304</v>
      </c>
      <c r="E978" s="1" t="n">
        <v>46305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35387-2026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46261</v>
      </c>
      <c r="E979" s="1" t="n">
        <v>46305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46305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42136-2026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46304</v>
      </c>
      <c r="E981" s="1" t="n">
        <v>46305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35326-2026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46261</v>
      </c>
      <c r="E982" s="1" t="n">
        <v>46305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13046-2026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46305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13475-2026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46094</v>
      </c>
      <c r="E984" s="1" t="n">
        <v>46305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46262</v>
      </c>
      <c r="E985" s="1" t="n">
        <v>46305</v>
      </c>
      <c r="F985" t="inlineStr">
        <is>
          <t>GÄVLEBORGS LÄN</t>
        </is>
      </c>
      <c r="G985" t="inlineStr">
        <is>
          <t>GÄVLE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42040-2026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46304</v>
      </c>
      <c r="E986" s="1" t="n">
        <v>46305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5.3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42133-2026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46304</v>
      </c>
      <c r="E987" s="1" t="n">
        <v>46305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42046-2026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46304</v>
      </c>
      <c r="E988" s="1" t="n">
        <v>46305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35561-2026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46262</v>
      </c>
      <c r="E989" s="1" t="n">
        <v>46305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väst AB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48246-2025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45933</v>
      </c>
      <c r="E990" s="1" t="n">
        <v>46305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öst AB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46305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46305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46305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46305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46305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2026-10-10T02:05:40Z</dcterms:created>
  <dcterms:modified xmlns:dcterms="http://purl.org/dc/terms/" xmlns:xsi="http://www.w3.org/2001/XMLSchema-instance" xsi:type="dcterms:W3CDTF">2026-10-10T02:05:41Z</dcterms:modified>
</cp:coreProperties>
</file>