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45759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45759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45759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45759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45759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45759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45759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45759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11233-2025</t>
        </is>
      </c>
      <c r="B10" s="1" t="n">
        <v>45726</v>
      </c>
      <c r="C10" s="1" t="n">
        <v>45759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HYPERLINK("https://klasma.github.io/Logging_212180/artfynd/A 11233-2025 artfynd.xlsx", "A 11233-2025")</f>
        <v/>
      </c>
      <c r="T10">
        <f>HYPERLINK("https://klasma.github.io/Logging_212180/kartor/A 11233-2025 karta.png", "A 11233-2025")</f>
        <v/>
      </c>
      <c r="V10">
        <f>HYPERLINK("https://klasma.github.io/Logging_212180/klagomål/A 11233-2025 FSC-klagomål.docx", "A 11233-2025")</f>
        <v/>
      </c>
      <c r="W10">
        <f>HYPERLINK("https://klasma.github.io/Logging_212180/klagomålsmail/A 11233-2025 FSC-klagomål mail.docx", "A 11233-2025")</f>
        <v/>
      </c>
      <c r="X10">
        <f>HYPERLINK("https://klasma.github.io/Logging_212180/tillsyn/A 11233-2025 tillsynsbegäran.docx", "A 11233-2025")</f>
        <v/>
      </c>
      <c r="Y10">
        <f>HYPERLINK("https://klasma.github.io/Logging_212180/tillsynsmail/A 11233-2025 tillsynsbegäran mail.docx", "A 11233-2025")</f>
        <v/>
      </c>
    </row>
    <row r="11" ht="15" customHeight="1">
      <c r="A11" t="inlineStr">
        <is>
          <t>A 47377-2019</t>
        </is>
      </c>
      <c r="B11" s="1" t="n">
        <v>43721</v>
      </c>
      <c r="C11" s="1" t="n">
        <v>45759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21.7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Brunklöver
Kolflarnlav
Svävflugedagsvärmare
Violettkantad guldvinge</t>
        </is>
      </c>
      <c r="S11">
        <f>HYPERLINK("https://klasma.github.io/Logging_2180/artfynd/A 47377-2019 artfynd.xlsx", "A 47377-2019")</f>
        <v/>
      </c>
      <c r="T11">
        <f>HYPERLINK("https://klasma.github.io/Logging_2180/kartor/A 47377-2019 karta.png", "A 47377-2019")</f>
        <v/>
      </c>
      <c r="V11">
        <f>HYPERLINK("https://klasma.github.io/Logging_2180/klagomål/A 47377-2019 FSC-klagomål.docx", "A 47377-2019")</f>
        <v/>
      </c>
      <c r="W11">
        <f>HYPERLINK("https://klasma.github.io/Logging_2180/klagomålsmail/A 47377-2019 FSC-klagomål mail.docx", "A 47377-2019")</f>
        <v/>
      </c>
      <c r="X11">
        <f>HYPERLINK("https://klasma.github.io/Logging_2180/tillsyn/A 47377-2019 tillsynsbegäran.docx", "A 47377-2019")</f>
        <v/>
      </c>
      <c r="Y11">
        <f>HYPERLINK("https://klasma.github.io/Logging_2180/tillsynsmail/A 47377-2019 tillsynsbegäran mail.docx", "A 47377-2019")</f>
        <v/>
      </c>
    </row>
    <row r="12" ht="15" customHeight="1">
      <c r="A12" t="inlineStr">
        <is>
          <t>A 69255-2020</t>
        </is>
      </c>
      <c r="B12" s="1" t="n">
        <v>44192</v>
      </c>
      <c r="C12" s="1" t="n">
        <v>45759</v>
      </c>
      <c r="D12" t="inlineStr">
        <is>
          <t>GÄVLEBORGS LÄN</t>
        </is>
      </c>
      <c r="E12" t="inlineStr">
        <is>
          <t>GÄVLE</t>
        </is>
      </c>
      <c r="F12" t="inlineStr">
        <is>
          <t>Kommuner</t>
        </is>
      </c>
      <c r="G12" t="n">
        <v>3.5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Blackticka
Spillkråka
Tjockfotad fingersvamp
Revlummer</t>
        </is>
      </c>
      <c r="S12">
        <f>HYPERLINK("https://klasma.github.io/Logging_2180/artfynd/A 69255-2020 artfynd.xlsx", "A 69255-2020")</f>
        <v/>
      </c>
      <c r="T12">
        <f>HYPERLINK("https://klasma.github.io/Logging_2180/kartor/A 69255-2020 karta.png", "A 69255-2020")</f>
        <v/>
      </c>
      <c r="U12">
        <f>HYPERLINK("https://klasma.github.io/Logging_2180/knärot/A 69255-2020 karta knärot.png", "A 69255-2020")</f>
        <v/>
      </c>
      <c r="V12">
        <f>HYPERLINK("https://klasma.github.io/Logging_2180/klagomål/A 69255-2020 FSC-klagomål.docx", "A 69255-2020")</f>
        <v/>
      </c>
      <c r="W12">
        <f>HYPERLINK("https://klasma.github.io/Logging_2180/klagomålsmail/A 69255-2020 FSC-klagomål mail.docx", "A 69255-2020")</f>
        <v/>
      </c>
      <c r="X12">
        <f>HYPERLINK("https://klasma.github.io/Logging_2180/tillsyn/A 69255-2020 tillsynsbegäran.docx", "A 69255-2020")</f>
        <v/>
      </c>
      <c r="Y12">
        <f>HYPERLINK("https://klasma.github.io/Logging_2180/tillsynsmail/A 69255-2020 tillsynsbegäran mail.docx", "A 69255-2020")</f>
        <v/>
      </c>
      <c r="Z12">
        <f>HYPERLINK("https://klasma.github.io/Logging_2180/fåglar/A 69255-2020 prioriterade fågelarter.docx", "A 69255-2020")</f>
        <v/>
      </c>
    </row>
    <row r="13" ht="15" customHeight="1">
      <c r="A13" t="inlineStr">
        <is>
          <t>A 59800-2023</t>
        </is>
      </c>
      <c r="B13" s="1" t="n">
        <v>45257</v>
      </c>
      <c r="C13" s="1" t="n">
        <v>45759</v>
      </c>
      <c r="D13" t="inlineStr">
        <is>
          <t>GÄVLEBORGS LÄN</t>
        </is>
      </c>
      <c r="E13" t="inlineStr">
        <is>
          <t>GÄVLE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Ullticka
Dropptaggsvamp
Skarp dropptaggsvamp</t>
        </is>
      </c>
      <c r="S13">
        <f>HYPERLINK("https://klasma.github.io/Logging_2180/artfynd/A 59800-2023 artfynd.xlsx", "A 59800-2023")</f>
        <v/>
      </c>
      <c r="T13">
        <f>HYPERLINK("https://klasma.github.io/Logging_2180/kartor/A 59800-2023 karta.png", "A 59800-2023")</f>
        <v/>
      </c>
      <c r="V13">
        <f>HYPERLINK("https://klasma.github.io/Logging_2180/klagomål/A 59800-2023 FSC-klagomål.docx", "A 59800-2023")</f>
        <v/>
      </c>
      <c r="W13">
        <f>HYPERLINK("https://klasma.github.io/Logging_2180/klagomålsmail/A 59800-2023 FSC-klagomål mail.docx", "A 59800-2023")</f>
        <v/>
      </c>
      <c r="X13">
        <f>HYPERLINK("https://klasma.github.io/Logging_2180/tillsyn/A 59800-2023 tillsynsbegäran.docx", "A 59800-2023")</f>
        <v/>
      </c>
      <c r="Y13">
        <f>HYPERLINK("https://klasma.github.io/Logging_2180/tillsynsmail/A 59800-2023 tillsynsbegäran mail.docx", "A 59800-2023")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45759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1883-2024</t>
        </is>
      </c>
      <c r="B15" s="1" t="n">
        <v>45308</v>
      </c>
      <c r="C15" s="1" t="n">
        <v>45759</v>
      </c>
      <c r="D15" t="inlineStr">
        <is>
          <t>GÄVLEBORGS LÄN</t>
        </is>
      </c>
      <c r="E15" t="inlineStr">
        <is>
          <t>GÄVLE</t>
        </is>
      </c>
      <c r="G15" t="n">
        <v>14.5</v>
      </c>
      <c r="H15" t="n">
        <v>4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Tjäder
Vanlig padda
Fläcknycklar
Revlummer</t>
        </is>
      </c>
      <c r="S15">
        <f>HYPERLINK("https://klasma.github.io/Logging_2180/artfynd/A 1883-2024 artfynd.xlsx", "A 1883-2024")</f>
        <v/>
      </c>
      <c r="T15">
        <f>HYPERLINK("https://klasma.github.io/Logging_2180/kartor/A 1883-2024 karta.png", "A 1883-2024")</f>
        <v/>
      </c>
      <c r="V15">
        <f>HYPERLINK("https://klasma.github.io/Logging_2180/klagomål/A 1883-2024 FSC-klagomål.docx", "A 1883-2024")</f>
        <v/>
      </c>
      <c r="W15">
        <f>HYPERLINK("https://klasma.github.io/Logging_2180/klagomålsmail/A 1883-2024 FSC-klagomål mail.docx", "A 1883-2024")</f>
        <v/>
      </c>
      <c r="X15">
        <f>HYPERLINK("https://klasma.github.io/Logging_2180/tillsyn/A 1883-2024 tillsynsbegäran.docx", "A 1883-2024")</f>
        <v/>
      </c>
      <c r="Y15">
        <f>HYPERLINK("https://klasma.github.io/Logging_2180/tillsynsmail/A 1883-2024 tillsynsbegäran mail.docx", "A 1883-2024")</f>
        <v/>
      </c>
      <c r="Z15">
        <f>HYPERLINK("https://klasma.github.io/Logging_2180/fåglar/A 1883-2024 prioriterade fågelarter.docx", "A 1883-2024")</f>
        <v/>
      </c>
    </row>
    <row r="16" ht="15" customHeight="1">
      <c r="A16" t="inlineStr">
        <is>
          <t>A 48800-2024</t>
        </is>
      </c>
      <c r="B16" s="1" t="n">
        <v>45593</v>
      </c>
      <c r="C16" s="1" t="n">
        <v>45759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</v>
      </c>
      <c r="C17" s="1" t="n">
        <v>45759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67390-2019</t>
        </is>
      </c>
      <c r="B18" s="1" t="n">
        <v>43812</v>
      </c>
      <c r="C18" s="1" t="n">
        <v>45759</v>
      </c>
      <c r="D18" t="inlineStr">
        <is>
          <t>GÄVLEBORGS LÄN</t>
        </is>
      </c>
      <c r="E18" t="inlineStr">
        <is>
          <t>GÄVLE</t>
        </is>
      </c>
      <c r="F18" t="inlineStr">
        <is>
          <t>Kommuner</t>
        </is>
      </c>
      <c r="G18" t="n">
        <v>7.8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 sköldmossa
Mörk husmossa
Skogshakmossa</t>
        </is>
      </c>
      <c r="S18">
        <f>HYPERLINK("https://klasma.github.io/Logging_2180/artfynd/A 67390-2019 artfynd.xlsx", "A 67390-2019")</f>
        <v/>
      </c>
      <c r="T18">
        <f>HYPERLINK("https://klasma.github.io/Logging_2180/kartor/A 67390-2019 karta.png", "A 67390-2019")</f>
        <v/>
      </c>
      <c r="V18">
        <f>HYPERLINK("https://klasma.github.io/Logging_2180/klagomål/A 67390-2019 FSC-klagomål.docx", "A 67390-2019")</f>
        <v/>
      </c>
      <c r="W18">
        <f>HYPERLINK("https://klasma.github.io/Logging_2180/klagomålsmail/A 67390-2019 FSC-klagomål mail.docx", "A 67390-2019")</f>
        <v/>
      </c>
      <c r="X18">
        <f>HYPERLINK("https://klasma.github.io/Logging_2180/tillsyn/A 67390-2019 tillsynsbegäran.docx", "A 67390-2019")</f>
        <v/>
      </c>
      <c r="Y18">
        <f>HYPERLINK("https://klasma.github.io/Logging_2180/tillsynsmail/A 67390-2019 tillsynsbegäran mail.docx", "A 67390-2019")</f>
        <v/>
      </c>
    </row>
    <row r="19" ht="15" customHeight="1">
      <c r="A19" t="inlineStr">
        <is>
          <t>A 32677-2023</t>
        </is>
      </c>
      <c r="B19" s="1" t="n">
        <v>45121</v>
      </c>
      <c r="C19" s="1" t="n">
        <v>45759</v>
      </c>
      <c r="D19" t="inlineStr">
        <is>
          <t>GÄVLEBORGS LÄN</t>
        </is>
      </c>
      <c r="E19" t="inlineStr">
        <is>
          <t>GÄVLE</t>
        </is>
      </c>
      <c r="G19" t="n">
        <v>20.7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Glesgröe
Spädstarr
Blåsippa</t>
        </is>
      </c>
      <c r="S19">
        <f>HYPERLINK("https://klasma.github.io/Logging_2180/artfynd/A 32677-2023 artfynd.xlsx", "A 32677-2023")</f>
        <v/>
      </c>
      <c r="T19">
        <f>HYPERLINK("https://klasma.github.io/Logging_2180/kartor/A 32677-2023 karta.png", "A 32677-2023")</f>
        <v/>
      </c>
      <c r="V19">
        <f>HYPERLINK("https://klasma.github.io/Logging_2180/klagomål/A 32677-2023 FSC-klagomål.docx", "A 32677-2023")</f>
        <v/>
      </c>
      <c r="W19">
        <f>HYPERLINK("https://klasma.github.io/Logging_2180/klagomålsmail/A 32677-2023 FSC-klagomål mail.docx", "A 32677-2023")</f>
        <v/>
      </c>
      <c r="X19">
        <f>HYPERLINK("https://klasma.github.io/Logging_2180/tillsyn/A 32677-2023 tillsynsbegäran.docx", "A 32677-2023")</f>
        <v/>
      </c>
      <c r="Y19">
        <f>HYPERLINK("https://klasma.github.io/Logging_2180/tillsynsmail/A 32677-2023 tillsynsbegäran mail.docx", "A 32677-2023")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45759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58967-2024</t>
        </is>
      </c>
      <c r="B21" s="1" t="n">
        <v>45636</v>
      </c>
      <c r="C21" s="1" t="n">
        <v>45759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Vattenfladdermus</t>
        </is>
      </c>
      <c r="S21">
        <f>HYPERLINK("https://klasma.github.io/Logging_2180/artfynd/A 58967-2024 artfynd.xlsx", "A 58967-2024")</f>
        <v/>
      </c>
      <c r="T21">
        <f>HYPERLINK("https://klasma.github.io/Logging_2180/kartor/A 58967-2024 karta.png", "A 58967-2024")</f>
        <v/>
      </c>
      <c r="V21">
        <f>HYPERLINK("https://klasma.github.io/Logging_2180/klagomål/A 58967-2024 FSC-klagomål.docx", "A 58967-2024")</f>
        <v/>
      </c>
      <c r="W21">
        <f>HYPERLINK("https://klasma.github.io/Logging_2180/klagomålsmail/A 58967-2024 FSC-klagomål mail.docx", "A 58967-2024")</f>
        <v/>
      </c>
      <c r="X21">
        <f>HYPERLINK("https://klasma.github.io/Logging_2180/tillsyn/A 58967-2024 tillsynsbegäran.docx", "A 58967-2024")</f>
        <v/>
      </c>
      <c r="Y21">
        <f>HYPERLINK("https://klasma.github.io/Logging_2180/tillsynsmail/A 58967-2024 tillsynsbegäran mail.docx", "A 58967-2024")</f>
        <v/>
      </c>
    </row>
    <row r="22" ht="15" customHeight="1">
      <c r="A22" t="inlineStr">
        <is>
          <t>A 15015-2025</t>
        </is>
      </c>
      <c r="B22" s="1" t="n">
        <v>45743</v>
      </c>
      <c r="C22" s="1" t="n">
        <v>45759</v>
      </c>
      <c r="D22" t="inlineStr">
        <is>
          <t>GÄVLEBORGS LÄN</t>
        </is>
      </c>
      <c r="E22" t="inlineStr">
        <is>
          <t>GÄVLE</t>
        </is>
      </c>
      <c r="G22" t="n">
        <v>14.5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Tibast
Vårärt
Blåsippa</t>
        </is>
      </c>
      <c r="S22">
        <f>HYPERLINK("https://klasma.github.io/Logging_212180/artfynd/A 15015-2025 artfynd.xlsx", "A 15015-2025")</f>
        <v/>
      </c>
      <c r="T22">
        <f>HYPERLINK("https://klasma.github.io/Logging_212180/kartor/A 15015-2025 karta.png", "A 15015-2025")</f>
        <v/>
      </c>
      <c r="V22">
        <f>HYPERLINK("https://klasma.github.io/Logging_212180/klagomål/A 15015-2025 FSC-klagomål.docx", "A 15015-2025")</f>
        <v/>
      </c>
      <c r="W22">
        <f>HYPERLINK("https://klasma.github.io/Logging_212180/klagomålsmail/A 15015-2025 FSC-klagomål mail.docx", "A 15015-2025")</f>
        <v/>
      </c>
      <c r="X22">
        <f>HYPERLINK("https://klasma.github.io/Logging_212180/tillsyn/A 15015-2025 tillsynsbegäran.docx", "A 15015-2025")</f>
        <v/>
      </c>
      <c r="Y22">
        <f>HYPERLINK("https://klasma.github.io/Logging_212180/tillsynsmail/A 15015-2025 tillsynsbegäran mail.docx", "A 15015-2025")</f>
        <v/>
      </c>
    </row>
    <row r="23" ht="15" customHeight="1">
      <c r="A23" t="inlineStr">
        <is>
          <t>A 55774-2019</t>
        </is>
      </c>
      <c r="B23" s="1" t="n">
        <v>43761</v>
      </c>
      <c r="C23" s="1" t="n">
        <v>45759</v>
      </c>
      <c r="D23" t="inlineStr">
        <is>
          <t>GÄVLEBORGS LÄN</t>
        </is>
      </c>
      <c r="E23" t="inlineStr">
        <is>
          <t>GÄVLE</t>
        </is>
      </c>
      <c r="G23" t="n">
        <v>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Vattenfladdermus</t>
        </is>
      </c>
      <c r="S23">
        <f>HYPERLINK("https://klasma.github.io/Logging_2180/artfynd/A 55774-2019 artfynd.xlsx", "A 55774-2019")</f>
        <v/>
      </c>
      <c r="T23">
        <f>HYPERLINK("https://klasma.github.io/Logging_2180/kartor/A 55774-2019 karta.png", "A 55774-2019")</f>
        <v/>
      </c>
      <c r="V23">
        <f>HYPERLINK("https://klasma.github.io/Logging_2180/klagomål/A 55774-2019 FSC-klagomål.docx", "A 55774-2019")</f>
        <v/>
      </c>
      <c r="W23">
        <f>HYPERLINK("https://klasma.github.io/Logging_2180/klagomålsmail/A 55774-2019 FSC-klagomål mail.docx", "A 55774-2019")</f>
        <v/>
      </c>
      <c r="X23">
        <f>HYPERLINK("https://klasma.github.io/Logging_2180/tillsyn/A 55774-2019 tillsynsbegäran.docx", "A 55774-2019")</f>
        <v/>
      </c>
      <c r="Y23">
        <f>HYPERLINK("https://klasma.github.io/Logging_2180/tillsynsmail/A 55774-2019 tillsynsbegäran mail.docx", "A 55774-2019")</f>
        <v/>
      </c>
    </row>
    <row r="24" ht="15" customHeight="1">
      <c r="A24" t="inlineStr">
        <is>
          <t>A 67418-2019</t>
        </is>
      </c>
      <c r="B24" s="1" t="n">
        <v>43812</v>
      </c>
      <c r="C24" s="1" t="n">
        <v>45759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Vågbandad barkbock</t>
        </is>
      </c>
      <c r="S24">
        <f>HYPERLINK("https://klasma.github.io/Logging_2180/artfynd/A 67418-2019 artfynd.xlsx", "A 67418-2019")</f>
        <v/>
      </c>
      <c r="T24">
        <f>HYPERLINK("https://klasma.github.io/Logging_2180/kartor/A 67418-2019 karta.png", "A 67418-2019")</f>
        <v/>
      </c>
      <c r="V24">
        <f>HYPERLINK("https://klasma.github.io/Logging_2180/klagomål/A 67418-2019 FSC-klagomål.docx", "A 67418-2019")</f>
        <v/>
      </c>
      <c r="W24">
        <f>HYPERLINK("https://klasma.github.io/Logging_2180/klagomålsmail/A 67418-2019 FSC-klagomål mail.docx", "A 67418-2019")</f>
        <v/>
      </c>
      <c r="X24">
        <f>HYPERLINK("https://klasma.github.io/Logging_2180/tillsyn/A 67418-2019 tillsynsbegäran.docx", "A 67418-2019")</f>
        <v/>
      </c>
      <c r="Y24">
        <f>HYPERLINK("https://klasma.github.io/Logging_2180/tillsynsmail/A 67418-2019 tillsynsbegäran mail.docx", "A 67418-2019")</f>
        <v/>
      </c>
    </row>
    <row r="25" ht="15" customHeight="1">
      <c r="A25" t="inlineStr">
        <is>
          <t>A 13261-2021</t>
        </is>
      </c>
      <c r="B25" s="1" t="n">
        <v>44272</v>
      </c>
      <c r="C25" s="1" t="n">
        <v>45759</v>
      </c>
      <c r="D25" t="inlineStr">
        <is>
          <t>GÄVLEBORGS LÄN</t>
        </is>
      </c>
      <c r="E25" t="inlineStr">
        <is>
          <t>GÄVLE</t>
        </is>
      </c>
      <c r="G25" t="n">
        <v>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Blåsippa</t>
        </is>
      </c>
      <c r="S25">
        <f>HYPERLINK("https://klasma.github.io/Logging_2180/artfynd/A 13261-2021 artfynd.xlsx", "A 13261-2021")</f>
        <v/>
      </c>
      <c r="T25">
        <f>HYPERLINK("https://klasma.github.io/Logging_2180/kartor/A 13261-2021 karta.png", "A 13261-2021")</f>
        <v/>
      </c>
      <c r="V25">
        <f>HYPERLINK("https://klasma.github.io/Logging_2180/klagomål/A 13261-2021 FSC-klagomål.docx", "A 13261-2021")</f>
        <v/>
      </c>
      <c r="W25">
        <f>HYPERLINK("https://klasma.github.io/Logging_2180/klagomålsmail/A 13261-2021 FSC-klagomål mail.docx", "A 13261-2021")</f>
        <v/>
      </c>
      <c r="X25">
        <f>HYPERLINK("https://klasma.github.io/Logging_2180/tillsyn/A 13261-2021 tillsynsbegäran.docx", "A 13261-2021")</f>
        <v/>
      </c>
      <c r="Y25">
        <f>HYPERLINK("https://klasma.github.io/Logging_2180/tillsynsmail/A 13261-2021 tillsynsbegäran mail.docx", "A 13261-2021")</f>
        <v/>
      </c>
    </row>
    <row r="26" ht="15" customHeight="1">
      <c r="A26" t="inlineStr">
        <is>
          <t>A 20198-2021</t>
        </is>
      </c>
      <c r="B26" s="1" t="n">
        <v>44314</v>
      </c>
      <c r="C26" s="1" t="n">
        <v>45759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Anisspindling
Skogsknipprot</t>
        </is>
      </c>
      <c r="S26">
        <f>HYPERLINK("https://klasma.github.io/Logging_2180/artfynd/A 20198-2021 artfynd.xlsx", "A 20198-2021")</f>
        <v/>
      </c>
      <c r="T26">
        <f>HYPERLINK("https://klasma.github.io/Logging_2180/kartor/A 20198-2021 karta.png", "A 20198-2021")</f>
        <v/>
      </c>
      <c r="V26">
        <f>HYPERLINK("https://klasma.github.io/Logging_2180/klagomål/A 20198-2021 FSC-klagomål.docx", "A 20198-2021")</f>
        <v/>
      </c>
      <c r="W26">
        <f>HYPERLINK("https://klasma.github.io/Logging_2180/klagomålsmail/A 20198-2021 FSC-klagomål mail.docx", "A 20198-2021")</f>
        <v/>
      </c>
      <c r="X26">
        <f>HYPERLINK("https://klasma.github.io/Logging_2180/tillsyn/A 20198-2021 tillsynsbegäran.docx", "A 20198-2021")</f>
        <v/>
      </c>
      <c r="Y26">
        <f>HYPERLINK("https://klasma.github.io/Logging_2180/tillsynsmail/A 20198-2021 tillsynsbegäran mail.docx", "A 20198-2021")</f>
        <v/>
      </c>
    </row>
    <row r="27" ht="15" customHeight="1">
      <c r="A27" t="inlineStr">
        <is>
          <t>A 22073-2021</t>
        </is>
      </c>
      <c r="B27" s="1" t="n">
        <v>44323</v>
      </c>
      <c r="C27" s="1" t="n">
        <v>45759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40023-2021</t>
        </is>
      </c>
      <c r="B28" s="1" t="n">
        <v>44418</v>
      </c>
      <c r="C28" s="1" t="n">
        <v>45759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45759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15365-2023</t>
        </is>
      </c>
      <c r="B30" s="1" t="n">
        <v>45019</v>
      </c>
      <c r="C30" s="1" t="n">
        <v>45759</v>
      </c>
      <c r="D30" t="inlineStr">
        <is>
          <t>GÄVLEBORGS LÄN</t>
        </is>
      </c>
      <c r="E30" t="inlineStr">
        <is>
          <t>GÄVLE</t>
        </is>
      </c>
      <c r="G30" t="n">
        <v>55.2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Kopparödla</t>
        </is>
      </c>
      <c r="S30">
        <f>HYPERLINK("https://klasma.github.io/Logging_2180/artfynd/A 15365-2023 artfynd.xlsx", "A 15365-2023")</f>
        <v/>
      </c>
      <c r="T30">
        <f>HYPERLINK("https://klasma.github.io/Logging_2180/kartor/A 15365-2023 karta.png", "A 15365-2023")</f>
        <v/>
      </c>
      <c r="U30">
        <f>HYPERLINK("https://klasma.github.io/Logging_2180/knärot/A 15365-2023 karta knärot.png", "A 15365-2023")</f>
        <v/>
      </c>
      <c r="V30">
        <f>HYPERLINK("https://klasma.github.io/Logging_2180/klagomål/A 15365-2023 FSC-klagomål.docx", "A 15365-2023")</f>
        <v/>
      </c>
      <c r="W30">
        <f>HYPERLINK("https://klasma.github.io/Logging_2180/klagomålsmail/A 15365-2023 FSC-klagomål mail.docx", "A 15365-2023")</f>
        <v/>
      </c>
      <c r="X30">
        <f>HYPERLINK("https://klasma.github.io/Logging_2180/tillsyn/A 15365-2023 tillsynsbegäran.docx", "A 15365-2023")</f>
        <v/>
      </c>
      <c r="Y30">
        <f>HYPERLINK("https://klasma.github.io/Logging_2180/tillsynsmail/A 15365-2023 tillsynsbegäran mail.docx", "A 15365-2023")</f>
        <v/>
      </c>
    </row>
    <row r="31" ht="15" customHeight="1">
      <c r="A31" t="inlineStr">
        <is>
          <t>A 16499-2023</t>
        </is>
      </c>
      <c r="B31" s="1" t="n">
        <v>45029</v>
      </c>
      <c r="C31" s="1" t="n">
        <v>45759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41.8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Bredgentiana
Granbräken</t>
        </is>
      </c>
      <c r="S31">
        <f>HYPERLINK("https://klasma.github.io/Logging_2180/artfynd/A 16499-2023 artfynd.xlsx", "A 16499-2023")</f>
        <v/>
      </c>
      <c r="T31">
        <f>HYPERLINK("https://klasma.github.io/Logging_2180/kartor/A 16499-2023 karta.png", "A 16499-2023")</f>
        <v/>
      </c>
      <c r="V31">
        <f>HYPERLINK("https://klasma.github.io/Logging_2180/klagomål/A 16499-2023 FSC-klagomål.docx", "A 16499-2023")</f>
        <v/>
      </c>
      <c r="W31">
        <f>HYPERLINK("https://klasma.github.io/Logging_2180/klagomålsmail/A 16499-2023 FSC-klagomål mail.docx", "A 16499-2023")</f>
        <v/>
      </c>
      <c r="X31">
        <f>HYPERLINK("https://klasma.github.io/Logging_2180/tillsyn/A 16499-2023 tillsynsbegäran.docx", "A 16499-2023")</f>
        <v/>
      </c>
      <c r="Y31">
        <f>HYPERLINK("https://klasma.github.io/Logging_2180/tillsynsmail/A 16499-2023 tillsynsbegäran mail.docx", "A 16499-2023")</f>
        <v/>
      </c>
    </row>
    <row r="32" ht="15" customHeight="1">
      <c r="A32" t="inlineStr">
        <is>
          <t>A 18332-2023</t>
        </is>
      </c>
      <c r="B32" s="1" t="n">
        <v>45041</v>
      </c>
      <c r="C32" s="1" t="n">
        <v>45759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16.1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Skogsklocka</t>
        </is>
      </c>
      <c r="S32">
        <f>HYPERLINK("https://klasma.github.io/Logging_2180/artfynd/A 18332-2023 artfynd.xlsx", "A 18332-2023")</f>
        <v/>
      </c>
      <c r="T32">
        <f>HYPERLINK("https://klasma.github.io/Logging_2180/kartor/A 18332-2023 karta.png", "A 18332-2023")</f>
        <v/>
      </c>
      <c r="V32">
        <f>HYPERLINK("https://klasma.github.io/Logging_2180/klagomål/A 18332-2023 FSC-klagomål.docx", "A 18332-2023")</f>
        <v/>
      </c>
      <c r="W32">
        <f>HYPERLINK("https://klasma.github.io/Logging_2180/klagomålsmail/A 18332-2023 FSC-klagomål mail.docx", "A 18332-2023")</f>
        <v/>
      </c>
      <c r="X32">
        <f>HYPERLINK("https://klasma.github.io/Logging_2180/tillsyn/A 18332-2023 tillsynsbegäran.docx", "A 18332-2023")</f>
        <v/>
      </c>
      <c r="Y32">
        <f>HYPERLINK("https://klasma.github.io/Logging_2180/tillsynsmail/A 18332-2023 tillsynsbegäran mail.docx", "A 18332-2023")</f>
        <v/>
      </c>
    </row>
    <row r="33" ht="15" customHeight="1">
      <c r="A33" t="inlineStr">
        <is>
          <t>A 20232-2023</t>
        </is>
      </c>
      <c r="B33" s="1" t="n">
        <v>45055</v>
      </c>
      <c r="C33" s="1" t="n">
        <v>45759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12.7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Stor låsbräken
Sparvuggla</t>
        </is>
      </c>
      <c r="S33">
        <f>HYPERLINK("https://klasma.github.io/Logging_2180/artfynd/A 20232-2023 artfynd.xlsx", "A 20232-2023")</f>
        <v/>
      </c>
      <c r="T33">
        <f>HYPERLINK("https://klasma.github.io/Logging_2180/kartor/A 20232-2023 karta.png", "A 20232-2023")</f>
        <v/>
      </c>
      <c r="V33">
        <f>HYPERLINK("https://klasma.github.io/Logging_2180/klagomål/A 20232-2023 FSC-klagomål.docx", "A 20232-2023")</f>
        <v/>
      </c>
      <c r="W33">
        <f>HYPERLINK("https://klasma.github.io/Logging_2180/klagomålsmail/A 20232-2023 FSC-klagomål mail.docx", "A 20232-2023")</f>
        <v/>
      </c>
      <c r="X33">
        <f>HYPERLINK("https://klasma.github.io/Logging_2180/tillsyn/A 20232-2023 tillsynsbegäran.docx", "A 20232-2023")</f>
        <v/>
      </c>
      <c r="Y33">
        <f>HYPERLINK("https://klasma.github.io/Logging_2180/tillsynsmail/A 20232-2023 tillsynsbegäran mail.docx", "A 20232-2023")</f>
        <v/>
      </c>
      <c r="Z33">
        <f>HYPERLINK("https://klasma.github.io/Logging_2180/fåglar/A 20232-2023 prioriterade fågelarter.docx", "A 20232-2023")</f>
        <v/>
      </c>
    </row>
    <row r="34" ht="15" customHeight="1">
      <c r="A34" t="inlineStr">
        <is>
          <t>A 31541-2023</t>
        </is>
      </c>
      <c r="B34" s="1" t="n">
        <v>45117</v>
      </c>
      <c r="C34" s="1" t="n">
        <v>45759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8.300000000000001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Vårärt
Mattlummer</t>
        </is>
      </c>
      <c r="S34">
        <f>HYPERLINK("https://klasma.github.io/Logging_2180/artfynd/A 31541-2023 artfynd.xlsx", "A 31541-2023")</f>
        <v/>
      </c>
      <c r="T34">
        <f>HYPERLINK("https://klasma.github.io/Logging_2180/kartor/A 31541-2023 karta.png", "A 31541-2023")</f>
        <v/>
      </c>
      <c r="V34">
        <f>HYPERLINK("https://klasma.github.io/Logging_2180/klagomål/A 31541-2023 FSC-klagomål.docx", "A 31541-2023")</f>
        <v/>
      </c>
      <c r="W34">
        <f>HYPERLINK("https://klasma.github.io/Logging_2180/klagomålsmail/A 31541-2023 FSC-klagomål mail.docx", "A 31541-2023")</f>
        <v/>
      </c>
      <c r="X34">
        <f>HYPERLINK("https://klasma.github.io/Logging_2180/tillsyn/A 31541-2023 tillsynsbegäran.docx", "A 31541-2023")</f>
        <v/>
      </c>
      <c r="Y34">
        <f>HYPERLINK("https://klasma.github.io/Logging_2180/tillsynsmail/A 31541-2023 tillsynsbegäran mail.docx", "A 31541-2023")</f>
        <v/>
      </c>
    </row>
    <row r="35" ht="15" customHeight="1">
      <c r="A35" t="inlineStr">
        <is>
          <t>A 64567-2023</t>
        </is>
      </c>
      <c r="B35" s="1" t="n">
        <v>45281</v>
      </c>
      <c r="C35" s="1" t="n">
        <v>45759</v>
      </c>
      <c r="D35" t="inlineStr">
        <is>
          <t>GÄVLEBORGS LÄN</t>
        </is>
      </c>
      <c r="E35" t="inlineStr">
        <is>
          <t>GÄVLE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Jättesvampmal</t>
        </is>
      </c>
      <c r="S35">
        <f>HYPERLINK("https://klasma.github.io/Logging_2180/artfynd/A 64567-2023 artfynd.xlsx", "A 64567-2023")</f>
        <v/>
      </c>
      <c r="T35">
        <f>HYPERLINK("https://klasma.github.io/Logging_2180/kartor/A 64567-2023 karta.png", "A 64567-2023")</f>
        <v/>
      </c>
      <c r="V35">
        <f>HYPERLINK("https://klasma.github.io/Logging_2180/klagomål/A 64567-2023 FSC-klagomål.docx", "A 64567-2023")</f>
        <v/>
      </c>
      <c r="W35">
        <f>HYPERLINK("https://klasma.github.io/Logging_2180/klagomålsmail/A 64567-2023 FSC-klagomål mail.docx", "A 64567-2023")</f>
        <v/>
      </c>
      <c r="X35">
        <f>HYPERLINK("https://klasma.github.io/Logging_2180/tillsyn/A 64567-2023 tillsynsbegäran.docx", "A 64567-2023")</f>
        <v/>
      </c>
      <c r="Y35">
        <f>HYPERLINK("https://klasma.github.io/Logging_2180/tillsynsmail/A 64567-2023 tillsynsbegäran mail.docx", "A 64567-2023")</f>
        <v/>
      </c>
    </row>
    <row r="36" ht="15" customHeight="1">
      <c r="A36" t="inlineStr">
        <is>
          <t>A 6473-2024</t>
        </is>
      </c>
      <c r="B36" s="1" t="n">
        <v>45338</v>
      </c>
      <c r="C36" s="1" t="n">
        <v>45759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Nattviol</t>
        </is>
      </c>
      <c r="S36">
        <f>HYPERLINK("https://klasma.github.io/Logging_2180/artfynd/A 6473-2024 artfynd.xlsx", "A 6473-2024")</f>
        <v/>
      </c>
      <c r="T36">
        <f>HYPERLINK("https://klasma.github.io/Logging_2180/kartor/A 6473-2024 karta.png", "A 6473-2024")</f>
        <v/>
      </c>
      <c r="V36">
        <f>HYPERLINK("https://klasma.github.io/Logging_2180/klagomål/A 6473-2024 FSC-klagomål.docx", "A 6473-2024")</f>
        <v/>
      </c>
      <c r="W36">
        <f>HYPERLINK("https://klasma.github.io/Logging_2180/klagomålsmail/A 6473-2024 FSC-klagomål mail.docx", "A 6473-2024")</f>
        <v/>
      </c>
      <c r="X36">
        <f>HYPERLINK("https://klasma.github.io/Logging_2180/tillsyn/A 6473-2024 tillsynsbegäran.docx", "A 6473-2024")</f>
        <v/>
      </c>
      <c r="Y36">
        <f>HYPERLINK("https://klasma.github.io/Logging_2180/tillsynsmail/A 6473-2024 tillsynsbegäran mail.docx", "A 6473-2024")</f>
        <v/>
      </c>
    </row>
    <row r="37" ht="15" customHeight="1">
      <c r="A37" t="inlineStr">
        <is>
          <t>A 26213-2024</t>
        </is>
      </c>
      <c r="B37" s="1" t="n">
        <v>45468</v>
      </c>
      <c r="C37" s="1" t="n">
        <v>45759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Dropptaggsvamp</t>
        </is>
      </c>
      <c r="S37">
        <f>HYPERLINK("https://klasma.github.io/Logging_2180/artfynd/A 26213-2024 artfynd.xlsx", "A 26213-2024")</f>
        <v/>
      </c>
      <c r="T37">
        <f>HYPERLINK("https://klasma.github.io/Logging_2180/kartor/A 26213-2024 karta.png", "A 26213-2024")</f>
        <v/>
      </c>
      <c r="V37">
        <f>HYPERLINK("https://klasma.github.io/Logging_2180/klagomål/A 26213-2024 FSC-klagomål.docx", "A 26213-2024")</f>
        <v/>
      </c>
      <c r="W37">
        <f>HYPERLINK("https://klasma.github.io/Logging_2180/klagomålsmail/A 26213-2024 FSC-klagomål mail.docx", "A 26213-2024")</f>
        <v/>
      </c>
      <c r="X37">
        <f>HYPERLINK("https://klasma.github.io/Logging_2180/tillsyn/A 26213-2024 tillsynsbegäran.docx", "A 26213-2024")</f>
        <v/>
      </c>
      <c r="Y37">
        <f>HYPERLINK("https://klasma.github.io/Logging_2180/tillsynsmail/A 26213-2024 tillsynsbegäran mail.docx", "A 26213-2024")</f>
        <v/>
      </c>
    </row>
    <row r="38" ht="15" customHeight="1">
      <c r="A38" t="inlineStr">
        <is>
          <t>A 34082-2024</t>
        </is>
      </c>
      <c r="B38" s="1" t="n">
        <v>45523</v>
      </c>
      <c r="C38" s="1" t="n">
        <v>45759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6.1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Vårärt
Blåsippa</t>
        </is>
      </c>
      <c r="S38">
        <f>HYPERLINK("https://klasma.github.io/Logging_2180/artfynd/A 34082-2024 artfynd.xlsx", "A 34082-2024")</f>
        <v/>
      </c>
      <c r="T38">
        <f>HYPERLINK("https://klasma.github.io/Logging_2180/kartor/A 34082-2024 karta.png", "A 34082-2024")</f>
        <v/>
      </c>
      <c r="V38">
        <f>HYPERLINK("https://klasma.github.io/Logging_2180/klagomål/A 34082-2024 FSC-klagomål.docx", "A 34082-2024")</f>
        <v/>
      </c>
      <c r="W38">
        <f>HYPERLINK("https://klasma.github.io/Logging_2180/klagomålsmail/A 34082-2024 FSC-klagomål mail.docx", "A 34082-2024")</f>
        <v/>
      </c>
      <c r="X38">
        <f>HYPERLINK("https://klasma.github.io/Logging_2180/tillsyn/A 34082-2024 tillsynsbegäran.docx", "A 34082-2024")</f>
        <v/>
      </c>
      <c r="Y38">
        <f>HYPERLINK("https://klasma.github.io/Logging_2180/tillsynsmail/A 34082-2024 tillsynsbegäran mail.docx", "A 34082-2024")</f>
        <v/>
      </c>
    </row>
    <row r="39" ht="15" customHeight="1">
      <c r="A39" t="inlineStr">
        <is>
          <t>A 56870-2024</t>
        </is>
      </c>
      <c r="B39" s="1" t="n">
        <v>45628</v>
      </c>
      <c r="C39" s="1" t="n">
        <v>45759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12.4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Havsörn
Dvärgpipistrell</t>
        </is>
      </c>
      <c r="S39">
        <f>HYPERLINK("https://klasma.github.io/Logging_2180/artfynd/A 56870-2024 artfynd.xlsx", "A 56870-2024")</f>
        <v/>
      </c>
      <c r="T39">
        <f>HYPERLINK("https://klasma.github.io/Logging_2180/kartor/A 56870-2024 karta.png", "A 56870-2024")</f>
        <v/>
      </c>
      <c r="V39">
        <f>HYPERLINK("https://klasma.github.io/Logging_2180/klagomål/A 56870-2024 FSC-klagomål.docx", "A 56870-2024")</f>
        <v/>
      </c>
      <c r="W39">
        <f>HYPERLINK("https://klasma.github.io/Logging_2180/klagomålsmail/A 56870-2024 FSC-klagomål mail.docx", "A 56870-2024")</f>
        <v/>
      </c>
      <c r="X39">
        <f>HYPERLINK("https://klasma.github.io/Logging_2180/tillsyn/A 56870-2024 tillsynsbegäran.docx", "A 56870-2024")</f>
        <v/>
      </c>
      <c r="Y39">
        <f>HYPERLINK("https://klasma.github.io/Logging_2180/tillsynsmail/A 56870-2024 tillsynsbegäran mail.docx", "A 56870-2024")</f>
        <v/>
      </c>
      <c r="Z39">
        <f>HYPERLINK("https://klasma.github.io/Logging_2180/fåglar/A 56870-2024 prioriterade fågelarter.docx", "A 56870-2024")</f>
        <v/>
      </c>
    </row>
    <row r="40" ht="15" customHeight="1">
      <c r="A40" t="inlineStr">
        <is>
          <t>A 56993-2024</t>
        </is>
      </c>
      <c r="B40" s="1" t="n">
        <v>45628</v>
      </c>
      <c r="C40" s="1" t="n">
        <v>45759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4.9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Aspgelélav
Vårärt</t>
        </is>
      </c>
      <c r="S40">
        <f>HYPERLINK("https://klasma.github.io/Logging_2180/artfynd/A 56993-2024 artfynd.xlsx", "A 56993-2024")</f>
        <v/>
      </c>
      <c r="T40">
        <f>HYPERLINK("https://klasma.github.io/Logging_2180/kartor/A 56993-2024 karta.png", "A 56993-2024")</f>
        <v/>
      </c>
      <c r="V40">
        <f>HYPERLINK("https://klasma.github.io/Logging_2180/klagomål/A 56993-2024 FSC-klagomål.docx", "A 56993-2024")</f>
        <v/>
      </c>
      <c r="W40">
        <f>HYPERLINK("https://klasma.github.io/Logging_2180/klagomålsmail/A 56993-2024 FSC-klagomål mail.docx", "A 56993-2024")</f>
        <v/>
      </c>
      <c r="X40">
        <f>HYPERLINK("https://klasma.github.io/Logging_2180/tillsyn/A 56993-2024 tillsynsbegäran.docx", "A 56993-2024")</f>
        <v/>
      </c>
      <c r="Y40">
        <f>HYPERLINK("https://klasma.github.io/Logging_2180/tillsynsmail/A 56993-2024 tillsynsbegäran mail.docx", "A 56993-2024")</f>
        <v/>
      </c>
    </row>
    <row r="41" ht="15" customHeight="1">
      <c r="A41" t="inlineStr">
        <is>
          <t>A 4234-2025</t>
        </is>
      </c>
      <c r="B41" s="1" t="n">
        <v>45685</v>
      </c>
      <c r="C41" s="1" t="n">
        <v>45759</v>
      </c>
      <c r="D41" t="inlineStr">
        <is>
          <t>GÄVLEBORGS LÄN</t>
        </is>
      </c>
      <c r="E41" t="inlineStr">
        <is>
          <t>GÄVLE</t>
        </is>
      </c>
      <c r="G41" t="n">
        <v>4.9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Vedskivlav</t>
        </is>
      </c>
      <c r="S41">
        <f>HYPERLINK("https://klasma.github.io/Logging_2180/artfynd/A 4234-2025 artfynd.xlsx", "A 4234-2025")</f>
        <v/>
      </c>
      <c r="T41">
        <f>HYPERLINK("https://klasma.github.io/Logging_2180/kartor/A 4234-2025 karta.png", "A 4234-2025")</f>
        <v/>
      </c>
      <c r="V41">
        <f>HYPERLINK("https://klasma.github.io/Logging_2180/klagomål/A 4234-2025 FSC-klagomål.docx", "A 4234-2025")</f>
        <v/>
      </c>
      <c r="W41">
        <f>HYPERLINK("https://klasma.github.io/Logging_2180/klagomålsmail/A 4234-2025 FSC-klagomål mail.docx", "A 4234-2025")</f>
        <v/>
      </c>
      <c r="X41">
        <f>HYPERLINK("https://klasma.github.io/Logging_2180/tillsyn/A 4234-2025 tillsynsbegäran.docx", "A 4234-2025")</f>
        <v/>
      </c>
      <c r="Y41">
        <f>HYPERLINK("https://klasma.github.io/Logging_2180/tillsynsmail/A 4234-2025 tillsynsbegäran mail.docx", "A 4234-2025")</f>
        <v/>
      </c>
      <c r="Z41">
        <f>HYPERLINK("https://klasma.github.io/Logging_2180/fåglar/A 4234-2025 prioriterade fågelarter.docx", "A 4234-2025")</f>
        <v/>
      </c>
    </row>
    <row r="42" ht="15" customHeight="1">
      <c r="A42" t="inlineStr">
        <is>
          <t>A 9570-2025</t>
        </is>
      </c>
      <c r="B42" s="1" t="n">
        <v>45715</v>
      </c>
      <c r="C42" s="1" t="n">
        <v>45759</v>
      </c>
      <c r="D42" t="inlineStr">
        <is>
          <t>GÄVLEBORGS LÄN</t>
        </is>
      </c>
      <c r="E42" t="inlineStr">
        <is>
          <t>GÄVLE</t>
        </is>
      </c>
      <c r="G42" t="n">
        <v>3.8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Tallticka
Tretåig hackspett</t>
        </is>
      </c>
      <c r="S42">
        <f>HYPERLINK("https://klasma.github.io/Logging_212180/artfynd/A 9570-2025 artfynd.xlsx", "A 9570-2025")</f>
        <v/>
      </c>
      <c r="T42">
        <f>HYPERLINK("https://klasma.github.io/Logging_212180/kartor/A 9570-2025 karta.png", "A 9570-2025")</f>
        <v/>
      </c>
      <c r="V42">
        <f>HYPERLINK("https://klasma.github.io/Logging_212180/klagomål/A 9570-2025 FSC-klagomål.docx", "A 9570-2025")</f>
        <v/>
      </c>
      <c r="W42">
        <f>HYPERLINK("https://klasma.github.io/Logging_212180/klagomålsmail/A 9570-2025 FSC-klagomål mail.docx", "A 9570-2025")</f>
        <v/>
      </c>
      <c r="X42">
        <f>HYPERLINK("https://klasma.github.io/Logging_212180/tillsyn/A 9570-2025 tillsynsbegäran.docx", "A 9570-2025")</f>
        <v/>
      </c>
      <c r="Y42">
        <f>HYPERLINK("https://klasma.github.io/Logging_212180/tillsynsmail/A 9570-2025 tillsynsbegäran mail.docx", "A 9570-2025")</f>
        <v/>
      </c>
      <c r="Z42">
        <f>HYPERLINK("https://klasma.github.io/Logging_212180/fåglar/A 9570-2025 prioriterade fågelarter.docx", "A 9570-2025")</f>
        <v/>
      </c>
    </row>
    <row r="43" ht="15" customHeight="1">
      <c r="A43" t="inlineStr">
        <is>
          <t>A 13727-2025</t>
        </is>
      </c>
      <c r="B43" s="1" t="n">
        <v>45737</v>
      </c>
      <c r="C43" s="1" t="n">
        <v>45759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7.6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Järpe
Ullticka</t>
        </is>
      </c>
      <c r="S43">
        <f>HYPERLINK("https://klasma.github.io/Logging_212180/artfynd/A 13727-2025 artfynd.xlsx", "A 13727-2025")</f>
        <v/>
      </c>
      <c r="T43">
        <f>HYPERLINK("https://klasma.github.io/Logging_212180/kartor/A 13727-2025 karta.png", "A 13727-2025")</f>
        <v/>
      </c>
      <c r="V43">
        <f>HYPERLINK("https://klasma.github.io/Logging_212180/klagomål/A 13727-2025 FSC-klagomål.docx", "A 13727-2025")</f>
        <v/>
      </c>
      <c r="W43">
        <f>HYPERLINK("https://klasma.github.io/Logging_212180/klagomålsmail/A 13727-2025 FSC-klagomål mail.docx", "A 13727-2025")</f>
        <v/>
      </c>
      <c r="X43">
        <f>HYPERLINK("https://klasma.github.io/Logging_212180/tillsyn/A 13727-2025 tillsynsbegäran.docx", "A 13727-2025")</f>
        <v/>
      </c>
      <c r="Y43">
        <f>HYPERLINK("https://klasma.github.io/Logging_212180/tillsynsmail/A 13727-2025 tillsynsbegäran mail.docx", "A 13727-2025")</f>
        <v/>
      </c>
      <c r="Z43">
        <f>HYPERLINK("https://klasma.github.io/Logging_212180/fåglar/A 13727-2025 prioriterade fågelarter.docx", "A 13727-2025")</f>
        <v/>
      </c>
    </row>
    <row r="44" ht="15" customHeight="1">
      <c r="A44" t="inlineStr">
        <is>
          <t>A 14374-2025</t>
        </is>
      </c>
      <c r="B44" s="1" t="n">
        <v>45741</v>
      </c>
      <c r="C44" s="1" t="n">
        <v>45759</v>
      </c>
      <c r="D44" t="inlineStr">
        <is>
          <t>GÄVLEBORGS LÄN</t>
        </is>
      </c>
      <c r="E44" t="inlineStr">
        <is>
          <t>GÄVLE</t>
        </is>
      </c>
      <c r="G44" t="n">
        <v>1.2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HYPERLINK("https://klasma.github.io/Logging_212180/artfynd/A 14374-2025 artfynd.xlsx", "A 14374-2025")</f>
        <v/>
      </c>
      <c r="T44">
        <f>HYPERLINK("https://klasma.github.io/Logging_212180/kartor/A 14374-2025 karta.png", "A 14374-2025")</f>
        <v/>
      </c>
      <c r="V44">
        <f>HYPERLINK("https://klasma.github.io/Logging_212180/klagomål/A 14374-2025 FSC-klagomål.docx", "A 14374-2025")</f>
        <v/>
      </c>
      <c r="W44">
        <f>HYPERLINK("https://klasma.github.io/Logging_212180/klagomålsmail/A 14374-2025 FSC-klagomål mail.docx", "A 14374-2025")</f>
        <v/>
      </c>
      <c r="X44">
        <f>HYPERLINK("https://klasma.github.io/Logging_212180/tillsyn/A 14374-2025 tillsynsbegäran.docx", "A 14374-2025")</f>
        <v/>
      </c>
      <c r="Y44">
        <f>HYPERLINK("https://klasma.github.io/Logging_212180/tillsynsmail/A 14374-2025 tillsynsbegäran mail.docx", "A 14374-2025")</f>
        <v/>
      </c>
    </row>
    <row r="45" ht="15" customHeight="1">
      <c r="A45" t="inlineStr">
        <is>
          <t>A 22616-2019</t>
        </is>
      </c>
      <c r="B45" s="1" t="n">
        <v>43588</v>
      </c>
      <c r="C45" s="1" t="n">
        <v>45759</v>
      </c>
      <c r="D45" t="inlineStr">
        <is>
          <t>GÄVLEBORGS LÄN</t>
        </is>
      </c>
      <c r="E45" t="inlineStr">
        <is>
          <t>GÄVLE</t>
        </is>
      </c>
      <c r="F45" t="inlineStr">
        <is>
          <t>Kommuner</t>
        </is>
      </c>
      <c r="G45" t="n">
        <v>7.1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Sotnätfjäril</t>
        </is>
      </c>
      <c r="S45">
        <f>HYPERLINK("https://klasma.github.io/Logging_2180/artfynd/A 22616-2019 artfynd.xlsx", "A 22616-2019")</f>
        <v/>
      </c>
      <c r="T45">
        <f>HYPERLINK("https://klasma.github.io/Logging_2180/kartor/A 22616-2019 karta.png", "A 22616-2019")</f>
        <v/>
      </c>
      <c r="V45">
        <f>HYPERLINK("https://klasma.github.io/Logging_2180/klagomål/A 22616-2019 FSC-klagomål.docx", "A 22616-2019")</f>
        <v/>
      </c>
      <c r="W45">
        <f>HYPERLINK("https://klasma.github.io/Logging_2180/klagomålsmail/A 22616-2019 FSC-klagomål mail.docx", "A 22616-2019")</f>
        <v/>
      </c>
      <c r="X45">
        <f>HYPERLINK("https://klasma.github.io/Logging_2180/tillsyn/A 22616-2019 tillsynsbegäran.docx", "A 22616-2019")</f>
        <v/>
      </c>
      <c r="Y45">
        <f>HYPERLINK("https://klasma.github.io/Logging_2180/tillsynsmail/A 22616-2019 tillsynsbegäran mail.docx", "A 22616-2019")</f>
        <v/>
      </c>
    </row>
    <row r="46" ht="15" customHeight="1">
      <c r="A46" t="inlineStr">
        <is>
          <t>A 58168-2020</t>
        </is>
      </c>
      <c r="B46" s="1" t="n">
        <v>44144</v>
      </c>
      <c r="C46" s="1" t="n">
        <v>45759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3.7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HYPERLINK("https://klasma.github.io/Logging_2180/artfynd/A 58168-2020 artfynd.xlsx", "A 58168-2020")</f>
        <v/>
      </c>
      <c r="T46">
        <f>HYPERLINK("https://klasma.github.io/Logging_2180/kartor/A 58168-2020 karta.png", "A 58168-2020")</f>
        <v/>
      </c>
      <c r="U46">
        <f>HYPERLINK("https://klasma.github.io/Logging_2180/knärot/A 58168-2020 karta knärot.png", "A 58168-2020")</f>
        <v/>
      </c>
      <c r="V46">
        <f>HYPERLINK("https://klasma.github.io/Logging_2180/klagomål/A 58168-2020 FSC-klagomål.docx", "A 58168-2020")</f>
        <v/>
      </c>
      <c r="W46">
        <f>HYPERLINK("https://klasma.github.io/Logging_2180/klagomålsmail/A 58168-2020 FSC-klagomål mail.docx", "A 58168-2020")</f>
        <v/>
      </c>
      <c r="X46">
        <f>HYPERLINK("https://klasma.github.io/Logging_2180/tillsyn/A 58168-2020 tillsynsbegäran.docx", "A 58168-2020")</f>
        <v/>
      </c>
      <c r="Y46">
        <f>HYPERLINK("https://klasma.github.io/Logging_2180/tillsynsmail/A 58168-2020 tillsynsbegäran mail.docx", "A 58168-2020")</f>
        <v/>
      </c>
    </row>
    <row r="47" ht="15" customHeight="1">
      <c r="A47" t="inlineStr">
        <is>
          <t>A 62316-2020</t>
        </is>
      </c>
      <c r="B47" s="1" t="n">
        <v>44160</v>
      </c>
      <c r="C47" s="1" t="n">
        <v>45759</v>
      </c>
      <c r="D47" t="inlineStr">
        <is>
          <t>GÄVLEBORGS LÄN</t>
        </is>
      </c>
      <c r="E47" t="inlineStr">
        <is>
          <t>GÄVLE</t>
        </is>
      </c>
      <c r="F47" t="inlineStr">
        <is>
          <t>Kommuner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62316-2020 artfynd.xlsx", "A 62316-2020")</f>
        <v/>
      </c>
      <c r="T47">
        <f>HYPERLINK("https://klasma.github.io/Logging_2180/kartor/A 62316-2020 karta.png", "A 62316-2020")</f>
        <v/>
      </c>
      <c r="V47">
        <f>HYPERLINK("https://klasma.github.io/Logging_2180/klagomål/A 62316-2020 FSC-klagomål.docx", "A 62316-2020")</f>
        <v/>
      </c>
      <c r="W47">
        <f>HYPERLINK("https://klasma.github.io/Logging_2180/klagomålsmail/A 62316-2020 FSC-klagomål mail.docx", "A 62316-2020")</f>
        <v/>
      </c>
      <c r="X47">
        <f>HYPERLINK("https://klasma.github.io/Logging_2180/tillsyn/A 62316-2020 tillsynsbegäran.docx", "A 62316-2020")</f>
        <v/>
      </c>
      <c r="Y47">
        <f>HYPERLINK("https://klasma.github.io/Logging_2180/tillsynsmail/A 62316-2020 tillsynsbegäran mail.docx", "A 62316-2020")</f>
        <v/>
      </c>
    </row>
    <row r="48" ht="15" customHeight="1">
      <c r="A48" t="inlineStr">
        <is>
          <t>A 14569-2021</t>
        </is>
      </c>
      <c r="B48" s="1" t="n">
        <v>44279</v>
      </c>
      <c r="C48" s="1" t="n">
        <v>45759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5.1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HYPERLINK("https://klasma.github.io/Logging_2180/artfynd/A 14569-2021 artfynd.xlsx", "A 14569-2021")</f>
        <v/>
      </c>
      <c r="T48">
        <f>HYPERLINK("https://klasma.github.io/Logging_2180/kartor/A 14569-2021 karta.png", "A 14569-2021")</f>
        <v/>
      </c>
      <c r="V48">
        <f>HYPERLINK("https://klasma.github.io/Logging_2180/klagomål/A 14569-2021 FSC-klagomål.docx", "A 14569-2021")</f>
        <v/>
      </c>
      <c r="W48">
        <f>HYPERLINK("https://klasma.github.io/Logging_2180/klagomålsmail/A 14569-2021 FSC-klagomål mail.docx", "A 14569-2021")</f>
        <v/>
      </c>
      <c r="X48">
        <f>HYPERLINK("https://klasma.github.io/Logging_2180/tillsyn/A 14569-2021 tillsynsbegäran.docx", "A 14569-2021")</f>
        <v/>
      </c>
      <c r="Y48">
        <f>HYPERLINK("https://klasma.github.io/Logging_2180/tillsynsmail/A 14569-2021 tillsynsbegäran mail.docx", "A 14569-2021")</f>
        <v/>
      </c>
    </row>
    <row r="49" ht="15" customHeight="1">
      <c r="A49" t="inlineStr">
        <is>
          <t>A 40986-2021</t>
        </is>
      </c>
      <c r="B49" s="1" t="n">
        <v>44421</v>
      </c>
      <c r="C49" s="1" t="n">
        <v>45759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Rödvingetrast</t>
        </is>
      </c>
      <c r="S49">
        <f>HYPERLINK("https://klasma.github.io/Logging_2180/artfynd/A 40986-2021 artfynd.xlsx", "A 40986-2021")</f>
        <v/>
      </c>
      <c r="T49">
        <f>HYPERLINK("https://klasma.github.io/Logging_2180/kartor/A 40986-2021 karta.png", "A 40986-2021")</f>
        <v/>
      </c>
      <c r="V49">
        <f>HYPERLINK("https://klasma.github.io/Logging_2180/klagomål/A 40986-2021 FSC-klagomål.docx", "A 40986-2021")</f>
        <v/>
      </c>
      <c r="W49">
        <f>HYPERLINK("https://klasma.github.io/Logging_2180/klagomålsmail/A 40986-2021 FSC-klagomål mail.docx", "A 40986-2021")</f>
        <v/>
      </c>
      <c r="X49">
        <f>HYPERLINK("https://klasma.github.io/Logging_2180/tillsyn/A 40986-2021 tillsynsbegäran.docx", "A 40986-2021")</f>
        <v/>
      </c>
      <c r="Y49">
        <f>HYPERLINK("https://klasma.github.io/Logging_2180/tillsynsmail/A 40986-2021 tillsynsbegäran mail.docx", "A 40986-2021")</f>
        <v/>
      </c>
      <c r="Z49">
        <f>HYPERLINK("https://klasma.github.io/Logging_2180/fåglar/A 40986-2021 prioriterade fågelarter.docx", "A 40986-2021")</f>
        <v/>
      </c>
    </row>
    <row r="50" ht="15" customHeight="1">
      <c r="A50" t="inlineStr">
        <is>
          <t>A 59225-2021</t>
        </is>
      </c>
      <c r="B50" s="1" t="n">
        <v>44490</v>
      </c>
      <c r="C50" s="1" t="n">
        <v>45759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59225-2021 artfynd.xlsx", "A 59225-2021")</f>
        <v/>
      </c>
      <c r="T50">
        <f>HYPERLINK("https://klasma.github.io/Logging_2180/kartor/A 59225-2021 karta.png", "A 59225-2021")</f>
        <v/>
      </c>
      <c r="V50">
        <f>HYPERLINK("https://klasma.github.io/Logging_2180/klagomål/A 59225-2021 FSC-klagomål.docx", "A 59225-2021")</f>
        <v/>
      </c>
      <c r="W50">
        <f>HYPERLINK("https://klasma.github.io/Logging_2180/klagomålsmail/A 59225-2021 FSC-klagomål mail.docx", "A 59225-2021")</f>
        <v/>
      </c>
      <c r="X50">
        <f>HYPERLINK("https://klasma.github.io/Logging_2180/tillsyn/A 59225-2021 tillsynsbegäran.docx", "A 59225-2021")</f>
        <v/>
      </c>
      <c r="Y50">
        <f>HYPERLINK("https://klasma.github.io/Logging_2180/tillsynsmail/A 59225-2021 tillsynsbegäran mail.docx", "A 59225-2021")</f>
        <v/>
      </c>
    </row>
    <row r="51" ht="15" customHeight="1">
      <c r="A51" t="inlineStr">
        <is>
          <t>A 66495-2021</t>
        </is>
      </c>
      <c r="B51" s="1" t="n">
        <v>44519</v>
      </c>
      <c r="C51" s="1" t="n">
        <v>45759</v>
      </c>
      <c r="D51" t="inlineStr">
        <is>
          <t>GÄVLEBORGS LÄN</t>
        </is>
      </c>
      <c r="E51" t="inlineStr">
        <is>
          <t>GÄVLE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Sumpviol</t>
        </is>
      </c>
      <c r="S51">
        <f>HYPERLINK("https://klasma.github.io/Logging_2180/artfynd/A 66495-2021 artfynd.xlsx", "A 66495-2021")</f>
        <v/>
      </c>
      <c r="T51">
        <f>HYPERLINK("https://klasma.github.io/Logging_2180/kartor/A 66495-2021 karta.png", "A 66495-2021")</f>
        <v/>
      </c>
      <c r="V51">
        <f>HYPERLINK("https://klasma.github.io/Logging_2180/klagomål/A 66495-2021 FSC-klagomål.docx", "A 66495-2021")</f>
        <v/>
      </c>
      <c r="W51">
        <f>HYPERLINK("https://klasma.github.io/Logging_2180/klagomålsmail/A 66495-2021 FSC-klagomål mail.docx", "A 66495-2021")</f>
        <v/>
      </c>
      <c r="X51">
        <f>HYPERLINK("https://klasma.github.io/Logging_2180/tillsyn/A 66495-2021 tillsynsbegäran.docx", "A 66495-2021")</f>
        <v/>
      </c>
      <c r="Y51">
        <f>HYPERLINK("https://klasma.github.io/Logging_2180/tillsynsmail/A 66495-2021 tillsynsbegäran mail.docx", "A 66495-2021")</f>
        <v/>
      </c>
    </row>
    <row r="52" ht="15" customHeight="1">
      <c r="A52" t="inlineStr">
        <is>
          <t>A 6779-2022</t>
        </is>
      </c>
      <c r="B52" s="1" t="n">
        <v>44602</v>
      </c>
      <c r="C52" s="1" t="n">
        <v>45759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6779-2022 artfynd.xlsx", "A 6779-2022")</f>
        <v/>
      </c>
      <c r="T52">
        <f>HYPERLINK("https://klasma.github.io/Logging_2180/kartor/A 6779-2022 karta.png", "A 6779-2022")</f>
        <v/>
      </c>
      <c r="V52">
        <f>HYPERLINK("https://klasma.github.io/Logging_2180/klagomål/A 6779-2022 FSC-klagomål.docx", "A 6779-2022")</f>
        <v/>
      </c>
      <c r="W52">
        <f>HYPERLINK("https://klasma.github.io/Logging_2180/klagomålsmail/A 6779-2022 FSC-klagomål mail.docx", "A 6779-2022")</f>
        <v/>
      </c>
      <c r="X52">
        <f>HYPERLINK("https://klasma.github.io/Logging_2180/tillsyn/A 6779-2022 tillsynsbegäran.docx", "A 6779-2022")</f>
        <v/>
      </c>
      <c r="Y52">
        <f>HYPERLINK("https://klasma.github.io/Logging_2180/tillsynsmail/A 6779-2022 tillsynsbegäran mail.docx", "A 6779-2022")</f>
        <v/>
      </c>
    </row>
    <row r="53" ht="15" customHeight="1">
      <c r="A53" t="inlineStr">
        <is>
          <t>A 15102-2022</t>
        </is>
      </c>
      <c r="B53" s="1" t="n">
        <v>44658</v>
      </c>
      <c r="C53" s="1" t="n">
        <v>45759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4.5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Sumpviol</t>
        </is>
      </c>
      <c r="S53">
        <f>HYPERLINK("https://klasma.github.io/Logging_2180/artfynd/A 15102-2022 artfynd.xlsx", "A 15102-2022")</f>
        <v/>
      </c>
      <c r="T53">
        <f>HYPERLINK("https://klasma.github.io/Logging_2180/kartor/A 15102-2022 karta.png", "A 15102-2022")</f>
        <v/>
      </c>
      <c r="V53">
        <f>HYPERLINK("https://klasma.github.io/Logging_2180/klagomål/A 15102-2022 FSC-klagomål.docx", "A 15102-2022")</f>
        <v/>
      </c>
      <c r="W53">
        <f>HYPERLINK("https://klasma.github.io/Logging_2180/klagomålsmail/A 15102-2022 FSC-klagomål mail.docx", "A 15102-2022")</f>
        <v/>
      </c>
      <c r="X53">
        <f>HYPERLINK("https://klasma.github.io/Logging_2180/tillsyn/A 15102-2022 tillsynsbegäran.docx", "A 15102-2022")</f>
        <v/>
      </c>
      <c r="Y53">
        <f>HYPERLINK("https://klasma.github.io/Logging_2180/tillsynsmail/A 15102-2022 tillsynsbegäran mail.docx", "A 15102-2022")</f>
        <v/>
      </c>
    </row>
    <row r="54" ht="15" customHeight="1">
      <c r="A54" t="inlineStr">
        <is>
          <t>A 23511-2022</t>
        </is>
      </c>
      <c r="B54" s="1" t="n">
        <v>44721</v>
      </c>
      <c r="C54" s="1" t="n">
        <v>45759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7.9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Grantaggsvamp</t>
        </is>
      </c>
      <c r="S54">
        <f>HYPERLINK("https://klasma.github.io/Logging_2180/artfynd/A 23511-2022 artfynd.xlsx", "A 23511-2022")</f>
        <v/>
      </c>
      <c r="T54">
        <f>HYPERLINK("https://klasma.github.io/Logging_2180/kartor/A 23511-2022 karta.png", "A 23511-2022")</f>
        <v/>
      </c>
      <c r="V54">
        <f>HYPERLINK("https://klasma.github.io/Logging_2180/klagomål/A 23511-2022 FSC-klagomål.docx", "A 23511-2022")</f>
        <v/>
      </c>
      <c r="W54">
        <f>HYPERLINK("https://klasma.github.io/Logging_2180/klagomålsmail/A 23511-2022 FSC-klagomål mail.docx", "A 23511-2022")</f>
        <v/>
      </c>
      <c r="X54">
        <f>HYPERLINK("https://klasma.github.io/Logging_2180/tillsyn/A 23511-2022 tillsynsbegäran.docx", "A 23511-2022")</f>
        <v/>
      </c>
      <c r="Y54">
        <f>HYPERLINK("https://klasma.github.io/Logging_2180/tillsynsmail/A 23511-2022 tillsynsbegäran mail.docx", "A 23511-2022")</f>
        <v/>
      </c>
    </row>
    <row r="55" ht="15" customHeight="1">
      <c r="A55" t="inlineStr">
        <is>
          <t>A 33812-2022</t>
        </is>
      </c>
      <c r="B55" s="1" t="n">
        <v>44790</v>
      </c>
      <c r="C55" s="1" t="n">
        <v>45759</v>
      </c>
      <c r="D55" t="inlineStr">
        <is>
          <t>GÄVLEBORGS LÄN</t>
        </is>
      </c>
      <c r="E55" t="inlineStr">
        <is>
          <t>GÄVLE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Myskmadra</t>
        </is>
      </c>
      <c r="S55">
        <f>HYPERLINK("https://klasma.github.io/Logging_2180/artfynd/A 33812-2022 artfynd.xlsx", "A 33812-2022")</f>
        <v/>
      </c>
      <c r="T55">
        <f>HYPERLINK("https://klasma.github.io/Logging_2180/kartor/A 33812-2022 karta.png", "A 33812-2022")</f>
        <v/>
      </c>
      <c r="V55">
        <f>HYPERLINK("https://klasma.github.io/Logging_2180/klagomål/A 33812-2022 FSC-klagomål.docx", "A 33812-2022")</f>
        <v/>
      </c>
      <c r="W55">
        <f>HYPERLINK("https://klasma.github.io/Logging_2180/klagomålsmail/A 33812-2022 FSC-klagomål mail.docx", "A 33812-2022")</f>
        <v/>
      </c>
      <c r="X55">
        <f>HYPERLINK("https://klasma.github.io/Logging_2180/tillsyn/A 33812-2022 tillsynsbegäran.docx", "A 33812-2022")</f>
        <v/>
      </c>
      <c r="Y55">
        <f>HYPERLINK("https://klasma.github.io/Logging_2180/tillsynsmail/A 33812-2022 tillsynsbegäran mail.docx", "A 33812-2022")</f>
        <v/>
      </c>
    </row>
    <row r="56" ht="15" customHeight="1">
      <c r="A56" t="inlineStr">
        <is>
          <t>A 37927-2022</t>
        </is>
      </c>
      <c r="B56" s="1" t="n">
        <v>44811</v>
      </c>
      <c r="C56" s="1" t="n">
        <v>45759</v>
      </c>
      <c r="D56" t="inlineStr">
        <is>
          <t>GÄVLEBORGS LÄN</t>
        </is>
      </c>
      <c r="E56" t="inlineStr">
        <is>
          <t>GÄVLE</t>
        </is>
      </c>
      <c r="G56" t="n">
        <v>1.6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HYPERLINK("https://klasma.github.io/Logging_2180/artfynd/A 37927-2022 artfynd.xlsx", "A 37927-2022")</f>
        <v/>
      </c>
      <c r="T56">
        <f>HYPERLINK("https://klasma.github.io/Logging_2180/kartor/A 37927-2022 karta.png", "A 37927-2022")</f>
        <v/>
      </c>
      <c r="U56">
        <f>HYPERLINK("https://klasma.github.io/Logging_2180/knärot/A 37927-2022 karta knärot.png", "A 37927-2022")</f>
        <v/>
      </c>
      <c r="V56">
        <f>HYPERLINK("https://klasma.github.io/Logging_2180/klagomål/A 37927-2022 FSC-klagomål.docx", "A 37927-2022")</f>
        <v/>
      </c>
      <c r="W56">
        <f>HYPERLINK("https://klasma.github.io/Logging_2180/klagomålsmail/A 37927-2022 FSC-klagomål mail.docx", "A 37927-2022")</f>
        <v/>
      </c>
      <c r="X56">
        <f>HYPERLINK("https://klasma.github.io/Logging_2180/tillsyn/A 37927-2022 tillsynsbegäran.docx", "A 37927-2022")</f>
        <v/>
      </c>
      <c r="Y56">
        <f>HYPERLINK("https://klasma.github.io/Logging_2180/tillsynsmail/A 37927-2022 tillsynsbegäran mail.docx", "A 37927-2022")</f>
        <v/>
      </c>
    </row>
    <row r="57" ht="15" customHeight="1">
      <c r="A57" t="inlineStr">
        <is>
          <t>A 45241-2022</t>
        </is>
      </c>
      <c r="B57" s="1" t="n">
        <v>44840</v>
      </c>
      <c r="C57" s="1" t="n">
        <v>45759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22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45241-2022 artfynd.xlsx", "A 45241-2022")</f>
        <v/>
      </c>
      <c r="T57">
        <f>HYPERLINK("https://klasma.github.io/Logging_2180/kartor/A 45241-2022 karta.png", "A 45241-2022")</f>
        <v/>
      </c>
      <c r="V57">
        <f>HYPERLINK("https://klasma.github.io/Logging_2180/klagomål/A 45241-2022 FSC-klagomål.docx", "A 45241-2022")</f>
        <v/>
      </c>
      <c r="W57">
        <f>HYPERLINK("https://klasma.github.io/Logging_2180/klagomålsmail/A 45241-2022 FSC-klagomål mail.docx", "A 45241-2022")</f>
        <v/>
      </c>
      <c r="X57">
        <f>HYPERLINK("https://klasma.github.io/Logging_2180/tillsyn/A 45241-2022 tillsynsbegäran.docx", "A 45241-2022")</f>
        <v/>
      </c>
      <c r="Y57">
        <f>HYPERLINK("https://klasma.github.io/Logging_2180/tillsynsmail/A 45241-2022 tillsynsbegäran mail.docx", "A 45241-2022")</f>
        <v/>
      </c>
    </row>
    <row r="58" ht="15" customHeight="1">
      <c r="A58" t="inlineStr">
        <is>
          <t>A 8622-2023</t>
        </is>
      </c>
      <c r="B58" s="1" t="n">
        <v>44977</v>
      </c>
      <c r="C58" s="1" t="n">
        <v>45759</v>
      </c>
      <c r="D58" t="inlineStr">
        <is>
          <t>GÄVLEBORGS LÄN</t>
        </is>
      </c>
      <c r="E58" t="inlineStr">
        <is>
          <t>GÄVLE</t>
        </is>
      </c>
      <c r="G58" t="n">
        <v>9.199999999999999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HYPERLINK("https://klasma.github.io/Logging_2180/artfynd/A 8622-2023 artfynd.xlsx", "A 8622-2023")</f>
        <v/>
      </c>
      <c r="T58">
        <f>HYPERLINK("https://klasma.github.io/Logging_2180/kartor/A 8622-2023 karta.png", "A 8622-2023")</f>
        <v/>
      </c>
      <c r="U58">
        <f>HYPERLINK("https://klasma.github.io/Logging_2180/knärot/A 8622-2023 karta knärot.png", "A 8622-2023")</f>
        <v/>
      </c>
      <c r="V58">
        <f>HYPERLINK("https://klasma.github.io/Logging_2180/klagomål/A 8622-2023 FSC-klagomål.docx", "A 8622-2023")</f>
        <v/>
      </c>
      <c r="W58">
        <f>HYPERLINK("https://klasma.github.io/Logging_2180/klagomålsmail/A 8622-2023 FSC-klagomål mail.docx", "A 8622-2023")</f>
        <v/>
      </c>
      <c r="X58">
        <f>HYPERLINK("https://klasma.github.io/Logging_2180/tillsyn/A 8622-2023 tillsynsbegäran.docx", "A 8622-2023")</f>
        <v/>
      </c>
      <c r="Y58">
        <f>HYPERLINK("https://klasma.github.io/Logging_2180/tillsynsmail/A 8622-2023 tillsynsbegäran mail.docx", "A 8622-2023")</f>
        <v/>
      </c>
    </row>
    <row r="59" ht="15" customHeight="1">
      <c r="A59" t="inlineStr">
        <is>
          <t>A 29821-2023</t>
        </is>
      </c>
      <c r="B59" s="1" t="n">
        <v>45107</v>
      </c>
      <c r="C59" s="1" t="n">
        <v>45759</v>
      </c>
      <c r="D59" t="inlineStr">
        <is>
          <t>GÄVLEBORGS LÄN</t>
        </is>
      </c>
      <c r="E59" t="inlineStr">
        <is>
          <t>GÄVLE</t>
        </is>
      </c>
      <c r="G59" t="n">
        <v>5.3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flugsnappare</t>
        </is>
      </c>
      <c r="S59">
        <f>HYPERLINK("https://klasma.github.io/Logging_2180/artfynd/A 29821-2023 artfynd.xlsx", "A 29821-2023")</f>
        <v/>
      </c>
      <c r="T59">
        <f>HYPERLINK("https://klasma.github.io/Logging_2180/kartor/A 29821-2023 karta.png", "A 29821-2023")</f>
        <v/>
      </c>
      <c r="V59">
        <f>HYPERLINK("https://klasma.github.io/Logging_2180/klagomål/A 29821-2023 FSC-klagomål.docx", "A 29821-2023")</f>
        <v/>
      </c>
      <c r="W59">
        <f>HYPERLINK("https://klasma.github.io/Logging_2180/klagomålsmail/A 29821-2023 FSC-klagomål mail.docx", "A 29821-2023")</f>
        <v/>
      </c>
      <c r="X59">
        <f>HYPERLINK("https://klasma.github.io/Logging_2180/tillsyn/A 29821-2023 tillsynsbegäran.docx", "A 29821-2023")</f>
        <v/>
      </c>
      <c r="Y59">
        <f>HYPERLINK("https://klasma.github.io/Logging_2180/tillsynsmail/A 29821-2023 tillsynsbegäran mail.docx", "A 29821-2023")</f>
        <v/>
      </c>
      <c r="Z59">
        <f>HYPERLINK("https://klasma.github.io/Logging_2180/fåglar/A 29821-2023 prioriterade fågelarter.docx", "A 29821-2023")</f>
        <v/>
      </c>
    </row>
    <row r="60" ht="15" customHeight="1">
      <c r="A60" t="inlineStr">
        <is>
          <t>A 32254-2023</t>
        </is>
      </c>
      <c r="B60" s="1" t="n">
        <v>45120</v>
      </c>
      <c r="C60" s="1" t="n">
        <v>45759</v>
      </c>
      <c r="D60" t="inlineStr">
        <is>
          <t>GÄVLEBORGS LÄN</t>
        </is>
      </c>
      <c r="E60" t="inlineStr">
        <is>
          <t>GÄVLE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HYPERLINK("https://klasma.github.io/Logging_2180/artfynd/A 32254-2023 artfynd.xlsx", "A 32254-2023")</f>
        <v/>
      </c>
      <c r="T60">
        <f>HYPERLINK("https://klasma.github.io/Logging_2180/kartor/A 32254-2023 karta.png", "A 32254-2023")</f>
        <v/>
      </c>
      <c r="V60">
        <f>HYPERLINK("https://klasma.github.io/Logging_2180/klagomål/A 32254-2023 FSC-klagomål.docx", "A 32254-2023")</f>
        <v/>
      </c>
      <c r="W60">
        <f>HYPERLINK("https://klasma.github.io/Logging_2180/klagomålsmail/A 32254-2023 FSC-klagomål mail.docx", "A 32254-2023")</f>
        <v/>
      </c>
      <c r="X60">
        <f>HYPERLINK("https://klasma.github.io/Logging_2180/tillsyn/A 32254-2023 tillsynsbegäran.docx", "A 32254-2023")</f>
        <v/>
      </c>
      <c r="Y60">
        <f>HYPERLINK("https://klasma.github.io/Logging_2180/tillsynsmail/A 32254-2023 tillsynsbegäran mail.docx", "A 32254-2023")</f>
        <v/>
      </c>
    </row>
    <row r="61" ht="15" customHeight="1">
      <c r="A61" t="inlineStr">
        <is>
          <t>A 36353-2023</t>
        </is>
      </c>
      <c r="B61" s="1" t="n">
        <v>45152</v>
      </c>
      <c r="C61" s="1" t="n">
        <v>45759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9.9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HYPERLINK("https://klasma.github.io/Logging_2180/artfynd/A 36353-2023 artfynd.xlsx", "A 36353-2023")</f>
        <v/>
      </c>
      <c r="T61">
        <f>HYPERLINK("https://klasma.github.io/Logging_2180/kartor/A 36353-2023 karta.png", "A 36353-2023")</f>
        <v/>
      </c>
      <c r="V61">
        <f>HYPERLINK("https://klasma.github.io/Logging_2180/klagomål/A 36353-2023 FSC-klagomål.docx", "A 36353-2023")</f>
        <v/>
      </c>
      <c r="W61">
        <f>HYPERLINK("https://klasma.github.io/Logging_2180/klagomålsmail/A 36353-2023 FSC-klagomål mail.docx", "A 36353-2023")</f>
        <v/>
      </c>
      <c r="X61">
        <f>HYPERLINK("https://klasma.github.io/Logging_2180/tillsyn/A 36353-2023 tillsynsbegäran.docx", "A 36353-2023")</f>
        <v/>
      </c>
      <c r="Y61">
        <f>HYPERLINK("https://klasma.github.io/Logging_2180/tillsynsmail/A 36353-2023 tillsynsbegäran mail.docx", "A 36353-2023")</f>
        <v/>
      </c>
    </row>
    <row r="62" ht="15" customHeight="1">
      <c r="A62" t="inlineStr">
        <is>
          <t>A 51550-2023</t>
        </is>
      </c>
      <c r="B62" s="1" t="n">
        <v>45222</v>
      </c>
      <c r="C62" s="1" t="n">
        <v>45759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16.4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HYPERLINK("https://klasma.github.io/Logging_2180/artfynd/A 51550-2023 artfynd.xlsx", "A 51550-2023")</f>
        <v/>
      </c>
      <c r="T62">
        <f>HYPERLINK("https://klasma.github.io/Logging_2180/kartor/A 51550-2023 karta.png", "A 51550-2023")</f>
        <v/>
      </c>
      <c r="V62">
        <f>HYPERLINK("https://klasma.github.io/Logging_2180/klagomål/A 51550-2023 FSC-klagomål.docx", "A 51550-2023")</f>
        <v/>
      </c>
      <c r="W62">
        <f>HYPERLINK("https://klasma.github.io/Logging_2180/klagomålsmail/A 51550-2023 FSC-klagomål mail.docx", "A 51550-2023")</f>
        <v/>
      </c>
      <c r="X62">
        <f>HYPERLINK("https://klasma.github.io/Logging_2180/tillsyn/A 51550-2023 tillsynsbegäran.docx", "A 51550-2023")</f>
        <v/>
      </c>
      <c r="Y62">
        <f>HYPERLINK("https://klasma.github.io/Logging_2180/tillsynsmail/A 51550-2023 tillsynsbegäran mail.docx", "A 51550-2023")</f>
        <v/>
      </c>
    </row>
    <row r="63" ht="15" customHeight="1">
      <c r="A63" t="inlineStr">
        <is>
          <t>A 56368-2023</t>
        </is>
      </c>
      <c r="B63" s="1" t="n">
        <v>45243</v>
      </c>
      <c r="C63" s="1" t="n">
        <v>45759</v>
      </c>
      <c r="D63" t="inlineStr">
        <is>
          <t>GÄVLEBORGS LÄN</t>
        </is>
      </c>
      <c r="E63" t="inlineStr">
        <is>
          <t>GÄVLE</t>
        </is>
      </c>
      <c r="G63" t="n">
        <v>10.8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HYPERLINK("https://klasma.github.io/Logging_2180/artfynd/A 56368-2023 artfynd.xlsx", "A 56368-2023")</f>
        <v/>
      </c>
      <c r="T63">
        <f>HYPERLINK("https://klasma.github.io/Logging_2180/kartor/A 56368-2023 karta.png", "A 56368-2023")</f>
        <v/>
      </c>
      <c r="U63">
        <f>HYPERLINK("https://klasma.github.io/Logging_2180/knärot/A 56368-2023 karta knärot.png", "A 56368-2023")</f>
        <v/>
      </c>
      <c r="V63">
        <f>HYPERLINK("https://klasma.github.io/Logging_2180/klagomål/A 56368-2023 FSC-klagomål.docx", "A 56368-2023")</f>
        <v/>
      </c>
      <c r="W63">
        <f>HYPERLINK("https://klasma.github.io/Logging_2180/klagomålsmail/A 56368-2023 FSC-klagomål mail.docx", "A 56368-2023")</f>
        <v/>
      </c>
      <c r="X63">
        <f>HYPERLINK("https://klasma.github.io/Logging_2180/tillsyn/A 56368-2023 tillsynsbegäran.docx", "A 56368-2023")</f>
        <v/>
      </c>
      <c r="Y63">
        <f>HYPERLINK("https://klasma.github.io/Logging_2180/tillsynsmail/A 56368-2023 tillsynsbegäran mail.docx", "A 56368-2023")</f>
        <v/>
      </c>
    </row>
    <row r="64" ht="15" customHeight="1">
      <c r="A64" t="inlineStr">
        <is>
          <t>A 7296-2024</t>
        </is>
      </c>
      <c r="B64" s="1" t="n">
        <v>45344</v>
      </c>
      <c r="C64" s="1" t="n">
        <v>45759</v>
      </c>
      <c r="D64" t="inlineStr">
        <is>
          <t>GÄVLEBORGS LÄN</t>
        </is>
      </c>
      <c r="E64" t="inlineStr">
        <is>
          <t>GÄVLE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HYPERLINK("https://klasma.github.io/Logging_2180/artfynd/A 7296-2024 artfynd.xlsx", "A 7296-2024")</f>
        <v/>
      </c>
      <c r="T64">
        <f>HYPERLINK("https://klasma.github.io/Logging_2180/kartor/A 7296-2024 karta.png", "A 7296-2024")</f>
        <v/>
      </c>
      <c r="V64">
        <f>HYPERLINK("https://klasma.github.io/Logging_2180/klagomål/A 7296-2024 FSC-klagomål.docx", "A 7296-2024")</f>
        <v/>
      </c>
      <c r="W64">
        <f>HYPERLINK("https://klasma.github.io/Logging_2180/klagomålsmail/A 7296-2024 FSC-klagomål mail.docx", "A 7296-2024")</f>
        <v/>
      </c>
      <c r="X64">
        <f>HYPERLINK("https://klasma.github.io/Logging_2180/tillsyn/A 7296-2024 tillsynsbegäran.docx", "A 7296-2024")</f>
        <v/>
      </c>
      <c r="Y64">
        <f>HYPERLINK("https://klasma.github.io/Logging_2180/tillsynsmail/A 7296-2024 tillsynsbegäran mail.docx", "A 7296-2024")</f>
        <v/>
      </c>
    </row>
    <row r="65" ht="15" customHeight="1">
      <c r="A65" t="inlineStr">
        <is>
          <t>A 14726-2024</t>
        </is>
      </c>
      <c r="B65" s="1" t="n">
        <v>45397</v>
      </c>
      <c r="C65" s="1" t="n">
        <v>45759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9.9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HYPERLINK("https://klasma.github.io/Logging_2180/artfynd/A 14726-2024 artfynd.xlsx", "A 14726-2024")</f>
        <v/>
      </c>
      <c r="T65">
        <f>HYPERLINK("https://klasma.github.io/Logging_2180/kartor/A 14726-2024 karta.png", "A 14726-2024")</f>
        <v/>
      </c>
      <c r="V65">
        <f>HYPERLINK("https://klasma.github.io/Logging_2180/klagomål/A 14726-2024 FSC-klagomål.docx", "A 14726-2024")</f>
        <v/>
      </c>
      <c r="W65">
        <f>HYPERLINK("https://klasma.github.io/Logging_2180/klagomålsmail/A 14726-2024 FSC-klagomål mail.docx", "A 14726-2024")</f>
        <v/>
      </c>
      <c r="X65">
        <f>HYPERLINK("https://klasma.github.io/Logging_2180/tillsyn/A 14726-2024 tillsynsbegäran.docx", "A 14726-2024")</f>
        <v/>
      </c>
      <c r="Y65">
        <f>HYPERLINK("https://klasma.github.io/Logging_2180/tillsynsmail/A 14726-2024 tillsynsbegäran mail.docx", "A 14726-2024")</f>
        <v/>
      </c>
    </row>
    <row r="66" ht="15" customHeight="1">
      <c r="A66" t="inlineStr">
        <is>
          <t>A 14750-2024</t>
        </is>
      </c>
      <c r="B66" s="1" t="n">
        <v>45397</v>
      </c>
      <c r="C66" s="1" t="n">
        <v>45759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4.8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Vårärt</t>
        </is>
      </c>
      <c r="S66">
        <f>HYPERLINK("https://klasma.github.io/Logging_2180/artfynd/A 14750-2024 artfynd.xlsx", "A 14750-2024")</f>
        <v/>
      </c>
      <c r="T66">
        <f>HYPERLINK("https://klasma.github.io/Logging_2180/kartor/A 14750-2024 karta.png", "A 14750-2024")</f>
        <v/>
      </c>
      <c r="V66">
        <f>HYPERLINK("https://klasma.github.io/Logging_2180/klagomål/A 14750-2024 FSC-klagomål.docx", "A 14750-2024")</f>
        <v/>
      </c>
      <c r="W66">
        <f>HYPERLINK("https://klasma.github.io/Logging_2180/klagomålsmail/A 14750-2024 FSC-klagomål mail.docx", "A 14750-2024")</f>
        <v/>
      </c>
      <c r="X66">
        <f>HYPERLINK("https://klasma.github.io/Logging_2180/tillsyn/A 14750-2024 tillsynsbegäran.docx", "A 14750-2024")</f>
        <v/>
      </c>
      <c r="Y66">
        <f>HYPERLINK("https://klasma.github.io/Logging_2180/tillsynsmail/A 14750-2024 tillsynsbegäran mail.docx", "A 14750-2024")</f>
        <v/>
      </c>
    </row>
    <row r="67" ht="15" customHeight="1">
      <c r="A67" t="inlineStr">
        <is>
          <t>A 14847-2024</t>
        </is>
      </c>
      <c r="B67" s="1" t="n">
        <v>45398</v>
      </c>
      <c r="C67" s="1" t="n">
        <v>45759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23.2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HYPERLINK("https://klasma.github.io/Logging_2180/artfynd/A 14847-2024 artfynd.xlsx", "A 14847-2024")</f>
        <v/>
      </c>
      <c r="T67">
        <f>HYPERLINK("https://klasma.github.io/Logging_2180/kartor/A 14847-2024 karta.png", "A 14847-2024")</f>
        <v/>
      </c>
      <c r="V67">
        <f>HYPERLINK("https://klasma.github.io/Logging_2180/klagomål/A 14847-2024 FSC-klagomål.docx", "A 14847-2024")</f>
        <v/>
      </c>
      <c r="W67">
        <f>HYPERLINK("https://klasma.github.io/Logging_2180/klagomålsmail/A 14847-2024 FSC-klagomål mail.docx", "A 14847-2024")</f>
        <v/>
      </c>
      <c r="X67">
        <f>HYPERLINK("https://klasma.github.io/Logging_2180/tillsyn/A 14847-2024 tillsynsbegäran.docx", "A 14847-2024")</f>
        <v/>
      </c>
      <c r="Y67">
        <f>HYPERLINK("https://klasma.github.io/Logging_2180/tillsynsmail/A 14847-2024 tillsynsbegäran mail.docx", "A 14847-2024")</f>
        <v/>
      </c>
    </row>
    <row r="68" ht="15" customHeight="1">
      <c r="A68" t="inlineStr">
        <is>
          <t>A 18215-2024</t>
        </is>
      </c>
      <c r="B68" s="1" t="n">
        <v>45420</v>
      </c>
      <c r="C68" s="1" t="n">
        <v>45759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68.59999999999999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Huggorm</t>
        </is>
      </c>
      <c r="S68">
        <f>HYPERLINK("https://klasma.github.io/Logging_2180/artfynd/A 18215-2024 artfynd.xlsx", "A 18215-2024")</f>
        <v/>
      </c>
      <c r="T68">
        <f>HYPERLINK("https://klasma.github.io/Logging_2180/kartor/A 18215-2024 karta.png", "A 18215-2024")</f>
        <v/>
      </c>
      <c r="V68">
        <f>HYPERLINK("https://klasma.github.io/Logging_2180/klagomål/A 18215-2024 FSC-klagomål.docx", "A 18215-2024")</f>
        <v/>
      </c>
      <c r="W68">
        <f>HYPERLINK("https://klasma.github.io/Logging_2180/klagomålsmail/A 18215-2024 FSC-klagomål mail.docx", "A 18215-2024")</f>
        <v/>
      </c>
      <c r="X68">
        <f>HYPERLINK("https://klasma.github.io/Logging_2180/tillsyn/A 18215-2024 tillsynsbegäran.docx", "A 18215-2024")</f>
        <v/>
      </c>
      <c r="Y68">
        <f>HYPERLINK("https://klasma.github.io/Logging_2180/tillsynsmail/A 18215-2024 tillsynsbegäran mail.docx", "A 18215-2024")</f>
        <v/>
      </c>
    </row>
    <row r="69" ht="15" customHeight="1">
      <c r="A69" t="inlineStr">
        <is>
          <t>A 18376-2024</t>
        </is>
      </c>
      <c r="B69" s="1" t="n">
        <v>45423</v>
      </c>
      <c r="C69" s="1" t="n">
        <v>45759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</t>
        </is>
      </c>
      <c r="S69">
        <f>HYPERLINK("https://klasma.github.io/Logging_2180/artfynd/A 18376-2024 artfynd.xlsx", "A 18376-2024")</f>
        <v/>
      </c>
      <c r="T69">
        <f>HYPERLINK("https://klasma.github.io/Logging_2180/kartor/A 18376-2024 karta.png", "A 18376-2024")</f>
        <v/>
      </c>
      <c r="V69">
        <f>HYPERLINK("https://klasma.github.io/Logging_2180/klagomål/A 18376-2024 FSC-klagomål.docx", "A 18376-2024")</f>
        <v/>
      </c>
      <c r="W69">
        <f>HYPERLINK("https://klasma.github.io/Logging_2180/klagomålsmail/A 18376-2024 FSC-klagomål mail.docx", "A 18376-2024")</f>
        <v/>
      </c>
      <c r="X69">
        <f>HYPERLINK("https://klasma.github.io/Logging_2180/tillsyn/A 18376-2024 tillsynsbegäran.docx", "A 18376-2024")</f>
        <v/>
      </c>
      <c r="Y69">
        <f>HYPERLINK("https://klasma.github.io/Logging_2180/tillsynsmail/A 18376-2024 tillsynsbegäran mail.docx", "A 18376-2024")</f>
        <v/>
      </c>
    </row>
    <row r="70" ht="15" customHeight="1">
      <c r="A70" t="inlineStr">
        <is>
          <t>A 20152-2024</t>
        </is>
      </c>
      <c r="B70" s="1" t="n">
        <v>45434</v>
      </c>
      <c r="C70" s="1" t="n">
        <v>45759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13.4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HYPERLINK("https://klasma.github.io/Logging_2180/artfynd/A 20152-2024 artfynd.xlsx", "A 20152-2024")</f>
        <v/>
      </c>
      <c r="T70">
        <f>HYPERLINK("https://klasma.github.io/Logging_2180/kartor/A 20152-2024 karta.png", "A 20152-2024")</f>
        <v/>
      </c>
      <c r="V70">
        <f>HYPERLINK("https://klasma.github.io/Logging_2180/klagomål/A 20152-2024 FSC-klagomål.docx", "A 20152-2024")</f>
        <v/>
      </c>
      <c r="W70">
        <f>HYPERLINK("https://klasma.github.io/Logging_2180/klagomålsmail/A 20152-2024 FSC-klagomål mail.docx", "A 20152-2024")</f>
        <v/>
      </c>
      <c r="X70">
        <f>HYPERLINK("https://klasma.github.io/Logging_2180/tillsyn/A 20152-2024 tillsynsbegäran.docx", "A 20152-2024")</f>
        <v/>
      </c>
      <c r="Y70">
        <f>HYPERLINK("https://klasma.github.io/Logging_2180/tillsynsmail/A 20152-2024 tillsynsbegäran mail.docx", "A 20152-2024")</f>
        <v/>
      </c>
    </row>
    <row r="71" ht="15" customHeight="1">
      <c r="A71" t="inlineStr">
        <is>
          <t>A 21282-2024</t>
        </is>
      </c>
      <c r="B71" s="1" t="n">
        <v>45440</v>
      </c>
      <c r="C71" s="1" t="n">
        <v>45759</v>
      </c>
      <c r="D71" t="inlineStr">
        <is>
          <t>GÄVLEBORGS LÄN</t>
        </is>
      </c>
      <c r="E71" t="inlineStr">
        <is>
          <t>GÄVLE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HYPERLINK("https://klasma.github.io/Logging_2180/artfynd/A 21282-2024 artfynd.xlsx", "A 21282-2024")</f>
        <v/>
      </c>
      <c r="T71">
        <f>HYPERLINK("https://klasma.github.io/Logging_2180/kartor/A 21282-2024 karta.png", "A 21282-2024")</f>
        <v/>
      </c>
      <c r="V71">
        <f>HYPERLINK("https://klasma.github.io/Logging_2180/klagomål/A 21282-2024 FSC-klagomål.docx", "A 21282-2024")</f>
        <v/>
      </c>
      <c r="W71">
        <f>HYPERLINK("https://klasma.github.io/Logging_2180/klagomålsmail/A 21282-2024 FSC-klagomål mail.docx", "A 21282-2024")</f>
        <v/>
      </c>
      <c r="X71">
        <f>HYPERLINK("https://klasma.github.io/Logging_2180/tillsyn/A 21282-2024 tillsynsbegäran.docx", "A 21282-2024")</f>
        <v/>
      </c>
      <c r="Y71">
        <f>HYPERLINK("https://klasma.github.io/Logging_2180/tillsynsmail/A 21282-2024 tillsynsbegäran mail.docx", "A 21282-2024")</f>
        <v/>
      </c>
    </row>
    <row r="72" ht="15" customHeight="1">
      <c r="A72" t="inlineStr">
        <is>
          <t>A 23700-2024</t>
        </is>
      </c>
      <c r="B72" s="1" t="n">
        <v>45454</v>
      </c>
      <c r="C72" s="1" t="n">
        <v>45759</v>
      </c>
      <c r="D72" t="inlineStr">
        <is>
          <t>GÄVLEBORGS LÄN</t>
        </is>
      </c>
      <c r="E72" t="inlineStr">
        <is>
          <t>GÄVLE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HYPERLINK("https://klasma.github.io/Logging_2180/artfynd/A 23700-2024 artfynd.xlsx", "A 23700-2024")</f>
        <v/>
      </c>
      <c r="T72">
        <f>HYPERLINK("https://klasma.github.io/Logging_2180/kartor/A 23700-2024 karta.png", "A 23700-2024")</f>
        <v/>
      </c>
      <c r="V72">
        <f>HYPERLINK("https://klasma.github.io/Logging_2180/klagomål/A 23700-2024 FSC-klagomål.docx", "A 23700-2024")</f>
        <v/>
      </c>
      <c r="W72">
        <f>HYPERLINK("https://klasma.github.io/Logging_2180/klagomålsmail/A 23700-2024 FSC-klagomål mail.docx", "A 23700-2024")</f>
        <v/>
      </c>
      <c r="X72">
        <f>HYPERLINK("https://klasma.github.io/Logging_2180/tillsyn/A 23700-2024 tillsynsbegäran.docx", "A 23700-2024")</f>
        <v/>
      </c>
      <c r="Y72">
        <f>HYPERLINK("https://klasma.github.io/Logging_2180/tillsynsmail/A 23700-2024 tillsynsbegäran mail.docx", "A 23700-2024")</f>
        <v/>
      </c>
    </row>
    <row r="73" ht="15" customHeight="1">
      <c r="A73" t="inlineStr">
        <is>
          <t>A 25657-2024</t>
        </is>
      </c>
      <c r="B73" s="1" t="n">
        <v>45463</v>
      </c>
      <c r="C73" s="1" t="n">
        <v>45759</v>
      </c>
      <c r="D73" t="inlineStr">
        <is>
          <t>GÄVLEBORGS LÄN</t>
        </is>
      </c>
      <c r="E73" t="inlineStr">
        <is>
          <t>GÄVLE</t>
        </is>
      </c>
      <c r="G73" t="n">
        <v>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HYPERLINK("https://klasma.github.io/Logging_2180/artfynd/A 25657-2024 artfynd.xlsx", "A 25657-2024")</f>
        <v/>
      </c>
      <c r="T73">
        <f>HYPERLINK("https://klasma.github.io/Logging_2180/kartor/A 25657-2024 karta.png", "A 25657-2024")</f>
        <v/>
      </c>
      <c r="V73">
        <f>HYPERLINK("https://klasma.github.io/Logging_2180/klagomål/A 25657-2024 FSC-klagomål.docx", "A 25657-2024")</f>
        <v/>
      </c>
      <c r="W73">
        <f>HYPERLINK("https://klasma.github.io/Logging_2180/klagomålsmail/A 25657-2024 FSC-klagomål mail.docx", "A 25657-2024")</f>
        <v/>
      </c>
      <c r="X73">
        <f>HYPERLINK("https://klasma.github.io/Logging_2180/tillsyn/A 25657-2024 tillsynsbegäran.docx", "A 25657-2024")</f>
        <v/>
      </c>
      <c r="Y73">
        <f>HYPERLINK("https://klasma.github.io/Logging_2180/tillsynsmail/A 25657-2024 tillsynsbegäran mail.docx", "A 25657-2024")</f>
        <v/>
      </c>
    </row>
    <row r="74" ht="15" customHeight="1">
      <c r="A74" t="inlineStr">
        <is>
          <t>A 32328-2024</t>
        </is>
      </c>
      <c r="B74" s="1" t="n">
        <v>45512</v>
      </c>
      <c r="C74" s="1" t="n">
        <v>45759</v>
      </c>
      <c r="D74" t="inlineStr">
        <is>
          <t>GÄVLEBORGS LÄN</t>
        </is>
      </c>
      <c r="E74" t="inlineStr">
        <is>
          <t>GÄVLE</t>
        </is>
      </c>
      <c r="G74" t="n">
        <v>3.1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HYPERLINK("https://klasma.github.io/Logging_2180/artfynd/A 32328-2024 artfynd.xlsx", "A 32328-2024")</f>
        <v/>
      </c>
      <c r="T74">
        <f>HYPERLINK("https://klasma.github.io/Logging_2180/kartor/A 32328-2024 karta.png", "A 32328-2024")</f>
        <v/>
      </c>
      <c r="V74">
        <f>HYPERLINK("https://klasma.github.io/Logging_2180/klagomål/A 32328-2024 FSC-klagomål.docx", "A 32328-2024")</f>
        <v/>
      </c>
      <c r="W74">
        <f>HYPERLINK("https://klasma.github.io/Logging_2180/klagomålsmail/A 32328-2024 FSC-klagomål mail.docx", "A 32328-2024")</f>
        <v/>
      </c>
      <c r="X74">
        <f>HYPERLINK("https://klasma.github.io/Logging_2180/tillsyn/A 32328-2024 tillsynsbegäran.docx", "A 32328-2024")</f>
        <v/>
      </c>
      <c r="Y74">
        <f>HYPERLINK("https://klasma.github.io/Logging_2180/tillsynsmail/A 32328-2024 tillsynsbegäran mail.docx", "A 32328-2024")</f>
        <v/>
      </c>
      <c r="Z74">
        <f>HYPERLINK("https://klasma.github.io/Logging_2180/fåglar/A 32328-2024 prioriterade fågelarter.docx", "A 32328-2024")</f>
        <v/>
      </c>
    </row>
    <row r="75" ht="15" customHeight="1">
      <c r="A75" t="inlineStr">
        <is>
          <t>A 39460-2024</t>
        </is>
      </c>
      <c r="B75" s="1" t="n">
        <v>45551</v>
      </c>
      <c r="C75" s="1" t="n">
        <v>45759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HYPERLINK("https://klasma.github.io/Logging_2180/artfynd/A 39460-2024 artfynd.xlsx", "A 39460-2024")</f>
        <v/>
      </c>
      <c r="T75">
        <f>HYPERLINK("https://klasma.github.io/Logging_2180/kartor/A 39460-2024 karta.png", "A 39460-2024")</f>
        <v/>
      </c>
      <c r="V75">
        <f>HYPERLINK("https://klasma.github.io/Logging_2180/klagomål/A 39460-2024 FSC-klagomål.docx", "A 39460-2024")</f>
        <v/>
      </c>
      <c r="W75">
        <f>HYPERLINK("https://klasma.github.io/Logging_2180/klagomålsmail/A 39460-2024 FSC-klagomål mail.docx", "A 39460-2024")</f>
        <v/>
      </c>
      <c r="X75">
        <f>HYPERLINK("https://klasma.github.io/Logging_2180/tillsyn/A 39460-2024 tillsynsbegäran.docx", "A 39460-2024")</f>
        <v/>
      </c>
      <c r="Y75">
        <f>HYPERLINK("https://klasma.github.io/Logging_2180/tillsynsmail/A 39460-2024 tillsynsbegäran mail.docx", "A 39460-2024")</f>
        <v/>
      </c>
      <c r="Z75">
        <f>HYPERLINK("https://klasma.github.io/Logging_2180/fåglar/A 39460-2024 prioriterade fågelarter.docx", "A 39460-2024")</f>
        <v/>
      </c>
    </row>
    <row r="76" ht="15" customHeight="1">
      <c r="A76" t="inlineStr">
        <is>
          <t>A 43230-2024</t>
        </is>
      </c>
      <c r="B76" s="1" t="n">
        <v>45567</v>
      </c>
      <c r="C76" s="1" t="n">
        <v>45759</v>
      </c>
      <c r="D76" t="inlineStr">
        <is>
          <t>GÄVLEBORGS LÄN</t>
        </is>
      </c>
      <c r="E76" t="inlineStr">
        <is>
          <t>GÄVLE</t>
        </is>
      </c>
      <c r="G76" t="n">
        <v>9.5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HYPERLINK("https://klasma.github.io/Logging_2180/artfynd/A 43230-2024 artfynd.xlsx", "A 43230-2024")</f>
        <v/>
      </c>
      <c r="T76">
        <f>HYPERLINK("https://klasma.github.io/Logging_2180/kartor/A 43230-2024 karta.png", "A 43230-2024")</f>
        <v/>
      </c>
      <c r="V76">
        <f>HYPERLINK("https://klasma.github.io/Logging_2180/klagomål/A 43230-2024 FSC-klagomål.docx", "A 43230-2024")</f>
        <v/>
      </c>
      <c r="W76">
        <f>HYPERLINK("https://klasma.github.io/Logging_2180/klagomålsmail/A 43230-2024 FSC-klagomål mail.docx", "A 43230-2024")</f>
        <v/>
      </c>
      <c r="X76">
        <f>HYPERLINK("https://klasma.github.io/Logging_2180/tillsyn/A 43230-2024 tillsynsbegäran.docx", "A 43230-2024")</f>
        <v/>
      </c>
      <c r="Y76">
        <f>HYPERLINK("https://klasma.github.io/Logging_2180/tillsynsmail/A 43230-2024 tillsynsbegäran mail.docx", "A 43230-2024")</f>
        <v/>
      </c>
    </row>
    <row r="77" ht="15" customHeight="1">
      <c r="A77" t="inlineStr">
        <is>
          <t>A 44434-2024</t>
        </is>
      </c>
      <c r="B77" s="1" t="n">
        <v>45574</v>
      </c>
      <c r="C77" s="1" t="n">
        <v>45759</v>
      </c>
      <c r="D77" t="inlineStr">
        <is>
          <t>GÄVLEBORGS LÄN</t>
        </is>
      </c>
      <c r="E77" t="inlineStr">
        <is>
          <t>GÄVLE</t>
        </is>
      </c>
      <c r="G77" t="n">
        <v>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HYPERLINK("https://klasma.github.io/Logging_2180/artfynd/A 44434-2024 artfynd.xlsx", "A 44434-2024")</f>
        <v/>
      </c>
      <c r="T77">
        <f>HYPERLINK("https://klasma.github.io/Logging_2180/kartor/A 44434-2024 karta.png", "A 44434-2024")</f>
        <v/>
      </c>
      <c r="V77">
        <f>HYPERLINK("https://klasma.github.io/Logging_2180/klagomål/A 44434-2024 FSC-klagomål.docx", "A 44434-2024")</f>
        <v/>
      </c>
      <c r="W77">
        <f>HYPERLINK("https://klasma.github.io/Logging_2180/klagomålsmail/A 44434-2024 FSC-klagomål mail.docx", "A 44434-2024")</f>
        <v/>
      </c>
      <c r="X77">
        <f>HYPERLINK("https://klasma.github.io/Logging_2180/tillsyn/A 44434-2024 tillsynsbegäran.docx", "A 44434-2024")</f>
        <v/>
      </c>
      <c r="Y77">
        <f>HYPERLINK("https://klasma.github.io/Logging_2180/tillsynsmail/A 44434-2024 tillsynsbegäran mail.docx", "A 44434-2024")</f>
        <v/>
      </c>
    </row>
    <row r="78" ht="15" customHeight="1">
      <c r="A78" t="inlineStr">
        <is>
          <t>A 51508-2024</t>
        </is>
      </c>
      <c r="B78" s="1" t="n">
        <v>45604</v>
      </c>
      <c r="C78" s="1" t="n">
        <v>45759</v>
      </c>
      <c r="D78" t="inlineStr">
        <is>
          <t>GÄVLEBORGS LÄN</t>
        </is>
      </c>
      <c r="E78" t="inlineStr">
        <is>
          <t>GÄVLE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HYPERLINK("https://klasma.github.io/Logging_2180/artfynd/A 51508-2024 artfynd.xlsx", "A 51508-2024")</f>
        <v/>
      </c>
      <c r="T78">
        <f>HYPERLINK("https://klasma.github.io/Logging_2180/kartor/A 51508-2024 karta.png", "A 51508-2024")</f>
        <v/>
      </c>
      <c r="V78">
        <f>HYPERLINK("https://klasma.github.io/Logging_2180/klagomål/A 51508-2024 FSC-klagomål.docx", "A 51508-2024")</f>
        <v/>
      </c>
      <c r="W78">
        <f>HYPERLINK("https://klasma.github.io/Logging_2180/klagomålsmail/A 51508-2024 FSC-klagomål mail.docx", "A 51508-2024")</f>
        <v/>
      </c>
      <c r="X78">
        <f>HYPERLINK("https://klasma.github.io/Logging_2180/tillsyn/A 51508-2024 tillsynsbegäran.docx", "A 51508-2024")</f>
        <v/>
      </c>
      <c r="Y78">
        <f>HYPERLINK("https://klasma.github.io/Logging_2180/tillsynsmail/A 51508-2024 tillsynsbegäran mail.docx", "A 51508-2024")</f>
        <v/>
      </c>
    </row>
    <row r="79" ht="15" customHeight="1">
      <c r="A79" t="inlineStr">
        <is>
          <t>A 53571-2024</t>
        </is>
      </c>
      <c r="B79" s="1" t="n">
        <v>45614</v>
      </c>
      <c r="C79" s="1" t="n">
        <v>45759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4.9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Svavelriska</t>
        </is>
      </c>
      <c r="S79">
        <f>HYPERLINK("https://klasma.github.io/Logging_2180/artfynd/A 53571-2024 artfynd.xlsx", "A 53571-2024")</f>
        <v/>
      </c>
      <c r="T79">
        <f>HYPERLINK("https://klasma.github.io/Logging_2180/kartor/A 53571-2024 karta.png", "A 53571-2024")</f>
        <v/>
      </c>
      <c r="V79">
        <f>HYPERLINK("https://klasma.github.io/Logging_2180/klagomål/A 53571-2024 FSC-klagomål.docx", "A 53571-2024")</f>
        <v/>
      </c>
      <c r="W79">
        <f>HYPERLINK("https://klasma.github.io/Logging_2180/klagomålsmail/A 53571-2024 FSC-klagomål mail.docx", "A 53571-2024")</f>
        <v/>
      </c>
      <c r="X79">
        <f>HYPERLINK("https://klasma.github.io/Logging_2180/tillsyn/A 53571-2024 tillsynsbegäran.docx", "A 53571-2024")</f>
        <v/>
      </c>
      <c r="Y79">
        <f>HYPERLINK("https://klasma.github.io/Logging_2180/tillsynsmail/A 53571-2024 tillsynsbegäran mail.docx", "A 53571-2024")</f>
        <v/>
      </c>
    </row>
    <row r="80" ht="15" customHeight="1">
      <c r="A80" t="inlineStr">
        <is>
          <t>A 57932-2024</t>
        </is>
      </c>
      <c r="B80" s="1" t="n">
        <v>45631</v>
      </c>
      <c r="C80" s="1" t="n">
        <v>45759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48.7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HYPERLINK("https://klasma.github.io/Logging_2180/artfynd/A 57932-2024 artfynd.xlsx", "A 57932-2024")</f>
        <v/>
      </c>
      <c r="T80">
        <f>HYPERLINK("https://klasma.github.io/Logging_2180/kartor/A 57932-2024 karta.png", "A 57932-2024")</f>
        <v/>
      </c>
      <c r="V80">
        <f>HYPERLINK("https://klasma.github.io/Logging_2180/klagomål/A 57932-2024 FSC-klagomål.docx", "A 57932-2024")</f>
        <v/>
      </c>
      <c r="W80">
        <f>HYPERLINK("https://klasma.github.io/Logging_2180/klagomålsmail/A 57932-2024 FSC-klagomål mail.docx", "A 57932-2024")</f>
        <v/>
      </c>
      <c r="X80">
        <f>HYPERLINK("https://klasma.github.io/Logging_2180/tillsyn/A 57932-2024 tillsynsbegäran.docx", "A 57932-2024")</f>
        <v/>
      </c>
      <c r="Y80">
        <f>HYPERLINK("https://klasma.github.io/Logging_2180/tillsynsmail/A 57932-2024 tillsynsbegäran mail.docx", "A 57932-2024")</f>
        <v/>
      </c>
      <c r="Z80">
        <f>HYPERLINK("https://klasma.github.io/Logging_2180/fåglar/A 57932-2024 prioriterade fågelarter.docx", "A 57932-2024")</f>
        <v/>
      </c>
    </row>
    <row r="81" ht="15" customHeight="1">
      <c r="A81" t="inlineStr">
        <is>
          <t>A 59385-2024</t>
        </is>
      </c>
      <c r="B81" s="1" t="n">
        <v>45638</v>
      </c>
      <c r="C81" s="1" t="n">
        <v>45759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16.3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Rödgul trumpetsvamp</t>
        </is>
      </c>
      <c r="S81">
        <f>HYPERLINK("https://klasma.github.io/Logging_2180/artfynd/A 59385-2024 artfynd.xlsx", "A 59385-2024")</f>
        <v/>
      </c>
      <c r="T81">
        <f>HYPERLINK("https://klasma.github.io/Logging_2180/kartor/A 59385-2024 karta.png", "A 59385-2024")</f>
        <v/>
      </c>
      <c r="V81">
        <f>HYPERLINK("https://klasma.github.io/Logging_2180/klagomål/A 59385-2024 FSC-klagomål.docx", "A 59385-2024")</f>
        <v/>
      </c>
      <c r="W81">
        <f>HYPERLINK("https://klasma.github.io/Logging_2180/klagomålsmail/A 59385-2024 FSC-klagomål mail.docx", "A 59385-2024")</f>
        <v/>
      </c>
      <c r="X81">
        <f>HYPERLINK("https://klasma.github.io/Logging_2180/tillsyn/A 59385-2024 tillsynsbegäran.docx", "A 59385-2024")</f>
        <v/>
      </c>
      <c r="Y81">
        <f>HYPERLINK("https://klasma.github.io/Logging_2180/tillsynsmail/A 59385-2024 tillsynsbegäran mail.docx", "A 59385-2024")</f>
        <v/>
      </c>
    </row>
    <row r="82" ht="15" customHeight="1">
      <c r="A82" t="inlineStr">
        <is>
          <t>A 452-2025</t>
        </is>
      </c>
      <c r="B82" s="1" t="n">
        <v>45664</v>
      </c>
      <c r="C82" s="1" t="n">
        <v>45759</v>
      </c>
      <c r="D82" t="inlineStr">
        <is>
          <t>GÄVLEBORGS LÄN</t>
        </is>
      </c>
      <c r="E82" t="inlineStr">
        <is>
          <t>GÄVLE</t>
        </is>
      </c>
      <c r="G82" t="n">
        <v>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HYPERLINK("https://klasma.github.io/Logging_2180/artfynd/A 452-2025 artfynd.xlsx", "A 452-2025")</f>
        <v/>
      </c>
      <c r="T82">
        <f>HYPERLINK("https://klasma.github.io/Logging_2180/kartor/A 452-2025 karta.png", "A 452-2025")</f>
        <v/>
      </c>
      <c r="V82">
        <f>HYPERLINK("https://klasma.github.io/Logging_2180/klagomål/A 452-2025 FSC-klagomål.docx", "A 452-2025")</f>
        <v/>
      </c>
      <c r="W82">
        <f>HYPERLINK("https://klasma.github.io/Logging_2180/klagomålsmail/A 452-2025 FSC-klagomål mail.docx", "A 452-2025")</f>
        <v/>
      </c>
      <c r="X82">
        <f>HYPERLINK("https://klasma.github.io/Logging_2180/tillsyn/A 452-2025 tillsynsbegäran.docx", "A 452-2025")</f>
        <v/>
      </c>
      <c r="Y82">
        <f>HYPERLINK("https://klasma.github.io/Logging_2180/tillsynsmail/A 452-2025 tillsynsbegäran mail.docx", "A 452-2025")</f>
        <v/>
      </c>
    </row>
    <row r="83" ht="15" customHeight="1">
      <c r="A83" t="inlineStr">
        <is>
          <t>A 5576-2025</t>
        </is>
      </c>
      <c r="B83" s="1" t="n">
        <v>45693</v>
      </c>
      <c r="C83" s="1" t="n">
        <v>45759</v>
      </c>
      <c r="D83" t="inlineStr">
        <is>
          <t>GÄVLEBORGS LÄN</t>
        </is>
      </c>
      <c r="E83" t="inlineStr">
        <is>
          <t>GÄVLE</t>
        </is>
      </c>
      <c r="G83" t="n">
        <v>3.8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HYPERLINK("https://klasma.github.io/Logging_2180/artfynd/A 5576-2025 artfynd.xlsx", "A 5576-2025")</f>
        <v/>
      </c>
      <c r="T83">
        <f>HYPERLINK("https://klasma.github.io/Logging_2180/kartor/A 5576-2025 karta.png", "A 5576-2025")</f>
        <v/>
      </c>
      <c r="V83">
        <f>HYPERLINK("https://klasma.github.io/Logging_2180/klagomål/A 5576-2025 FSC-klagomål.docx", "A 5576-2025")</f>
        <v/>
      </c>
      <c r="W83">
        <f>HYPERLINK("https://klasma.github.io/Logging_2180/klagomålsmail/A 5576-2025 FSC-klagomål mail.docx", "A 5576-2025")</f>
        <v/>
      </c>
      <c r="X83">
        <f>HYPERLINK("https://klasma.github.io/Logging_2180/tillsyn/A 5576-2025 tillsynsbegäran.docx", "A 5576-2025")</f>
        <v/>
      </c>
      <c r="Y83">
        <f>HYPERLINK("https://klasma.github.io/Logging_2180/tillsynsmail/A 5576-2025 tillsynsbegäran mail.docx", "A 5576-2025")</f>
        <v/>
      </c>
      <c r="Z83">
        <f>HYPERLINK("https://klasma.github.io/Logging_2180/fåglar/A 5576-2025 prioriterade fågelarter.docx", "A 5576-2025")</f>
        <v/>
      </c>
    </row>
    <row r="84" ht="15" customHeight="1">
      <c r="A84" t="inlineStr">
        <is>
          <t>A 9436-2025</t>
        </is>
      </c>
      <c r="B84" s="1" t="n">
        <v>45715</v>
      </c>
      <c r="C84" s="1" t="n">
        <v>45759</v>
      </c>
      <c r="D84" t="inlineStr">
        <is>
          <t>GÄVLEBORGS LÄN</t>
        </is>
      </c>
      <c r="E84" t="inlineStr">
        <is>
          <t>GÄVLE</t>
        </is>
      </c>
      <c r="G84" t="n">
        <v>8.199999999999999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Vågbandad barkbock</t>
        </is>
      </c>
      <c r="S84">
        <f>HYPERLINK("https://klasma.github.io/Logging_212180/artfynd/A 9436-2025 artfynd.xlsx", "A 9436-2025")</f>
        <v/>
      </c>
      <c r="T84">
        <f>HYPERLINK("https://klasma.github.io/Logging_212180/kartor/A 9436-2025 karta.png", "A 9436-2025")</f>
        <v/>
      </c>
      <c r="V84">
        <f>HYPERLINK("https://klasma.github.io/Logging_212180/klagomål/A 9436-2025 FSC-klagomål.docx", "A 9436-2025")</f>
        <v/>
      </c>
      <c r="W84">
        <f>HYPERLINK("https://klasma.github.io/Logging_212180/klagomålsmail/A 9436-2025 FSC-klagomål mail.docx", "A 9436-2025")</f>
        <v/>
      </c>
      <c r="X84">
        <f>HYPERLINK("https://klasma.github.io/Logging_212180/tillsyn/A 9436-2025 tillsynsbegäran.docx", "A 9436-2025")</f>
        <v/>
      </c>
      <c r="Y84">
        <f>HYPERLINK("https://klasma.github.io/Logging_212180/tillsynsmail/A 9436-2025 tillsynsbegäran mail.docx", "A 9436-2025")</f>
        <v/>
      </c>
    </row>
    <row r="85" ht="15" customHeight="1">
      <c r="A85" t="inlineStr">
        <is>
          <t>A 11411-2025</t>
        </is>
      </c>
      <c r="B85" s="1" t="n">
        <v>45726</v>
      </c>
      <c r="C85" s="1" t="n">
        <v>45759</v>
      </c>
      <c r="D85" t="inlineStr">
        <is>
          <t>GÄVLEBORGS LÄN</t>
        </is>
      </c>
      <c r="E85" t="inlineStr">
        <is>
          <t>GÄVLE</t>
        </is>
      </c>
      <c r="G85" t="n">
        <v>2.4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HYPERLINK("https://klasma.github.io/Logging_212180/artfynd/A 11411-2025 artfynd.xlsx", "A 11411-2025")</f>
        <v/>
      </c>
      <c r="T85">
        <f>HYPERLINK("https://klasma.github.io/Logging_212180/kartor/A 11411-2025 karta.png", "A 11411-2025")</f>
        <v/>
      </c>
      <c r="V85">
        <f>HYPERLINK("https://klasma.github.io/Logging_212180/klagomål/A 11411-2025 FSC-klagomål.docx", "A 11411-2025")</f>
        <v/>
      </c>
      <c r="W85">
        <f>HYPERLINK("https://klasma.github.io/Logging_212180/klagomålsmail/A 11411-2025 FSC-klagomål mail.docx", "A 11411-2025")</f>
        <v/>
      </c>
      <c r="X85">
        <f>HYPERLINK("https://klasma.github.io/Logging_212180/tillsyn/A 11411-2025 tillsynsbegäran.docx", "A 11411-2025")</f>
        <v/>
      </c>
      <c r="Y85">
        <f>HYPERLINK("https://klasma.github.io/Logging_212180/tillsynsmail/A 11411-2025 tillsynsbegäran mail.docx", "A 11411-2025")</f>
        <v/>
      </c>
    </row>
    <row r="86" ht="15" customHeight="1">
      <c r="A86" t="inlineStr">
        <is>
          <t>A 12338-2025</t>
        </is>
      </c>
      <c r="B86" s="1" t="n">
        <v>45730</v>
      </c>
      <c r="C86" s="1" t="n">
        <v>45759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Skogsklocka</t>
        </is>
      </c>
      <c r="S86">
        <f>HYPERLINK("https://klasma.github.io/Logging_212180/artfynd/A 12338-2025 artfynd.xlsx", "A 12338-2025")</f>
        <v/>
      </c>
      <c r="T86">
        <f>HYPERLINK("https://klasma.github.io/Logging_212180/kartor/A 12338-2025 karta.png", "A 12338-2025")</f>
        <v/>
      </c>
      <c r="V86">
        <f>HYPERLINK("https://klasma.github.io/Logging_212180/klagomål/A 12338-2025 FSC-klagomål.docx", "A 12338-2025")</f>
        <v/>
      </c>
      <c r="W86">
        <f>HYPERLINK("https://klasma.github.io/Logging_212180/klagomålsmail/A 12338-2025 FSC-klagomål mail.docx", "A 12338-2025")</f>
        <v/>
      </c>
      <c r="X86">
        <f>HYPERLINK("https://klasma.github.io/Logging_212180/tillsyn/A 12338-2025 tillsynsbegäran.docx", "A 12338-2025")</f>
        <v/>
      </c>
      <c r="Y86">
        <f>HYPERLINK("https://klasma.github.io/Logging_212180/tillsynsmail/A 12338-2025 tillsynsbegäran mail.docx", "A 12338-2025")</f>
        <v/>
      </c>
    </row>
    <row r="87" ht="15" customHeight="1">
      <c r="A87" t="inlineStr">
        <is>
          <t>A 18398-2019</t>
        </is>
      </c>
      <c r="B87" s="1" t="n">
        <v>43559</v>
      </c>
      <c r="C87" s="1" t="n">
        <v>45759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18473-2019</t>
        </is>
      </c>
      <c r="B88" s="1" t="n">
        <v>43559</v>
      </c>
      <c r="C88" s="1" t="n">
        <v>45759</v>
      </c>
      <c r="D88" t="inlineStr">
        <is>
          <t>GÄVLEBORGS LÄN</t>
        </is>
      </c>
      <c r="E88" t="inlineStr">
        <is>
          <t>GÄVLE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19418-2019</t>
        </is>
      </c>
      <c r="B89" s="1" t="n">
        <v>43565</v>
      </c>
      <c r="C89" s="1" t="n">
        <v>45759</v>
      </c>
      <c r="D89" t="inlineStr">
        <is>
          <t>GÄVLEBORGS LÄN</t>
        </is>
      </c>
      <c r="E89" t="inlineStr">
        <is>
          <t>GÄVLE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19856-2019</t>
        </is>
      </c>
      <c r="B90" s="1" t="n">
        <v>43567</v>
      </c>
      <c r="C90" s="1" t="n">
        <v>45759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19891-2019</t>
        </is>
      </c>
      <c r="B91" s="1" t="n">
        <v>43567</v>
      </c>
      <c r="C91" s="1" t="n">
        <v>45759</v>
      </c>
      <c r="D91" t="inlineStr">
        <is>
          <t>GÄVLEBORGS LÄN</t>
        </is>
      </c>
      <c r="E91" t="inlineStr">
        <is>
          <t>GÄVLE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20858-2019</t>
        </is>
      </c>
      <c r="B92" s="1" t="n">
        <v>43578</v>
      </c>
      <c r="C92" s="1" t="n">
        <v>45759</v>
      </c>
      <c r="D92" t="inlineStr">
        <is>
          <t>GÄVLEBORGS LÄN</t>
        </is>
      </c>
      <c r="E92" t="inlineStr">
        <is>
          <t>GÄVLE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20872-2019</t>
        </is>
      </c>
      <c r="B93" s="1" t="n">
        <v>43578</v>
      </c>
      <c r="C93" s="1" t="n">
        <v>45759</v>
      </c>
      <c r="D93" t="inlineStr">
        <is>
          <t>GÄVLEBORGS LÄN</t>
        </is>
      </c>
      <c r="E93" t="inlineStr">
        <is>
          <t>GÄVLE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21347-2019</t>
        </is>
      </c>
      <c r="B94" s="1" t="n">
        <v>43579</v>
      </c>
      <c r="C94" s="1" t="n">
        <v>45759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22617-2019</t>
        </is>
      </c>
      <c r="B95" s="1" t="n">
        <v>43588</v>
      </c>
      <c r="C95" s="1" t="n">
        <v>45759</v>
      </c>
      <c r="D95" t="inlineStr">
        <is>
          <t>GÄVLEBORGS LÄN</t>
        </is>
      </c>
      <c r="E95" t="inlineStr">
        <is>
          <t>GÄVLE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22611-2019</t>
        </is>
      </c>
      <c r="B96" s="1" t="n">
        <v>43588</v>
      </c>
      <c r="C96" s="1" t="n">
        <v>45759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22609-2019</t>
        </is>
      </c>
      <c r="B97" s="1" t="n">
        <v>43588</v>
      </c>
      <c r="C97" s="1" t="n">
        <v>45759</v>
      </c>
      <c r="D97" t="inlineStr">
        <is>
          <t>GÄVLEBORGS LÄN</t>
        </is>
      </c>
      <c r="E97" t="inlineStr">
        <is>
          <t>GÄVLE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24677-2019</t>
        </is>
      </c>
      <c r="B98" s="1" t="n">
        <v>43601</v>
      </c>
      <c r="C98" s="1" t="n">
        <v>45759</v>
      </c>
      <c r="D98" t="inlineStr">
        <is>
          <t>GÄVLEBORGS LÄN</t>
        </is>
      </c>
      <c r="E98" t="inlineStr">
        <is>
          <t>GÄVLE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25306-2019</t>
        </is>
      </c>
      <c r="B99" s="1" t="n">
        <v>43605</v>
      </c>
      <c r="C99" s="1" t="n">
        <v>45759</v>
      </c>
      <c r="D99" t="inlineStr">
        <is>
          <t>GÄVLEBORGS LÄN</t>
        </is>
      </c>
      <c r="E99" t="inlineStr">
        <is>
          <t>GÄVLE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26464-2019</t>
        </is>
      </c>
      <c r="B100" s="1" t="n">
        <v>43612</v>
      </c>
      <c r="C100" s="1" t="n">
        <v>45759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27118-2019</t>
        </is>
      </c>
      <c r="B101" s="1" t="n">
        <v>43614</v>
      </c>
      <c r="C101" s="1" t="n">
        <v>45759</v>
      </c>
      <c r="D101" t="inlineStr">
        <is>
          <t>GÄVLEBORGS LÄN</t>
        </is>
      </c>
      <c r="E101" t="inlineStr">
        <is>
          <t>GÄVLE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28316-2019</t>
        </is>
      </c>
      <c r="B102" s="1" t="n">
        <v>43623</v>
      </c>
      <c r="C102" s="1" t="n">
        <v>45759</v>
      </c>
      <c r="D102" t="inlineStr">
        <is>
          <t>GÄVLEBORGS LÄN</t>
        </is>
      </c>
      <c r="E102" t="inlineStr">
        <is>
          <t>GÄVLE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28559-2019</t>
        </is>
      </c>
      <c r="B103" s="1" t="n">
        <v>43626</v>
      </c>
      <c r="C103" s="1" t="n">
        <v>45759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19.7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30581-2019</t>
        </is>
      </c>
      <c r="B104" s="1" t="n">
        <v>43635</v>
      </c>
      <c r="C104" s="1" t="n">
        <v>45759</v>
      </c>
      <c r="D104" t="inlineStr">
        <is>
          <t>GÄVLEBORGS LÄN</t>
        </is>
      </c>
      <c r="E104" t="inlineStr">
        <is>
          <t>GÄVLE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30567-2019</t>
        </is>
      </c>
      <c r="B105" s="1" t="n">
        <v>43635</v>
      </c>
      <c r="C105" s="1" t="n">
        <v>45759</v>
      </c>
      <c r="D105" t="inlineStr">
        <is>
          <t>GÄVLEBORGS LÄN</t>
        </is>
      </c>
      <c r="E105" t="inlineStr">
        <is>
          <t>GÄVLE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30821-2019</t>
        </is>
      </c>
      <c r="B106" s="1" t="n">
        <v>43636</v>
      </c>
      <c r="C106" s="1" t="n">
        <v>45759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33228-2019</t>
        </is>
      </c>
      <c r="B107" s="1" t="n">
        <v>43650</v>
      </c>
      <c r="C107" s="1" t="n">
        <v>45759</v>
      </c>
      <c r="D107" t="inlineStr">
        <is>
          <t>GÄVLEBORGS LÄN</t>
        </is>
      </c>
      <c r="E107" t="inlineStr">
        <is>
          <t>GÄVLE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33580-2019</t>
        </is>
      </c>
      <c r="B108" s="1" t="n">
        <v>43651</v>
      </c>
      <c r="C108" s="1" t="n">
        <v>45759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35208-2019</t>
        </is>
      </c>
      <c r="B109" s="1" t="n">
        <v>43662</v>
      </c>
      <c r="C109" s="1" t="n">
        <v>45759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41483-2019</t>
        </is>
      </c>
      <c r="B110" s="1" t="n">
        <v>43696</v>
      </c>
      <c r="C110" s="1" t="n">
        <v>45759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40440-2019</t>
        </is>
      </c>
      <c r="B111" s="1" t="n">
        <v>43696</v>
      </c>
      <c r="C111" s="1" t="n">
        <v>45759</v>
      </c>
      <c r="D111" t="inlineStr">
        <is>
          <t>GÄVLEBORGS LÄN</t>
        </is>
      </c>
      <c r="E111" t="inlineStr">
        <is>
          <t>GÄVLE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41223-2019</t>
        </is>
      </c>
      <c r="B112" s="1" t="n">
        <v>43698</v>
      </c>
      <c r="C112" s="1" t="n">
        <v>45759</v>
      </c>
      <c r="D112" t="inlineStr">
        <is>
          <t>GÄVLEBORGS LÄN</t>
        </is>
      </c>
      <c r="E112" t="inlineStr">
        <is>
          <t>GÄVLE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41977-2019</t>
        </is>
      </c>
      <c r="B113" s="1" t="n">
        <v>43700</v>
      </c>
      <c r="C113" s="1" t="n">
        <v>45759</v>
      </c>
      <c r="D113" t="inlineStr">
        <is>
          <t>GÄVLEBORGS LÄN</t>
        </is>
      </c>
      <c r="E113" t="inlineStr">
        <is>
          <t>GÄVLE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43287-2019</t>
        </is>
      </c>
      <c r="B114" s="1" t="n">
        <v>43706</v>
      </c>
      <c r="C114" s="1" t="n">
        <v>45759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väst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43610-2019</t>
        </is>
      </c>
      <c r="B115" s="1" t="n">
        <v>43707</v>
      </c>
      <c r="C115" s="1" t="n">
        <v>45759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45358-2019</t>
        </is>
      </c>
      <c r="B116" s="1" t="n">
        <v>43714</v>
      </c>
      <c r="C116" s="1" t="n">
        <v>45759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46014-2019</t>
        </is>
      </c>
      <c r="B117" s="1" t="n">
        <v>43718</v>
      </c>
      <c r="C117" s="1" t="n">
        <v>45759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46444-2019</t>
        </is>
      </c>
      <c r="B118" s="1" t="n">
        <v>43719</v>
      </c>
      <c r="C118" s="1" t="n">
        <v>45759</v>
      </c>
      <c r="D118" t="inlineStr">
        <is>
          <t>GÄVLEBORGS LÄN</t>
        </is>
      </c>
      <c r="E118" t="inlineStr">
        <is>
          <t>GÄVLE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46442-2019</t>
        </is>
      </c>
      <c r="B119" s="1" t="n">
        <v>43719</v>
      </c>
      <c r="C119" s="1" t="n">
        <v>45759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47378-2019</t>
        </is>
      </c>
      <c r="B120" s="1" t="n">
        <v>43721</v>
      </c>
      <c r="C120" s="1" t="n">
        <v>45759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48641-2019</t>
        </is>
      </c>
      <c r="B121" s="1" t="n">
        <v>43728</v>
      </c>
      <c r="C121" s="1" t="n">
        <v>45759</v>
      </c>
      <c r="D121" t="inlineStr">
        <is>
          <t>GÄVLEBORGS LÄN</t>
        </is>
      </c>
      <c r="E121" t="inlineStr">
        <is>
          <t>GÄVLE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48642-2019</t>
        </is>
      </c>
      <c r="B122" s="1" t="n">
        <v>43728</v>
      </c>
      <c r="C122" s="1" t="n">
        <v>45759</v>
      </c>
      <c r="D122" t="inlineStr">
        <is>
          <t>GÄVLEBORGS LÄN</t>
        </is>
      </c>
      <c r="E122" t="inlineStr">
        <is>
          <t>GÄVLE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48647-2019</t>
        </is>
      </c>
      <c r="B123" s="1" t="n">
        <v>43728</v>
      </c>
      <c r="C123" s="1" t="n">
        <v>45759</v>
      </c>
      <c r="D123" t="inlineStr">
        <is>
          <t>GÄVLEBORGS LÄN</t>
        </is>
      </c>
      <c r="E123" t="inlineStr">
        <is>
          <t>GÄVLE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49573-2019</t>
        </is>
      </c>
      <c r="B124" s="1" t="n">
        <v>43732</v>
      </c>
      <c r="C124" s="1" t="n">
        <v>45759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50333-2019</t>
        </is>
      </c>
      <c r="B125" s="1" t="n">
        <v>43735</v>
      </c>
      <c r="C125" s="1" t="n">
        <v>45759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52743-2019</t>
        </is>
      </c>
      <c r="B126" s="1" t="n">
        <v>43746</v>
      </c>
      <c r="C126" s="1" t="n">
        <v>45759</v>
      </c>
      <c r="D126" t="inlineStr">
        <is>
          <t>GÄVLEBORGS LÄN</t>
        </is>
      </c>
      <c r="E126" t="inlineStr">
        <is>
          <t>GÄVLE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54773-2019</t>
        </is>
      </c>
      <c r="B127" s="1" t="n">
        <v>43755</v>
      </c>
      <c r="C127" s="1" t="n">
        <v>45759</v>
      </c>
      <c r="D127" t="inlineStr">
        <is>
          <t>GÄVLEBORGS LÄN</t>
        </is>
      </c>
      <c r="E127" t="inlineStr">
        <is>
          <t>GÄVLE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55857-2019</t>
        </is>
      </c>
      <c r="B128" s="1" t="n">
        <v>43759</v>
      </c>
      <c r="C128" s="1" t="n">
        <v>45759</v>
      </c>
      <c r="D128" t="inlineStr">
        <is>
          <t>GÄVLEBORGS LÄN</t>
        </is>
      </c>
      <c r="E128" t="inlineStr">
        <is>
          <t>GÄVLE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55742-2019</t>
        </is>
      </c>
      <c r="B129" s="1" t="n">
        <v>43761</v>
      </c>
      <c r="C129" s="1" t="n">
        <v>45759</v>
      </c>
      <c r="D129" t="inlineStr">
        <is>
          <t>GÄVLEBORGS LÄN</t>
        </is>
      </c>
      <c r="E129" t="inlineStr">
        <is>
          <t>GÄVLE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56670-2019</t>
        </is>
      </c>
      <c r="B130" s="1" t="n">
        <v>43763</v>
      </c>
      <c r="C130" s="1" t="n">
        <v>45759</v>
      </c>
      <c r="D130" t="inlineStr">
        <is>
          <t>GÄVLEBORGS LÄN</t>
        </is>
      </c>
      <c r="E130" t="inlineStr">
        <is>
          <t>GÄVLE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57453-2019</t>
        </is>
      </c>
      <c r="B131" s="1" t="n">
        <v>43767</v>
      </c>
      <c r="C131" s="1" t="n">
        <v>45759</v>
      </c>
      <c r="D131" t="inlineStr">
        <is>
          <t>GÄVLEBORGS LÄN</t>
        </is>
      </c>
      <c r="E131" t="inlineStr">
        <is>
          <t>GÄVLE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58287-2019</t>
        </is>
      </c>
      <c r="B132" s="1" t="n">
        <v>43770</v>
      </c>
      <c r="C132" s="1" t="n">
        <v>45759</v>
      </c>
      <c r="D132" t="inlineStr">
        <is>
          <t>GÄVLEBORGS LÄN</t>
        </is>
      </c>
      <c r="E132" t="inlineStr">
        <is>
          <t>GÄVLE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58296-2019</t>
        </is>
      </c>
      <c r="B133" s="1" t="n">
        <v>43770</v>
      </c>
      <c r="C133" s="1" t="n">
        <v>45759</v>
      </c>
      <c r="D133" t="inlineStr">
        <is>
          <t>GÄVLEBORGS LÄN</t>
        </is>
      </c>
      <c r="E133" t="inlineStr">
        <is>
          <t>GÄVLE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59734-2019</t>
        </is>
      </c>
      <c r="B134" s="1" t="n">
        <v>43776</v>
      </c>
      <c r="C134" s="1" t="n">
        <v>45759</v>
      </c>
      <c r="D134" t="inlineStr">
        <is>
          <t>GÄVLEBORGS LÄN</t>
        </is>
      </c>
      <c r="E134" t="inlineStr">
        <is>
          <t>GÄVLE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59926-2019</t>
        </is>
      </c>
      <c r="B135" s="1" t="n">
        <v>43777</v>
      </c>
      <c r="C135" s="1" t="n">
        <v>45759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59907-2019</t>
        </is>
      </c>
      <c r="B136" s="1" t="n">
        <v>43777</v>
      </c>
      <c r="C136" s="1" t="n">
        <v>45759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61392-2019</t>
        </is>
      </c>
      <c r="B137" s="1" t="n">
        <v>43783</v>
      </c>
      <c r="C137" s="1" t="n">
        <v>45759</v>
      </c>
      <c r="D137" t="inlineStr">
        <is>
          <t>GÄVLEBORGS LÄN</t>
        </is>
      </c>
      <c r="E137" t="inlineStr">
        <is>
          <t>GÄVLE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62250-2019</t>
        </is>
      </c>
      <c r="B138" s="1" t="n">
        <v>43788</v>
      </c>
      <c r="C138" s="1" t="n">
        <v>45759</v>
      </c>
      <c r="D138" t="inlineStr">
        <is>
          <t>GÄVLEBORGS LÄN</t>
        </is>
      </c>
      <c r="E138" t="inlineStr">
        <is>
          <t>GÄVLE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62841-2019</t>
        </is>
      </c>
      <c r="B139" s="1" t="n">
        <v>43790</v>
      </c>
      <c r="C139" s="1" t="n">
        <v>45759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63469-2019</t>
        </is>
      </c>
      <c r="B140" s="1" t="n">
        <v>43794</v>
      </c>
      <c r="C140" s="1" t="n">
        <v>45759</v>
      </c>
      <c r="D140" t="inlineStr">
        <is>
          <t>GÄVLEBORGS LÄN</t>
        </is>
      </c>
      <c r="E140" t="inlineStr">
        <is>
          <t>GÄVLE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66206-2019</t>
        </is>
      </c>
      <c r="B141" s="1" t="n">
        <v>43808</v>
      </c>
      <c r="C141" s="1" t="n">
        <v>45759</v>
      </c>
      <c r="D141" t="inlineStr">
        <is>
          <t>GÄVLEBORGS LÄN</t>
        </is>
      </c>
      <c r="E141" t="inlineStr">
        <is>
          <t>GÄVLE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66410-2019</t>
        </is>
      </c>
      <c r="B142" s="1" t="n">
        <v>43809</v>
      </c>
      <c r="C142" s="1" t="n">
        <v>45759</v>
      </c>
      <c r="D142" t="inlineStr">
        <is>
          <t>GÄVLEBORGS LÄN</t>
        </is>
      </c>
      <c r="E142" t="inlineStr">
        <is>
          <t>GÄVLE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67138-2019</t>
        </is>
      </c>
      <c r="B143" s="1" t="n">
        <v>43811</v>
      </c>
      <c r="C143" s="1" t="n">
        <v>45759</v>
      </c>
      <c r="D143" t="inlineStr">
        <is>
          <t>GÄVLEBORGS LÄN</t>
        </is>
      </c>
      <c r="E143" t="inlineStr">
        <is>
          <t>GÄVLE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67417-2019</t>
        </is>
      </c>
      <c r="B144" s="1" t="n">
        <v>43812</v>
      </c>
      <c r="C144" s="1" t="n">
        <v>45759</v>
      </c>
      <c r="D144" t="inlineStr">
        <is>
          <t>GÄVLEBORGS LÄN</t>
        </is>
      </c>
      <c r="E144" t="inlineStr">
        <is>
          <t>GÄVLE</t>
        </is>
      </c>
      <c r="F144" t="inlineStr">
        <is>
          <t>Kommuner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68436-2019</t>
        </is>
      </c>
      <c r="B145" s="1" t="n">
        <v>43818</v>
      </c>
      <c r="C145" s="1" t="n">
        <v>45759</v>
      </c>
      <c r="D145" t="inlineStr">
        <is>
          <t>GÄVLEBORGS LÄN</t>
        </is>
      </c>
      <c r="E145" t="inlineStr">
        <is>
          <t>GÄVLE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68555-2019</t>
        </is>
      </c>
      <c r="B146" s="1" t="n">
        <v>43818</v>
      </c>
      <c r="C146" s="1" t="n">
        <v>45759</v>
      </c>
      <c r="D146" t="inlineStr">
        <is>
          <t>GÄVLEBORGS LÄN</t>
        </is>
      </c>
      <c r="E146" t="inlineStr">
        <is>
          <t>GÄVLE</t>
        </is>
      </c>
      <c r="F146" t="inlineStr">
        <is>
          <t>Övriga statliga verk och myndigheter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743-2020</t>
        </is>
      </c>
      <c r="B147" s="1" t="n">
        <v>43838</v>
      </c>
      <c r="C147" s="1" t="n">
        <v>45759</v>
      </c>
      <c r="D147" t="inlineStr">
        <is>
          <t>GÄVLEBORGS LÄN</t>
        </is>
      </c>
      <c r="E147" t="inlineStr">
        <is>
          <t>GÄVLE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2786-2020</t>
        </is>
      </c>
      <c r="B148" s="1" t="n">
        <v>43850</v>
      </c>
      <c r="C148" s="1" t="n">
        <v>45759</v>
      </c>
      <c r="D148" t="inlineStr">
        <is>
          <t>GÄVLEBORGS LÄN</t>
        </is>
      </c>
      <c r="E148" t="inlineStr">
        <is>
          <t>GÄVLE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3383-2020</t>
        </is>
      </c>
      <c r="B149" s="1" t="n">
        <v>43852</v>
      </c>
      <c r="C149" s="1" t="n">
        <v>45759</v>
      </c>
      <c r="D149" t="inlineStr">
        <is>
          <t>GÄVLEBORGS LÄN</t>
        </is>
      </c>
      <c r="E149" t="inlineStr">
        <is>
          <t>GÄVLE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3854-2020</t>
        </is>
      </c>
      <c r="B150" s="1" t="n">
        <v>43854</v>
      </c>
      <c r="C150" s="1" t="n">
        <v>45759</v>
      </c>
      <c r="D150" t="inlineStr">
        <is>
          <t>GÄVLEBORGS LÄN</t>
        </is>
      </c>
      <c r="E150" t="inlineStr">
        <is>
          <t>GÄVLE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3975-2020</t>
        </is>
      </c>
      <c r="B151" s="1" t="n">
        <v>43854</v>
      </c>
      <c r="C151" s="1" t="n">
        <v>45759</v>
      </c>
      <c r="D151" t="inlineStr">
        <is>
          <t>GÄVLEBORGS LÄN</t>
        </is>
      </c>
      <c r="E151" t="inlineStr">
        <is>
          <t>GÄVLE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3974-2020</t>
        </is>
      </c>
      <c r="B152" s="1" t="n">
        <v>43854</v>
      </c>
      <c r="C152" s="1" t="n">
        <v>45759</v>
      </c>
      <c r="D152" t="inlineStr">
        <is>
          <t>GÄVLEBORGS LÄN</t>
        </is>
      </c>
      <c r="E152" t="inlineStr">
        <is>
          <t>GÄVLE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3976-2020</t>
        </is>
      </c>
      <c r="B153" s="1" t="n">
        <v>43855</v>
      </c>
      <c r="C153" s="1" t="n">
        <v>45759</v>
      </c>
      <c r="D153" t="inlineStr">
        <is>
          <t>GÄVLEBORGS LÄN</t>
        </is>
      </c>
      <c r="E153" t="inlineStr">
        <is>
          <t>GÄVLE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6046-2020</t>
        </is>
      </c>
      <c r="B154" s="1" t="n">
        <v>43865</v>
      </c>
      <c r="C154" s="1" t="n">
        <v>45759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7240-2020</t>
        </is>
      </c>
      <c r="B155" s="1" t="n">
        <v>43871</v>
      </c>
      <c r="C155" s="1" t="n">
        <v>45759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7725-2020</t>
        </is>
      </c>
      <c r="B156" s="1" t="n">
        <v>43872</v>
      </c>
      <c r="C156" s="1" t="n">
        <v>45759</v>
      </c>
      <c r="D156" t="inlineStr">
        <is>
          <t>GÄVLEBORGS LÄN</t>
        </is>
      </c>
      <c r="E156" t="inlineStr">
        <is>
          <t>GÄVLE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7982-2020</t>
        </is>
      </c>
      <c r="B157" s="1" t="n">
        <v>43873</v>
      </c>
      <c r="C157" s="1" t="n">
        <v>45759</v>
      </c>
      <c r="D157" t="inlineStr">
        <is>
          <t>GÄVLEBORGS LÄN</t>
        </is>
      </c>
      <c r="E157" t="inlineStr">
        <is>
          <t>GÄVLE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7989-2020</t>
        </is>
      </c>
      <c r="B158" s="1" t="n">
        <v>43873</v>
      </c>
      <c r="C158" s="1" t="n">
        <v>45759</v>
      </c>
      <c r="D158" t="inlineStr">
        <is>
          <t>GÄVLEBORGS LÄN</t>
        </is>
      </c>
      <c r="E158" t="inlineStr">
        <is>
          <t>GÄVLE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7841-2020</t>
        </is>
      </c>
      <c r="B159" s="1" t="n">
        <v>43873</v>
      </c>
      <c r="C159" s="1" t="n">
        <v>45759</v>
      </c>
      <c r="D159" t="inlineStr">
        <is>
          <t>GÄVLEBORGS LÄN</t>
        </is>
      </c>
      <c r="E159" t="inlineStr">
        <is>
          <t>GÄVLE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9218-2020</t>
        </is>
      </c>
      <c r="B160" s="1" t="n">
        <v>43879</v>
      </c>
      <c r="C160" s="1" t="n">
        <v>45759</v>
      </c>
      <c r="D160" t="inlineStr">
        <is>
          <t>GÄVLEBORGS LÄN</t>
        </is>
      </c>
      <c r="E160" t="inlineStr">
        <is>
          <t>GÄVLE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9138-2020</t>
        </is>
      </c>
      <c r="B161" s="1" t="n">
        <v>43879</v>
      </c>
      <c r="C161" s="1" t="n">
        <v>45759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10833-2020</t>
        </is>
      </c>
      <c r="B162" s="1" t="n">
        <v>43888</v>
      </c>
      <c r="C162" s="1" t="n">
        <v>45759</v>
      </c>
      <c r="D162" t="inlineStr">
        <is>
          <t>GÄVLEBORGS LÄN</t>
        </is>
      </c>
      <c r="E162" t="inlineStr">
        <is>
          <t>GÄVLE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11121-2020</t>
        </is>
      </c>
      <c r="B163" s="1" t="n">
        <v>43889</v>
      </c>
      <c r="C163" s="1" t="n">
        <v>45759</v>
      </c>
      <c r="D163" t="inlineStr">
        <is>
          <t>GÄVLEBORGS LÄN</t>
        </is>
      </c>
      <c r="E163" t="inlineStr">
        <is>
          <t>GÄVLE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12268-2020</t>
        </is>
      </c>
      <c r="B164" s="1" t="n">
        <v>43895</v>
      </c>
      <c r="C164" s="1" t="n">
        <v>45759</v>
      </c>
      <c r="D164" t="inlineStr">
        <is>
          <t>GÄVLEBORGS LÄN</t>
        </is>
      </c>
      <c r="E164" t="inlineStr">
        <is>
          <t>GÄVLE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12513-2020</t>
        </is>
      </c>
      <c r="B165" s="1" t="n">
        <v>43896</v>
      </c>
      <c r="C165" s="1" t="n">
        <v>45759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14242-2020</t>
        </is>
      </c>
      <c r="B166" s="1" t="n">
        <v>43901</v>
      </c>
      <c r="C166" s="1" t="n">
        <v>45759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13978-2020</t>
        </is>
      </c>
      <c r="B167" s="1" t="n">
        <v>43906</v>
      </c>
      <c r="C167" s="1" t="n">
        <v>45759</v>
      </c>
      <c r="D167" t="inlineStr">
        <is>
          <t>GÄVLEBORGS LÄN</t>
        </is>
      </c>
      <c r="E167" t="inlineStr">
        <is>
          <t>GÄVLE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18035-2020</t>
        </is>
      </c>
      <c r="B168" s="1" t="n">
        <v>43927</v>
      </c>
      <c r="C168" s="1" t="n">
        <v>45759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19054-2020</t>
        </is>
      </c>
      <c r="B169" s="1" t="n">
        <v>43936</v>
      </c>
      <c r="C169" s="1" t="n">
        <v>45759</v>
      </c>
      <c r="D169" t="inlineStr">
        <is>
          <t>GÄVLEBORGS LÄN</t>
        </is>
      </c>
      <c r="E169" t="inlineStr">
        <is>
          <t>GÄVLE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19873-2020</t>
        </is>
      </c>
      <c r="B170" s="1" t="n">
        <v>43942</v>
      </c>
      <c r="C170" s="1" t="n">
        <v>45759</v>
      </c>
      <c r="D170" t="inlineStr">
        <is>
          <t>GÄVLEBORGS LÄN</t>
        </is>
      </c>
      <c r="E170" t="inlineStr">
        <is>
          <t>GÄVLE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21080-2020</t>
        </is>
      </c>
      <c r="B171" s="1" t="n">
        <v>43951</v>
      </c>
      <c r="C171" s="1" t="n">
        <v>45759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21379-2020</t>
        </is>
      </c>
      <c r="B172" s="1" t="n">
        <v>43955</v>
      </c>
      <c r="C172" s="1" t="n">
        <v>45759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21981-2020</t>
        </is>
      </c>
      <c r="B173" s="1" t="n">
        <v>43959</v>
      </c>
      <c r="C173" s="1" t="n">
        <v>45759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22385-2020</t>
        </is>
      </c>
      <c r="B174" s="1" t="n">
        <v>43962</v>
      </c>
      <c r="C174" s="1" t="n">
        <v>45759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24780-2020</t>
        </is>
      </c>
      <c r="B175" s="1" t="n">
        <v>43978</v>
      </c>
      <c r="C175" s="1" t="n">
        <v>45759</v>
      </c>
      <c r="D175" t="inlineStr">
        <is>
          <t>GÄVLEBORGS LÄN</t>
        </is>
      </c>
      <c r="E175" t="inlineStr">
        <is>
          <t>GÄVLE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25009-2020</t>
        </is>
      </c>
      <c r="B176" s="1" t="n">
        <v>43979</v>
      </c>
      <c r="C176" s="1" t="n">
        <v>45759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25220-2020</t>
        </is>
      </c>
      <c r="B177" s="1" t="n">
        <v>43980</v>
      </c>
      <c r="C177" s="1" t="n">
        <v>45759</v>
      </c>
      <c r="D177" t="inlineStr">
        <is>
          <t>GÄVLEBORGS LÄN</t>
        </is>
      </c>
      <c r="E177" t="inlineStr">
        <is>
          <t>GÄVLE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25532-2020</t>
        </is>
      </c>
      <c r="B178" s="1" t="n">
        <v>43983</v>
      </c>
      <c r="C178" s="1" t="n">
        <v>45759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26763-2020</t>
        </is>
      </c>
      <c r="B179" s="1" t="n">
        <v>43990</v>
      </c>
      <c r="C179" s="1" t="n">
        <v>45759</v>
      </c>
      <c r="D179" t="inlineStr">
        <is>
          <t>GÄVLEBORGS LÄN</t>
        </is>
      </c>
      <c r="E179" t="inlineStr">
        <is>
          <t>GÄVLE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26790-2020</t>
        </is>
      </c>
      <c r="B180" s="1" t="n">
        <v>43990</v>
      </c>
      <c r="C180" s="1" t="n">
        <v>45759</v>
      </c>
      <c r="D180" t="inlineStr">
        <is>
          <t>GÄVLEBORGS LÄN</t>
        </is>
      </c>
      <c r="E180" t="inlineStr">
        <is>
          <t>GÄVLE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26781-2020</t>
        </is>
      </c>
      <c r="B181" s="1" t="n">
        <v>43990</v>
      </c>
      <c r="C181" s="1" t="n">
        <v>45759</v>
      </c>
      <c r="D181" t="inlineStr">
        <is>
          <t>GÄVLEBORGS LÄN</t>
        </is>
      </c>
      <c r="E181" t="inlineStr">
        <is>
          <t>GÄVLE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28173-2020</t>
        </is>
      </c>
      <c r="B182" s="1" t="n">
        <v>43997</v>
      </c>
      <c r="C182" s="1" t="n">
        <v>45759</v>
      </c>
      <c r="D182" t="inlineStr">
        <is>
          <t>GÄVLEBORGS LÄN</t>
        </is>
      </c>
      <c r="E182" t="inlineStr">
        <is>
          <t>GÄVLE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28806-2020</t>
        </is>
      </c>
      <c r="B183" s="1" t="n">
        <v>44000</v>
      </c>
      <c r="C183" s="1" t="n">
        <v>45759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28825-2020</t>
        </is>
      </c>
      <c r="B184" s="1" t="n">
        <v>44000</v>
      </c>
      <c r="C184" s="1" t="n">
        <v>45759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29564-2020</t>
        </is>
      </c>
      <c r="B185" s="1" t="n">
        <v>44005</v>
      </c>
      <c r="C185" s="1" t="n">
        <v>45759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29940-2020</t>
        </is>
      </c>
      <c r="B186" s="1" t="n">
        <v>44006</v>
      </c>
      <c r="C186" s="1" t="n">
        <v>45759</v>
      </c>
      <c r="D186" t="inlineStr">
        <is>
          <t>GÄVLEBORGS LÄN</t>
        </is>
      </c>
      <c r="E186" t="inlineStr">
        <is>
          <t>GÄVLE</t>
        </is>
      </c>
      <c r="F186" t="inlineStr">
        <is>
          <t>Kommuner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30658-2020</t>
        </is>
      </c>
      <c r="B187" s="1" t="n">
        <v>44008</v>
      </c>
      <c r="C187" s="1" t="n">
        <v>45759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30851-2020</t>
        </is>
      </c>
      <c r="B188" s="1" t="n">
        <v>44011</v>
      </c>
      <c r="C188" s="1" t="n">
        <v>45759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31747-2020</t>
        </is>
      </c>
      <c r="B189" s="1" t="n">
        <v>44014</v>
      </c>
      <c r="C189" s="1" t="n">
        <v>45759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32223-2020</t>
        </is>
      </c>
      <c r="B190" s="1" t="n">
        <v>44015</v>
      </c>
      <c r="C190" s="1" t="n">
        <v>45759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32231-2020</t>
        </is>
      </c>
      <c r="B191" s="1" t="n">
        <v>44015</v>
      </c>
      <c r="C191" s="1" t="n">
        <v>45759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33351-2020</t>
        </is>
      </c>
      <c r="B192" s="1" t="n">
        <v>44022</v>
      </c>
      <c r="C192" s="1" t="n">
        <v>45759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33893-2020</t>
        </is>
      </c>
      <c r="B193" s="1" t="n">
        <v>44025</v>
      </c>
      <c r="C193" s="1" t="n">
        <v>45759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33755-2020</t>
        </is>
      </c>
      <c r="B194" s="1" t="n">
        <v>44026</v>
      </c>
      <c r="C194" s="1" t="n">
        <v>45759</v>
      </c>
      <c r="D194" t="inlineStr">
        <is>
          <t>GÄVLEBORGS LÄN</t>
        </is>
      </c>
      <c r="E194" t="inlineStr">
        <is>
          <t>GÄVLE</t>
        </is>
      </c>
      <c r="F194" t="inlineStr">
        <is>
          <t>Kommuner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35533-2020</t>
        </is>
      </c>
      <c r="B195" s="1" t="n">
        <v>44043</v>
      </c>
      <c r="C195" s="1" t="n">
        <v>45759</v>
      </c>
      <c r="D195" t="inlineStr">
        <is>
          <t>GÄVLEBORGS LÄN</t>
        </is>
      </c>
      <c r="E195" t="inlineStr">
        <is>
          <t>GÄVLE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37604-2020</t>
        </is>
      </c>
      <c r="B196" s="1" t="n">
        <v>44056</v>
      </c>
      <c r="C196" s="1" t="n">
        <v>45759</v>
      </c>
      <c r="D196" t="inlineStr">
        <is>
          <t>GÄVLEBORGS LÄN</t>
        </is>
      </c>
      <c r="E196" t="inlineStr">
        <is>
          <t>GÄVLE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37721-2020</t>
        </is>
      </c>
      <c r="B197" s="1" t="n">
        <v>44056</v>
      </c>
      <c r="C197" s="1" t="n">
        <v>45759</v>
      </c>
      <c r="D197" t="inlineStr">
        <is>
          <t>GÄVLEBORGS LÄN</t>
        </is>
      </c>
      <c r="E197" t="inlineStr">
        <is>
          <t>GÄVLE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37717-2020</t>
        </is>
      </c>
      <c r="B198" s="1" t="n">
        <v>44056</v>
      </c>
      <c r="C198" s="1" t="n">
        <v>45759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38300-2020</t>
        </is>
      </c>
      <c r="B199" s="1" t="n">
        <v>44060</v>
      </c>
      <c r="C199" s="1" t="n">
        <v>45759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38305-2020</t>
        </is>
      </c>
      <c r="B200" s="1" t="n">
        <v>44060</v>
      </c>
      <c r="C200" s="1" t="n">
        <v>45759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38926-2020</t>
        </is>
      </c>
      <c r="B201" s="1" t="n">
        <v>44062</v>
      </c>
      <c r="C201" s="1" t="n">
        <v>45759</v>
      </c>
      <c r="D201" t="inlineStr">
        <is>
          <t>GÄVLEBORGS LÄN</t>
        </is>
      </c>
      <c r="E201" t="inlineStr">
        <is>
          <t>GÄVLE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39798-2020</t>
        </is>
      </c>
      <c r="B202" s="1" t="n">
        <v>44067</v>
      </c>
      <c r="C202" s="1" t="n">
        <v>45759</v>
      </c>
      <c r="D202" t="inlineStr">
        <is>
          <t>GÄVLEBORGS LÄN</t>
        </is>
      </c>
      <c r="E202" t="inlineStr">
        <is>
          <t>GÄVLE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40087-2020</t>
        </is>
      </c>
      <c r="B203" s="1" t="n">
        <v>44068</v>
      </c>
      <c r="C203" s="1" t="n">
        <v>45759</v>
      </c>
      <c r="D203" t="inlineStr">
        <is>
          <t>GÄVLEBORGS LÄN</t>
        </is>
      </c>
      <c r="E203" t="inlineStr">
        <is>
          <t>GÄVLE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40340-2020</t>
        </is>
      </c>
      <c r="B204" s="1" t="n">
        <v>44068</v>
      </c>
      <c r="C204" s="1" t="n">
        <v>45759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40626-2020</t>
        </is>
      </c>
      <c r="B205" s="1" t="n">
        <v>44069</v>
      </c>
      <c r="C205" s="1" t="n">
        <v>45759</v>
      </c>
      <c r="D205" t="inlineStr">
        <is>
          <t>GÄVLEBORGS LÄN</t>
        </is>
      </c>
      <c r="E205" t="inlineStr">
        <is>
          <t>GÄVLE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42357-2020</t>
        </is>
      </c>
      <c r="B206" s="1" t="n">
        <v>44076</v>
      </c>
      <c r="C206" s="1" t="n">
        <v>45759</v>
      </c>
      <c r="D206" t="inlineStr">
        <is>
          <t>GÄVLEBORGS LÄN</t>
        </is>
      </c>
      <c r="E206" t="inlineStr">
        <is>
          <t>GÄVLE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42351-2020</t>
        </is>
      </c>
      <c r="B207" s="1" t="n">
        <v>44076</v>
      </c>
      <c r="C207" s="1" t="n">
        <v>45759</v>
      </c>
      <c r="D207" t="inlineStr">
        <is>
          <t>GÄVLEBORGS LÄN</t>
        </is>
      </c>
      <c r="E207" t="inlineStr">
        <is>
          <t>GÄVLE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42356-2020</t>
        </is>
      </c>
      <c r="B208" s="1" t="n">
        <v>44076</v>
      </c>
      <c r="C208" s="1" t="n">
        <v>45759</v>
      </c>
      <c r="D208" t="inlineStr">
        <is>
          <t>GÄVLEBORGS LÄN</t>
        </is>
      </c>
      <c r="E208" t="inlineStr">
        <is>
          <t>GÄVLE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42868-2020</t>
        </is>
      </c>
      <c r="B209" s="1" t="n">
        <v>44078</v>
      </c>
      <c r="C209" s="1" t="n">
        <v>45759</v>
      </c>
      <c r="D209" t="inlineStr">
        <is>
          <t>GÄVLEBORGS LÄN</t>
        </is>
      </c>
      <c r="E209" t="inlineStr">
        <is>
          <t>GÄVLE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43385-2020</t>
        </is>
      </c>
      <c r="B210" s="1" t="n">
        <v>44081</v>
      </c>
      <c r="C210" s="1" t="n">
        <v>45759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43185-2020</t>
        </is>
      </c>
      <c r="B211" s="1" t="n">
        <v>44081</v>
      </c>
      <c r="C211" s="1" t="n">
        <v>45759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44350-2020</t>
        </is>
      </c>
      <c r="B212" s="1" t="n">
        <v>44084</v>
      </c>
      <c r="C212" s="1" t="n">
        <v>45759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46455-2020</t>
        </is>
      </c>
      <c r="B213" s="1" t="n">
        <v>44095</v>
      </c>
      <c r="C213" s="1" t="n">
        <v>45759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46694-2020</t>
        </is>
      </c>
      <c r="B214" s="1" t="n">
        <v>44095</v>
      </c>
      <c r="C214" s="1" t="n">
        <v>45759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46708-2020</t>
        </is>
      </c>
      <c r="B215" s="1" t="n">
        <v>44095</v>
      </c>
      <c r="C215" s="1" t="n">
        <v>45759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46444-2020</t>
        </is>
      </c>
      <c r="B216" s="1" t="n">
        <v>44095</v>
      </c>
      <c r="C216" s="1" t="n">
        <v>45759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46898-2020</t>
        </is>
      </c>
      <c r="B217" s="1" t="n">
        <v>44096</v>
      </c>
      <c r="C217" s="1" t="n">
        <v>45759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46925-2020</t>
        </is>
      </c>
      <c r="B218" s="1" t="n">
        <v>44096</v>
      </c>
      <c r="C218" s="1" t="n">
        <v>45759</v>
      </c>
      <c r="D218" t="inlineStr">
        <is>
          <t>GÄVLEBORGS LÄN</t>
        </is>
      </c>
      <c r="E218" t="inlineStr">
        <is>
          <t>GÄVLE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47543-2020</t>
        </is>
      </c>
      <c r="B219" s="1" t="n">
        <v>44098</v>
      </c>
      <c r="C219" s="1" t="n">
        <v>45759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50216-2020</t>
        </is>
      </c>
      <c r="B220" s="1" t="n">
        <v>44109</v>
      </c>
      <c r="C220" s="1" t="n">
        <v>45759</v>
      </c>
      <c r="D220" t="inlineStr">
        <is>
          <t>GÄVLEBORGS LÄN</t>
        </is>
      </c>
      <c r="E220" t="inlineStr">
        <is>
          <t>GÄVLE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51121-2020</t>
        </is>
      </c>
      <c r="B221" s="1" t="n">
        <v>44112</v>
      </c>
      <c r="C221" s="1" t="n">
        <v>45759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51126-2020</t>
        </is>
      </c>
      <c r="B222" s="1" t="n">
        <v>44112</v>
      </c>
      <c r="C222" s="1" t="n">
        <v>45759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52790-2020</t>
        </is>
      </c>
      <c r="B223" s="1" t="n">
        <v>44118</v>
      </c>
      <c r="C223" s="1" t="n">
        <v>45759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53470-2020</t>
        </is>
      </c>
      <c r="B224" s="1" t="n">
        <v>44123</v>
      </c>
      <c r="C224" s="1" t="n">
        <v>45759</v>
      </c>
      <c r="D224" t="inlineStr">
        <is>
          <t>GÄVLEBORGS LÄN</t>
        </is>
      </c>
      <c r="E224" t="inlineStr">
        <is>
          <t>GÄVLE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53517-2020</t>
        </is>
      </c>
      <c r="B225" s="1" t="n">
        <v>44124</v>
      </c>
      <c r="C225" s="1" t="n">
        <v>45759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54031-2020</t>
        </is>
      </c>
      <c r="B226" s="1" t="n">
        <v>44125</v>
      </c>
      <c r="C226" s="1" t="n">
        <v>45759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54053-2020</t>
        </is>
      </c>
      <c r="B227" s="1" t="n">
        <v>44125</v>
      </c>
      <c r="C227" s="1" t="n">
        <v>45759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54065-2020</t>
        </is>
      </c>
      <c r="B228" s="1" t="n">
        <v>44125</v>
      </c>
      <c r="C228" s="1" t="n">
        <v>45759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54249-2020</t>
        </is>
      </c>
      <c r="B229" s="1" t="n">
        <v>44126</v>
      </c>
      <c r="C229" s="1" t="n">
        <v>45759</v>
      </c>
      <c r="D229" t="inlineStr">
        <is>
          <t>GÄVLEBORGS LÄN</t>
        </is>
      </c>
      <c r="E229" t="inlineStr">
        <is>
          <t>GÄVLE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54294-2020</t>
        </is>
      </c>
      <c r="B230" s="1" t="n">
        <v>44126</v>
      </c>
      <c r="C230" s="1" t="n">
        <v>45759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54616-2020</t>
        </is>
      </c>
      <c r="B231" s="1" t="n">
        <v>44127</v>
      </c>
      <c r="C231" s="1" t="n">
        <v>45759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54624-2020</t>
        </is>
      </c>
      <c r="B232" s="1" t="n">
        <v>44127</v>
      </c>
      <c r="C232" s="1" t="n">
        <v>45759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54620-2020</t>
        </is>
      </c>
      <c r="B233" s="1" t="n">
        <v>44127</v>
      </c>
      <c r="C233" s="1" t="n">
        <v>45759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54638-2020</t>
        </is>
      </c>
      <c r="B234" s="1" t="n">
        <v>44127</v>
      </c>
      <c r="C234" s="1" t="n">
        <v>45759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56221-2020</t>
        </is>
      </c>
      <c r="B235" s="1" t="n">
        <v>44134</v>
      </c>
      <c r="C235" s="1" t="n">
        <v>45759</v>
      </c>
      <c r="D235" t="inlineStr">
        <is>
          <t>GÄVLEBORGS LÄN</t>
        </is>
      </c>
      <c r="E235" t="inlineStr">
        <is>
          <t>GÄVLE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57535-2020</t>
        </is>
      </c>
      <c r="B236" s="1" t="n">
        <v>44140</v>
      </c>
      <c r="C236" s="1" t="n">
        <v>45759</v>
      </c>
      <c r="D236" t="inlineStr">
        <is>
          <t>GÄVLEBORGS LÄN</t>
        </is>
      </c>
      <c r="E236" t="inlineStr">
        <is>
          <t>GÄVLE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57702-2020</t>
        </is>
      </c>
      <c r="B237" s="1" t="n">
        <v>44140</v>
      </c>
      <c r="C237" s="1" t="n">
        <v>45759</v>
      </c>
      <c r="D237" t="inlineStr">
        <is>
          <t>GÄVLEBORGS LÄN</t>
        </is>
      </c>
      <c r="E237" t="inlineStr">
        <is>
          <t>GÄVLE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57706-2020</t>
        </is>
      </c>
      <c r="B238" s="1" t="n">
        <v>44140</v>
      </c>
      <c r="C238" s="1" t="n">
        <v>45759</v>
      </c>
      <c r="D238" t="inlineStr">
        <is>
          <t>GÄVLEBORGS LÄN</t>
        </is>
      </c>
      <c r="E238" t="inlineStr">
        <is>
          <t>GÄVLE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58189-2020</t>
        </is>
      </c>
      <c r="B239" s="1" t="n">
        <v>44144</v>
      </c>
      <c r="C239" s="1" t="n">
        <v>45759</v>
      </c>
      <c r="D239" t="inlineStr">
        <is>
          <t>GÄVLEBORGS LÄN</t>
        </is>
      </c>
      <c r="E239" t="inlineStr">
        <is>
          <t>GÄVLE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58690-2020</t>
        </is>
      </c>
      <c r="B240" s="1" t="n">
        <v>44146</v>
      </c>
      <c r="C240" s="1" t="n">
        <v>45759</v>
      </c>
      <c r="D240" t="inlineStr">
        <is>
          <t>GÄVLEBORGS LÄN</t>
        </is>
      </c>
      <c r="E240" t="inlineStr">
        <is>
          <t>GÄVLE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59072-2020</t>
        </is>
      </c>
      <c r="B241" s="1" t="n">
        <v>44147</v>
      </c>
      <c r="C241" s="1" t="n">
        <v>45759</v>
      </c>
      <c r="D241" t="inlineStr">
        <is>
          <t>GÄVLEBORGS LÄN</t>
        </is>
      </c>
      <c r="E241" t="inlineStr">
        <is>
          <t>GÄVLE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60249-2020</t>
        </is>
      </c>
      <c r="B242" s="1" t="n">
        <v>44152</v>
      </c>
      <c r="C242" s="1" t="n">
        <v>45759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60951-2020</t>
        </is>
      </c>
      <c r="B243" s="1" t="n">
        <v>44154</v>
      </c>
      <c r="C243" s="1" t="n">
        <v>45759</v>
      </c>
      <c r="D243" t="inlineStr">
        <is>
          <t>GÄVLEBORGS LÄN</t>
        </is>
      </c>
      <c r="E243" t="inlineStr">
        <is>
          <t>GÄVLE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60953-2020</t>
        </is>
      </c>
      <c r="B244" s="1" t="n">
        <v>44154</v>
      </c>
      <c r="C244" s="1" t="n">
        <v>45759</v>
      </c>
      <c r="D244" t="inlineStr">
        <is>
          <t>GÄVLEBORGS LÄN</t>
        </is>
      </c>
      <c r="E244" t="inlineStr">
        <is>
          <t>GÄVLE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61694-2020</t>
        </is>
      </c>
      <c r="B245" s="1" t="n">
        <v>44158</v>
      </c>
      <c r="C245" s="1" t="n">
        <v>45759</v>
      </c>
      <c r="D245" t="inlineStr">
        <is>
          <t>GÄVLEBORGS LÄN</t>
        </is>
      </c>
      <c r="E245" t="inlineStr">
        <is>
          <t>GÄVLE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61704-2020</t>
        </is>
      </c>
      <c r="B246" s="1" t="n">
        <v>44158</v>
      </c>
      <c r="C246" s="1" t="n">
        <v>45759</v>
      </c>
      <c r="D246" t="inlineStr">
        <is>
          <t>GÄVLEBORGS LÄN</t>
        </is>
      </c>
      <c r="E246" t="inlineStr">
        <is>
          <t>GÄVLE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62495-2020</t>
        </is>
      </c>
      <c r="B247" s="1" t="n">
        <v>44160</v>
      </c>
      <c r="C247" s="1" t="n">
        <v>45759</v>
      </c>
      <c r="D247" t="inlineStr">
        <is>
          <t>GÄVLEBORGS LÄN</t>
        </is>
      </c>
      <c r="E247" t="inlineStr">
        <is>
          <t>GÄVLE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62654-2020</t>
        </is>
      </c>
      <c r="B248" s="1" t="n">
        <v>44161</v>
      </c>
      <c r="C248" s="1" t="n">
        <v>45759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62986-2020</t>
        </is>
      </c>
      <c r="B249" s="1" t="n">
        <v>44162</v>
      </c>
      <c r="C249" s="1" t="n">
        <v>45759</v>
      </c>
      <c r="D249" t="inlineStr">
        <is>
          <t>GÄVLEBORGS LÄN</t>
        </is>
      </c>
      <c r="E249" t="inlineStr">
        <is>
          <t>GÄVLE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66006-2020</t>
        </is>
      </c>
      <c r="B250" s="1" t="n">
        <v>44175</v>
      </c>
      <c r="C250" s="1" t="n">
        <v>45759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66346-2020</t>
        </is>
      </c>
      <c r="B251" s="1" t="n">
        <v>44176</v>
      </c>
      <c r="C251" s="1" t="n">
        <v>45759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66343-2020</t>
        </is>
      </c>
      <c r="B252" s="1" t="n">
        <v>44176</v>
      </c>
      <c r="C252" s="1" t="n">
        <v>45759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69210-2020</t>
        </is>
      </c>
      <c r="B253" s="1" t="n">
        <v>44191</v>
      </c>
      <c r="C253" s="1" t="n">
        <v>45759</v>
      </c>
      <c r="D253" t="inlineStr">
        <is>
          <t>GÄVLEBORGS LÄN</t>
        </is>
      </c>
      <c r="E253" t="inlineStr">
        <is>
          <t>GÄVLE</t>
        </is>
      </c>
      <c r="F253" t="inlineStr">
        <is>
          <t>Kommuner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69206-2020</t>
        </is>
      </c>
      <c r="B254" s="1" t="n">
        <v>44191</v>
      </c>
      <c r="C254" s="1" t="n">
        <v>45759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69216-2020</t>
        </is>
      </c>
      <c r="B255" s="1" t="n">
        <v>44192</v>
      </c>
      <c r="C255" s="1" t="n">
        <v>45759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69254-2020</t>
        </is>
      </c>
      <c r="B256" s="1" t="n">
        <v>44192</v>
      </c>
      <c r="C256" s="1" t="n">
        <v>45759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69252-2020</t>
        </is>
      </c>
      <c r="B257" s="1" t="n">
        <v>44192</v>
      </c>
      <c r="C257" s="1" t="n">
        <v>45759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69215-2020</t>
        </is>
      </c>
      <c r="B258" s="1" t="n">
        <v>44192</v>
      </c>
      <c r="C258" s="1" t="n">
        <v>45759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69253-2020</t>
        </is>
      </c>
      <c r="B259" s="1" t="n">
        <v>44192</v>
      </c>
      <c r="C259" s="1" t="n">
        <v>45759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69219-2020</t>
        </is>
      </c>
      <c r="B260" s="1" t="n">
        <v>44192</v>
      </c>
      <c r="C260" s="1" t="n">
        <v>45759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69251-2020</t>
        </is>
      </c>
      <c r="B261" s="1" t="n">
        <v>44192</v>
      </c>
      <c r="C261" s="1" t="n">
        <v>45759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69675-2020</t>
        </is>
      </c>
      <c r="B262" s="1" t="n">
        <v>44196</v>
      </c>
      <c r="C262" s="1" t="n">
        <v>45759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242-2021</t>
        </is>
      </c>
      <c r="B263" s="1" t="n">
        <v>44200</v>
      </c>
      <c r="C263" s="1" t="n">
        <v>45759</v>
      </c>
      <c r="D263" t="inlineStr">
        <is>
          <t>GÄVLEBORGS LÄN</t>
        </is>
      </c>
      <c r="E263" t="inlineStr">
        <is>
          <t>GÄVLE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247-2021</t>
        </is>
      </c>
      <c r="B264" s="1" t="n">
        <v>44200</v>
      </c>
      <c r="C264" s="1" t="n">
        <v>45759</v>
      </c>
      <c r="D264" t="inlineStr">
        <is>
          <t>GÄVLEBORGS LÄN</t>
        </is>
      </c>
      <c r="E264" t="inlineStr">
        <is>
          <t>GÄVLE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795-2021</t>
        </is>
      </c>
      <c r="B265" s="1" t="n">
        <v>44204</v>
      </c>
      <c r="C265" s="1" t="n">
        <v>45759</v>
      </c>
      <c r="D265" t="inlineStr">
        <is>
          <t>GÄVLEBORGS LÄN</t>
        </is>
      </c>
      <c r="E265" t="inlineStr">
        <is>
          <t>GÄVLE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2901-2021</t>
        </is>
      </c>
      <c r="B266" s="1" t="n">
        <v>44216</v>
      </c>
      <c r="C266" s="1" t="n">
        <v>45759</v>
      </c>
      <c r="D266" t="inlineStr">
        <is>
          <t>GÄVLEBORGS LÄN</t>
        </is>
      </c>
      <c r="E266" t="inlineStr">
        <is>
          <t>GÄVLE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4277-2021</t>
        </is>
      </c>
      <c r="B267" s="1" t="n">
        <v>44223</v>
      </c>
      <c r="C267" s="1" t="n">
        <v>45759</v>
      </c>
      <c r="D267" t="inlineStr">
        <is>
          <t>GÄVLEBORGS LÄN</t>
        </is>
      </c>
      <c r="E267" t="inlineStr">
        <is>
          <t>GÄVLE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5207-2021</t>
        </is>
      </c>
      <c r="B268" s="1" t="n">
        <v>44228</v>
      </c>
      <c r="C268" s="1" t="n">
        <v>45759</v>
      </c>
      <c r="D268" t="inlineStr">
        <is>
          <t>GÄVLEBORGS LÄN</t>
        </is>
      </c>
      <c r="E268" t="inlineStr">
        <is>
          <t>GÄVLE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5972-2021</t>
        </is>
      </c>
      <c r="B269" s="1" t="n">
        <v>44231</v>
      </c>
      <c r="C269" s="1" t="n">
        <v>45759</v>
      </c>
      <c r="D269" t="inlineStr">
        <is>
          <t>GÄVLEBORGS LÄN</t>
        </is>
      </c>
      <c r="E269" t="inlineStr">
        <is>
          <t>GÄVLE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6468-2021</t>
        </is>
      </c>
      <c r="B270" s="1" t="n">
        <v>44235</v>
      </c>
      <c r="C270" s="1" t="n">
        <v>45759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6467-2021</t>
        </is>
      </c>
      <c r="B271" s="1" t="n">
        <v>44235</v>
      </c>
      <c r="C271" s="1" t="n">
        <v>45759</v>
      </c>
      <c r="D271" t="inlineStr">
        <is>
          <t>GÄVLEBORGS LÄN</t>
        </is>
      </c>
      <c r="E271" t="inlineStr">
        <is>
          <t>GÄVLE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9738-2021</t>
        </is>
      </c>
      <c r="B272" s="1" t="n">
        <v>44252</v>
      </c>
      <c r="C272" s="1" t="n">
        <v>45759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9733-2021</t>
        </is>
      </c>
      <c r="B273" s="1" t="n">
        <v>44252</v>
      </c>
      <c r="C273" s="1" t="n">
        <v>45759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10704-2021</t>
        </is>
      </c>
      <c r="B274" s="1" t="n">
        <v>44258</v>
      </c>
      <c r="C274" s="1" t="n">
        <v>45759</v>
      </c>
      <c r="D274" t="inlineStr">
        <is>
          <t>GÄVLEBORGS LÄN</t>
        </is>
      </c>
      <c r="E274" t="inlineStr">
        <is>
          <t>GÄVLE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10709-2021</t>
        </is>
      </c>
      <c r="B275" s="1" t="n">
        <v>44258</v>
      </c>
      <c r="C275" s="1" t="n">
        <v>45759</v>
      </c>
      <c r="D275" t="inlineStr">
        <is>
          <t>GÄVLEBORGS LÄN</t>
        </is>
      </c>
      <c r="E275" t="inlineStr">
        <is>
          <t>GÄVLE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11020-2021</t>
        </is>
      </c>
      <c r="B276" s="1" t="n">
        <v>44260</v>
      </c>
      <c r="C276" s="1" t="n">
        <v>45759</v>
      </c>
      <c r="D276" t="inlineStr">
        <is>
          <t>GÄVLEBORGS LÄN</t>
        </is>
      </c>
      <c r="E276" t="inlineStr">
        <is>
          <t>GÄVLE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11188-2021</t>
        </is>
      </c>
      <c r="B277" s="1" t="n">
        <v>44263</v>
      </c>
      <c r="C277" s="1" t="n">
        <v>45759</v>
      </c>
      <c r="D277" t="inlineStr">
        <is>
          <t>GÄVLEBORGS LÄN</t>
        </is>
      </c>
      <c r="E277" t="inlineStr">
        <is>
          <t>GÄVLE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11190-2021</t>
        </is>
      </c>
      <c r="B278" s="1" t="n">
        <v>44263</v>
      </c>
      <c r="C278" s="1" t="n">
        <v>45759</v>
      </c>
      <c r="D278" t="inlineStr">
        <is>
          <t>GÄVLEBORGS LÄN</t>
        </is>
      </c>
      <c r="E278" t="inlineStr">
        <is>
          <t>GÄVLE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12775-2021</t>
        </is>
      </c>
      <c r="B279" s="1" t="n">
        <v>44270</v>
      </c>
      <c r="C279" s="1" t="n">
        <v>45759</v>
      </c>
      <c r="D279" t="inlineStr">
        <is>
          <t>GÄVLEBORGS LÄN</t>
        </is>
      </c>
      <c r="E279" t="inlineStr">
        <is>
          <t>GÄVLE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12841-2021</t>
        </is>
      </c>
      <c r="B280" s="1" t="n">
        <v>44271</v>
      </c>
      <c r="C280" s="1" t="n">
        <v>45759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13030-2021</t>
        </is>
      </c>
      <c r="B281" s="1" t="n">
        <v>44271</v>
      </c>
      <c r="C281" s="1" t="n">
        <v>45759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13297-2021</t>
        </is>
      </c>
      <c r="B282" s="1" t="n">
        <v>44272</v>
      </c>
      <c r="C282" s="1" t="n">
        <v>45759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13259-2021</t>
        </is>
      </c>
      <c r="B283" s="1" t="n">
        <v>44272</v>
      </c>
      <c r="C283" s="1" t="n">
        <v>45759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13594-2021</t>
        </is>
      </c>
      <c r="B284" s="1" t="n">
        <v>44274</v>
      </c>
      <c r="C284" s="1" t="n">
        <v>45759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13600-2021</t>
        </is>
      </c>
      <c r="B285" s="1" t="n">
        <v>44274</v>
      </c>
      <c r="C285" s="1" t="n">
        <v>45759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14032-2021</t>
        </is>
      </c>
      <c r="B286" s="1" t="n">
        <v>44277</v>
      </c>
      <c r="C286" s="1" t="n">
        <v>45759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14212-2021</t>
        </is>
      </c>
      <c r="B287" s="1" t="n">
        <v>44278</v>
      </c>
      <c r="C287" s="1" t="n">
        <v>45759</v>
      </c>
      <c r="D287" t="inlineStr">
        <is>
          <t>GÄVLEBORGS LÄN</t>
        </is>
      </c>
      <c r="E287" t="inlineStr">
        <is>
          <t>GÄVLE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14449-2021</t>
        </is>
      </c>
      <c r="B288" s="1" t="n">
        <v>44279</v>
      </c>
      <c r="C288" s="1" t="n">
        <v>45759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14594-2021</t>
        </is>
      </c>
      <c r="B289" s="1" t="n">
        <v>44279</v>
      </c>
      <c r="C289" s="1" t="n">
        <v>45759</v>
      </c>
      <c r="D289" t="inlineStr">
        <is>
          <t>GÄVLEBORGS LÄN</t>
        </is>
      </c>
      <c r="E289" t="inlineStr">
        <is>
          <t>GÄVLE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15047-2021</t>
        </is>
      </c>
      <c r="B290" s="1" t="n">
        <v>44281</v>
      </c>
      <c r="C290" s="1" t="n">
        <v>45759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15280-2021</t>
        </is>
      </c>
      <c r="B291" s="1" t="n">
        <v>44284</v>
      </c>
      <c r="C291" s="1" t="n">
        <v>45759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15372-2021</t>
        </is>
      </c>
      <c r="B292" s="1" t="n">
        <v>44284</v>
      </c>
      <c r="C292" s="1" t="n">
        <v>45759</v>
      </c>
      <c r="D292" t="inlineStr">
        <is>
          <t>GÄVLEBORGS LÄN</t>
        </is>
      </c>
      <c r="E292" t="inlineStr">
        <is>
          <t>GÄVLE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15763-2021</t>
        </is>
      </c>
      <c r="B293" s="1" t="n">
        <v>44286</v>
      </c>
      <c r="C293" s="1" t="n">
        <v>45759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15824-2021</t>
        </is>
      </c>
      <c r="B294" s="1" t="n">
        <v>44286</v>
      </c>
      <c r="C294" s="1" t="n">
        <v>45759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15738-2021</t>
        </is>
      </c>
      <c r="B295" s="1" t="n">
        <v>44286</v>
      </c>
      <c r="C295" s="1" t="n">
        <v>45759</v>
      </c>
      <c r="D295" t="inlineStr">
        <is>
          <t>GÄVLEBORGS LÄN</t>
        </is>
      </c>
      <c r="E295" t="inlineStr">
        <is>
          <t>GÄVLE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15904-2021</t>
        </is>
      </c>
      <c r="B296" s="1" t="n">
        <v>44286</v>
      </c>
      <c r="C296" s="1" t="n">
        <v>45759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16574-2021</t>
        </is>
      </c>
      <c r="B297" s="1" t="n">
        <v>44294</v>
      </c>
      <c r="C297" s="1" t="n">
        <v>45759</v>
      </c>
      <c r="D297" t="inlineStr">
        <is>
          <t>GÄVLEBORGS LÄN</t>
        </is>
      </c>
      <c r="E297" t="inlineStr">
        <is>
          <t>GÄVLE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16581-2021</t>
        </is>
      </c>
      <c r="B298" s="1" t="n">
        <v>44294</v>
      </c>
      <c r="C298" s="1" t="n">
        <v>45759</v>
      </c>
      <c r="D298" t="inlineStr">
        <is>
          <t>GÄVLEBORGS LÄN</t>
        </is>
      </c>
      <c r="E298" t="inlineStr">
        <is>
          <t>GÄVLE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16713-2021</t>
        </is>
      </c>
      <c r="B299" s="1" t="n">
        <v>44294</v>
      </c>
      <c r="C299" s="1" t="n">
        <v>45759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16931-2021</t>
        </is>
      </c>
      <c r="B300" s="1" t="n">
        <v>44295</v>
      </c>
      <c r="C300" s="1" t="n">
        <v>45759</v>
      </c>
      <c r="D300" t="inlineStr">
        <is>
          <t>GÄVLEBORGS LÄN</t>
        </is>
      </c>
      <c r="E300" t="inlineStr">
        <is>
          <t>GÄVLE</t>
        </is>
      </c>
      <c r="F300" t="inlineStr">
        <is>
          <t>Kyrkan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17593-2021</t>
        </is>
      </c>
      <c r="B301" s="1" t="n">
        <v>44300</v>
      </c>
      <c r="C301" s="1" t="n">
        <v>45759</v>
      </c>
      <c r="D301" t="inlineStr">
        <is>
          <t>GÄVLEBORGS LÄN</t>
        </is>
      </c>
      <c r="E301" t="inlineStr">
        <is>
          <t>GÄVLE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17656-2021</t>
        </is>
      </c>
      <c r="B302" s="1" t="n">
        <v>44300</v>
      </c>
      <c r="C302" s="1" t="n">
        <v>45759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17834-2021</t>
        </is>
      </c>
      <c r="B303" s="1" t="n">
        <v>44300</v>
      </c>
      <c r="C303" s="1" t="n">
        <v>45759</v>
      </c>
      <c r="D303" t="inlineStr">
        <is>
          <t>GÄVLEBORGS LÄN</t>
        </is>
      </c>
      <c r="E303" t="inlineStr">
        <is>
          <t>GÄVLE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18431-2021</t>
        </is>
      </c>
      <c r="B304" s="1" t="n">
        <v>44305</v>
      </c>
      <c r="C304" s="1" t="n">
        <v>45759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18827-2021</t>
        </is>
      </c>
      <c r="B305" s="1" t="n">
        <v>44307</v>
      </c>
      <c r="C305" s="1" t="n">
        <v>45759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19180-2021</t>
        </is>
      </c>
      <c r="B306" s="1" t="n">
        <v>44308</v>
      </c>
      <c r="C306" s="1" t="n">
        <v>45759</v>
      </c>
      <c r="D306" t="inlineStr">
        <is>
          <t>GÄVLEBORGS LÄN</t>
        </is>
      </c>
      <c r="E306" t="inlineStr">
        <is>
          <t>GÄVLE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19178-2021</t>
        </is>
      </c>
      <c r="B307" s="1" t="n">
        <v>44308</v>
      </c>
      <c r="C307" s="1" t="n">
        <v>45759</v>
      </c>
      <c r="D307" t="inlineStr">
        <is>
          <t>GÄVLEBORGS LÄN</t>
        </is>
      </c>
      <c r="E307" t="inlineStr">
        <is>
          <t>GÄVLE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20632-2021</t>
        </is>
      </c>
      <c r="B308" s="1" t="n">
        <v>44316</v>
      </c>
      <c r="C308" s="1" t="n">
        <v>45759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20657-2021</t>
        </is>
      </c>
      <c r="B309" s="1" t="n">
        <v>44316</v>
      </c>
      <c r="C309" s="1" t="n">
        <v>45759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21004-2021</t>
        </is>
      </c>
      <c r="B310" s="1" t="n">
        <v>44319</v>
      </c>
      <c r="C310" s="1" t="n">
        <v>45759</v>
      </c>
      <c r="D310" t="inlineStr">
        <is>
          <t>GÄVLEBORGS LÄN</t>
        </is>
      </c>
      <c r="E310" t="inlineStr">
        <is>
          <t>GÄVLE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21552-2021</t>
        </is>
      </c>
      <c r="B311" s="1" t="n">
        <v>44321</v>
      </c>
      <c r="C311" s="1" t="n">
        <v>45759</v>
      </c>
      <c r="D311" t="inlineStr">
        <is>
          <t>GÄVLEBORGS LÄN</t>
        </is>
      </c>
      <c r="E311" t="inlineStr">
        <is>
          <t>GÄVLE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21557-2021</t>
        </is>
      </c>
      <c r="B312" s="1" t="n">
        <v>44321</v>
      </c>
      <c r="C312" s="1" t="n">
        <v>45759</v>
      </c>
      <c r="D312" t="inlineStr">
        <is>
          <t>GÄVLEBORGS LÄN</t>
        </is>
      </c>
      <c r="E312" t="inlineStr">
        <is>
          <t>GÄVLE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22422-2021</t>
        </is>
      </c>
      <c r="B313" s="1" t="n">
        <v>44326</v>
      </c>
      <c r="C313" s="1" t="n">
        <v>45759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23246-2021</t>
        </is>
      </c>
      <c r="B314" s="1" t="n">
        <v>44333</v>
      </c>
      <c r="C314" s="1" t="n">
        <v>45759</v>
      </c>
      <c r="D314" t="inlineStr">
        <is>
          <t>GÄVLEBORGS LÄN</t>
        </is>
      </c>
      <c r="E314" t="inlineStr">
        <is>
          <t>GÄVLE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23649-2021</t>
        </is>
      </c>
      <c r="B315" s="1" t="n">
        <v>44334</v>
      </c>
      <c r="C315" s="1" t="n">
        <v>45759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24173-2021</t>
        </is>
      </c>
      <c r="B316" s="1" t="n">
        <v>44336</v>
      </c>
      <c r="C316" s="1" t="n">
        <v>45759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25312-2021</t>
        </is>
      </c>
      <c r="B317" s="1" t="n">
        <v>44342</v>
      </c>
      <c r="C317" s="1" t="n">
        <v>45759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25335-2021</t>
        </is>
      </c>
      <c r="B318" s="1" t="n">
        <v>44342</v>
      </c>
      <c r="C318" s="1" t="n">
        <v>45759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25446-2021</t>
        </is>
      </c>
      <c r="B319" s="1" t="n">
        <v>44342</v>
      </c>
      <c r="C319" s="1" t="n">
        <v>45759</v>
      </c>
      <c r="D319" t="inlineStr">
        <is>
          <t>GÄVLEBORGS LÄN</t>
        </is>
      </c>
      <c r="E319" t="inlineStr">
        <is>
          <t>GÄVLE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25547-2021</t>
        </is>
      </c>
      <c r="B320" s="1" t="n">
        <v>44343</v>
      </c>
      <c r="C320" s="1" t="n">
        <v>45759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14.2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26323-2021</t>
        </is>
      </c>
      <c r="B321" s="1" t="n">
        <v>44347</v>
      </c>
      <c r="C321" s="1" t="n">
        <v>45759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26779-2021</t>
        </is>
      </c>
      <c r="B322" s="1" t="n">
        <v>44349</v>
      </c>
      <c r="C322" s="1" t="n">
        <v>45759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26776-2021</t>
        </is>
      </c>
      <c r="B323" s="1" t="n">
        <v>44349</v>
      </c>
      <c r="C323" s="1" t="n">
        <v>45759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27179-2021</t>
        </is>
      </c>
      <c r="B324" s="1" t="n">
        <v>44350</v>
      </c>
      <c r="C324" s="1" t="n">
        <v>45759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27480-2021</t>
        </is>
      </c>
      <c r="B325" s="1" t="n">
        <v>44351</v>
      </c>
      <c r="C325" s="1" t="n">
        <v>45759</v>
      </c>
      <c r="D325" t="inlineStr">
        <is>
          <t>GÄVLEBORGS LÄN</t>
        </is>
      </c>
      <c r="E325" t="inlineStr">
        <is>
          <t>GÄVLE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27476-2021</t>
        </is>
      </c>
      <c r="B326" s="1" t="n">
        <v>44351</v>
      </c>
      <c r="C326" s="1" t="n">
        <v>45759</v>
      </c>
      <c r="D326" t="inlineStr">
        <is>
          <t>GÄVLEBORGS LÄN</t>
        </is>
      </c>
      <c r="E326" t="inlineStr">
        <is>
          <t>GÄVLE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27864-2021</t>
        </is>
      </c>
      <c r="B327" s="1" t="n">
        <v>44354</v>
      </c>
      <c r="C327" s="1" t="n">
        <v>45759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28403-2021</t>
        </is>
      </c>
      <c r="B328" s="1" t="n">
        <v>44356</v>
      </c>
      <c r="C328" s="1" t="n">
        <v>45759</v>
      </c>
      <c r="D328" t="inlineStr">
        <is>
          <t>GÄVLEBORGS LÄN</t>
        </is>
      </c>
      <c r="E328" t="inlineStr">
        <is>
          <t>GÄVLE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29313-2021</t>
        </is>
      </c>
      <c r="B329" s="1" t="n">
        <v>44361</v>
      </c>
      <c r="C329" s="1" t="n">
        <v>45759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30330-2021</t>
        </is>
      </c>
      <c r="B330" s="1" t="n">
        <v>44364</v>
      </c>
      <c r="C330" s="1" t="n">
        <v>45759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30525-2021</t>
        </is>
      </c>
      <c r="B331" s="1" t="n">
        <v>44364</v>
      </c>
      <c r="C331" s="1" t="n">
        <v>45759</v>
      </c>
      <c r="D331" t="inlineStr">
        <is>
          <t>GÄVLEBORGS LÄN</t>
        </is>
      </c>
      <c r="E331" t="inlineStr">
        <is>
          <t>GÄVLE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31423-2021</t>
        </is>
      </c>
      <c r="B332" s="1" t="n">
        <v>44369</v>
      </c>
      <c r="C332" s="1" t="n">
        <v>45759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31619-2021</t>
        </is>
      </c>
      <c r="B333" s="1" t="n">
        <v>44369</v>
      </c>
      <c r="C333" s="1" t="n">
        <v>45759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32018-2021</t>
        </is>
      </c>
      <c r="B334" s="1" t="n">
        <v>44370</v>
      </c>
      <c r="C334" s="1" t="n">
        <v>45759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32008-2021</t>
        </is>
      </c>
      <c r="B335" s="1" t="n">
        <v>44370</v>
      </c>
      <c r="C335" s="1" t="n">
        <v>45759</v>
      </c>
      <c r="D335" t="inlineStr">
        <is>
          <t>GÄVLEBORGS LÄN</t>
        </is>
      </c>
      <c r="E335" t="inlineStr">
        <is>
          <t>GÄVLE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32970-2021</t>
        </is>
      </c>
      <c r="B336" s="1" t="n">
        <v>44376</v>
      </c>
      <c r="C336" s="1" t="n">
        <v>45759</v>
      </c>
      <c r="D336" t="inlineStr">
        <is>
          <t>GÄVLEBORGS LÄN</t>
        </is>
      </c>
      <c r="E336" t="inlineStr">
        <is>
          <t>GÄVLE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33224-2021</t>
        </is>
      </c>
      <c r="B337" s="1" t="n">
        <v>44377</v>
      </c>
      <c r="C337" s="1" t="n">
        <v>45759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36205-2021</t>
        </is>
      </c>
      <c r="B338" s="1" t="n">
        <v>44389</v>
      </c>
      <c r="C338" s="1" t="n">
        <v>45759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36483-2021</t>
        </is>
      </c>
      <c r="B339" s="1" t="n">
        <v>44390</v>
      </c>
      <c r="C339" s="1" t="n">
        <v>45759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39374-2021</t>
        </is>
      </c>
      <c r="B340" s="1" t="n">
        <v>44414</v>
      </c>
      <c r="C340" s="1" t="n">
        <v>45759</v>
      </c>
      <c r="D340" t="inlineStr">
        <is>
          <t>GÄVLEBORGS LÄN</t>
        </is>
      </c>
      <c r="E340" t="inlineStr">
        <is>
          <t>GÄVLE</t>
        </is>
      </c>
      <c r="F340" t="inlineStr">
        <is>
          <t>Kyrkan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40315-2021</t>
        </is>
      </c>
      <c r="B341" s="1" t="n">
        <v>44419</v>
      </c>
      <c r="C341" s="1" t="n">
        <v>45759</v>
      </c>
      <c r="D341" t="inlineStr">
        <is>
          <t>GÄVLEBORGS LÄN</t>
        </is>
      </c>
      <c r="E341" t="inlineStr">
        <is>
          <t>GÄVLE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42416-2021</t>
        </is>
      </c>
      <c r="B342" s="1" t="n">
        <v>44427</v>
      </c>
      <c r="C342" s="1" t="n">
        <v>45759</v>
      </c>
      <c r="D342" t="inlineStr">
        <is>
          <t>GÄVLEBORGS LÄN</t>
        </is>
      </c>
      <c r="E342" t="inlineStr">
        <is>
          <t>GÄVLE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44654-2021</t>
        </is>
      </c>
      <c r="B343" s="1" t="n">
        <v>44437</v>
      </c>
      <c r="C343" s="1" t="n">
        <v>45759</v>
      </c>
      <c r="D343" t="inlineStr">
        <is>
          <t>GÄVLEBORGS LÄN</t>
        </is>
      </c>
      <c r="E343" t="inlineStr">
        <is>
          <t>GÄVLE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44738-2021</t>
        </is>
      </c>
      <c r="B344" s="1" t="n">
        <v>44438</v>
      </c>
      <c r="C344" s="1" t="n">
        <v>45759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45134-2021</t>
        </is>
      </c>
      <c r="B345" s="1" t="n">
        <v>44439</v>
      </c>
      <c r="C345" s="1" t="n">
        <v>45759</v>
      </c>
      <c r="D345" t="inlineStr">
        <is>
          <t>GÄVLEBORGS LÄN</t>
        </is>
      </c>
      <c r="E345" t="inlineStr">
        <is>
          <t>GÄVLE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46549-2021</t>
        </is>
      </c>
      <c r="B346" s="1" t="n">
        <v>44445</v>
      </c>
      <c r="C346" s="1" t="n">
        <v>45759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46800-2021</t>
        </is>
      </c>
      <c r="B347" s="1" t="n">
        <v>44446</v>
      </c>
      <c r="C347" s="1" t="n">
        <v>45759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47739-2021</t>
        </is>
      </c>
      <c r="B348" s="1" t="n">
        <v>44448</v>
      </c>
      <c r="C348" s="1" t="n">
        <v>45759</v>
      </c>
      <c r="D348" t="inlineStr">
        <is>
          <t>GÄVLEBORGS LÄN</t>
        </is>
      </c>
      <c r="E348" t="inlineStr">
        <is>
          <t>GÄVLE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48881-2021</t>
        </is>
      </c>
      <c r="B349" s="1" t="n">
        <v>44452</v>
      </c>
      <c r="C349" s="1" t="n">
        <v>45759</v>
      </c>
      <c r="D349" t="inlineStr">
        <is>
          <t>GÄVLEBORGS LÄN</t>
        </is>
      </c>
      <c r="E349" t="inlineStr">
        <is>
          <t>GÄVLE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49811-2021</t>
        </is>
      </c>
      <c r="B350" s="1" t="n">
        <v>44455</v>
      </c>
      <c r="C350" s="1" t="n">
        <v>45759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49827-2021</t>
        </is>
      </c>
      <c r="B351" s="1" t="n">
        <v>44455</v>
      </c>
      <c r="C351" s="1" t="n">
        <v>45759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50389-2021</t>
        </is>
      </c>
      <c r="B352" s="1" t="n">
        <v>44459</v>
      </c>
      <c r="C352" s="1" t="n">
        <v>45759</v>
      </c>
      <c r="D352" t="inlineStr">
        <is>
          <t>GÄVLEBORGS LÄN</t>
        </is>
      </c>
      <c r="E352" t="inlineStr">
        <is>
          <t>GÄVLE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51249-2021</t>
        </is>
      </c>
      <c r="B353" s="1" t="n">
        <v>44461</v>
      </c>
      <c r="C353" s="1" t="n">
        <v>45759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51809-2021</t>
        </is>
      </c>
      <c r="B354" s="1" t="n">
        <v>44462</v>
      </c>
      <c r="C354" s="1" t="n">
        <v>45759</v>
      </c>
      <c r="D354" t="inlineStr">
        <is>
          <t>GÄVLEBORGS LÄN</t>
        </is>
      </c>
      <c r="E354" t="inlineStr">
        <is>
          <t>GÄVLE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52664-2021</t>
        </is>
      </c>
      <c r="B355" s="1" t="n">
        <v>44466</v>
      </c>
      <c r="C355" s="1" t="n">
        <v>45759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18.2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52495-2021</t>
        </is>
      </c>
      <c r="B356" s="1" t="n">
        <v>44466</v>
      </c>
      <c r="C356" s="1" t="n">
        <v>45759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53432-2021</t>
        </is>
      </c>
      <c r="B357" s="1" t="n">
        <v>44468</v>
      </c>
      <c r="C357" s="1" t="n">
        <v>45759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54834-2021</t>
        </is>
      </c>
      <c r="B358" s="1" t="n">
        <v>44473</v>
      </c>
      <c r="C358" s="1" t="n">
        <v>45759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58449-2021</t>
        </is>
      </c>
      <c r="B359" s="1" t="n">
        <v>44488</v>
      </c>
      <c r="C359" s="1" t="n">
        <v>45759</v>
      </c>
      <c r="D359" t="inlineStr">
        <is>
          <t>GÄVLEBORGS LÄN</t>
        </is>
      </c>
      <c r="E359" t="inlineStr">
        <is>
          <t>GÄVLE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58445-2021</t>
        </is>
      </c>
      <c r="B360" s="1" t="n">
        <v>44488</v>
      </c>
      <c r="C360" s="1" t="n">
        <v>45759</v>
      </c>
      <c r="D360" t="inlineStr">
        <is>
          <t>GÄVLEBORGS LÄN</t>
        </is>
      </c>
      <c r="E360" t="inlineStr">
        <is>
          <t>GÄVLE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59061-2021</t>
        </is>
      </c>
      <c r="B361" s="1" t="n">
        <v>44490</v>
      </c>
      <c r="C361" s="1" t="n">
        <v>45759</v>
      </c>
      <c r="D361" t="inlineStr">
        <is>
          <t>GÄVLEBORGS LÄN</t>
        </is>
      </c>
      <c r="E361" t="inlineStr">
        <is>
          <t>GÄVLE</t>
        </is>
      </c>
      <c r="F361" t="inlineStr">
        <is>
          <t>Kyrkan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59515-2021</t>
        </is>
      </c>
      <c r="B362" s="1" t="n">
        <v>44491</v>
      </c>
      <c r="C362" s="1" t="n">
        <v>45759</v>
      </c>
      <c r="D362" t="inlineStr">
        <is>
          <t>GÄVLEBORGS LÄN</t>
        </is>
      </c>
      <c r="E362" t="inlineStr">
        <is>
          <t>GÄVLE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59582-2021</t>
        </is>
      </c>
      <c r="B363" s="1" t="n">
        <v>44491</v>
      </c>
      <c r="C363" s="1" t="n">
        <v>45759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59810-2021</t>
        </is>
      </c>
      <c r="B364" s="1" t="n">
        <v>44494</v>
      </c>
      <c r="C364" s="1" t="n">
        <v>45759</v>
      </c>
      <c r="D364" t="inlineStr">
        <is>
          <t>GÄVLEBORGS LÄN</t>
        </is>
      </c>
      <c r="E364" t="inlineStr">
        <is>
          <t>GÄVLE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60476-2021</t>
        </is>
      </c>
      <c r="B365" s="1" t="n">
        <v>44496</v>
      </c>
      <c r="C365" s="1" t="n">
        <v>45759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61062-2021</t>
        </is>
      </c>
      <c r="B366" s="1" t="n">
        <v>44497</v>
      </c>
      <c r="C366" s="1" t="n">
        <v>45759</v>
      </c>
      <c r="D366" t="inlineStr">
        <is>
          <t>GÄVLEBORGS LÄN</t>
        </is>
      </c>
      <c r="E366" t="inlineStr">
        <is>
          <t>GÄVLE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61222-2021</t>
        </is>
      </c>
      <c r="B367" s="1" t="n">
        <v>44498</v>
      </c>
      <c r="C367" s="1" t="n">
        <v>45759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61351-2021</t>
        </is>
      </c>
      <c r="B368" s="1" t="n">
        <v>44498</v>
      </c>
      <c r="C368" s="1" t="n">
        <v>45759</v>
      </c>
      <c r="D368" t="inlineStr">
        <is>
          <t>GÄVLEBORGS LÄN</t>
        </is>
      </c>
      <c r="E368" t="inlineStr">
        <is>
          <t>GÄVLE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61352-2021</t>
        </is>
      </c>
      <c r="B369" s="1" t="n">
        <v>44498</v>
      </c>
      <c r="C369" s="1" t="n">
        <v>45759</v>
      </c>
      <c r="D369" t="inlineStr">
        <is>
          <t>GÄVLEBORGS LÄN</t>
        </is>
      </c>
      <c r="E369" t="inlineStr">
        <is>
          <t>GÄVLE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62192-2021</t>
        </is>
      </c>
      <c r="B370" s="1" t="n">
        <v>44502</v>
      </c>
      <c r="C370" s="1" t="n">
        <v>45759</v>
      </c>
      <c r="D370" t="inlineStr">
        <is>
          <t>GÄVLEBORGS LÄN</t>
        </is>
      </c>
      <c r="E370" t="inlineStr">
        <is>
          <t>GÄVLE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65592-2021</t>
        </is>
      </c>
      <c r="B371" s="1" t="n">
        <v>44516</v>
      </c>
      <c r="C371" s="1" t="n">
        <v>45759</v>
      </c>
      <c r="D371" t="inlineStr">
        <is>
          <t>GÄVLEBORGS LÄN</t>
        </is>
      </c>
      <c r="E371" t="inlineStr">
        <is>
          <t>GÄVLE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65879-2021</t>
        </is>
      </c>
      <c r="B372" s="1" t="n">
        <v>44517</v>
      </c>
      <c r="C372" s="1" t="n">
        <v>45759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66351-2021</t>
        </is>
      </c>
      <c r="B373" s="1" t="n">
        <v>44518</v>
      </c>
      <c r="C373" s="1" t="n">
        <v>45759</v>
      </c>
      <c r="D373" t="inlineStr">
        <is>
          <t>GÄVLEBORGS LÄN</t>
        </is>
      </c>
      <c r="E373" t="inlineStr">
        <is>
          <t>GÄVLE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66494-2021</t>
        </is>
      </c>
      <c r="B374" s="1" t="n">
        <v>44519</v>
      </c>
      <c r="C374" s="1" t="n">
        <v>45759</v>
      </c>
      <c r="D374" t="inlineStr">
        <is>
          <t>GÄVLEBORGS LÄN</t>
        </is>
      </c>
      <c r="E374" t="inlineStr">
        <is>
          <t>GÄVLE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66493-2021</t>
        </is>
      </c>
      <c r="B375" s="1" t="n">
        <v>44519</v>
      </c>
      <c r="C375" s="1" t="n">
        <v>45759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66491-2021</t>
        </is>
      </c>
      <c r="B376" s="1" t="n">
        <v>44519</v>
      </c>
      <c r="C376" s="1" t="n">
        <v>45759</v>
      </c>
      <c r="D376" t="inlineStr">
        <is>
          <t>GÄVLEBORGS LÄN</t>
        </is>
      </c>
      <c r="E376" t="inlineStr">
        <is>
          <t>GÄVLE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67334-2021</t>
        </is>
      </c>
      <c r="B377" s="1" t="n">
        <v>44523</v>
      </c>
      <c r="C377" s="1" t="n">
        <v>45759</v>
      </c>
      <c r="D377" t="inlineStr">
        <is>
          <t>GÄVLEBORGS LÄN</t>
        </is>
      </c>
      <c r="E377" t="inlineStr">
        <is>
          <t>GÄVLE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68119-2021</t>
        </is>
      </c>
      <c r="B378" s="1" t="n">
        <v>44526</v>
      </c>
      <c r="C378" s="1" t="n">
        <v>45759</v>
      </c>
      <c r="D378" t="inlineStr">
        <is>
          <t>GÄVLEBORGS LÄN</t>
        </is>
      </c>
      <c r="E378" t="inlineStr">
        <is>
          <t>GÄVLE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70043-2021</t>
        </is>
      </c>
      <c r="B379" s="1" t="n">
        <v>44533</v>
      </c>
      <c r="C379" s="1" t="n">
        <v>45759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71057-2021</t>
        </is>
      </c>
      <c r="B380" s="1" t="n">
        <v>44538</v>
      </c>
      <c r="C380" s="1" t="n">
        <v>45759</v>
      </c>
      <c r="D380" t="inlineStr">
        <is>
          <t>GÄVLEBORGS LÄN</t>
        </is>
      </c>
      <c r="E380" t="inlineStr">
        <is>
          <t>GÄVLE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71249-2021</t>
        </is>
      </c>
      <c r="B381" s="1" t="n">
        <v>44539</v>
      </c>
      <c r="C381" s="1" t="n">
        <v>45759</v>
      </c>
      <c r="D381" t="inlineStr">
        <is>
          <t>GÄVLEBORGS LÄN</t>
        </is>
      </c>
      <c r="E381" t="inlineStr">
        <is>
          <t>GÄVLE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71215-2021</t>
        </is>
      </c>
      <c r="B382" s="1" t="n">
        <v>44539</v>
      </c>
      <c r="C382" s="1" t="n">
        <v>45759</v>
      </c>
      <c r="D382" t="inlineStr">
        <is>
          <t>GÄVLEBORGS LÄN</t>
        </is>
      </c>
      <c r="E382" t="inlineStr">
        <is>
          <t>GÄVLE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71710-2021</t>
        </is>
      </c>
      <c r="B383" s="1" t="n">
        <v>44543</v>
      </c>
      <c r="C383" s="1" t="n">
        <v>45759</v>
      </c>
      <c r="D383" t="inlineStr">
        <is>
          <t>GÄVLEBORGS LÄN</t>
        </is>
      </c>
      <c r="E383" t="inlineStr">
        <is>
          <t>GÄVLE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72391-2021</t>
        </is>
      </c>
      <c r="B384" s="1" t="n">
        <v>44545</v>
      </c>
      <c r="C384" s="1" t="n">
        <v>45759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72541-2021</t>
        </is>
      </c>
      <c r="B385" s="1" t="n">
        <v>44546</v>
      </c>
      <c r="C385" s="1" t="n">
        <v>45759</v>
      </c>
      <c r="D385" t="inlineStr">
        <is>
          <t>GÄVLEBORGS LÄN</t>
        </is>
      </c>
      <c r="E385" t="inlineStr">
        <is>
          <t>GÄVLE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72504-2021</t>
        </is>
      </c>
      <c r="B386" s="1" t="n">
        <v>44546</v>
      </c>
      <c r="C386" s="1" t="n">
        <v>45759</v>
      </c>
      <c r="D386" t="inlineStr">
        <is>
          <t>GÄVLEBORGS LÄN</t>
        </is>
      </c>
      <c r="E386" t="inlineStr">
        <is>
          <t>GÄVLE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72730-2021</t>
        </is>
      </c>
      <c r="B387" s="1" t="n">
        <v>44546</v>
      </c>
      <c r="C387" s="1" t="n">
        <v>45759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72734-2021</t>
        </is>
      </c>
      <c r="B388" s="1" t="n">
        <v>44546</v>
      </c>
      <c r="C388" s="1" t="n">
        <v>45759</v>
      </c>
      <c r="D388" t="inlineStr">
        <is>
          <t>GÄVLEBORGS LÄN</t>
        </is>
      </c>
      <c r="E388" t="inlineStr">
        <is>
          <t>GÄVLE</t>
        </is>
      </c>
      <c r="F388" t="inlineStr">
        <is>
          <t>Kommuner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74101-2021</t>
        </is>
      </c>
      <c r="B389" s="1" t="n">
        <v>44557</v>
      </c>
      <c r="C389" s="1" t="n">
        <v>45759</v>
      </c>
      <c r="D389" t="inlineStr">
        <is>
          <t>GÄVLEBORGS LÄN</t>
        </is>
      </c>
      <c r="E389" t="inlineStr">
        <is>
          <t>GÄVLE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74469-2021</t>
        </is>
      </c>
      <c r="B390" s="1" t="n">
        <v>44560</v>
      </c>
      <c r="C390" s="1" t="n">
        <v>45759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1031-2022</t>
        </is>
      </c>
      <c r="B391" s="1" t="n">
        <v>44571</v>
      </c>
      <c r="C391" s="1" t="n">
        <v>45759</v>
      </c>
      <c r="D391" t="inlineStr">
        <is>
          <t>GÄVLEBORGS LÄN</t>
        </is>
      </c>
      <c r="E391" t="inlineStr">
        <is>
          <t>GÄVLE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1634-2022</t>
        </is>
      </c>
      <c r="B392" s="1" t="n">
        <v>44573</v>
      </c>
      <c r="C392" s="1" t="n">
        <v>45759</v>
      </c>
      <c r="D392" t="inlineStr">
        <is>
          <t>GÄVLEBORGS LÄN</t>
        </is>
      </c>
      <c r="E392" t="inlineStr">
        <is>
          <t>GÄVLE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2546-2022</t>
        </is>
      </c>
      <c r="B393" s="1" t="n">
        <v>44579</v>
      </c>
      <c r="C393" s="1" t="n">
        <v>45759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2547-2022</t>
        </is>
      </c>
      <c r="B394" s="1" t="n">
        <v>44580</v>
      </c>
      <c r="C394" s="1" t="n">
        <v>45759</v>
      </c>
      <c r="D394" t="inlineStr">
        <is>
          <t>GÄVLEBORGS LÄN</t>
        </is>
      </c>
      <c r="E394" t="inlineStr">
        <is>
          <t>GÄVLE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3334-2022</t>
        </is>
      </c>
      <c r="B395" s="1" t="n">
        <v>44585</v>
      </c>
      <c r="C395" s="1" t="n">
        <v>45759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3472-2022</t>
        </is>
      </c>
      <c r="B396" s="1" t="n">
        <v>44585</v>
      </c>
      <c r="C396" s="1" t="n">
        <v>45759</v>
      </c>
      <c r="D396" t="inlineStr">
        <is>
          <t>GÄVLEBORGS LÄN</t>
        </is>
      </c>
      <c r="E396" t="inlineStr">
        <is>
          <t>GÄVLE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3569-2022</t>
        </is>
      </c>
      <c r="B397" s="1" t="n">
        <v>44586</v>
      </c>
      <c r="C397" s="1" t="n">
        <v>45759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3639-2022</t>
        </is>
      </c>
      <c r="B398" s="1" t="n">
        <v>44586</v>
      </c>
      <c r="C398" s="1" t="n">
        <v>45759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3662-2022</t>
        </is>
      </c>
      <c r="B399" s="1" t="n">
        <v>44586</v>
      </c>
      <c r="C399" s="1" t="n">
        <v>45759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4152-2022</t>
        </is>
      </c>
      <c r="B400" s="1" t="n">
        <v>44588</v>
      </c>
      <c r="C400" s="1" t="n">
        <v>45759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4482-2022</t>
        </is>
      </c>
      <c r="B401" s="1" t="n">
        <v>44589</v>
      </c>
      <c r="C401" s="1" t="n">
        <v>45759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4349-2022</t>
        </is>
      </c>
      <c r="B402" s="1" t="n">
        <v>44589</v>
      </c>
      <c r="C402" s="1" t="n">
        <v>45759</v>
      </c>
      <c r="D402" t="inlineStr">
        <is>
          <t>GÄVLEBORGS LÄN</t>
        </is>
      </c>
      <c r="E402" t="inlineStr">
        <is>
          <t>GÄVLE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4935-2022</t>
        </is>
      </c>
      <c r="B403" s="1" t="n">
        <v>44593</v>
      </c>
      <c r="C403" s="1" t="n">
        <v>45759</v>
      </c>
      <c r="D403" t="inlineStr">
        <is>
          <t>GÄVLEBORGS LÄN</t>
        </is>
      </c>
      <c r="E403" t="inlineStr">
        <is>
          <t>GÄVLE</t>
        </is>
      </c>
      <c r="F403" t="inlineStr">
        <is>
          <t>Kyrkan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5149-2022</t>
        </is>
      </c>
      <c r="B404" s="1" t="n">
        <v>44594</v>
      </c>
      <c r="C404" s="1" t="n">
        <v>45759</v>
      </c>
      <c r="D404" t="inlineStr">
        <is>
          <t>GÄVLEBORGS LÄN</t>
        </is>
      </c>
      <c r="E404" t="inlineStr">
        <is>
          <t>GÄVLE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5975-2022</t>
        </is>
      </c>
      <c r="B405" s="1" t="n">
        <v>44599</v>
      </c>
      <c r="C405" s="1" t="n">
        <v>45759</v>
      </c>
      <c r="D405" t="inlineStr">
        <is>
          <t>GÄVLEBORGS LÄN</t>
        </is>
      </c>
      <c r="E405" t="inlineStr">
        <is>
          <t>GÄVLE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6001-2022</t>
        </is>
      </c>
      <c r="B406" s="1" t="n">
        <v>44599</v>
      </c>
      <c r="C406" s="1" t="n">
        <v>45759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6025-2022</t>
        </is>
      </c>
      <c r="B407" s="1" t="n">
        <v>44599</v>
      </c>
      <c r="C407" s="1" t="n">
        <v>45759</v>
      </c>
      <c r="D407" t="inlineStr">
        <is>
          <t>GÄVLEBORGS LÄN</t>
        </is>
      </c>
      <c r="E407" t="inlineStr">
        <is>
          <t>GÄVLE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6331-2022</t>
        </is>
      </c>
      <c r="B408" s="1" t="n">
        <v>44600</v>
      </c>
      <c r="C408" s="1" t="n">
        <v>45759</v>
      </c>
      <c r="D408" t="inlineStr">
        <is>
          <t>GÄVLEBORGS LÄN</t>
        </is>
      </c>
      <c r="E408" t="inlineStr">
        <is>
          <t>GÄVLE</t>
        </is>
      </c>
      <c r="F408" t="inlineStr">
        <is>
          <t>Kyrkan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7060-2022</t>
        </is>
      </c>
      <c r="B409" s="1" t="n">
        <v>44603</v>
      </c>
      <c r="C409" s="1" t="n">
        <v>45759</v>
      </c>
      <c r="D409" t="inlineStr">
        <is>
          <t>GÄVLEBORGS LÄN</t>
        </is>
      </c>
      <c r="E409" t="inlineStr">
        <is>
          <t>GÄVLE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7020-2022</t>
        </is>
      </c>
      <c r="B410" s="1" t="n">
        <v>44603</v>
      </c>
      <c r="C410" s="1" t="n">
        <v>45759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7277-2022</t>
        </is>
      </c>
      <c r="B411" s="1" t="n">
        <v>44606</v>
      </c>
      <c r="C411" s="1" t="n">
        <v>45759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7305-2022</t>
        </is>
      </c>
      <c r="B412" s="1" t="n">
        <v>44606</v>
      </c>
      <c r="C412" s="1" t="n">
        <v>45759</v>
      </c>
      <c r="D412" t="inlineStr">
        <is>
          <t>GÄVLEBORGS LÄN</t>
        </is>
      </c>
      <c r="E412" t="inlineStr">
        <is>
          <t>GÄVLE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9235-2022</t>
        </is>
      </c>
      <c r="B413" s="1" t="n">
        <v>44616</v>
      </c>
      <c r="C413" s="1" t="n">
        <v>45759</v>
      </c>
      <c r="D413" t="inlineStr">
        <is>
          <t>GÄVLEBORGS LÄN</t>
        </is>
      </c>
      <c r="E413" t="inlineStr">
        <is>
          <t>GÄVLE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9307-2022</t>
        </is>
      </c>
      <c r="B414" s="1" t="n">
        <v>44616</v>
      </c>
      <c r="C414" s="1" t="n">
        <v>45759</v>
      </c>
      <c r="D414" t="inlineStr">
        <is>
          <t>GÄVLEBORGS LÄN</t>
        </is>
      </c>
      <c r="E414" t="inlineStr">
        <is>
          <t>GÄVLE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10952-2022</t>
        </is>
      </c>
      <c r="B415" s="1" t="n">
        <v>44628</v>
      </c>
      <c r="C415" s="1" t="n">
        <v>45759</v>
      </c>
      <c r="D415" t="inlineStr">
        <is>
          <t>GÄVLEBORGS LÄN</t>
        </is>
      </c>
      <c r="E415" t="inlineStr">
        <is>
          <t>GÄVLE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11189-2022</t>
        </is>
      </c>
      <c r="B416" s="1" t="n">
        <v>44629</v>
      </c>
      <c r="C416" s="1" t="n">
        <v>45759</v>
      </c>
      <c r="D416" t="inlineStr">
        <is>
          <t>GÄVLEBORGS LÄN</t>
        </is>
      </c>
      <c r="E416" t="inlineStr">
        <is>
          <t>GÄVLE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11182-2022</t>
        </is>
      </c>
      <c r="B417" s="1" t="n">
        <v>44629</v>
      </c>
      <c r="C417" s="1" t="n">
        <v>45759</v>
      </c>
      <c r="D417" t="inlineStr">
        <is>
          <t>GÄVLEBORGS LÄN</t>
        </is>
      </c>
      <c r="E417" t="inlineStr">
        <is>
          <t>GÄVLE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11185-2022</t>
        </is>
      </c>
      <c r="B418" s="1" t="n">
        <v>44629</v>
      </c>
      <c r="C418" s="1" t="n">
        <v>45759</v>
      </c>
      <c r="D418" t="inlineStr">
        <is>
          <t>GÄVLEBORGS LÄN</t>
        </is>
      </c>
      <c r="E418" t="inlineStr">
        <is>
          <t>GÄVLE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11235-2022</t>
        </is>
      </c>
      <c r="B419" s="1" t="n">
        <v>44629</v>
      </c>
      <c r="C419" s="1" t="n">
        <v>45759</v>
      </c>
      <c r="D419" t="inlineStr">
        <is>
          <t>GÄVLEBORGS LÄN</t>
        </is>
      </c>
      <c r="E419" t="inlineStr">
        <is>
          <t>GÄVLE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11188-2022</t>
        </is>
      </c>
      <c r="B420" s="1" t="n">
        <v>44629</v>
      </c>
      <c r="C420" s="1" t="n">
        <v>45759</v>
      </c>
      <c r="D420" t="inlineStr">
        <is>
          <t>GÄVLEBORGS LÄN</t>
        </is>
      </c>
      <c r="E420" t="inlineStr">
        <is>
          <t>GÄVLE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11237-2022</t>
        </is>
      </c>
      <c r="B421" s="1" t="n">
        <v>44629</v>
      </c>
      <c r="C421" s="1" t="n">
        <v>45759</v>
      </c>
      <c r="D421" t="inlineStr">
        <is>
          <t>GÄVLEBORGS LÄN</t>
        </is>
      </c>
      <c r="E421" t="inlineStr">
        <is>
          <t>GÄVLE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11613-2022</t>
        </is>
      </c>
      <c r="B422" s="1" t="n">
        <v>44631</v>
      </c>
      <c r="C422" s="1" t="n">
        <v>45759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11817-2022</t>
        </is>
      </c>
      <c r="B423" s="1" t="n">
        <v>44634</v>
      </c>
      <c r="C423" s="1" t="n">
        <v>45759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11994-2022</t>
        </is>
      </c>
      <c r="B424" s="1" t="n">
        <v>44635</v>
      </c>
      <c r="C424" s="1" t="n">
        <v>45759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12095-2022</t>
        </is>
      </c>
      <c r="B425" s="1" t="n">
        <v>44636</v>
      </c>
      <c r="C425" s="1" t="n">
        <v>45759</v>
      </c>
      <c r="D425" t="inlineStr">
        <is>
          <t>GÄVLEBORGS LÄN</t>
        </is>
      </c>
      <c r="E425" t="inlineStr">
        <is>
          <t>GÄVLE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12127-2022</t>
        </is>
      </c>
      <c r="B426" s="1" t="n">
        <v>44636</v>
      </c>
      <c r="C426" s="1" t="n">
        <v>45759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12228-2022</t>
        </is>
      </c>
      <c r="B427" s="1" t="n">
        <v>44637</v>
      </c>
      <c r="C427" s="1" t="n">
        <v>45759</v>
      </c>
      <c r="D427" t="inlineStr">
        <is>
          <t>GÄVLEBORGS LÄN</t>
        </is>
      </c>
      <c r="E427" t="inlineStr">
        <is>
          <t>GÄVLE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12737-2022</t>
        </is>
      </c>
      <c r="B428" s="1" t="n">
        <v>44641</v>
      </c>
      <c r="C428" s="1" t="n">
        <v>45759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14173-2022</t>
        </is>
      </c>
      <c r="B429" s="1" t="n">
        <v>44651</v>
      </c>
      <c r="C429" s="1" t="n">
        <v>45759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14174-2022</t>
        </is>
      </c>
      <c r="B430" s="1" t="n">
        <v>44651</v>
      </c>
      <c r="C430" s="1" t="n">
        <v>45759</v>
      </c>
      <c r="D430" t="inlineStr">
        <is>
          <t>GÄVLEBORGS LÄN</t>
        </is>
      </c>
      <c r="E430" t="inlineStr">
        <is>
          <t>GÄVLE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14577-2022</t>
        </is>
      </c>
      <c r="B431" s="1" t="n">
        <v>44655</v>
      </c>
      <c r="C431" s="1" t="n">
        <v>45759</v>
      </c>
      <c r="D431" t="inlineStr">
        <is>
          <t>GÄVLEBORGS LÄN</t>
        </is>
      </c>
      <c r="E431" t="inlineStr">
        <is>
          <t>GÄVLE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14750-2022</t>
        </is>
      </c>
      <c r="B432" s="1" t="n">
        <v>44656</v>
      </c>
      <c r="C432" s="1" t="n">
        <v>45759</v>
      </c>
      <c r="D432" t="inlineStr">
        <is>
          <t>GÄVLEBORGS LÄN</t>
        </is>
      </c>
      <c r="E432" t="inlineStr">
        <is>
          <t>GÄVLE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15101-2022</t>
        </is>
      </c>
      <c r="B433" s="1" t="n">
        <v>44658</v>
      </c>
      <c r="C433" s="1" t="n">
        <v>45759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15704-2022</t>
        </is>
      </c>
      <c r="B434" s="1" t="n">
        <v>44663</v>
      </c>
      <c r="C434" s="1" t="n">
        <v>45759</v>
      </c>
      <c r="D434" t="inlineStr">
        <is>
          <t>GÄVLEBORGS LÄN</t>
        </is>
      </c>
      <c r="E434" t="inlineStr">
        <is>
          <t>GÄVLE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15686-2022</t>
        </is>
      </c>
      <c r="B435" s="1" t="n">
        <v>44663</v>
      </c>
      <c r="C435" s="1" t="n">
        <v>45759</v>
      </c>
      <c r="D435" t="inlineStr">
        <is>
          <t>GÄVLEBORGS LÄN</t>
        </is>
      </c>
      <c r="E435" t="inlineStr">
        <is>
          <t>GÄVLE</t>
        </is>
      </c>
      <c r="F435" t="inlineStr">
        <is>
          <t>Kyrkan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15700-2022</t>
        </is>
      </c>
      <c r="B436" s="1" t="n">
        <v>44663</v>
      </c>
      <c r="C436" s="1" t="n">
        <v>45759</v>
      </c>
      <c r="D436" t="inlineStr">
        <is>
          <t>GÄVLEBORGS LÄN</t>
        </is>
      </c>
      <c r="E436" t="inlineStr">
        <is>
          <t>GÄVLE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16459-2022</t>
        </is>
      </c>
      <c r="B437" s="1" t="n">
        <v>44671</v>
      </c>
      <c r="C437" s="1" t="n">
        <v>45759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16469-2022</t>
        </is>
      </c>
      <c r="B438" s="1" t="n">
        <v>44671</v>
      </c>
      <c r="C438" s="1" t="n">
        <v>45759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16475-2022</t>
        </is>
      </c>
      <c r="B439" s="1" t="n">
        <v>44671</v>
      </c>
      <c r="C439" s="1" t="n">
        <v>45759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18168-2022</t>
        </is>
      </c>
      <c r="B440" s="1" t="n">
        <v>44684</v>
      </c>
      <c r="C440" s="1" t="n">
        <v>45759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18148-2022</t>
        </is>
      </c>
      <c r="B441" s="1" t="n">
        <v>44684</v>
      </c>
      <c r="C441" s="1" t="n">
        <v>45759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41.8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18162-2022</t>
        </is>
      </c>
      <c r="B442" s="1" t="n">
        <v>44684</v>
      </c>
      <c r="C442" s="1" t="n">
        <v>45759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18181-2022</t>
        </is>
      </c>
      <c r="B443" s="1" t="n">
        <v>44684</v>
      </c>
      <c r="C443" s="1" t="n">
        <v>45759</v>
      </c>
      <c r="D443" t="inlineStr">
        <is>
          <t>GÄVLEBORGS LÄN</t>
        </is>
      </c>
      <c r="E443" t="inlineStr">
        <is>
          <t>GÄVLE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19095-2022</t>
        </is>
      </c>
      <c r="B444" s="1" t="n">
        <v>44691</v>
      </c>
      <c r="C444" s="1" t="n">
        <v>45759</v>
      </c>
      <c r="D444" t="inlineStr">
        <is>
          <t>GÄVLEBORGS LÄN</t>
        </is>
      </c>
      <c r="E444" t="inlineStr">
        <is>
          <t>GÄVLE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19424-2022</t>
        </is>
      </c>
      <c r="B445" s="1" t="n">
        <v>44693</v>
      </c>
      <c r="C445" s="1" t="n">
        <v>45759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19555-2022</t>
        </is>
      </c>
      <c r="B446" s="1" t="n">
        <v>44693</v>
      </c>
      <c r="C446" s="1" t="n">
        <v>45759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19730-2022</t>
        </is>
      </c>
      <c r="B447" s="1" t="n">
        <v>44694</v>
      </c>
      <c r="C447" s="1" t="n">
        <v>45759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19712-2022</t>
        </is>
      </c>
      <c r="B448" s="1" t="n">
        <v>44694</v>
      </c>
      <c r="C448" s="1" t="n">
        <v>45759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20999-2022</t>
        </is>
      </c>
      <c r="B449" s="1" t="n">
        <v>44701</v>
      </c>
      <c r="C449" s="1" t="n">
        <v>45759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21437-2022</t>
        </is>
      </c>
      <c r="B450" s="1" t="n">
        <v>44706</v>
      </c>
      <c r="C450" s="1" t="n">
        <v>45759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21468-2022</t>
        </is>
      </c>
      <c r="B451" s="1" t="n">
        <v>44706</v>
      </c>
      <c r="C451" s="1" t="n">
        <v>45759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21795-2022</t>
        </is>
      </c>
      <c r="B452" s="1" t="n">
        <v>44708</v>
      </c>
      <c r="C452" s="1" t="n">
        <v>45759</v>
      </c>
      <c r="D452" t="inlineStr">
        <is>
          <t>GÄVLEBORGS LÄN</t>
        </is>
      </c>
      <c r="E452" t="inlineStr">
        <is>
          <t>GÄVLE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22577-2022</t>
        </is>
      </c>
      <c r="B453" s="1" t="n">
        <v>44713</v>
      </c>
      <c r="C453" s="1" t="n">
        <v>45759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10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23400-2022</t>
        </is>
      </c>
      <c r="B454" s="1" t="n">
        <v>44720</v>
      </c>
      <c r="C454" s="1" t="n">
        <v>45759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25722-2022</t>
        </is>
      </c>
      <c r="B455" s="1" t="n">
        <v>44733</v>
      </c>
      <c r="C455" s="1" t="n">
        <v>45759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25768-2022</t>
        </is>
      </c>
      <c r="B456" s="1" t="n">
        <v>44733</v>
      </c>
      <c r="C456" s="1" t="n">
        <v>45759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25774-2022</t>
        </is>
      </c>
      <c r="B457" s="1" t="n">
        <v>44733</v>
      </c>
      <c r="C457" s="1" t="n">
        <v>45759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25938-2022</t>
        </is>
      </c>
      <c r="B458" s="1" t="n">
        <v>44734</v>
      </c>
      <c r="C458" s="1" t="n">
        <v>45759</v>
      </c>
      <c r="D458" t="inlineStr">
        <is>
          <t>GÄVLEBORGS LÄN</t>
        </is>
      </c>
      <c r="E458" t="inlineStr">
        <is>
          <t>GÄVLE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26249-2022</t>
        </is>
      </c>
      <c r="B459" s="1" t="n">
        <v>44735</v>
      </c>
      <c r="C459" s="1" t="n">
        <v>45759</v>
      </c>
      <c r="D459" t="inlineStr">
        <is>
          <t>GÄVLEBORGS LÄN</t>
        </is>
      </c>
      <c r="E459" t="inlineStr">
        <is>
          <t>GÄVLE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26157-2022</t>
        </is>
      </c>
      <c r="B460" s="1" t="n">
        <v>44735</v>
      </c>
      <c r="C460" s="1" t="n">
        <v>45759</v>
      </c>
      <c r="D460" t="inlineStr">
        <is>
          <t>GÄVLEBORGS LÄN</t>
        </is>
      </c>
      <c r="E460" t="inlineStr">
        <is>
          <t>GÄVLE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26336-2022</t>
        </is>
      </c>
      <c r="B461" s="1" t="n">
        <v>44735</v>
      </c>
      <c r="C461" s="1" t="n">
        <v>45759</v>
      </c>
      <c r="D461" t="inlineStr">
        <is>
          <t>GÄVLEBORGS LÄN</t>
        </is>
      </c>
      <c r="E461" t="inlineStr">
        <is>
          <t>GÄVLE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26334-2022</t>
        </is>
      </c>
      <c r="B462" s="1" t="n">
        <v>44735</v>
      </c>
      <c r="C462" s="1" t="n">
        <v>45759</v>
      </c>
      <c r="D462" t="inlineStr">
        <is>
          <t>GÄVLEBORGS LÄN</t>
        </is>
      </c>
      <c r="E462" t="inlineStr">
        <is>
          <t>GÄVLE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26349-2022</t>
        </is>
      </c>
      <c r="B463" s="1" t="n">
        <v>44735</v>
      </c>
      <c r="C463" s="1" t="n">
        <v>45759</v>
      </c>
      <c r="D463" t="inlineStr">
        <is>
          <t>GÄVLEBORGS LÄN</t>
        </is>
      </c>
      <c r="E463" t="inlineStr">
        <is>
          <t>GÄVLE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26564-2022</t>
        </is>
      </c>
      <c r="B464" s="1" t="n">
        <v>44739</v>
      </c>
      <c r="C464" s="1" t="n">
        <v>45759</v>
      </c>
      <c r="D464" t="inlineStr">
        <is>
          <t>GÄVLEBORGS LÄN</t>
        </is>
      </c>
      <c r="E464" t="inlineStr">
        <is>
          <t>GÄVLE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27182-2022</t>
        </is>
      </c>
      <c r="B465" s="1" t="n">
        <v>44741</v>
      </c>
      <c r="C465" s="1" t="n">
        <v>45759</v>
      </c>
      <c r="D465" t="inlineStr">
        <is>
          <t>GÄVLEBORGS LÄN</t>
        </is>
      </c>
      <c r="E465" t="inlineStr">
        <is>
          <t>GÄVLE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27355-2022</t>
        </is>
      </c>
      <c r="B466" s="1" t="n">
        <v>44742</v>
      </c>
      <c r="C466" s="1" t="n">
        <v>45759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28757-2022</t>
        </is>
      </c>
      <c r="B467" s="1" t="n">
        <v>44749</v>
      </c>
      <c r="C467" s="1" t="n">
        <v>45759</v>
      </c>
      <c r="D467" t="inlineStr">
        <is>
          <t>GÄVLEBORGS LÄN</t>
        </is>
      </c>
      <c r="E467" t="inlineStr">
        <is>
          <t>GÄVLE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29197-2022</t>
        </is>
      </c>
      <c r="B468" s="1" t="n">
        <v>44750</v>
      </c>
      <c r="C468" s="1" t="n">
        <v>45759</v>
      </c>
      <c r="D468" t="inlineStr">
        <is>
          <t>GÄVLEBORGS LÄN</t>
        </is>
      </c>
      <c r="E468" t="inlineStr">
        <is>
          <t>GÄVLE</t>
        </is>
      </c>
      <c r="F468" t="inlineStr">
        <is>
          <t>Kommuner</t>
        </is>
      </c>
      <c r="G468" t="n">
        <v>92.59999999999999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45759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45759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45759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45759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45759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45759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45759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45759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45759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45759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45759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45759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45759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45759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45759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45759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45759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45759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45759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45759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45759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45759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45759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45759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45759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45759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45759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45759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45759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45759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45759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45759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45759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45759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45759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45759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45759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45759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45759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45759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45759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45759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45759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45759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45759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45759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45759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45759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45759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45759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45759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45759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45759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45759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45759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45759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45759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45759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45759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45759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45759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45759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45759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45759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45759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45759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45759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45759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45759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45759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45759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45759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45759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45759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45759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45759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45759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45759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45759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45759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45759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45759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45759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45759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45759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45759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45759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45759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45759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45759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45759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45759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45759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45759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45759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45759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45759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45759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45759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45759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45759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45759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45759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45759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45759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45759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45759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45759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45759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45759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45759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45759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45759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45759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45759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45759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45759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45759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45759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45759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45759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45759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45759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45759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45759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45759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45759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45759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45759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45759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45759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45759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45759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45759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45759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45759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45759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45759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45759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45759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45759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45759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45759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45759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45759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45759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45759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45759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45759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45759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45759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45759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45759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45759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45759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45759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45759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45759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45759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45759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45759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45759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45759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45759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45759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45759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45759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45759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45759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45759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45759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45759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45759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45759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45759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45759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45759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45759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45759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45759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45759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45759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45759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45759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45759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45759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45759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45759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45759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45759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45759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45759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45759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45759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45759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45759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45759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45759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45759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45759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45759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45759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45759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45759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45759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45759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45759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45759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45759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45759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45759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45759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45759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45759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45759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45759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45759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45759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45759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45759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45759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45759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45759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45759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45759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45759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45759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45759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45759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45759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45759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45759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45759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45759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45759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45759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45759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45759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45759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45759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45759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45759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45759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45759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45759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45759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45759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45759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45759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45759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45759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45759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45759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45759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45759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45759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45759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45759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45759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45759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45759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45759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45759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45759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45759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45759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45759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45759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45759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45759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45759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45759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45759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45759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45759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45759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45759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45759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45759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45759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45759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45759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45759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45759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45759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45759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45759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45759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45759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45759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45759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45759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45759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45759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45759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45759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45759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45759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45759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45759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45759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45759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45759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45759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45759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45759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45759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45759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45759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45759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45759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45759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45759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45759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45759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45759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45759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45759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45759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45759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45759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45759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45759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45759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45759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45759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45759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45759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45759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45759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45759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45759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45759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45759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45759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45759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45759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45759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45759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45759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45759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45759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45759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45759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45759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45759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45759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45759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45759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45759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45759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45759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45759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45759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45759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45759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45759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45759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45759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45759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45759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45759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45759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45759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45759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45759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45759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45759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45759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45759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45759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45759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45759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45759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45759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45759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45759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45759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45759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45759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45759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45759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45759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45759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45759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45759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45759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45759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45759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45759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45759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45759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45759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45759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45759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45759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45759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45759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45759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45759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45759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45759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45759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45759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45759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45759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45759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45759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45759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45759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45759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45759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45759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45759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45759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45759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45759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45759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45759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45759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45759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45759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45759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45759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45759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45759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45759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45759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45759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45759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45759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45759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45759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45759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45759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45759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45759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45759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45759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45759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45759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45759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45759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45759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45759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45759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45759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45759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45759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45759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45759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45759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45759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45759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45759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45759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45759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45759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45759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45759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45759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45759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45759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45759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45759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45759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45759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45759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45759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45759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45759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45759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45759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45759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45759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45759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45759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45759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45759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45759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45759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45759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45759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45759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45759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45759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45759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45759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45759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45759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45759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45759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45759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45759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45759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45759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45759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45759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45759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45759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45759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45759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45759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45759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45759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45759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45759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45759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45759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45759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45759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45759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45759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45759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45759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45759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45759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45759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45759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45759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45759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45759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45759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45759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45759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45759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45759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45759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45759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45759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45759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45759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45759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45759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45759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45759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45759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45759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45759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45759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45759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45759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45759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45759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45759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45759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45759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45759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45759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45759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45759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45759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45759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45759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45759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45759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45759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45759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45759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45759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45759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45759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45759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45759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45759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45759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45759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45759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45759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45759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45759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45759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45759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45759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45759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45759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45759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45759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45759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45759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45759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45759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45759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45759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45759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45759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45759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45759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45759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45759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45759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45759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45759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45759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45759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45759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45759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45759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45759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45759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45759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45759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45759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45759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45759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45759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45759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45759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45759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45759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45759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45759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45759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45759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45759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45759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45759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45759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45759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45759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45759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45759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45759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45759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45759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45759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45759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45759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45759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45759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45759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45759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45759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45759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45759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45759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45759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45759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45759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45759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45759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45759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45759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45759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45759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45759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45759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45759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45759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45759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45759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45759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45759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45759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45759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45759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45759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45759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45759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45759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45759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45759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45759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45759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45759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45759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45759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45759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45759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45759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45759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45759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45759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45759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45759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45759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45759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45759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45759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45759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45759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45759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45759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45759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45759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45759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45759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45759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45759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45759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45759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45759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45759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45759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45759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45759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45759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45759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45759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45759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45759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45759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45759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45759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45759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45759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45759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45759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45759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45759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45759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45759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45759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45759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45759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45759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45759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45759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45759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45759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45759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45759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45759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45759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45759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45759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45759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45759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45759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45759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45759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45759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45759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45759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45759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45759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45759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45759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45759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45759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45759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45759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45759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45759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45759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45759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45759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45759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45759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45759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45759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45759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45759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45759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45759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45759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45759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45759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45759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45759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45759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45759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45759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45759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45759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45759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45759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45759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45759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45759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45759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45759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45759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45759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45759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45759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45759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45759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45759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45759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45759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45759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45759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45759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45759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45759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45759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45759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45759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45759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45759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45759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45759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45759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45759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45759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45759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45759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45759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45759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45759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45759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45759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45759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45759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45759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45759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45759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45759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45759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45759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45759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45759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45759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45759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45759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45759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45759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45759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45759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45759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45759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45759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45759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45759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45759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45759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45759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45759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45759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45759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45759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45759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45759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45759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45759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45759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45759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45759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45759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45759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45759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45759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45759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45759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45759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45759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45759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45759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45759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45759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45759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45759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45759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45759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45759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45759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45759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45759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45759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45759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45759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45759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45759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45759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45759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45759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45759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45759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45759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45759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45759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45759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45759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45759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45759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45759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45759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45759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45759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45759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45759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45759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45759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45759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45759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45759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45759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45759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45759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45759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45759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45759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45759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45759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45759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45759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45759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45759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12471-2025</t>
        </is>
      </c>
      <c r="B1368" s="1" t="n">
        <v>45730</v>
      </c>
      <c r="C1368" s="1" t="n">
        <v>45759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12434-2025</t>
        </is>
      </c>
      <c r="B1369" s="1" t="n">
        <v>45730</v>
      </c>
      <c r="C1369" s="1" t="n">
        <v>45759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45759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12735-2025</t>
        </is>
      </c>
      <c r="B1371" s="1" t="n">
        <v>45733</v>
      </c>
      <c r="C1371" s="1" t="n">
        <v>45759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12865-2025</t>
        </is>
      </c>
      <c r="B1372" s="1" t="n">
        <v>45733</v>
      </c>
      <c r="C1372" s="1" t="n">
        <v>45759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12863-2025</t>
        </is>
      </c>
      <c r="B1373" s="1" t="n">
        <v>45733</v>
      </c>
      <c r="C1373" s="1" t="n">
        <v>45759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12897-2025</t>
        </is>
      </c>
      <c r="B1374" s="1" t="n">
        <v>45733</v>
      </c>
      <c r="C1374" s="1" t="n">
        <v>45759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45759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45759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45759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45759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45759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45759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45759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45759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45759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45759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45759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45759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14093-2025</t>
        </is>
      </c>
      <c r="B1387" s="1" t="n">
        <v>45740</v>
      </c>
      <c r="C1387" s="1" t="n">
        <v>45759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14150-2025</t>
        </is>
      </c>
      <c r="B1388" s="1" t="n">
        <v>45740</v>
      </c>
      <c r="C1388" s="1" t="n">
        <v>45759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14284-2025</t>
        </is>
      </c>
      <c r="B1389" s="1" t="n">
        <v>45740</v>
      </c>
      <c r="C1389" s="1" t="n">
        <v>45759</v>
      </c>
      <c r="D1389" t="inlineStr">
        <is>
          <t>GÄVLEBORGS LÄN</t>
        </is>
      </c>
      <c r="E1389" t="inlineStr">
        <is>
          <t>GÄVLE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45759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45759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45759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14567-2025</t>
        </is>
      </c>
      <c r="B1393" s="1" t="n">
        <v>45741</v>
      </c>
      <c r="C1393" s="1" t="n">
        <v>45759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21.1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14564-2025</t>
        </is>
      </c>
      <c r="B1394" s="1" t="n">
        <v>45741</v>
      </c>
      <c r="C1394" s="1" t="n">
        <v>45759</v>
      </c>
      <c r="D1394" t="inlineStr">
        <is>
          <t>GÄVLEBORGS LÄN</t>
        </is>
      </c>
      <c r="E1394" t="inlineStr">
        <is>
          <t>GÄVLE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45759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45759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45759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45759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14708-2025</t>
        </is>
      </c>
      <c r="B1399" s="1" t="n">
        <v>45742</v>
      </c>
      <c r="C1399" s="1" t="n">
        <v>45759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14629-2025</t>
        </is>
      </c>
      <c r="B1400" s="1" t="n">
        <v>45742</v>
      </c>
      <c r="C1400" s="1" t="n">
        <v>45759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14716-2025</t>
        </is>
      </c>
      <c r="B1401" s="1" t="n">
        <v>45742</v>
      </c>
      <c r="C1401" s="1" t="n">
        <v>45759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14647-2025</t>
        </is>
      </c>
      <c r="B1402" s="1" t="n">
        <v>45742</v>
      </c>
      <c r="C1402" s="1" t="n">
        <v>45759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45759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45759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45759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45759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45759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45759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45759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45759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45759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45759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45759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45759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45759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45759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45759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15939-2025</t>
        </is>
      </c>
      <c r="B1418" s="1" t="n">
        <v>45749</v>
      </c>
      <c r="C1418" s="1" t="n">
        <v>45759</v>
      </c>
      <c r="D1418" t="inlineStr">
        <is>
          <t>GÄVLEBORGS LÄN</t>
        </is>
      </c>
      <c r="E1418" t="inlineStr">
        <is>
          <t>GÄVLE</t>
        </is>
      </c>
      <c r="F1418" t="inlineStr">
        <is>
          <t>Bergvik skog öst AB</t>
        </is>
      </c>
      <c r="G1418" t="n">
        <v>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15935-2025</t>
        </is>
      </c>
      <c r="B1419" s="1" t="n">
        <v>45749</v>
      </c>
      <c r="C1419" s="1" t="n">
        <v>45759</v>
      </c>
      <c r="D1419" t="inlineStr">
        <is>
          <t>GÄVLEBORGS LÄN</t>
        </is>
      </c>
      <c r="E1419" t="inlineStr">
        <is>
          <t>GÄVLE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45759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45759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45759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17004-2025</t>
        </is>
      </c>
      <c r="B1423" s="1" t="n">
        <v>45755</v>
      </c>
      <c r="C1423" s="1" t="n">
        <v>45759</v>
      </c>
      <c r="D1423" t="inlineStr">
        <is>
          <t>GÄVLEBORGS LÄN</t>
        </is>
      </c>
      <c r="E1423" t="inlineStr">
        <is>
          <t>GÄVLE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16895-2025</t>
        </is>
      </c>
      <c r="B1424" s="1" t="n">
        <v>45755</v>
      </c>
      <c r="C1424" s="1" t="n">
        <v>45759</v>
      </c>
      <c r="D1424" t="inlineStr">
        <is>
          <t>GÄVLEBORGS LÄN</t>
        </is>
      </c>
      <c r="E1424" t="inlineStr">
        <is>
          <t>GÄVLE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17180-2025</t>
        </is>
      </c>
      <c r="B1425" s="1" t="n">
        <v>45756</v>
      </c>
      <c r="C1425" s="1" t="n">
        <v>45759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17170-2025</t>
        </is>
      </c>
      <c r="B1426" s="1" t="n">
        <v>45756</v>
      </c>
      <c r="C1426" s="1" t="n">
        <v>45759</v>
      </c>
      <c r="D1426" t="inlineStr">
        <is>
          <t>GÄVLEBORGS LÄN</t>
        </is>
      </c>
      <c r="E1426" t="inlineStr">
        <is>
          <t>GÄVLE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17216-2025</t>
        </is>
      </c>
      <c r="B1427" s="1" t="n">
        <v>45756</v>
      </c>
      <c r="C1427" s="1" t="n">
        <v>45759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14.4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17605-2025</t>
        </is>
      </c>
      <c r="B1428" s="1" t="n">
        <v>45757</v>
      </c>
      <c r="C1428" s="1" t="n">
        <v>45759</v>
      </c>
      <c r="D1428" t="inlineStr">
        <is>
          <t>GÄVLEBORGS LÄN</t>
        </is>
      </c>
      <c r="E1428" t="inlineStr">
        <is>
          <t>GÄVLE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17607-2025</t>
        </is>
      </c>
      <c r="B1429" s="1" t="n">
        <v>45757</v>
      </c>
      <c r="C1429" s="1" t="n">
        <v>45759</v>
      </c>
      <c r="D1429" t="inlineStr">
        <is>
          <t>GÄVLEBORGS LÄN</t>
        </is>
      </c>
      <c r="E1429" t="inlineStr">
        <is>
          <t>GÄVLE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17404-2025</t>
        </is>
      </c>
      <c r="B1430" s="1" t="n">
        <v>45757</v>
      </c>
      <c r="C1430" s="1" t="n">
        <v>45759</v>
      </c>
      <c r="D1430" t="inlineStr">
        <is>
          <t>GÄVLEBORGS LÄN</t>
        </is>
      </c>
      <c r="E1430" t="inlineStr">
        <is>
          <t>GÄVLE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17879-2025</t>
        </is>
      </c>
      <c r="B1431" s="1" t="n">
        <v>45758</v>
      </c>
      <c r="C1431" s="1" t="n">
        <v>45759</v>
      </c>
      <c r="D1431" t="inlineStr">
        <is>
          <t>GÄVLEBORGS LÄN</t>
        </is>
      </c>
      <c r="E1431" t="inlineStr">
        <is>
          <t>GÄVLE</t>
        </is>
      </c>
      <c r="G1431" t="n">
        <v>9.699999999999999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>
      <c r="A1432" t="inlineStr">
        <is>
          <t>A 17788-2025</t>
        </is>
      </c>
      <c r="B1432" s="1" t="n">
        <v>45758</v>
      </c>
      <c r="C1432" s="1" t="n">
        <v>45759</v>
      </c>
      <c r="D1432" t="inlineStr">
        <is>
          <t>GÄVLEBORGS LÄN</t>
        </is>
      </c>
      <c r="E1432" t="inlineStr">
        <is>
          <t>GÄVLE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2025-04-12T16:15:49Z</dcterms:created>
  <dcterms:modified xmlns:dcterms="http://purl.org/dc/terms/" xmlns:xsi="http://www.w3.org/2001/XMLSchema-instance" xsi:type="dcterms:W3CDTF">2025-04-12T16:15:50Z</dcterms:modified>
</cp:coreProperties>
</file>