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46217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s="2" t="inlineStr">
        <is>
          <t>Ask
Garnlav
Knärot
Doftskinn
Kattfotslav
Rosenticka
Tallticka
Ullticka
Vitgrynig nållav
Granbarkgnagare
Rävticka
Tibast
Vedticka
Blåsippa</t>
        </is>
      </c>
      <c r="V2">
        <f>HYPERLINK("https://klasma.github.io/Logging_2180/artfynd/A 14562-2025 artfynd.xlsx", "A 14562-2025")</f>
        <v/>
      </c>
      <c r="W2">
        <f>HYPERLINK("https://klasma.github.io/Logging_2180/kartor/A 14562-2025 karta.png", "A 14562-2025")</f>
        <v/>
      </c>
      <c r="X2">
        <f>HYPERLINK("https://klasma.github.io/Logging_2180/knärot/A 14562-2025 karta knärot.png", "A 14562-2025")</f>
        <v/>
      </c>
      <c r="Y2">
        <f>HYPERLINK("https://klasma.github.io/Logging_2180/klagomål/A 14562-2025 FSC-klagomål.docx", "A 14562-2025")</f>
        <v/>
      </c>
      <c r="Z2">
        <f>HYPERLINK("https://klasma.github.io/Logging_2180/klagomålsmail/A 14562-2025 FSC-klagomål mail.docx", "A 14562-2025")</f>
        <v/>
      </c>
      <c r="AA2">
        <f>HYPERLINK("https://klasma.github.io/Logging_2180/tillsyn/A 14562-2025 tillsynsbegäran.docx", "A 14562-2025")</f>
        <v/>
      </c>
      <c r="AB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46217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s="2" t="inlineStr">
        <is>
          <t>Skogsalm
Knärot
Dunmossa
Skogsklocka
Slåtterfibbla
Vårärt
Bollvitmossa
Guckusko
Kalktallört
Olivspindling
Skogsknipprot
Trådfräken
Tvåblad
Fläcknycklar</t>
        </is>
      </c>
      <c r="V3">
        <f>HYPERLINK("https://klasma.github.io/Logging_2180/artfynd/A 63702-2025 artfynd.xlsx", "A 63702-2025")</f>
        <v/>
      </c>
      <c r="W3">
        <f>HYPERLINK("https://klasma.github.io/Logging_2180/kartor/A 63702-2025 karta.png", "A 63702-2025")</f>
        <v/>
      </c>
      <c r="X3">
        <f>HYPERLINK("https://klasma.github.io/Logging_2180/knärot/A 63702-2025 karta knärot.png", "A 63702-2025")</f>
        <v/>
      </c>
      <c r="Y3">
        <f>HYPERLINK("https://klasma.github.io/Logging_2180/klagomål/A 63702-2025 FSC-klagomål.docx", "A 63702-2025")</f>
        <v/>
      </c>
      <c r="Z3">
        <f>HYPERLINK("https://klasma.github.io/Logging_2180/klagomålsmail/A 63702-2025 FSC-klagomål mail.docx", "A 63702-2025")</f>
        <v/>
      </c>
      <c r="AA3">
        <f>HYPERLINK("https://klasma.github.io/Logging_2180/tillsyn/A 63702-2025 tillsynsbegäran.docx", "A 63702-2025")</f>
        <v/>
      </c>
      <c r="AB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46217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V4">
        <f>HYPERLINK("https://klasma.github.io/Logging_2180/artfynd/A 54803-2025 artfynd.xlsx", "A 54803-2025")</f>
        <v/>
      </c>
      <c r="W4">
        <f>HYPERLINK("https://klasma.github.io/Logging_2180/kartor/A 54803-2025 karta.png", "A 54803-2025")</f>
        <v/>
      </c>
      <c r="Y4">
        <f>HYPERLINK("https://klasma.github.io/Logging_2180/klagomål/A 54803-2025 FSC-klagomål.docx", "A 54803-2025")</f>
        <v/>
      </c>
      <c r="Z4">
        <f>HYPERLINK("https://klasma.github.io/Logging_2180/klagomålsmail/A 54803-2025 FSC-klagomål mail.docx", "A 54803-2025")</f>
        <v/>
      </c>
      <c r="AA4">
        <f>HYPERLINK("https://klasma.github.io/Logging_2180/tillsyn/A 54803-2025 tillsynsbegäran.docx", "A 54803-2025")</f>
        <v/>
      </c>
      <c r="AB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46217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s="2" t="inlineStr">
        <is>
          <t>Väddnätfjäril
Brunlångöra
Nordfladdermus
Sotnätfjäril
Talltita
Vedskivlav
Vitfläckig guldvinge
Dvärgpipistrell
Trollpipistrell
Trädlärka
Vattenfladdermus</t>
        </is>
      </c>
      <c r="V5">
        <f>HYPERLINK("https://klasma.github.io/Logging_2180/artfynd/S 515-2022 artfynd.xlsx", "S 515-2022")</f>
        <v/>
      </c>
      <c r="W5">
        <f>HYPERLINK("https://klasma.github.io/Logging_2180/kartor/S 515-2022 karta.png", "S 515-2022")</f>
        <v/>
      </c>
      <c r="Y5">
        <f>HYPERLINK("https://klasma.github.io/Logging_2180/klagomål/S 515-2022 FSC-klagomål.docx", "S 515-2022")</f>
        <v/>
      </c>
      <c r="Z5">
        <f>HYPERLINK("https://klasma.github.io/Logging_2180/klagomålsmail/S 515-2022 FSC-klagomål mail.docx", "S 515-2022")</f>
        <v/>
      </c>
      <c r="AA5">
        <f>HYPERLINK("https://klasma.github.io/Logging_2180/tillsyn/S 515-2022 tillsynsbegäran.docx", "S 515-2022")</f>
        <v/>
      </c>
      <c r="AB5">
        <f>HYPERLINK("https://klasma.github.io/Logging_2180/tillsynsmail/S 515-2022 tillsynsbegäran mail.docx", "S 515-2022")</f>
        <v/>
      </c>
      <c r="AC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46217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s="2" t="inlineStr">
        <is>
          <t>Knärot
Enkelbeckasin
Gulsparv
Järnsparv
Klofibbla
Skogsklocka
Blåsippa
Grönsiska
Kopparödla
Lopplummer (aggregat)</t>
        </is>
      </c>
      <c r="V6">
        <f>HYPERLINK("https://klasma.github.io/Logging_2180/artfynd/A 15365-2023 artfynd.xlsx", "A 15365-2023")</f>
        <v/>
      </c>
      <c r="W6">
        <f>HYPERLINK("https://klasma.github.io/Logging_2180/kartor/A 15365-2023 karta.png", "A 15365-2023")</f>
        <v/>
      </c>
      <c r="X6">
        <f>HYPERLINK("https://klasma.github.io/Logging_2180/knärot/A 15365-2023 karta knärot.png", "A 15365-2023")</f>
        <v/>
      </c>
      <c r="Y6">
        <f>HYPERLINK("https://klasma.github.io/Logging_2180/klagomål/A 15365-2023 FSC-klagomål.docx", "A 15365-2023")</f>
        <v/>
      </c>
      <c r="Z6">
        <f>HYPERLINK("https://klasma.github.io/Logging_2180/klagomålsmail/A 15365-2023 FSC-klagomål mail.docx", "A 15365-2023")</f>
        <v/>
      </c>
      <c r="AA6">
        <f>HYPERLINK("https://klasma.github.io/Logging_2180/tillsyn/A 15365-2023 tillsynsbegäran.docx", "A 15365-2023")</f>
        <v/>
      </c>
      <c r="AB6">
        <f>HYPERLINK("https://klasma.github.io/Logging_2180/tillsynsmail/A 15365-2023 tillsynsbegäran mail.docx", "A 15365-2023")</f>
        <v/>
      </c>
      <c r="AC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46217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s="2" t="inlineStr">
        <is>
          <t>Storgröe
Vårärt
Grönpyrola
Myskmadra
Nästrot
Trådfräken
Tvåblad
Blåsippa
Revlummer</t>
        </is>
      </c>
      <c r="V7">
        <f>HYPERLINK("https://klasma.github.io/Logging_2180/artfynd/A 19899-2026 artfynd.xlsx", "A 19899-2026")</f>
        <v/>
      </c>
      <c r="W7">
        <f>HYPERLINK("https://klasma.github.io/Logging_2180/kartor/A 19899-2026 karta.png", "A 19899-2026")</f>
        <v/>
      </c>
      <c r="Y7">
        <f>HYPERLINK("https://klasma.github.io/Logging_2180/klagomål/A 19899-2026 FSC-klagomål.docx", "A 19899-2026")</f>
        <v/>
      </c>
      <c r="Z7">
        <f>HYPERLINK("https://klasma.github.io/Logging_2180/klagomålsmail/A 19899-2026 FSC-klagomål mail.docx", "A 19899-2026")</f>
        <v/>
      </c>
      <c r="AA7">
        <f>HYPERLINK("https://klasma.github.io/Logging_2180/tillsyn/A 19899-2026 tillsynsbegäran.docx", "A 19899-2026")</f>
        <v/>
      </c>
      <c r="AB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46217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s="2" t="inlineStr">
        <is>
          <t>Havstrut
Gråtrut
Duvhök
Knytlingsäckmal
Rödvingetrast
Slåtterfibbla
Talltita
Havsörn
Kråka</t>
        </is>
      </c>
      <c r="V8">
        <f>HYPERLINK("https://klasma.github.io/Logging_2180/artfynd/A 11088-2026 artfynd.xlsx", "A 11088-2026")</f>
        <v/>
      </c>
      <c r="W8">
        <f>HYPERLINK("https://klasma.github.io/Logging_2180/kartor/A 11088-2026 karta.png", "A 11088-2026")</f>
        <v/>
      </c>
      <c r="Y8">
        <f>HYPERLINK("https://klasma.github.io/Logging_2180/klagomål/A 11088-2026 FSC-klagomål.docx", "A 11088-2026")</f>
        <v/>
      </c>
      <c r="Z8">
        <f>HYPERLINK("https://klasma.github.io/Logging_2180/klagomålsmail/A 11088-2026 FSC-klagomål mail.docx", "A 11088-2026")</f>
        <v/>
      </c>
      <c r="AA8">
        <f>HYPERLINK("https://klasma.github.io/Logging_2180/tillsyn/A 11088-2026 tillsynsbegäran.docx", "A 11088-2026")</f>
        <v/>
      </c>
      <c r="AB8">
        <f>HYPERLINK("https://klasma.github.io/Logging_2180/tillsynsmail/A 11088-2026 tillsynsbegäran mail.docx", "A 11088-2026")</f>
        <v/>
      </c>
      <c r="AC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46217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s="2" t="inlineStr">
        <is>
          <t>Ask
Brunfläckig pärlemorfjäril
Silverblåvinge
Sotnätfjäril
Skogsknipprot
Tibast
Blåsippa
Fläcknycklar</t>
        </is>
      </c>
      <c r="V9">
        <f>HYPERLINK("https://klasma.github.io/Logging_2180/artfynd/A 11233-2025 artfynd.xlsx", "A 11233-2025")</f>
        <v/>
      </c>
      <c r="W9">
        <f>HYPERLINK("https://klasma.github.io/Logging_2180/kartor/A 11233-2025 karta.png", "A 11233-2025")</f>
        <v/>
      </c>
      <c r="Y9">
        <f>HYPERLINK("https://klasma.github.io/Logging_2180/klagomål/A 11233-2025 FSC-klagomål.docx", "A 11233-2025")</f>
        <v/>
      </c>
      <c r="Z9">
        <f>HYPERLINK("https://klasma.github.io/Logging_2180/klagomålsmail/A 11233-2025 FSC-klagomål mail.docx", "A 11233-2025")</f>
        <v/>
      </c>
      <c r="AA9">
        <f>HYPERLINK("https://klasma.github.io/Logging_2180/tillsyn/A 11233-2025 tillsynsbegäran.docx", "A 11233-2025")</f>
        <v/>
      </c>
      <c r="AB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46217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s="2" t="inlineStr">
        <is>
          <t>Gyllenfingersvamp
Bredgentiana
Flattoppad klubbsvamp
Kryddspindling
Rutskinn
Sårläka
Vårärt
Underviol</t>
        </is>
      </c>
      <c r="V10">
        <f>HYPERLINK("https://klasma.github.io/Logging_2180/artfynd/A 55773-2024 artfynd.xlsx", "A 55773-2024")</f>
        <v/>
      </c>
      <c r="W10">
        <f>HYPERLINK("https://klasma.github.io/Logging_2180/kartor/A 55773-2024 karta.png", "A 55773-2024")</f>
        <v/>
      </c>
      <c r="Y10">
        <f>HYPERLINK("https://klasma.github.io/Logging_2180/klagomål/A 55773-2024 FSC-klagomål.docx", "A 55773-2024")</f>
        <v/>
      </c>
      <c r="Z10">
        <f>HYPERLINK("https://klasma.github.io/Logging_2180/klagomålsmail/A 55773-2024 FSC-klagomål mail.docx", "A 55773-2024")</f>
        <v/>
      </c>
      <c r="AA10">
        <f>HYPERLINK("https://klasma.github.io/Logging_2180/tillsyn/A 55773-2024 tillsynsbegäran.docx", "A 55773-2024")</f>
        <v/>
      </c>
      <c r="AB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46217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s="2" t="inlineStr">
        <is>
          <t>Rosenticka
Rynkskinn
Ullticka
Järpe
Spillkråka
Tjäder
Fläcknycklar</t>
        </is>
      </c>
      <c r="V11">
        <f>HYPERLINK("https://klasma.github.io/Logging_2180/artfynd/A 48800-2024 artfynd.xlsx", "A 48800-2024")</f>
        <v/>
      </c>
      <c r="W11">
        <f>HYPERLINK("https://klasma.github.io/Logging_2180/kartor/A 48800-2024 karta.png", "A 48800-2024")</f>
        <v/>
      </c>
      <c r="Y11">
        <f>HYPERLINK("https://klasma.github.io/Logging_2180/klagomål/A 48800-2024 FSC-klagomål.docx", "A 48800-2024")</f>
        <v/>
      </c>
      <c r="Z11">
        <f>HYPERLINK("https://klasma.github.io/Logging_2180/klagomålsmail/A 48800-2024 FSC-klagomål mail.docx", "A 48800-2024")</f>
        <v/>
      </c>
      <c r="AA11">
        <f>HYPERLINK("https://klasma.github.io/Logging_2180/tillsyn/A 48800-2024 tillsynsbegäran.docx", "A 48800-2024")</f>
        <v/>
      </c>
      <c r="AB11">
        <f>HYPERLINK("https://klasma.github.io/Logging_2180/tillsynsmail/A 48800-2024 tillsynsbegäran mail.docx", "A 48800-2024")</f>
        <v/>
      </c>
      <c r="AC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46217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s="2" t="inlineStr">
        <is>
          <t>Bredbrämad bastardsvärmare
Mindre bastardsvärmare
Ängsblåvinge
Majviva
Storfläckig kungsnattslända
Slaguggla
Gullviva</t>
        </is>
      </c>
      <c r="V12">
        <f>HYPERLINK("https://klasma.github.io/Logging_2180/artfynd/A 6073-2026 artfynd.xlsx", "A 6073-2026")</f>
        <v/>
      </c>
      <c r="W12">
        <f>HYPERLINK("https://klasma.github.io/Logging_2180/kartor/A 6073-2026 karta.png", "A 6073-2026")</f>
        <v/>
      </c>
      <c r="Y12">
        <f>HYPERLINK("https://klasma.github.io/Logging_2180/klagomål/A 6073-2026 FSC-klagomål.docx", "A 6073-2026")</f>
        <v/>
      </c>
      <c r="Z12">
        <f>HYPERLINK("https://klasma.github.io/Logging_2180/klagomålsmail/A 6073-2026 FSC-klagomål mail.docx", "A 6073-2026")</f>
        <v/>
      </c>
      <c r="AA12">
        <f>HYPERLINK("https://klasma.github.io/Logging_2180/tillsyn/A 6073-2026 tillsynsbegäran.docx", "A 6073-2026")</f>
        <v/>
      </c>
      <c r="AB12">
        <f>HYPERLINK("https://klasma.github.io/Logging_2180/tillsynsmail/A 6073-2026 tillsynsbegäran mail.docx", "A 6073-2026")</f>
        <v/>
      </c>
      <c r="AC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46217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s="2" t="inlineStr">
        <is>
          <t>Sårläka
Nästrot
Skogsknipprot
Tibast
Tvåblad
Blåsippa
Gullviva</t>
        </is>
      </c>
      <c r="V13">
        <f>HYPERLINK("https://klasma.github.io/Logging_2180/artfynd/A 33904-2025 artfynd.xlsx", "A 33904-2025")</f>
        <v/>
      </c>
      <c r="W13">
        <f>HYPERLINK("https://klasma.github.io/Logging_2180/kartor/A 33904-2025 karta.png", "A 33904-2025")</f>
        <v/>
      </c>
      <c r="Y13">
        <f>HYPERLINK("https://klasma.github.io/Logging_2180/klagomål/A 33904-2025 FSC-klagomål.docx", "A 33904-2025")</f>
        <v/>
      </c>
      <c r="Z13">
        <f>HYPERLINK("https://klasma.github.io/Logging_2180/klagomålsmail/A 33904-2025 FSC-klagomål mail.docx", "A 33904-2025")</f>
        <v/>
      </c>
      <c r="AA13">
        <f>HYPERLINK("https://klasma.github.io/Logging_2180/tillsyn/A 33904-2025 tillsynsbegäran.docx", "A 33904-2025")</f>
        <v/>
      </c>
      <c r="AB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46217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s="2" t="inlineStr">
        <is>
          <t>Blanksvart spiklav
Dropptaggsvamp
Svartvit taggsvamp
Vedskivlav
Vedtrappmossa
Vattenfladdermus</t>
        </is>
      </c>
      <c r="V14">
        <f>HYPERLINK("https://klasma.github.io/Logging_2180/artfynd/A 1101-2024 artfynd.xlsx", "A 1101-2024")</f>
        <v/>
      </c>
      <c r="W14">
        <f>HYPERLINK("https://klasma.github.io/Logging_2180/kartor/A 1101-2024 karta.png", "A 1101-2024")</f>
        <v/>
      </c>
      <c r="Y14">
        <f>HYPERLINK("https://klasma.github.io/Logging_2180/klagomål/A 1101-2024 FSC-klagomål.docx", "A 1101-2024")</f>
        <v/>
      </c>
      <c r="Z14">
        <f>HYPERLINK("https://klasma.github.io/Logging_2180/klagomålsmail/A 1101-2024 FSC-klagomål mail.docx", "A 1101-2024")</f>
        <v/>
      </c>
      <c r="AA14">
        <f>HYPERLINK("https://klasma.github.io/Logging_2180/tillsyn/A 1101-2024 tillsynsbegäran.docx", "A 1101-2024")</f>
        <v/>
      </c>
      <c r="AB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46217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s="2" t="inlineStr">
        <is>
          <t>Tandsnäcka
Väddnätfjäril
Kalkkärrsgrynsnäcka
Skogsklocka
Tvåblad
Vanliga ängsnycklar</t>
        </is>
      </c>
      <c r="V15">
        <f>HYPERLINK("https://klasma.github.io/Logging_2180/artfynd/A 29661-2025 artfynd.xlsx", "A 29661-2025")</f>
        <v/>
      </c>
      <c r="W15">
        <f>HYPERLINK("https://klasma.github.io/Logging_2180/kartor/A 29661-2025 karta.png", "A 29661-2025")</f>
        <v/>
      </c>
      <c r="Y15">
        <f>HYPERLINK("https://klasma.github.io/Logging_2180/klagomål/A 29661-2025 FSC-klagomål.docx", "A 29661-2025")</f>
        <v/>
      </c>
      <c r="Z15">
        <f>HYPERLINK("https://klasma.github.io/Logging_2180/klagomålsmail/A 29661-2025 FSC-klagomål mail.docx", "A 29661-2025")</f>
        <v/>
      </c>
      <c r="AA15">
        <f>HYPERLINK("https://klasma.github.io/Logging_2180/tillsyn/A 29661-2025 tillsynsbegäran.docx", "A 29661-2025")</f>
        <v/>
      </c>
      <c r="AB15">
        <f>HYPERLINK("https://klasma.github.io/Logging_2180/tillsynsmail/A 29661-2025 tillsynsbegäran mail.docx", "A 29661-2025")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46217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s="2" t="inlineStr">
        <is>
          <t>Brunlångöra
Järnsparv
Nordfladdermus
Kungsfågel
Vattenfladdermus</t>
        </is>
      </c>
      <c r="V16">
        <f>HYPERLINK("https://klasma.github.io/Logging_2180/artfynd/A 29840-2023 artfynd.xlsx", "A 29840-2023")</f>
        <v/>
      </c>
      <c r="W16">
        <f>HYPERLINK("https://klasma.github.io/Logging_2180/kartor/A 29840-2023 karta.png", "A 29840-2023")</f>
        <v/>
      </c>
      <c r="Y16">
        <f>HYPERLINK("https://klasma.github.io/Logging_2180/klagomål/A 29840-2023 FSC-klagomål.docx", "A 29840-2023")</f>
        <v/>
      </c>
      <c r="Z16">
        <f>HYPERLINK("https://klasma.github.io/Logging_2180/klagomålsmail/A 29840-2023 FSC-klagomål mail.docx", "A 29840-2023")</f>
        <v/>
      </c>
      <c r="AA16">
        <f>HYPERLINK("https://klasma.github.io/Logging_2180/tillsyn/A 29840-2023 tillsynsbegäran.docx", "A 29840-2023")</f>
        <v/>
      </c>
      <c r="AB16">
        <f>HYPERLINK("https://klasma.github.io/Logging_2180/tillsynsmail/A 29840-2023 tillsynsbegäran mail.docx", "A 29840-2023")</f>
        <v/>
      </c>
      <c r="AC16">
        <f>HYPERLINK("https://klasma.github.io/Logging_2180/fåglar/A 29840-2023 prioriterade fågelarter.docx", "A 29840-2023")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46217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s="2" t="inlineStr">
        <is>
          <t>Knärot
Rödgul trumpetsvamp
Svavelriska
Blåsippa
Spillkråka</t>
        </is>
      </c>
      <c r="V17">
        <f>HYPERLINK("https://klasma.github.io/Logging_2180/artfynd/A 46744-2025 artfynd.xlsx", "A 46744-2025")</f>
        <v/>
      </c>
      <c r="W17">
        <f>HYPERLINK("https://klasma.github.io/Logging_2180/kartor/A 46744-2025 karta.png", "A 46744-2025")</f>
        <v/>
      </c>
      <c r="X17">
        <f>HYPERLINK("https://klasma.github.io/Logging_2180/knärot/A 46744-2025 karta knärot.png", "A 46744-2025")</f>
        <v/>
      </c>
      <c r="Y17">
        <f>HYPERLINK("https://klasma.github.io/Logging_2180/klagomål/A 46744-2025 FSC-klagomål.docx", "A 46744-2025")</f>
        <v/>
      </c>
      <c r="Z17">
        <f>HYPERLINK("https://klasma.github.io/Logging_2180/klagomålsmail/A 46744-2025 FSC-klagomål mail.docx", "A 46744-2025")</f>
        <v/>
      </c>
      <c r="AA17">
        <f>HYPERLINK("https://klasma.github.io/Logging_2180/tillsyn/A 46744-2025 tillsynsbegäran.docx", "A 46744-2025")</f>
        <v/>
      </c>
      <c r="AB17">
        <f>HYPERLINK("https://klasma.github.io/Logging_2180/tillsynsmail/A 46744-2025 tillsynsbegäran mail.docx", "A 46744-2025")</f>
        <v/>
      </c>
      <c r="AC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46217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s="2" t="inlineStr">
        <is>
          <t>Knärot
Rödgul trumpetsvamp
Svavelriska
Blåsippa
Spillkråka</t>
        </is>
      </c>
      <c r="V18">
        <f>HYPERLINK("https://klasma.github.io/Logging_2180/artfynd/A 46755-2025 artfynd.xlsx", "A 46755-2025")</f>
        <v/>
      </c>
      <c r="W18">
        <f>HYPERLINK("https://klasma.github.io/Logging_2180/kartor/A 46755-2025 karta.png", "A 46755-2025")</f>
        <v/>
      </c>
      <c r="X18">
        <f>HYPERLINK("https://klasma.github.io/Logging_2180/knärot/A 46755-2025 karta knärot.png", "A 46755-2025")</f>
        <v/>
      </c>
      <c r="Y18">
        <f>HYPERLINK("https://klasma.github.io/Logging_2180/klagomål/A 46755-2025 FSC-klagomål.docx", "A 46755-2025")</f>
        <v/>
      </c>
      <c r="Z18">
        <f>HYPERLINK("https://klasma.github.io/Logging_2180/klagomålsmail/A 46755-2025 FSC-klagomål mail.docx", "A 46755-2025")</f>
        <v/>
      </c>
      <c r="AA18">
        <f>HYPERLINK("https://klasma.github.io/Logging_2180/tillsyn/A 46755-2025 tillsynsbegäran.docx", "A 46755-2025")</f>
        <v/>
      </c>
      <c r="AB18">
        <f>HYPERLINK("https://klasma.github.io/Logging_2180/tillsynsmail/A 46755-2025 tillsynsbegäran mail.docx", "A 46755-2025")</f>
        <v/>
      </c>
      <c r="AC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46217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s="2" t="inlineStr">
        <is>
          <t>Knärot
Rödgul trumpetsvamp
Svavelriska
Blåsippa
Spillkråka</t>
        </is>
      </c>
      <c r="V19">
        <f>HYPERLINK("https://klasma.github.io/Logging_2180/artfynd/A 34666-2025 artfynd.xlsx", "A 34666-2025")</f>
        <v/>
      </c>
      <c r="W19">
        <f>HYPERLINK("https://klasma.github.io/Logging_2180/kartor/A 34666-2025 karta.png", "A 34666-2025")</f>
        <v/>
      </c>
      <c r="X19">
        <f>HYPERLINK("https://klasma.github.io/Logging_2180/knärot/A 34666-2025 karta knärot.png", "A 34666-2025")</f>
        <v/>
      </c>
      <c r="Y19">
        <f>HYPERLINK("https://klasma.github.io/Logging_2180/klagomål/A 34666-2025 FSC-klagomål.docx", "A 34666-2025")</f>
        <v/>
      </c>
      <c r="Z19">
        <f>HYPERLINK("https://klasma.github.io/Logging_2180/klagomålsmail/A 34666-2025 FSC-klagomål mail.docx", "A 34666-2025")</f>
        <v/>
      </c>
      <c r="AA19">
        <f>HYPERLINK("https://klasma.github.io/Logging_2180/tillsyn/A 34666-2025 tillsynsbegäran.docx", "A 34666-2025")</f>
        <v/>
      </c>
      <c r="AB19">
        <f>HYPERLINK("https://klasma.github.io/Logging_2180/tillsynsmail/A 34666-2025 tillsynsbegäran mail.docx", "A 34666-2025")</f>
        <v/>
      </c>
      <c r="AC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46217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s="2" t="inlineStr">
        <is>
          <t>Garnlav
Knärot
Kattfotslav
Guldlockmossa
Korallblylav</t>
        </is>
      </c>
      <c r="V20">
        <f>HYPERLINK("https://klasma.github.io/Logging_2180/artfynd/A 14564-2025 artfynd.xlsx", "A 14564-2025")</f>
        <v/>
      </c>
      <c r="W20">
        <f>HYPERLINK("https://klasma.github.io/Logging_2180/kartor/A 14564-2025 karta.png", "A 14564-2025")</f>
        <v/>
      </c>
      <c r="X20">
        <f>HYPERLINK("https://klasma.github.io/Logging_2180/knärot/A 14564-2025 karta knärot.png", "A 14564-2025")</f>
        <v/>
      </c>
      <c r="Y20">
        <f>HYPERLINK("https://klasma.github.io/Logging_2180/klagomål/A 14564-2025 FSC-klagomål.docx", "A 14564-2025")</f>
        <v/>
      </c>
      <c r="Z20">
        <f>HYPERLINK("https://klasma.github.io/Logging_2180/klagomålsmail/A 14564-2025 FSC-klagomål mail.docx", "A 14564-2025")</f>
        <v/>
      </c>
      <c r="AA20">
        <f>HYPERLINK("https://klasma.github.io/Logging_2180/tillsyn/A 14564-2025 tillsynsbegäran.docx", "A 14564-2025")</f>
        <v/>
      </c>
      <c r="AB20">
        <f>HYPERLINK("https://klasma.github.io/Logging_2180/tillsynsmail/A 14564-2025 tillsynsbegäran mail.docx", "A 14564-2025")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46217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s="2" t="inlineStr">
        <is>
          <t>Vedtrappmossa
Bronshjon
Svavelriska
Tibast
Blåsippa</t>
        </is>
      </c>
      <c r="V21">
        <f>HYPERLINK("https://klasma.github.io/Logging_2180/artfynd/S 194-2024 artfynd.xlsx", "S 194-2024")</f>
        <v/>
      </c>
      <c r="W21">
        <f>HYPERLINK("https://klasma.github.io/Logging_2180/kartor/S 194-2024 karta.png", "S 194-2024")</f>
        <v/>
      </c>
      <c r="Y21">
        <f>HYPERLINK("https://klasma.github.io/Logging_2180/klagomål/S 194-2024 FSC-klagomål.docx", "S 194-2024")</f>
        <v/>
      </c>
      <c r="Z21">
        <f>HYPERLINK("https://klasma.github.io/Logging_2180/klagomålsmail/S 194-2024 FSC-klagomål mail.docx", "S 194-2024")</f>
        <v/>
      </c>
      <c r="AA21">
        <f>HYPERLINK("https://klasma.github.io/Logging_2180/tillsyn/S 194-2024 tillsynsbegäran.docx", "S 194-2024")</f>
        <v/>
      </c>
      <c r="AB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46217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s="2" t="inlineStr">
        <is>
          <t>Brunklöver
Vedskivlav
Tjäder
Havsörn
Mindre vattensalamander</t>
        </is>
      </c>
      <c r="V22">
        <f>HYPERLINK("https://klasma.github.io/Logging_2180/artfynd/S 5062-2024 artfynd.xlsx", "S 5062-2024")</f>
        <v/>
      </c>
      <c r="W22">
        <f>HYPERLINK("https://klasma.github.io/Logging_2180/kartor/S 5062-2024 karta.png", "S 5062-2024")</f>
        <v/>
      </c>
      <c r="Y22">
        <f>HYPERLINK("https://klasma.github.io/Logging_2180/klagomål/S 5062-2024 FSC-klagomål.docx", "S 5062-2024")</f>
        <v/>
      </c>
      <c r="Z22">
        <f>HYPERLINK("https://klasma.github.io/Logging_2180/klagomålsmail/S 5062-2024 FSC-klagomål mail.docx", "S 5062-2024")</f>
        <v/>
      </c>
      <c r="AA22">
        <f>HYPERLINK("https://klasma.github.io/Logging_2180/tillsyn/S 5062-2024 tillsynsbegäran.docx", "S 5062-2024")</f>
        <v/>
      </c>
      <c r="AB22">
        <f>HYPERLINK("https://klasma.github.io/Logging_2180/tillsynsmail/S 5062-2024 tillsynsbegäran mail.docx", "S 5062-2024")</f>
        <v/>
      </c>
      <c r="AC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46217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s="2" t="inlineStr">
        <is>
          <t>Blåsfliksmossa
Grov baronmossa
Guldlockmossa
Fläcknycklar
Nattviol</t>
        </is>
      </c>
      <c r="V23">
        <f>HYPERLINK("https://klasma.github.io/Logging_2180/artfynd/S 4511-2023 artfynd.xlsx", "S 4511-2023")</f>
        <v/>
      </c>
      <c r="W23">
        <f>HYPERLINK("https://klasma.github.io/Logging_2180/kartor/S 4511-2023 karta.png", "S 4511-2023")</f>
        <v/>
      </c>
      <c r="Y23">
        <f>HYPERLINK("https://klasma.github.io/Logging_2180/klagomål/S 4511-2023 FSC-klagomål.docx", "S 4511-2023")</f>
        <v/>
      </c>
      <c r="Z23">
        <f>HYPERLINK("https://klasma.github.io/Logging_2180/klagomålsmail/S 4511-2023 FSC-klagomål mail.docx", "S 4511-2023")</f>
        <v/>
      </c>
      <c r="AA23">
        <f>HYPERLINK("https://klasma.github.io/Logging_2180/tillsyn/S 4511-2023 tillsynsbegäran.docx", "S 4511-2023")</f>
        <v/>
      </c>
      <c r="AB23">
        <f>HYPERLINK("https://klasma.github.io/Logging_2180/tillsynsmail/S 4511-2023 tillsynsbegäran mail.docx", "S 4511-2023")</f>
        <v/>
      </c>
    </row>
    <row r="24" ht="15" customHeight="1">
      <c r="A24" t="inlineStr">
        <is>
          <t>S 3257-2025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45982</v>
      </c>
      <c r="E24" s="1" t="n">
        <v>46217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106.5</v>
      </c>
      <c r="J24" t="n">
        <v>5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s="2" t="inlineStr">
        <is>
          <t>Strandlummer
Skogsknipprot
Blåsippa
Tjäder
Gullviva</t>
        </is>
      </c>
      <c r="V24">
        <f>HYPERLINK("https://klasma.github.io/Logging_2180/artfynd/S 3257-2025 artfynd.xlsx", "S 3257-2025")</f>
        <v/>
      </c>
      <c r="W24">
        <f>HYPERLINK("https://klasma.github.io/Logging_2180/kartor/S 3257-2025 karta.png", "S 3257-2025")</f>
        <v/>
      </c>
      <c r="Y24">
        <f>HYPERLINK("https://klasma.github.io/Logging_2180/klagomål/S 3257-2025 FSC-klagomål.docx", "S 3257-2025")</f>
        <v/>
      </c>
      <c r="Z24">
        <f>HYPERLINK("https://klasma.github.io/Logging_2180/klagomålsmail/S 3257-2025 FSC-klagomål mail.docx", "S 3257-2025")</f>
        <v/>
      </c>
      <c r="AA24">
        <f>HYPERLINK("https://klasma.github.io/Logging_2180/tillsyn/S 3257-2025 tillsynsbegäran.docx", "S 3257-2025")</f>
        <v/>
      </c>
      <c r="AB24">
        <f>HYPERLINK("https://klasma.github.io/Logging_2180/tillsynsmail/S 3257-2025 tillsynsbegäran mail.docx", "S 3257-2025")</f>
        <v/>
      </c>
      <c r="AC24">
        <f>HYPERLINK("https://klasma.github.io/Logging_2180/fåglar/S 3257-2025 prioriterade fågelarter.docx", "S 3257-2025")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46217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s="2" t="inlineStr">
        <is>
          <t>Blanksvart spiklav
Tallticka
Tjäder
Fläcknycklar
Revlummer</t>
        </is>
      </c>
      <c r="V25">
        <f>HYPERLINK("https://klasma.github.io/Logging_2180/artfynd/S 645-2026 artfynd.xlsx", "S 645-2026")</f>
        <v/>
      </c>
      <c r="W25">
        <f>HYPERLINK("https://klasma.github.io/Logging_2180/kartor/S 645-2026 karta.png", "S 645-2026")</f>
        <v/>
      </c>
      <c r="Y25">
        <f>HYPERLINK("https://klasma.github.io/Logging_2180/klagomål/S 645-2026 FSC-klagomål.docx", "S 645-2026")</f>
        <v/>
      </c>
      <c r="Z25">
        <f>HYPERLINK("https://klasma.github.io/Logging_2180/klagomålsmail/S 645-2026 FSC-klagomål mail.docx", "S 645-2026")</f>
        <v/>
      </c>
      <c r="AA25">
        <f>HYPERLINK("https://klasma.github.io/Logging_2180/tillsyn/S 645-2026 tillsynsbegäran.docx", "S 645-2026")</f>
        <v/>
      </c>
      <c r="AB25">
        <f>HYPERLINK("https://klasma.github.io/Logging_2180/tillsynsmail/S 645-2026 tillsynsbegäran mail.docx", "S 645-2026")</f>
        <v/>
      </c>
      <c r="AC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46217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s="2" t="inlineStr">
        <is>
          <t>Pärluggla
Enkelbeckasin
Rödvingetrast
Nattskärra</t>
        </is>
      </c>
      <c r="V26">
        <f>HYPERLINK("https://klasma.github.io/Logging_2180/artfynd/A 5487-2025 artfynd.xlsx", "A 5487-2025")</f>
        <v/>
      </c>
      <c r="W26">
        <f>HYPERLINK("https://klasma.github.io/Logging_2180/kartor/A 5487-2025 karta.png", "A 5487-2025")</f>
        <v/>
      </c>
      <c r="Y26">
        <f>HYPERLINK("https://klasma.github.io/Logging_2180/klagomål/A 5487-2025 FSC-klagomål.docx", "A 5487-2025")</f>
        <v/>
      </c>
      <c r="Z26">
        <f>HYPERLINK("https://klasma.github.io/Logging_2180/klagomålsmail/A 5487-2025 FSC-klagomål mail.docx", "A 5487-2025")</f>
        <v/>
      </c>
      <c r="AA26">
        <f>HYPERLINK("https://klasma.github.io/Logging_2180/tillsyn/A 5487-2025 tillsynsbegäran.docx", "A 5487-2025")</f>
        <v/>
      </c>
      <c r="AB26">
        <f>HYPERLINK("https://klasma.github.io/Logging_2180/tillsynsmail/A 5487-2025 tillsynsbegäran mail.docx", "A 5487-2025")</f>
        <v/>
      </c>
      <c r="AC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46217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s="2" t="inlineStr">
        <is>
          <t>Kolflarnlav
Reliktbock
Vedflamlav
Vedskivlav</t>
        </is>
      </c>
      <c r="V27">
        <f>HYPERLINK("https://klasma.github.io/Logging_2180/artfynd/A 41028-2025 artfynd.xlsx", "A 41028-2025")</f>
        <v/>
      </c>
      <c r="W27">
        <f>HYPERLINK("https://klasma.github.io/Logging_2180/kartor/A 41028-2025 karta.png", "A 41028-2025")</f>
        <v/>
      </c>
      <c r="Y27">
        <f>HYPERLINK("https://klasma.github.io/Logging_2180/klagomål/A 41028-2025 FSC-klagomål.docx", "A 41028-2025")</f>
        <v/>
      </c>
      <c r="Z27">
        <f>HYPERLINK("https://klasma.github.io/Logging_2180/klagomålsmail/A 41028-2025 FSC-klagomål mail.docx", "A 41028-2025")</f>
        <v/>
      </c>
      <c r="AA27">
        <f>HYPERLINK("https://klasma.github.io/Logging_2180/tillsyn/A 41028-2025 tillsynsbegäran.docx", "A 41028-2025")</f>
        <v/>
      </c>
      <c r="AB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46217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s="2" t="inlineStr">
        <is>
          <t>Skogsbräsma
Svavelriska
Blåsippa
Vanlig padda</t>
        </is>
      </c>
      <c r="V28">
        <f>HYPERLINK("https://klasma.github.io/Logging_2180/artfynd/A 53571-2024 artfynd.xlsx", "A 53571-2024")</f>
        <v/>
      </c>
      <c r="W28">
        <f>HYPERLINK("https://klasma.github.io/Logging_2180/kartor/A 53571-2024 karta.png", "A 53571-2024")</f>
        <v/>
      </c>
      <c r="Y28">
        <f>HYPERLINK("https://klasma.github.io/Logging_2180/klagomål/A 53571-2024 FSC-klagomål.docx", "A 53571-2024")</f>
        <v/>
      </c>
      <c r="Z28">
        <f>HYPERLINK("https://klasma.github.io/Logging_2180/klagomålsmail/A 53571-2024 FSC-klagomål mail.docx", "A 53571-2024")</f>
        <v/>
      </c>
      <c r="AA28">
        <f>HYPERLINK("https://klasma.github.io/Logging_2180/tillsyn/A 53571-2024 tillsynsbegäran.docx", "A 53571-2024")</f>
        <v/>
      </c>
      <c r="AB28">
        <f>HYPERLINK("https://klasma.github.io/Logging_2180/tillsynsmail/A 53571-2024 tillsynsbegäran mail.docx", "A 53571-2024")</f>
        <v/>
      </c>
    </row>
    <row r="29" ht="15" customHeight="1">
      <c r="A29" t="inlineStr">
        <is>
          <t>A 27044-2026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46217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3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6</v>
      </c>
      <c r="U29" s="2" t="inlineStr">
        <is>
          <t>Topplåsbräken
Höstlåsbräken
Månlåsbräken
Mattlummer</t>
        </is>
      </c>
      <c r="V29">
        <f>HYPERLINK("https://klasma.github.io/Logging_2180/artfynd/A 27044-2026 artfynd.xlsx", "A 27044-2026")</f>
        <v/>
      </c>
      <c r="W29">
        <f>HYPERLINK("https://klasma.github.io/Logging_2180/kartor/A 27044-2026 karta.png", "A 27044-2026")</f>
        <v/>
      </c>
      <c r="Y29">
        <f>HYPERLINK("https://klasma.github.io/Logging_2180/klagomål/A 27044-2026 FSC-klagomål.docx", "A 27044-2026")</f>
        <v/>
      </c>
      <c r="Z29">
        <f>HYPERLINK("https://klasma.github.io/Logging_2180/klagomålsmail/A 27044-2026 FSC-klagomål mail.docx", "A 27044-2026")</f>
        <v/>
      </c>
      <c r="AA29">
        <f>HYPERLINK("https://klasma.github.io/Logging_2180/tillsyn/A 27044-2026 tillsynsbegäran.docx", "A 27044-2026")</f>
        <v/>
      </c>
      <c r="AB29">
        <f>HYPERLINK("https://klasma.github.io/Logging_2180/tillsynsmail/A 27044-2026 tillsynsbegäran mail.docx", "A 27044-2026")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46217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s="2" t="inlineStr">
        <is>
          <t>Järnsparv
Rödvingetrast
Talltita
Grönsiska</t>
        </is>
      </c>
      <c r="V30">
        <f>HYPERLINK("https://klasma.github.io/Logging_2180/artfynd/A 4287-2024 artfynd.xlsx", "A 4287-2024")</f>
        <v/>
      </c>
      <c r="W30">
        <f>HYPERLINK("https://klasma.github.io/Logging_2180/kartor/A 4287-2024 karta.png", "A 4287-2024")</f>
        <v/>
      </c>
      <c r="Y30">
        <f>HYPERLINK("https://klasma.github.io/Logging_2180/klagomål/A 4287-2024 FSC-klagomål.docx", "A 4287-2024")</f>
        <v/>
      </c>
      <c r="Z30">
        <f>HYPERLINK("https://klasma.github.io/Logging_2180/klagomålsmail/A 4287-2024 FSC-klagomål mail.docx", "A 4287-2024")</f>
        <v/>
      </c>
      <c r="AA30">
        <f>HYPERLINK("https://klasma.github.io/Logging_2180/tillsyn/A 4287-2024 tillsynsbegäran.docx", "A 4287-2024")</f>
        <v/>
      </c>
      <c r="AB30">
        <f>HYPERLINK("https://klasma.github.io/Logging_2180/tillsynsmail/A 4287-2024 tillsynsbegäran mail.docx", "A 4287-2024")</f>
        <v/>
      </c>
      <c r="AC30">
        <f>HYPERLINK("https://klasma.github.io/Logging_2180/fåglar/A 4287-2024 prioriterade fågelarter.docx", "A 4287-2024")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46217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s="2" t="inlineStr">
        <is>
          <t>Trastsångare
Enkelbeckasin
Buskskvätta
Trana</t>
        </is>
      </c>
      <c r="V31">
        <f>HYPERLINK("https://klasma.github.io/Logging_2180/artfynd/A 3193-2026 artfynd.xlsx", "A 3193-2026")</f>
        <v/>
      </c>
      <c r="W31">
        <f>HYPERLINK("https://klasma.github.io/Logging_2180/kartor/A 3193-2026 karta.png", "A 3193-2026")</f>
        <v/>
      </c>
      <c r="Y31">
        <f>HYPERLINK("https://klasma.github.io/Logging_2180/klagomål/A 3193-2026 FSC-klagomål.docx", "A 3193-2026")</f>
        <v/>
      </c>
      <c r="Z31">
        <f>HYPERLINK("https://klasma.github.io/Logging_2180/klagomålsmail/A 3193-2026 FSC-klagomål mail.docx", "A 3193-2026")</f>
        <v/>
      </c>
      <c r="AA31">
        <f>HYPERLINK("https://klasma.github.io/Logging_2180/tillsyn/A 3193-2026 tillsynsbegäran.docx", "A 3193-2026")</f>
        <v/>
      </c>
      <c r="AB31">
        <f>HYPERLINK("https://klasma.github.io/Logging_2180/tillsynsmail/A 3193-2026 tillsynsbegäran mail.docx", "A 3193-2026")</f>
        <v/>
      </c>
      <c r="AC31">
        <f>HYPERLINK("https://klasma.github.io/Logging_2180/fåglar/A 3193-2026 prioriterade fågelarter.docx", "A 3193-2026")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46217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s="2" t="inlineStr">
        <is>
          <t>Bredbrämad bastardsvärmare
Mindre bastardsvärmare
Ängsblåvinge
Storfläckig kungsnattslända</t>
        </is>
      </c>
      <c r="V32">
        <f>HYPERLINK("https://klasma.github.io/Logging_2180/artfynd/A 6080-2026 artfynd.xlsx", "A 6080-2026")</f>
        <v/>
      </c>
      <c r="W32">
        <f>HYPERLINK("https://klasma.github.io/Logging_2180/kartor/A 6080-2026 karta.png", "A 6080-2026")</f>
        <v/>
      </c>
      <c r="Y32">
        <f>HYPERLINK("https://klasma.github.io/Logging_2180/klagomål/A 6080-2026 FSC-klagomål.docx", "A 6080-2026")</f>
        <v/>
      </c>
      <c r="Z32">
        <f>HYPERLINK("https://klasma.github.io/Logging_2180/klagomålsmail/A 6080-2026 FSC-klagomål mail.docx", "A 6080-2026")</f>
        <v/>
      </c>
      <c r="AA32">
        <f>HYPERLINK("https://klasma.github.io/Logging_2180/tillsyn/A 6080-2026 tillsynsbegäran.docx", "A 6080-2026")</f>
        <v/>
      </c>
      <c r="AB32">
        <f>HYPERLINK("https://klasma.github.io/Logging_2180/tillsynsmail/A 6080-2026 tillsynsbegäran mail.docx", "A 6080-2026")</f>
        <v/>
      </c>
    </row>
    <row r="33" ht="15" customHeight="1">
      <c r="A33" t="inlineStr">
        <is>
          <t>A 9570-2025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45715</v>
      </c>
      <c r="E33" s="1" t="n">
        <v>46217</v>
      </c>
      <c r="F33" t="inlineStr">
        <is>
          <t>GÄVLEBORGS LÄN</t>
        </is>
      </c>
      <c r="G33" t="inlineStr">
        <is>
          <t>GÄVLE</t>
        </is>
      </c>
      <c r="I33" t="n">
        <v>3.8</v>
      </c>
      <c r="J33" t="n">
        <v>2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22</v>
      </c>
      <c r="U33" s="2" t="inlineStr">
        <is>
          <t>Knärot
Lunglav
Tallticka
Tretåig hackspett</t>
        </is>
      </c>
      <c r="V33">
        <f>HYPERLINK("https://klasma.github.io/Logging_2180/artfynd/A 9570-2025 artfynd.xlsx", "A 9570-2025")</f>
        <v/>
      </c>
      <c r="W33">
        <f>HYPERLINK("https://klasma.github.io/Logging_2180/kartor/A 9570-2025 karta.png", "A 9570-2025")</f>
        <v/>
      </c>
      <c r="X33">
        <f>HYPERLINK("https://klasma.github.io/Logging_2180/knärot/A 9570-2025 karta knärot.png", "A 9570-2025")</f>
        <v/>
      </c>
      <c r="Y33">
        <f>HYPERLINK("https://klasma.github.io/Logging_2180/klagomål/A 9570-2025 FSC-klagomål.docx", "A 9570-2025")</f>
        <v/>
      </c>
      <c r="Z33">
        <f>HYPERLINK("https://klasma.github.io/Logging_2180/klagomålsmail/A 9570-2025 FSC-klagomål mail.docx", "A 9570-2025")</f>
        <v/>
      </c>
      <c r="AA33">
        <f>HYPERLINK("https://klasma.github.io/Logging_2180/tillsyn/A 9570-2025 tillsynsbegäran.docx", "A 9570-2025")</f>
        <v/>
      </c>
      <c r="AB33">
        <f>HYPERLINK("https://klasma.github.io/Logging_2180/tillsynsmail/A 9570-2025 tillsynsbegäran mail.docx", "A 9570-2025")</f>
        <v/>
      </c>
      <c r="AC33">
        <f>HYPERLINK("https://klasma.github.io/Logging_2180/fåglar/A 9570-2025 prioriterade fågelarter.docx", "A 9570-2025")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46217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s="2" t="inlineStr">
        <is>
          <t>Dropptaggsvamp
Tallticka
Vedskivlav
Vågbandad barkbock</t>
        </is>
      </c>
      <c r="V34">
        <f>HYPERLINK("https://klasma.github.io/Logging_2180/artfynd/A 1100-2024 artfynd.xlsx", "A 1100-2024")</f>
        <v/>
      </c>
      <c r="W34">
        <f>HYPERLINK("https://klasma.github.io/Logging_2180/kartor/A 1100-2024 karta.png", "A 1100-2024")</f>
        <v/>
      </c>
      <c r="Y34">
        <f>HYPERLINK("https://klasma.github.io/Logging_2180/klagomål/A 1100-2024 FSC-klagomål.docx", "A 1100-2024")</f>
        <v/>
      </c>
      <c r="Z34">
        <f>HYPERLINK("https://klasma.github.io/Logging_2180/klagomålsmail/A 1100-2024 FSC-klagomål mail.docx", "A 1100-2024")</f>
        <v/>
      </c>
      <c r="AA34">
        <f>HYPERLINK("https://klasma.github.io/Logging_2180/tillsyn/A 1100-2024 tillsynsbegäran.docx", "A 1100-2024")</f>
        <v/>
      </c>
      <c r="AB34">
        <f>HYPERLINK("https://klasma.github.io/Logging_2180/tillsynsmail/A 1100-2024 tillsynsbegäran mail.docx", "A 1100-2024")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46217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s="2" t="inlineStr">
        <is>
          <t>Topplåsbräken
Höstlåsbräken
Månlåsbräken
Mattlummer</t>
        </is>
      </c>
      <c r="V35">
        <f>HYPERLINK("https://klasma.github.io/Logging_2180/artfynd/A 24904-2026 artfynd.xlsx", "A 24904-2026")</f>
        <v/>
      </c>
      <c r="W35">
        <f>HYPERLINK("https://klasma.github.io/Logging_2180/kartor/A 24904-2026 karta.png", "A 24904-2026")</f>
        <v/>
      </c>
      <c r="Y35">
        <f>HYPERLINK("https://klasma.github.io/Logging_2180/klagomål/A 24904-2026 FSC-klagomål.docx", "A 24904-2026")</f>
        <v/>
      </c>
      <c r="Z35">
        <f>HYPERLINK("https://klasma.github.io/Logging_2180/klagomålsmail/A 24904-2026 FSC-klagomål mail.docx", "A 24904-2026")</f>
        <v/>
      </c>
      <c r="AA35">
        <f>HYPERLINK("https://klasma.github.io/Logging_2180/tillsyn/A 24904-2026 tillsynsbegäran.docx", "A 24904-2026")</f>
        <v/>
      </c>
      <c r="AB35">
        <f>HYPERLINK("https://klasma.github.io/Logging_2180/tillsynsmail/A 24904-2026 tillsynsbegäran mail.docx", "A 24904-2026")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46217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s="2" t="inlineStr">
        <is>
          <t>Ask
Brunfläckig pärlemorfjäril
Jättesvampmal
Strimspindling</t>
        </is>
      </c>
      <c r="V36">
        <f>HYPERLINK("https://klasma.github.io/Logging_2180/artfynd/A 64567-2023 artfynd.xlsx", "A 64567-2023")</f>
        <v/>
      </c>
      <c r="W36">
        <f>HYPERLINK("https://klasma.github.io/Logging_2180/kartor/A 64567-2023 karta.png", "A 64567-2023")</f>
        <v/>
      </c>
      <c r="Y36">
        <f>HYPERLINK("https://klasma.github.io/Logging_2180/klagomål/A 64567-2023 FSC-klagomål.docx", "A 64567-2023")</f>
        <v/>
      </c>
      <c r="Z36">
        <f>HYPERLINK("https://klasma.github.io/Logging_2180/klagomålsmail/A 64567-2023 FSC-klagomål mail.docx", "A 64567-2023")</f>
        <v/>
      </c>
      <c r="AA36">
        <f>HYPERLINK("https://klasma.github.io/Logging_2180/tillsyn/A 64567-2023 tillsynsbegäran.docx", "A 64567-2023")</f>
        <v/>
      </c>
      <c r="AB36">
        <f>HYPERLINK("https://klasma.github.io/Logging_2180/tillsynsmail/A 64567-2023 tillsynsbegäran mail.docx", "A 64567-2023")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46217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s="2" t="inlineStr">
        <is>
          <t>Ask
Kattfotslav
Svavelriska</t>
        </is>
      </c>
      <c r="V37">
        <f>HYPERLINK("https://klasma.github.io/Logging_2180/artfynd/A 14891-2024 artfynd.xlsx", "A 14891-2024")</f>
        <v/>
      </c>
      <c r="W37">
        <f>HYPERLINK("https://klasma.github.io/Logging_2180/kartor/A 14891-2024 karta.png", "A 14891-2024")</f>
        <v/>
      </c>
      <c r="Y37">
        <f>HYPERLINK("https://klasma.github.io/Logging_2180/klagomål/A 14891-2024 FSC-klagomål.docx", "A 14891-2024")</f>
        <v/>
      </c>
      <c r="Z37">
        <f>HYPERLINK("https://klasma.github.io/Logging_2180/klagomålsmail/A 14891-2024 FSC-klagomål mail.docx", "A 14891-2024")</f>
        <v/>
      </c>
      <c r="AA37">
        <f>HYPERLINK("https://klasma.github.io/Logging_2180/tillsyn/A 14891-2024 tillsynsbegäran.docx", "A 14891-2024")</f>
        <v/>
      </c>
      <c r="AB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46217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Brunklöver
Tjäder
Huggorm</t>
        </is>
      </c>
      <c r="V38">
        <f>HYPERLINK("https://klasma.github.io/Logging_2180/artfynd/A 18215-2024 artfynd.xlsx", "A 18215-2024")</f>
        <v/>
      </c>
      <c r="W38">
        <f>HYPERLINK("https://klasma.github.io/Logging_2180/kartor/A 18215-2024 karta.png", "A 18215-2024")</f>
        <v/>
      </c>
      <c r="Y38">
        <f>HYPERLINK("https://klasma.github.io/Logging_2180/klagomål/A 18215-2024 FSC-klagomål.docx", "A 18215-2024")</f>
        <v/>
      </c>
      <c r="Z38">
        <f>HYPERLINK("https://klasma.github.io/Logging_2180/klagomålsmail/A 18215-2024 FSC-klagomål mail.docx", "A 18215-2024")</f>
        <v/>
      </c>
      <c r="AA38">
        <f>HYPERLINK("https://klasma.github.io/Logging_2180/tillsyn/A 18215-2024 tillsynsbegäran.docx", "A 18215-2024")</f>
        <v/>
      </c>
      <c r="AB38">
        <f>HYPERLINK("https://klasma.github.io/Logging_2180/tillsynsmail/A 18215-2024 tillsynsbegäran mail.docx", "A 18215-2024")</f>
        <v/>
      </c>
      <c r="AC38">
        <f>HYPERLINK("https://klasma.github.io/Logging_2180/fåglar/A 18215-2024 prioriterade fågelarter.docx", "A 18215-2024")</f>
        <v/>
      </c>
    </row>
    <row r="39" ht="15" customHeight="1">
      <c r="A39" t="inlineStr">
        <is>
          <t>A 15757-2026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46217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5.8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Älg
Spillkråka
Tjäder</t>
        </is>
      </c>
      <c r="V39">
        <f>HYPERLINK("https://klasma.github.io/Logging_2180/artfynd/A 15757-2026 artfynd.xlsx", "A 15757-2026")</f>
        <v/>
      </c>
      <c r="W39">
        <f>HYPERLINK("https://klasma.github.io/Logging_2180/kartor/A 15757-2026 karta.png", "A 15757-2026")</f>
        <v/>
      </c>
      <c r="Y39">
        <f>HYPERLINK("https://klasma.github.io/Logging_2180/klagomål/A 15757-2026 FSC-klagomål.docx", "A 15757-2026")</f>
        <v/>
      </c>
      <c r="Z39">
        <f>HYPERLINK("https://klasma.github.io/Logging_2180/klagomålsmail/A 15757-2026 FSC-klagomål mail.docx", "A 15757-2026")</f>
        <v/>
      </c>
      <c r="AA39">
        <f>HYPERLINK("https://klasma.github.io/Logging_2180/tillsyn/A 15757-2026 tillsynsbegäran.docx", "A 15757-2026")</f>
        <v/>
      </c>
      <c r="AB39">
        <f>HYPERLINK("https://klasma.github.io/Logging_2180/tillsynsmail/A 15757-2026 tillsynsbegäran mail.docx", "A 15757-2026")</f>
        <v/>
      </c>
      <c r="AC39">
        <f>HYPERLINK("https://klasma.github.io/Logging_2180/fåglar/A 15757-2026 prioriterade fågelarter.docx", "A 15757-2026")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46217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s="2" t="inlineStr">
        <is>
          <t>Skrovlig taggsvamp
Kolflarnlav
Tjäder</t>
        </is>
      </c>
      <c r="V40">
        <f>HYPERLINK("https://klasma.github.io/Logging_2180/artfynd/A 41242-2025 artfynd.xlsx", "A 41242-2025")</f>
        <v/>
      </c>
      <c r="W40">
        <f>HYPERLINK("https://klasma.github.io/Logging_2180/kartor/A 41242-2025 karta.png", "A 41242-2025")</f>
        <v/>
      </c>
      <c r="Y40">
        <f>HYPERLINK("https://klasma.github.io/Logging_2180/klagomål/A 41242-2025 FSC-klagomål.docx", "A 41242-2025")</f>
        <v/>
      </c>
      <c r="Z40">
        <f>HYPERLINK("https://klasma.github.io/Logging_2180/klagomålsmail/A 41242-2025 FSC-klagomål mail.docx", "A 41242-2025")</f>
        <v/>
      </c>
      <c r="AA40">
        <f>HYPERLINK("https://klasma.github.io/Logging_2180/tillsyn/A 41242-2025 tillsynsbegäran.docx", "A 41242-2025")</f>
        <v/>
      </c>
      <c r="AB40">
        <f>HYPERLINK("https://klasma.github.io/Logging_2180/tillsynsmail/A 41242-2025 tillsynsbegäran mail.docx", "A 41242-2025")</f>
        <v/>
      </c>
      <c r="AC40">
        <f>HYPERLINK("https://klasma.github.io/Logging_2180/fåglar/A 41242-2025 prioriterade fågelarter.docx", "A 41242-2025")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46217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Nordfladdermus
Blåsippa
Vattenfladdermus</t>
        </is>
      </c>
      <c r="V41">
        <f>HYPERLINK("https://klasma.github.io/Logging_2180/artfynd/A 10169-2026 artfynd.xlsx", "A 10169-2026")</f>
        <v/>
      </c>
      <c r="W41">
        <f>HYPERLINK("https://klasma.github.io/Logging_2180/kartor/A 10169-2026 karta.png", "A 10169-2026")</f>
        <v/>
      </c>
      <c r="Y41">
        <f>HYPERLINK("https://klasma.github.io/Logging_2180/klagomål/A 10169-2026 FSC-klagomål.docx", "A 10169-2026")</f>
        <v/>
      </c>
      <c r="Z41">
        <f>HYPERLINK("https://klasma.github.io/Logging_2180/klagomålsmail/A 10169-2026 FSC-klagomål mail.docx", "A 10169-2026")</f>
        <v/>
      </c>
      <c r="AA41">
        <f>HYPERLINK("https://klasma.github.io/Logging_2180/tillsyn/A 10169-2026 tillsynsbegäran.docx", "A 10169-2026")</f>
        <v/>
      </c>
      <c r="AB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46217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s="2" t="inlineStr">
        <is>
          <t>Ask
Lunglav
Bårdlav</t>
        </is>
      </c>
      <c r="V42">
        <f>HYPERLINK("https://klasma.github.io/Logging_2180/artfynd/A 15093-2026 artfynd.xlsx", "A 15093-2026")</f>
        <v/>
      </c>
      <c r="W42">
        <f>HYPERLINK("https://klasma.github.io/Logging_2180/kartor/A 15093-2026 karta.png", "A 15093-2026")</f>
        <v/>
      </c>
      <c r="Y42">
        <f>HYPERLINK("https://klasma.github.io/Logging_2180/klagomål/A 15093-2026 FSC-klagomål.docx", "A 15093-2026")</f>
        <v/>
      </c>
      <c r="Z42">
        <f>HYPERLINK("https://klasma.github.io/Logging_2180/klagomålsmail/A 15093-2026 FSC-klagomål mail.docx", "A 15093-2026")</f>
        <v/>
      </c>
      <c r="AA42">
        <f>HYPERLINK("https://klasma.github.io/Logging_2180/tillsyn/A 15093-2026 tillsynsbegäran.docx", "A 15093-2026")</f>
        <v/>
      </c>
      <c r="AB42">
        <f>HYPERLINK("https://klasma.github.io/Logging_2180/tillsynsmail/A 15093-2026 tillsynsbegäran mail.docx", "A 15093-2026")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46217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s="2" t="inlineStr">
        <is>
          <t>Pärluggla
Storspov
Sångsvan</t>
        </is>
      </c>
      <c r="V43">
        <f>HYPERLINK("https://klasma.github.io/Logging_2180/artfynd/A 25357-2026 artfynd.xlsx", "A 25357-2026")</f>
        <v/>
      </c>
      <c r="W43">
        <f>HYPERLINK("https://klasma.github.io/Logging_2180/kartor/A 25357-2026 karta.png", "A 25357-2026")</f>
        <v/>
      </c>
      <c r="Y43">
        <f>HYPERLINK("https://klasma.github.io/Logging_2180/klagomål/A 25357-2026 FSC-klagomål.docx", "A 25357-2026")</f>
        <v/>
      </c>
      <c r="Z43">
        <f>HYPERLINK("https://klasma.github.io/Logging_2180/klagomålsmail/A 25357-2026 FSC-klagomål mail.docx", "A 25357-2026")</f>
        <v/>
      </c>
      <c r="AA43">
        <f>HYPERLINK("https://klasma.github.io/Logging_2180/tillsyn/A 25357-2026 tillsynsbegäran.docx", "A 25357-2026")</f>
        <v/>
      </c>
      <c r="AB43">
        <f>HYPERLINK("https://klasma.github.io/Logging_2180/tillsynsmail/A 25357-2026 tillsynsbegäran mail.docx", "A 25357-2026")</f>
        <v/>
      </c>
      <c r="AC43">
        <f>HYPERLINK("https://klasma.github.io/Logging_2180/fåglar/A 25357-2026 prioriterade fågelarter.docx", "A 25357-2026")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46217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s="2" t="inlineStr">
        <is>
          <t>Brunklöver
Höstlåsbräken
Mattlummer</t>
        </is>
      </c>
      <c r="V44">
        <f>HYPERLINK("https://klasma.github.io/Logging_2180/artfynd/A 29626-2025 artfynd.xlsx", "A 29626-2025")</f>
        <v/>
      </c>
      <c r="W44">
        <f>HYPERLINK("https://klasma.github.io/Logging_2180/kartor/A 29626-2025 karta.png", "A 29626-2025")</f>
        <v/>
      </c>
      <c r="Y44">
        <f>HYPERLINK("https://klasma.github.io/Logging_2180/klagomål/A 29626-2025 FSC-klagomål.docx", "A 29626-2025")</f>
        <v/>
      </c>
      <c r="Z44">
        <f>HYPERLINK("https://klasma.github.io/Logging_2180/klagomålsmail/A 29626-2025 FSC-klagomål mail.docx", "A 29626-2025")</f>
        <v/>
      </c>
      <c r="AA44">
        <f>HYPERLINK("https://klasma.github.io/Logging_2180/tillsyn/A 29626-2025 tillsynsbegäran.docx", "A 29626-2025")</f>
        <v/>
      </c>
      <c r="AB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46217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Järnsparv
Tallticka
Spillkråka</t>
        </is>
      </c>
      <c r="V45">
        <f>HYPERLINK("https://klasma.github.io/Logging_2180/artfynd/S 474-2022 artfynd.xlsx", "S 474-2022")</f>
        <v/>
      </c>
      <c r="W45">
        <f>HYPERLINK("https://klasma.github.io/Logging_2180/kartor/S 474-2022 karta.png", "S 474-2022")</f>
        <v/>
      </c>
      <c r="Y45">
        <f>HYPERLINK("https://klasma.github.io/Logging_2180/klagomål/S 474-2022 FSC-klagomål.docx", "S 474-2022")</f>
        <v/>
      </c>
      <c r="Z45">
        <f>HYPERLINK("https://klasma.github.io/Logging_2180/klagomålsmail/S 474-2022 FSC-klagomål mail.docx", "S 474-2022")</f>
        <v/>
      </c>
      <c r="AA45">
        <f>HYPERLINK("https://klasma.github.io/Logging_2180/tillsyn/S 474-2022 tillsynsbegäran.docx", "S 474-2022")</f>
        <v/>
      </c>
      <c r="AB45">
        <f>HYPERLINK("https://klasma.github.io/Logging_2180/tillsynsmail/S 474-2022 tillsynsbegäran mail.docx", "S 474-2022")</f>
        <v/>
      </c>
      <c r="AC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46217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Brunklöver
Fläcknycklar</t>
        </is>
      </c>
      <c r="V46">
        <f>HYPERLINK("https://klasma.github.io/Logging_2180/artfynd/A 53049-2022 artfynd.xlsx", "A 53049-2022")</f>
        <v/>
      </c>
      <c r="W46">
        <f>HYPERLINK("https://klasma.github.io/Logging_2180/kartor/A 53049-2022 karta.png", "A 53049-2022")</f>
        <v/>
      </c>
      <c r="Y46">
        <f>HYPERLINK("https://klasma.github.io/Logging_2180/klagomål/A 53049-2022 FSC-klagomål.docx", "A 53049-2022")</f>
        <v/>
      </c>
      <c r="Z46">
        <f>HYPERLINK("https://klasma.github.io/Logging_2180/klagomålsmail/A 53049-2022 FSC-klagomål mail.docx", "A 53049-2022")</f>
        <v/>
      </c>
      <c r="AA46">
        <f>HYPERLINK("https://klasma.github.io/Logging_2180/tillsyn/A 53049-2022 tillsynsbegäran.docx", "A 53049-2022")</f>
        <v/>
      </c>
      <c r="AB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46217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s="2" t="inlineStr">
        <is>
          <t>Sumpviol
Tjäder</t>
        </is>
      </c>
      <c r="V47">
        <f>HYPERLINK("https://klasma.github.io/Logging_2180/artfynd/A 40023-2021 artfynd.xlsx", "A 40023-2021")</f>
        <v/>
      </c>
      <c r="W47">
        <f>HYPERLINK("https://klasma.github.io/Logging_2180/kartor/A 40023-2021 karta.png", "A 40023-2021")</f>
        <v/>
      </c>
      <c r="Y47">
        <f>HYPERLINK("https://klasma.github.io/Logging_2180/klagomål/A 40023-2021 FSC-klagomål.docx", "A 40023-2021")</f>
        <v/>
      </c>
      <c r="Z47">
        <f>HYPERLINK("https://klasma.github.io/Logging_2180/klagomålsmail/A 40023-2021 FSC-klagomål mail.docx", "A 40023-2021")</f>
        <v/>
      </c>
      <c r="AA47">
        <f>HYPERLINK("https://klasma.github.io/Logging_2180/tillsyn/A 40023-2021 tillsynsbegäran.docx", "A 40023-2021")</f>
        <v/>
      </c>
      <c r="AB47">
        <f>HYPERLINK("https://klasma.github.io/Logging_2180/tillsynsmail/A 40023-2021 tillsynsbegäran mail.docx", "A 40023-2021")</f>
        <v/>
      </c>
      <c r="AC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46217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Tibast
Nattviol</t>
        </is>
      </c>
      <c r="V48">
        <f>HYPERLINK("https://klasma.github.io/Logging_2180/artfynd/A 6473-2024 artfynd.xlsx", "A 6473-2024")</f>
        <v/>
      </c>
      <c r="W48">
        <f>HYPERLINK("https://klasma.github.io/Logging_2180/kartor/A 6473-2024 karta.png", "A 6473-2024")</f>
        <v/>
      </c>
      <c r="Y48">
        <f>HYPERLINK("https://klasma.github.io/Logging_2180/klagomål/A 6473-2024 FSC-klagomål.docx", "A 6473-2024")</f>
        <v/>
      </c>
      <c r="Z48">
        <f>HYPERLINK("https://klasma.github.io/Logging_2180/klagomålsmail/A 6473-2024 FSC-klagomål mail.docx", "A 6473-2024")</f>
        <v/>
      </c>
      <c r="AA48">
        <f>HYPERLINK("https://klasma.github.io/Logging_2180/tillsyn/A 6473-2024 tillsynsbegäran.docx", "A 6473-2024")</f>
        <v/>
      </c>
      <c r="AB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46217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s="2" t="inlineStr">
        <is>
          <t>Spillkråka
Orre</t>
        </is>
      </c>
      <c r="V49">
        <f>HYPERLINK("https://klasma.github.io/Logging_2180/artfynd/A 32328-2024 artfynd.xlsx", "A 32328-2024")</f>
        <v/>
      </c>
      <c r="W49">
        <f>HYPERLINK("https://klasma.github.io/Logging_2180/kartor/A 32328-2024 karta.png", "A 32328-2024")</f>
        <v/>
      </c>
      <c r="Y49">
        <f>HYPERLINK("https://klasma.github.io/Logging_2180/klagomål/A 32328-2024 FSC-klagomål.docx", "A 32328-2024")</f>
        <v/>
      </c>
      <c r="Z49">
        <f>HYPERLINK("https://klasma.github.io/Logging_2180/klagomålsmail/A 32328-2024 FSC-klagomål mail.docx", "A 32328-2024")</f>
        <v/>
      </c>
      <c r="AA49">
        <f>HYPERLINK("https://klasma.github.io/Logging_2180/tillsyn/A 32328-2024 tillsynsbegäran.docx", "A 32328-2024")</f>
        <v/>
      </c>
      <c r="AB49">
        <f>HYPERLINK("https://klasma.github.io/Logging_2180/tillsynsmail/A 32328-2024 tillsynsbegäran mail.docx", "A 32328-2024")</f>
        <v/>
      </c>
      <c r="AC49">
        <f>HYPERLINK("https://klasma.github.io/Logging_2180/fåglar/A 32328-2024 prioriterade fågelarter.docx", "A 32328-2024")</f>
        <v/>
      </c>
    </row>
    <row r="50" ht="15" customHeight="1">
      <c r="A50" t="inlineStr">
        <is>
          <t>A 18218-2024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45420</v>
      </c>
      <c r="E50" s="1" t="n">
        <v>46217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Blåsippa
Havsörn</t>
        </is>
      </c>
      <c r="V50">
        <f>HYPERLINK("https://klasma.github.io/Logging_2180/artfynd/A 18218-2024 artfynd.xlsx", "A 18218-2024")</f>
        <v/>
      </c>
      <c r="W50">
        <f>HYPERLINK("https://klasma.github.io/Logging_2180/kartor/A 18218-2024 karta.png", "A 18218-2024")</f>
        <v/>
      </c>
      <c r="Y50">
        <f>HYPERLINK("https://klasma.github.io/Logging_2180/klagomål/A 18218-2024 FSC-klagomål.docx", "A 18218-2024")</f>
        <v/>
      </c>
      <c r="Z50">
        <f>HYPERLINK("https://klasma.github.io/Logging_2180/klagomålsmail/A 18218-2024 FSC-klagomål mail.docx", "A 18218-2024")</f>
        <v/>
      </c>
      <c r="AA50">
        <f>HYPERLINK("https://klasma.github.io/Logging_2180/tillsyn/A 18218-2024 tillsynsbegäran.docx", "A 18218-2024")</f>
        <v/>
      </c>
      <c r="AB50">
        <f>HYPERLINK("https://klasma.github.io/Logging_2180/tillsynsmail/A 18218-2024 tillsynsbegäran mail.docx", "A 18218-2024")</f>
        <v/>
      </c>
      <c r="AC50">
        <f>HYPERLINK("https://klasma.github.io/Logging_2180/fåglar/A 18218-2024 prioriterade fågelarter.docx", "A 18218-2024")</f>
        <v/>
      </c>
    </row>
    <row r="51" ht="15" customHeight="1">
      <c r="A51" t="inlineStr">
        <is>
          <t>A 19718-2026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46134</v>
      </c>
      <c r="E51" s="1" t="n">
        <v>46217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10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Rödvingetrast
Nattskärra</t>
        </is>
      </c>
      <c r="V51">
        <f>HYPERLINK("https://klasma.github.io/Logging_2180/artfynd/A 19718-2026 artfynd.xlsx", "A 19718-2026")</f>
        <v/>
      </c>
      <c r="W51">
        <f>HYPERLINK("https://klasma.github.io/Logging_2180/kartor/A 19718-2026 karta.png", "A 19718-2026")</f>
        <v/>
      </c>
      <c r="Y51">
        <f>HYPERLINK("https://klasma.github.io/Logging_2180/klagomål/A 19718-2026 FSC-klagomål.docx", "A 19718-2026")</f>
        <v/>
      </c>
      <c r="Z51">
        <f>HYPERLINK("https://klasma.github.io/Logging_2180/klagomålsmail/A 19718-2026 FSC-klagomål mail.docx", "A 19718-2026")</f>
        <v/>
      </c>
      <c r="AA51">
        <f>HYPERLINK("https://klasma.github.io/Logging_2180/tillsyn/A 19718-2026 tillsynsbegäran.docx", "A 19718-2026")</f>
        <v/>
      </c>
      <c r="AB51">
        <f>HYPERLINK("https://klasma.github.io/Logging_2180/tillsynsmail/A 19718-2026 tillsynsbegäran mail.docx", "A 19718-2026")</f>
        <v/>
      </c>
      <c r="AC51">
        <f>HYPERLINK("https://klasma.github.io/Logging_2180/fåglar/A 19718-2026 prioriterade fågelarter.docx", "A 19718-2026")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46217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s="2" t="inlineStr">
        <is>
          <t>Reliktbock
Vedflamlav</t>
        </is>
      </c>
      <c r="V52">
        <f>HYPERLINK("https://klasma.github.io/Logging_2180/artfynd/A 41213-2025 artfynd.xlsx", "A 41213-2025")</f>
        <v/>
      </c>
      <c r="W52">
        <f>HYPERLINK("https://klasma.github.io/Logging_2180/kartor/A 41213-2025 karta.png", "A 41213-2025")</f>
        <v/>
      </c>
      <c r="Y52">
        <f>HYPERLINK("https://klasma.github.io/Logging_2180/klagomål/A 41213-2025 FSC-klagomål.docx", "A 41213-2025")</f>
        <v/>
      </c>
      <c r="Z52">
        <f>HYPERLINK("https://klasma.github.io/Logging_2180/klagomålsmail/A 41213-2025 FSC-klagomål mail.docx", "A 41213-2025")</f>
        <v/>
      </c>
      <c r="AA52">
        <f>HYPERLINK("https://klasma.github.io/Logging_2180/tillsyn/A 41213-2025 tillsynsbegäran.docx", "A 41213-2025")</f>
        <v/>
      </c>
      <c r="AB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46217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s="2" t="inlineStr">
        <is>
          <t>Svavelriska
Blåsippa</t>
        </is>
      </c>
      <c r="V53">
        <f>HYPERLINK("https://klasma.github.io/Logging_2180/artfynd/A 42261-2025 artfynd.xlsx", "A 42261-2025")</f>
        <v/>
      </c>
      <c r="W53">
        <f>HYPERLINK("https://klasma.github.io/Logging_2180/kartor/A 42261-2025 karta.png", "A 42261-2025")</f>
        <v/>
      </c>
      <c r="Y53">
        <f>HYPERLINK("https://klasma.github.io/Logging_2180/klagomål/A 42261-2025 FSC-klagomål.docx", "A 42261-2025")</f>
        <v/>
      </c>
      <c r="Z53">
        <f>HYPERLINK("https://klasma.github.io/Logging_2180/klagomålsmail/A 42261-2025 FSC-klagomål mail.docx", "A 42261-2025")</f>
        <v/>
      </c>
      <c r="AA53">
        <f>HYPERLINK("https://klasma.github.io/Logging_2180/tillsyn/A 42261-2025 tillsynsbegäran.docx", "A 42261-2025")</f>
        <v/>
      </c>
      <c r="AB53">
        <f>HYPERLINK("https://klasma.github.io/Logging_2180/tillsynsmail/A 42261-2025 tillsynsbegäran mail.docx", "A 42261-2025")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46217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Vårärt
Blåsippa</t>
        </is>
      </c>
      <c r="V54">
        <f>HYPERLINK("https://klasma.github.io/Logging_2180/artfynd/A 50049-2025 artfynd.xlsx", "A 50049-2025")</f>
        <v/>
      </c>
      <c r="W54">
        <f>HYPERLINK("https://klasma.github.io/Logging_2180/kartor/A 50049-2025 karta.png", "A 50049-2025")</f>
        <v/>
      </c>
      <c r="Y54">
        <f>HYPERLINK("https://klasma.github.io/Logging_2180/klagomål/A 50049-2025 FSC-klagomål.docx", "A 50049-2025")</f>
        <v/>
      </c>
      <c r="Z54">
        <f>HYPERLINK("https://klasma.github.io/Logging_2180/klagomålsmail/A 50049-2025 FSC-klagomål mail.docx", "A 50049-2025")</f>
        <v/>
      </c>
      <c r="AA54">
        <f>HYPERLINK("https://klasma.github.io/Logging_2180/tillsyn/A 50049-2025 tillsynsbegäran.docx", "A 50049-2025")</f>
        <v/>
      </c>
      <c r="AB54">
        <f>HYPERLINK("https://klasma.github.io/Logging_2180/tillsynsmail/A 50049-2025 tillsynsbegäran mail.docx", "A 50049-2025")</f>
        <v/>
      </c>
    </row>
    <row r="55" ht="15" customHeight="1">
      <c r="A55" t="inlineStr">
        <is>
          <t>A 20323-2026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46217</v>
      </c>
      <c r="F55" t="inlineStr">
        <is>
          <t>GÄVLEBORGS LÄN</t>
        </is>
      </c>
      <c r="G55" t="inlineStr">
        <is>
          <t>GÄVLE</t>
        </is>
      </c>
      <c r="I55" t="n">
        <v>1.4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s="2" t="inlineStr">
        <is>
          <t>Grön sköldmossa
Tjäder</t>
        </is>
      </c>
      <c r="V55">
        <f>HYPERLINK("https://klasma.github.io/Logging_2180/artfynd/A 20323-2026 artfynd.xlsx", "A 20323-2026")</f>
        <v/>
      </c>
      <c r="W55">
        <f>HYPERLINK("https://klasma.github.io/Logging_2180/kartor/A 20323-2026 karta.png", "A 20323-2026")</f>
        <v/>
      </c>
      <c r="Y55">
        <f>HYPERLINK("https://klasma.github.io/Logging_2180/klagomål/A 20323-2026 FSC-klagomål.docx", "A 20323-2026")</f>
        <v/>
      </c>
      <c r="Z55">
        <f>HYPERLINK("https://klasma.github.io/Logging_2180/klagomålsmail/A 20323-2026 FSC-klagomål mail.docx", "A 20323-2026")</f>
        <v/>
      </c>
      <c r="AA55">
        <f>HYPERLINK("https://klasma.github.io/Logging_2180/tillsyn/A 20323-2026 tillsynsbegäran.docx", "A 20323-2026")</f>
        <v/>
      </c>
      <c r="AB55">
        <f>HYPERLINK("https://klasma.github.io/Logging_2180/tillsynsmail/A 20323-2026 tillsynsbegäran mail.docx", "A 20323-2026")</f>
        <v/>
      </c>
      <c r="AC55">
        <f>HYPERLINK("https://klasma.github.io/Logging_2180/fåglar/A 20323-2026 prioriterade fågelarter.docx", "A 20323-2026")</f>
        <v/>
      </c>
    </row>
    <row r="56" ht="15" customHeight="1">
      <c r="A56" t="inlineStr">
        <is>
          <t>A 56538-2022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46217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Dropptaggsvamp
Blåsippa</t>
        </is>
      </c>
      <c r="V56">
        <f>HYPERLINK("https://klasma.github.io/Logging_2180/artfynd/A 56538-2022 artfynd.xlsx", "A 56538-2022")</f>
        <v/>
      </c>
      <c r="W56">
        <f>HYPERLINK("https://klasma.github.io/Logging_2180/kartor/A 56538-2022 karta.png", "A 56538-2022")</f>
        <v/>
      </c>
      <c r="Y56">
        <f>HYPERLINK("https://klasma.github.io/Logging_2180/klagomål/A 56538-2022 FSC-klagomål.docx", "A 56538-2022")</f>
        <v/>
      </c>
      <c r="Z56">
        <f>HYPERLINK("https://klasma.github.io/Logging_2180/klagomålsmail/A 56538-2022 FSC-klagomål mail.docx", "A 56538-2022")</f>
        <v/>
      </c>
      <c r="AA56">
        <f>HYPERLINK("https://klasma.github.io/Logging_2180/tillsyn/A 56538-2022 tillsynsbegäran.docx", "A 56538-2022")</f>
        <v/>
      </c>
      <c r="AB56">
        <f>HYPERLINK("https://klasma.github.io/Logging_2180/tillsynsmail/A 56538-2022 tillsynsbegäran mail.docx", "A 56538-2022")</f>
        <v/>
      </c>
    </row>
    <row r="57" ht="15" customHeight="1">
      <c r="A57" t="inlineStr">
        <is>
          <t>A 27045-2026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46217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3.1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5</v>
      </c>
      <c r="U57" s="2" t="inlineStr">
        <is>
          <t>Höstlåsbräken
Månlåsbräken</t>
        </is>
      </c>
      <c r="V57">
        <f>HYPERLINK("https://klasma.github.io/Logging_2180/artfynd/A 27045-2026 artfynd.xlsx", "A 27045-2026")</f>
        <v/>
      </c>
      <c r="W57">
        <f>HYPERLINK("https://klasma.github.io/Logging_2180/kartor/A 27045-2026 karta.png", "A 27045-2026")</f>
        <v/>
      </c>
      <c r="Y57">
        <f>HYPERLINK("https://klasma.github.io/Logging_2180/klagomål/A 27045-2026 FSC-klagomål.docx", "A 27045-2026")</f>
        <v/>
      </c>
      <c r="Z57">
        <f>HYPERLINK("https://klasma.github.io/Logging_2180/klagomålsmail/A 27045-2026 FSC-klagomål mail.docx", "A 27045-2026")</f>
        <v/>
      </c>
      <c r="AA57">
        <f>HYPERLINK("https://klasma.github.io/Logging_2180/tillsyn/A 27045-2026 tillsynsbegäran.docx", "A 27045-2026")</f>
        <v/>
      </c>
      <c r="AB57">
        <f>HYPERLINK("https://klasma.github.io/Logging_2180/tillsynsmail/A 27045-2026 tillsynsbegäran mail.docx", "A 27045-2026")</f>
        <v/>
      </c>
    </row>
    <row r="58" ht="15" customHeight="1">
      <c r="A58" t="inlineStr">
        <is>
          <t>A 27054-2026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46217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s="2" t="inlineStr">
        <is>
          <t>Garnlav
Kattfotslav</t>
        </is>
      </c>
      <c r="V58">
        <f>HYPERLINK("https://klasma.github.io/Logging_2180/artfynd/A 27054-2026 artfynd.xlsx", "A 27054-2026")</f>
        <v/>
      </c>
      <c r="W58">
        <f>HYPERLINK("https://klasma.github.io/Logging_2180/kartor/A 27054-2026 karta.png", "A 27054-2026")</f>
        <v/>
      </c>
      <c r="Y58">
        <f>HYPERLINK("https://klasma.github.io/Logging_2180/klagomål/A 27054-2026 FSC-klagomål.docx", "A 27054-2026")</f>
        <v/>
      </c>
      <c r="Z58">
        <f>HYPERLINK("https://klasma.github.io/Logging_2180/klagomålsmail/A 27054-2026 FSC-klagomål mail.docx", "A 27054-2026")</f>
        <v/>
      </c>
      <c r="AA58">
        <f>HYPERLINK("https://klasma.github.io/Logging_2180/tillsyn/A 27054-2026 tillsynsbegäran.docx", "A 27054-2026")</f>
        <v/>
      </c>
      <c r="AB58">
        <f>HYPERLINK("https://klasma.github.io/Logging_2180/tillsynsmail/A 27054-2026 tillsynsbegäran mail.docx", "A 27054-2026")</f>
        <v/>
      </c>
    </row>
    <row r="59" ht="15" customHeight="1">
      <c r="A59" t="inlineStr">
        <is>
          <t>A 14701-2026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46217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s="2" t="inlineStr">
        <is>
          <t>Tjäder
Fläcknycklar</t>
        </is>
      </c>
      <c r="V59">
        <f>HYPERLINK("https://klasma.github.io/Logging_2180/artfynd/A 14701-2026 artfynd.xlsx", "A 14701-2026")</f>
        <v/>
      </c>
      <c r="W59">
        <f>HYPERLINK("https://klasma.github.io/Logging_2180/kartor/A 14701-2026 karta.png", "A 14701-2026")</f>
        <v/>
      </c>
      <c r="Y59">
        <f>HYPERLINK("https://klasma.github.io/Logging_2180/klagomål/A 14701-2026 FSC-klagomål.docx", "A 14701-2026")</f>
        <v/>
      </c>
      <c r="Z59">
        <f>HYPERLINK("https://klasma.github.io/Logging_2180/klagomålsmail/A 14701-2026 FSC-klagomål mail.docx", "A 14701-2026")</f>
        <v/>
      </c>
      <c r="AA59">
        <f>HYPERLINK("https://klasma.github.io/Logging_2180/tillsyn/A 14701-2026 tillsynsbegäran.docx", "A 14701-2026")</f>
        <v/>
      </c>
      <c r="AB59">
        <f>HYPERLINK("https://klasma.github.io/Logging_2180/tillsynsmail/A 14701-2026 tillsynsbegäran mail.docx", "A 14701-2026")</f>
        <v/>
      </c>
      <c r="AC59">
        <f>HYPERLINK("https://klasma.github.io/Logging_2180/fåglar/A 14701-2026 prioriterade fågelarter.docx", "A 14701-2026")</f>
        <v/>
      </c>
    </row>
    <row r="60" ht="15" customHeight="1">
      <c r="A60" t="inlineStr">
        <is>
          <t>A 22149-2026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46217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s="2" t="inlineStr">
        <is>
          <t>Vedtrappmossa
Rödgul trumpetsvamp</t>
        </is>
      </c>
      <c r="V60">
        <f>HYPERLINK("https://klasma.github.io/Logging_2180/artfynd/A 22149-2026 artfynd.xlsx", "A 22149-2026")</f>
        <v/>
      </c>
      <c r="W60">
        <f>HYPERLINK("https://klasma.github.io/Logging_2180/kartor/A 22149-2026 karta.png", "A 22149-2026")</f>
        <v/>
      </c>
      <c r="Y60">
        <f>HYPERLINK("https://klasma.github.io/Logging_2180/klagomål/A 22149-2026 FSC-klagomål.docx", "A 22149-2026")</f>
        <v/>
      </c>
      <c r="Z60">
        <f>HYPERLINK("https://klasma.github.io/Logging_2180/klagomålsmail/A 22149-2026 FSC-klagomål mail.docx", "A 22149-2026")</f>
        <v/>
      </c>
      <c r="AA60">
        <f>HYPERLINK("https://klasma.github.io/Logging_2180/tillsyn/A 22149-2026 tillsynsbegäran.docx", "A 22149-2026")</f>
        <v/>
      </c>
      <c r="AB60">
        <f>HYPERLINK("https://klasma.github.io/Logging_2180/tillsynsmail/A 22149-2026 tillsynsbegäran mail.docx", "A 22149-2026")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46217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s="2" t="inlineStr">
        <is>
          <t>Garnlav
Spillkråka</t>
        </is>
      </c>
      <c r="V61">
        <f>HYPERLINK("https://klasma.github.io/Logging_2180/artfynd/A 60202-2025 artfynd.xlsx", "A 60202-2025")</f>
        <v/>
      </c>
      <c r="W61">
        <f>HYPERLINK("https://klasma.github.io/Logging_2180/kartor/A 60202-2025 karta.png", "A 60202-2025")</f>
        <v/>
      </c>
      <c r="Y61">
        <f>HYPERLINK("https://klasma.github.io/Logging_2180/klagomål/A 60202-2025 FSC-klagomål.docx", "A 60202-2025")</f>
        <v/>
      </c>
      <c r="Z61">
        <f>HYPERLINK("https://klasma.github.io/Logging_2180/klagomålsmail/A 60202-2025 FSC-klagomål mail.docx", "A 60202-2025")</f>
        <v/>
      </c>
      <c r="AA61">
        <f>HYPERLINK("https://klasma.github.io/Logging_2180/tillsyn/A 60202-2025 tillsynsbegäran.docx", "A 60202-2025")</f>
        <v/>
      </c>
      <c r="AB61">
        <f>HYPERLINK("https://klasma.github.io/Logging_2180/tillsynsmail/A 60202-2025 tillsynsbegäran mail.docx", "A 60202-2025")</f>
        <v/>
      </c>
      <c r="AC61">
        <f>HYPERLINK("https://klasma.github.io/Logging_2180/fåglar/A 60202-2025 prioriterade fågelarter.docx", "A 60202-2025")</f>
        <v/>
      </c>
    </row>
    <row r="62" ht="15" customHeight="1">
      <c r="A62" t="inlineStr">
        <is>
          <t>A 17297-2026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46217</v>
      </c>
      <c r="F62" t="inlineStr">
        <is>
          <t>GÄVLEBORGS LÄN</t>
        </is>
      </c>
      <c r="G62" t="inlineStr">
        <is>
          <t>GÄVLE</t>
        </is>
      </c>
      <c r="I62" t="n">
        <v>1.3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Slåtterfibbla
Blåsippa</t>
        </is>
      </c>
      <c r="V62">
        <f>HYPERLINK("https://klasma.github.io/Logging_2180/artfynd/A 17297-2026 artfynd.xlsx", "A 17297-2026")</f>
        <v/>
      </c>
      <c r="W62">
        <f>HYPERLINK("https://klasma.github.io/Logging_2180/kartor/A 17297-2026 karta.png", "A 17297-2026")</f>
        <v/>
      </c>
      <c r="Y62">
        <f>HYPERLINK("https://klasma.github.io/Logging_2180/klagomål/A 17297-2026 FSC-klagomål.docx", "A 17297-2026")</f>
        <v/>
      </c>
      <c r="Z62">
        <f>HYPERLINK("https://klasma.github.io/Logging_2180/klagomålsmail/A 17297-2026 FSC-klagomål mail.docx", "A 17297-2026")</f>
        <v/>
      </c>
      <c r="AA62">
        <f>HYPERLINK("https://klasma.github.io/Logging_2180/tillsyn/A 17297-2026 tillsynsbegäran.docx", "A 17297-2026")</f>
        <v/>
      </c>
      <c r="AB62">
        <f>HYPERLINK("https://klasma.github.io/Logging_2180/tillsynsmail/A 17297-2026 tillsynsbegäran mail.docx", "A 17297-2026")</f>
        <v/>
      </c>
    </row>
    <row r="63" ht="15" customHeight="1">
      <c r="A63" t="inlineStr">
        <is>
          <t>A 14554-2026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46100</v>
      </c>
      <c r="E63" s="1" t="n">
        <v>46217</v>
      </c>
      <c r="F63" t="inlineStr">
        <is>
          <t>GÄVLEBORGS LÄN</t>
        </is>
      </c>
      <c r="G63" t="inlineStr">
        <is>
          <t>GÄVLE</t>
        </is>
      </c>
      <c r="H63" t="inlineStr">
        <is>
          <t>Övriga statliga verk och myndigheter</t>
        </is>
      </c>
      <c r="I63" t="n">
        <v>6.6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121</v>
      </c>
      <c r="U63" s="2" t="inlineStr">
        <is>
          <t>Väddnätfjäril
Sotnätfjäril</t>
        </is>
      </c>
      <c r="V63">
        <f>HYPERLINK("https://klasma.github.io/Logging_2180/artfynd/A 14554-2026 artfynd.xlsx", "A 14554-2026")</f>
        <v/>
      </c>
      <c r="W63">
        <f>HYPERLINK("https://klasma.github.io/Logging_2180/kartor/A 14554-2026 karta.png", "A 14554-2026")</f>
        <v/>
      </c>
      <c r="Y63">
        <f>HYPERLINK("https://klasma.github.io/Logging_2180/klagomål/A 14554-2026 FSC-klagomål.docx", "A 14554-2026")</f>
        <v/>
      </c>
      <c r="Z63">
        <f>HYPERLINK("https://klasma.github.io/Logging_2180/klagomålsmail/A 14554-2026 FSC-klagomål mail.docx", "A 14554-2026")</f>
        <v/>
      </c>
      <c r="AA63">
        <f>HYPERLINK("https://klasma.github.io/Logging_2180/tillsyn/A 14554-2026 tillsynsbegäran.docx", "A 14554-2026")</f>
        <v/>
      </c>
      <c r="AB63">
        <f>HYPERLINK("https://klasma.github.io/Logging_2180/tillsynsmail/A 14554-2026 tillsynsbegäran mail.docx", "A 14554-2026")</f>
        <v/>
      </c>
    </row>
    <row r="64" ht="15" customHeight="1">
      <c r="A64" t="inlineStr">
        <is>
          <t>A 29634-2026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46199</v>
      </c>
      <c r="E64" s="1" t="n">
        <v>46217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6.3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s="2" t="inlineStr">
        <is>
          <t>Brunag
Strandlummer</t>
        </is>
      </c>
      <c r="V64">
        <f>HYPERLINK("https://klasma.github.io/Logging_2180/artfynd/A 29634-2026 artfynd.xlsx", "A 29634-2026")</f>
        <v/>
      </c>
      <c r="W64">
        <f>HYPERLINK("https://klasma.github.io/Logging_2180/kartor/A 29634-2026 karta.png", "A 29634-2026")</f>
        <v/>
      </c>
      <c r="Y64">
        <f>HYPERLINK("https://klasma.github.io/Logging_2180/klagomål/A 29634-2026 FSC-klagomål.docx", "A 29634-2026")</f>
        <v/>
      </c>
      <c r="Z64">
        <f>HYPERLINK("https://klasma.github.io/Logging_2180/klagomålsmail/A 29634-2026 FSC-klagomål mail.docx", "A 29634-2026")</f>
        <v/>
      </c>
      <c r="AA64">
        <f>HYPERLINK("https://klasma.github.io/Logging_2180/tillsyn/A 29634-2026 tillsynsbegäran.docx", "A 29634-2026")</f>
        <v/>
      </c>
      <c r="AB64">
        <f>HYPERLINK("https://klasma.github.io/Logging_2180/tillsynsmail/A 29634-2026 tillsynsbegäran mail.docx", "A 29634-2026")</f>
        <v/>
      </c>
    </row>
    <row r="65" ht="15" customHeight="1">
      <c r="A65" t="inlineStr">
        <is>
          <t>A 23257-2026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46162</v>
      </c>
      <c r="E65" s="1" t="n">
        <v>46217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42.1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Kattfotslav
Havsörn</t>
        </is>
      </c>
      <c r="V65">
        <f>HYPERLINK("https://klasma.github.io/Logging_2180/artfynd/A 23257-2026 artfynd.xlsx", "A 23257-2026")</f>
        <v/>
      </c>
      <c r="W65">
        <f>HYPERLINK("https://klasma.github.io/Logging_2180/kartor/A 23257-2026 karta.png", "A 23257-2026")</f>
        <v/>
      </c>
      <c r="Y65">
        <f>HYPERLINK("https://klasma.github.io/Logging_2180/klagomål/A 23257-2026 FSC-klagomål.docx", "A 23257-2026")</f>
        <v/>
      </c>
      <c r="Z65">
        <f>HYPERLINK("https://klasma.github.io/Logging_2180/klagomålsmail/A 23257-2026 FSC-klagomål mail.docx", "A 23257-2026")</f>
        <v/>
      </c>
      <c r="AA65">
        <f>HYPERLINK("https://klasma.github.io/Logging_2180/tillsyn/A 23257-2026 tillsynsbegäran.docx", "A 23257-2026")</f>
        <v/>
      </c>
      <c r="AB65">
        <f>HYPERLINK("https://klasma.github.io/Logging_2180/tillsynsmail/A 23257-2026 tillsynsbegäran mail.docx", "A 23257-2026")</f>
        <v/>
      </c>
      <c r="AC65">
        <f>HYPERLINK("https://klasma.github.io/Logging_2180/fåglar/A 23257-2026 prioriterade fågelarter.docx", "A 23257-2026")</f>
        <v/>
      </c>
    </row>
    <row r="66" ht="15" customHeight="1">
      <c r="A66" t="inlineStr">
        <is>
          <t>A 13487-2026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46094</v>
      </c>
      <c r="E66" s="1" t="n">
        <v>46217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0.6</v>
      </c>
      <c r="J66" t="n">
        <v>2</v>
      </c>
      <c r="K66" t="n">
        <v>0</v>
      </c>
      <c r="L66" t="n">
        <v>1</v>
      </c>
      <c r="M66" t="n">
        <v>0</v>
      </c>
      <c r="N66" t="n">
        <v>1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s="2" t="inlineStr">
        <is>
          <t>Pärluggla
Sparvuggla</t>
        </is>
      </c>
      <c r="V66">
        <f>HYPERLINK("https://klasma.github.io/Logging_2180/artfynd/A 13487-2026 artfynd.xlsx", "A 13487-2026")</f>
        <v/>
      </c>
      <c r="W66">
        <f>HYPERLINK("https://klasma.github.io/Logging_2180/kartor/A 13487-2026 karta.png", "A 13487-2026")</f>
        <v/>
      </c>
      <c r="Y66">
        <f>HYPERLINK("https://klasma.github.io/Logging_2180/klagomål/A 13487-2026 FSC-klagomål.docx", "A 13487-2026")</f>
        <v/>
      </c>
      <c r="Z66">
        <f>HYPERLINK("https://klasma.github.io/Logging_2180/klagomålsmail/A 13487-2026 FSC-klagomål mail.docx", "A 13487-2026")</f>
        <v/>
      </c>
      <c r="AA66">
        <f>HYPERLINK("https://klasma.github.io/Logging_2180/tillsyn/A 13487-2026 tillsynsbegäran.docx", "A 13487-2026")</f>
        <v/>
      </c>
      <c r="AB66">
        <f>HYPERLINK("https://klasma.github.io/Logging_2180/tillsynsmail/A 13487-2026 tillsynsbegäran mail.docx", "A 13487-2026")</f>
        <v/>
      </c>
      <c r="AC66">
        <f>HYPERLINK("https://klasma.github.io/Logging_2180/fåglar/A 13487-2026 prioriterade fågelarter.docx", "A 13487-2026")</f>
        <v/>
      </c>
    </row>
    <row r="67" ht="15" customHeight="1">
      <c r="A67" t="inlineStr">
        <is>
          <t>A 13727-2025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45737</v>
      </c>
      <c r="E67" s="1" t="n">
        <v>46217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7.6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s="2" t="inlineStr">
        <is>
          <t>Ullticka
Järpe</t>
        </is>
      </c>
      <c r="V67">
        <f>HYPERLINK("https://klasma.github.io/Logging_2180/artfynd/A 13727-2025 artfynd.xlsx", "A 13727-2025")</f>
        <v/>
      </c>
      <c r="W67">
        <f>HYPERLINK("https://klasma.github.io/Logging_2180/kartor/A 13727-2025 karta.png", "A 13727-2025")</f>
        <v/>
      </c>
      <c r="Y67">
        <f>HYPERLINK("https://klasma.github.io/Logging_2180/klagomål/A 13727-2025 FSC-klagomål.docx", "A 13727-2025")</f>
        <v/>
      </c>
      <c r="Z67">
        <f>HYPERLINK("https://klasma.github.io/Logging_2180/klagomålsmail/A 13727-2025 FSC-klagomål mail.docx", "A 13727-2025")</f>
        <v/>
      </c>
      <c r="AA67">
        <f>HYPERLINK("https://klasma.github.io/Logging_2180/tillsyn/A 13727-2025 tillsynsbegäran.docx", "A 13727-2025")</f>
        <v/>
      </c>
      <c r="AB67">
        <f>HYPERLINK("https://klasma.github.io/Logging_2180/tillsynsmail/A 13727-2025 tillsynsbegäran mail.docx", "A 13727-2025")</f>
        <v/>
      </c>
      <c r="AC67">
        <f>HYPERLINK("https://klasma.github.io/Logging_2180/fåglar/A 13727-2025 prioriterade fågelarter.docx", "A 13727-2025")</f>
        <v/>
      </c>
    </row>
    <row r="68" ht="15" customHeight="1">
      <c r="A68" t="inlineStr">
        <is>
          <t>A 35989-2024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45533</v>
      </c>
      <c r="E68" s="1" t="n">
        <v>46217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s="2" t="inlineStr">
        <is>
          <t>Knärot
Jättesvampmal</t>
        </is>
      </c>
      <c r="V68">
        <f>HYPERLINK("https://klasma.github.io/Logging_2180/artfynd/A 35989-2024 artfynd.xlsx", "A 35989-2024")</f>
        <v/>
      </c>
      <c r="W68">
        <f>HYPERLINK("https://klasma.github.io/Logging_2180/kartor/A 35989-2024 karta.png", "A 35989-2024")</f>
        <v/>
      </c>
      <c r="X68">
        <f>HYPERLINK("https://klasma.github.io/Logging_2180/knärot/A 35989-2024 karta knärot.png", "A 35989-2024")</f>
        <v/>
      </c>
      <c r="Y68">
        <f>HYPERLINK("https://klasma.github.io/Logging_2180/klagomål/A 35989-2024 FSC-klagomål.docx", "A 35989-2024")</f>
        <v/>
      </c>
      <c r="Z68">
        <f>HYPERLINK("https://klasma.github.io/Logging_2180/klagomålsmail/A 35989-2024 FSC-klagomål mail.docx", "A 35989-2024")</f>
        <v/>
      </c>
      <c r="AA68">
        <f>HYPERLINK("https://klasma.github.io/Logging_2180/tillsyn/A 35989-2024 tillsynsbegäran.docx", "A 35989-2024")</f>
        <v/>
      </c>
      <c r="AB68">
        <f>HYPERLINK("https://klasma.github.io/Logging_2180/tillsynsmail/A 35989-2024 tillsynsbegäran mail.docx", "A 35989-2024")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46217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Garnlav
Kattfotslav</t>
        </is>
      </c>
      <c r="V69">
        <f>HYPERLINK("https://klasma.github.io/Logging_2180/artfynd/A 24310-2026 artfynd.xlsx", "A 24310-2026")</f>
        <v/>
      </c>
      <c r="W69">
        <f>HYPERLINK("https://klasma.github.io/Logging_2180/kartor/A 24310-2026 karta.png", "A 24310-2026")</f>
        <v/>
      </c>
      <c r="Y69">
        <f>HYPERLINK("https://klasma.github.io/Logging_2180/klagomål/A 24310-2026 FSC-klagomål.docx", "A 24310-2026")</f>
        <v/>
      </c>
      <c r="Z69">
        <f>HYPERLINK("https://klasma.github.io/Logging_2180/klagomålsmail/A 24310-2026 FSC-klagomål mail.docx", "A 24310-2026")</f>
        <v/>
      </c>
      <c r="AA69">
        <f>HYPERLINK("https://klasma.github.io/Logging_2180/tillsyn/A 24310-2026 tillsynsbegäran.docx", "A 24310-2026")</f>
        <v/>
      </c>
      <c r="AB69">
        <f>HYPERLINK("https://klasma.github.io/Logging_2180/tillsynsmail/A 24310-2026 tillsynsbegäran mail.docx", "A 24310-2026")</f>
        <v/>
      </c>
    </row>
    <row r="70" ht="15" customHeight="1">
      <c r="A70" t="inlineStr">
        <is>
          <t>A 13248-2026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46217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Kattfotslav
Fläcknycklar</t>
        </is>
      </c>
      <c r="V70">
        <f>HYPERLINK("https://klasma.github.io/Logging_2180/artfynd/A 13248-2026 artfynd.xlsx", "A 13248-2026")</f>
        <v/>
      </c>
      <c r="W70">
        <f>HYPERLINK("https://klasma.github.io/Logging_2180/kartor/A 13248-2026 karta.png", "A 13248-2026")</f>
        <v/>
      </c>
      <c r="Y70">
        <f>HYPERLINK("https://klasma.github.io/Logging_2180/klagomål/A 13248-2026 FSC-klagomål.docx", "A 13248-2026")</f>
        <v/>
      </c>
      <c r="Z70">
        <f>HYPERLINK("https://klasma.github.io/Logging_2180/klagomålsmail/A 13248-2026 FSC-klagomål mail.docx", "A 13248-2026")</f>
        <v/>
      </c>
      <c r="AA70">
        <f>HYPERLINK("https://klasma.github.io/Logging_2180/tillsyn/A 13248-2026 tillsynsbegäran.docx", "A 13248-2026")</f>
        <v/>
      </c>
      <c r="AB70">
        <f>HYPERLINK("https://klasma.github.io/Logging_2180/tillsynsmail/A 13248-2026 tillsynsbegäran mail.docx", "A 13248-2026")</f>
        <v/>
      </c>
    </row>
    <row r="71" ht="15" customHeight="1">
      <c r="A71" t="inlineStr">
        <is>
          <t>A 24915-2026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46217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s="2" t="inlineStr">
        <is>
          <t>Höstlåsbräken
Månlåsbräken</t>
        </is>
      </c>
      <c r="V71">
        <f>HYPERLINK("https://klasma.github.io/Logging_2180/artfynd/A 24915-2026 artfynd.xlsx", "A 24915-2026")</f>
        <v/>
      </c>
      <c r="W71">
        <f>HYPERLINK("https://klasma.github.io/Logging_2180/kartor/A 24915-2026 karta.png", "A 24915-2026")</f>
        <v/>
      </c>
      <c r="Y71">
        <f>HYPERLINK("https://klasma.github.io/Logging_2180/klagomål/A 24915-2026 FSC-klagomål.docx", "A 24915-2026")</f>
        <v/>
      </c>
      <c r="Z71">
        <f>HYPERLINK("https://klasma.github.io/Logging_2180/klagomålsmail/A 24915-2026 FSC-klagomål mail.docx", "A 24915-2026")</f>
        <v/>
      </c>
      <c r="AA71">
        <f>HYPERLINK("https://klasma.github.io/Logging_2180/tillsyn/A 24915-2026 tillsynsbegäran.docx", "A 24915-2026")</f>
        <v/>
      </c>
      <c r="AB71">
        <f>HYPERLINK("https://klasma.github.io/Logging_2180/tillsynsmail/A 24915-2026 tillsynsbegäran mail.docx", "A 24915-2026")</f>
        <v/>
      </c>
    </row>
    <row r="72" ht="15" customHeight="1">
      <c r="A72" t="inlineStr">
        <is>
          <t>A 29821-2023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46217</v>
      </c>
      <c r="F72" t="inlineStr">
        <is>
          <t>GÄVLEBORGS LÄN</t>
        </is>
      </c>
      <c r="G72" t="inlineStr">
        <is>
          <t>GÄVLE</t>
        </is>
      </c>
      <c r="I72" t="n">
        <v>5.3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Järnsparv
Svartvit flugsnappare</t>
        </is>
      </c>
      <c r="V72">
        <f>HYPERLINK("https://klasma.github.io/Logging_2180/artfynd/A 29821-2023 artfynd.xlsx", "A 29821-2023")</f>
        <v/>
      </c>
      <c r="W72">
        <f>HYPERLINK("https://klasma.github.io/Logging_2180/kartor/A 29821-2023 karta.png", "A 29821-2023")</f>
        <v/>
      </c>
      <c r="Y72">
        <f>HYPERLINK("https://klasma.github.io/Logging_2180/klagomål/A 29821-2023 FSC-klagomål.docx", "A 29821-2023")</f>
        <v/>
      </c>
      <c r="Z72">
        <f>HYPERLINK("https://klasma.github.io/Logging_2180/klagomålsmail/A 29821-2023 FSC-klagomål mail.docx", "A 29821-2023")</f>
        <v/>
      </c>
      <c r="AA72">
        <f>HYPERLINK("https://klasma.github.io/Logging_2180/tillsyn/A 29821-2023 tillsynsbegäran.docx", "A 29821-2023")</f>
        <v/>
      </c>
      <c r="AB72">
        <f>HYPERLINK("https://klasma.github.io/Logging_2180/tillsynsmail/A 29821-2023 tillsynsbegäran mail.docx", "A 29821-2023")</f>
        <v/>
      </c>
      <c r="AC72">
        <f>HYPERLINK("https://klasma.github.io/Logging_2180/fåglar/A 29821-2023 prioriterade fågelarter.docx", "A 29821-2023")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46217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s="2" t="inlineStr">
        <is>
          <t>Aspvedgnagare
Jättesvampmal</t>
        </is>
      </c>
      <c r="V73">
        <f>HYPERLINK("https://klasma.github.io/Logging_2180/artfynd/A 64533-2023 artfynd.xlsx", "A 64533-2023")</f>
        <v/>
      </c>
      <c r="W73">
        <f>HYPERLINK("https://klasma.github.io/Logging_2180/kartor/A 64533-2023 karta.png", "A 64533-2023")</f>
        <v/>
      </c>
      <c r="Y73">
        <f>HYPERLINK("https://klasma.github.io/Logging_2180/klagomål/A 64533-2023 FSC-klagomål.docx", "A 64533-2023")</f>
        <v/>
      </c>
      <c r="Z73">
        <f>HYPERLINK("https://klasma.github.io/Logging_2180/klagomålsmail/A 64533-2023 FSC-klagomål mail.docx", "A 64533-2023")</f>
        <v/>
      </c>
      <c r="AA73">
        <f>HYPERLINK("https://klasma.github.io/Logging_2180/tillsyn/A 64533-2023 tillsynsbegäran.docx", "A 64533-2023")</f>
        <v/>
      </c>
      <c r="AB73">
        <f>HYPERLINK("https://klasma.github.io/Logging_2180/tillsynsmail/A 64533-2023 tillsynsbegäran mail.docx", "A 64533-2023")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46217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Kopparödla
Fläcknycklar</t>
        </is>
      </c>
      <c r="V74">
        <f>HYPERLINK("https://klasma.github.io/Logging_2180/artfynd/A 23447-2025 artfynd.xlsx", "A 23447-2025")</f>
        <v/>
      </c>
      <c r="W74">
        <f>HYPERLINK("https://klasma.github.io/Logging_2180/kartor/A 23447-2025 karta.png", "A 23447-2025")</f>
        <v/>
      </c>
      <c r="Y74">
        <f>HYPERLINK("https://klasma.github.io/Logging_2180/klagomål/A 23447-2025 FSC-klagomål.docx", "A 23447-2025")</f>
        <v/>
      </c>
      <c r="Z74">
        <f>HYPERLINK("https://klasma.github.io/Logging_2180/klagomålsmail/A 23447-2025 FSC-klagomål mail.docx", "A 23447-2025")</f>
        <v/>
      </c>
      <c r="AA74">
        <f>HYPERLINK("https://klasma.github.io/Logging_2180/tillsyn/A 23447-2025 tillsynsbegäran.docx", "A 23447-2025")</f>
        <v/>
      </c>
      <c r="AB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46217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Sumpviol
Plattlummer</t>
        </is>
      </c>
      <c r="V75">
        <f>HYPERLINK("https://klasma.github.io/Logging_2180/artfynd/S 403-2025 artfynd.xlsx", "S 403-2025")</f>
        <v/>
      </c>
      <c r="W75">
        <f>HYPERLINK("https://klasma.github.io/Logging_2180/kartor/S 403-2025 karta.png", "S 403-2025")</f>
        <v/>
      </c>
      <c r="Y75">
        <f>HYPERLINK("https://klasma.github.io/Logging_2180/klagomål/S 403-2025 FSC-klagomål.docx", "S 403-2025")</f>
        <v/>
      </c>
      <c r="Z75">
        <f>HYPERLINK("https://klasma.github.io/Logging_2180/klagomålsmail/S 403-2025 FSC-klagomål mail.docx", "S 403-2025")</f>
        <v/>
      </c>
      <c r="AA75">
        <f>HYPERLINK("https://klasma.github.io/Logging_2180/tillsyn/S 403-2025 tillsynsbegäran.docx", "S 403-2025")</f>
        <v/>
      </c>
      <c r="AB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46217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Sumpviol</t>
        </is>
      </c>
      <c r="V76">
        <f>HYPERLINK("https://klasma.github.io/Logging_2180/artfynd/A 15102-2022 artfynd.xlsx", "A 15102-2022")</f>
        <v/>
      </c>
      <c r="W76">
        <f>HYPERLINK("https://klasma.github.io/Logging_2180/kartor/A 15102-2022 karta.png", "A 15102-2022")</f>
        <v/>
      </c>
      <c r="Y76">
        <f>HYPERLINK("https://klasma.github.io/Logging_2180/klagomål/A 15102-2022 FSC-klagomål.docx", "A 15102-2022")</f>
        <v/>
      </c>
      <c r="Z76">
        <f>HYPERLINK("https://klasma.github.io/Logging_2180/klagomålsmail/A 15102-2022 FSC-klagomål mail.docx", "A 15102-2022")</f>
        <v/>
      </c>
      <c r="AA76">
        <f>HYPERLINK("https://klasma.github.io/Logging_2180/tillsyn/A 15102-2022 tillsynsbegäran.docx", "A 15102-2022")</f>
        <v/>
      </c>
      <c r="AB76">
        <f>HYPERLINK("https://klasma.github.io/Logging_2180/tillsynsmail/A 15102-2022 tillsynsbegäran mail.docx", "A 15102-2022")</f>
        <v/>
      </c>
    </row>
    <row r="77" ht="15" customHeight="1">
      <c r="A77" t="inlineStr">
        <is>
          <t>A 13227-2024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46217</v>
      </c>
      <c r="F77" t="inlineStr">
        <is>
          <t>GÄVLEBORGS LÄN</t>
        </is>
      </c>
      <c r="G77" t="inlineStr">
        <is>
          <t>GÄVLE</t>
        </is>
      </c>
      <c r="H77" t="inlineStr">
        <is>
          <t>Övriga statliga verk och myndigheter</t>
        </is>
      </c>
      <c r="I77" t="n">
        <v>5.9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Större vattensalamander</t>
        </is>
      </c>
      <c r="V77">
        <f>HYPERLINK("https://klasma.github.io/Logging_2180/artfynd/A 13227-2024 artfynd.xlsx", "A 13227-2024")</f>
        <v/>
      </c>
      <c r="W77">
        <f>HYPERLINK("https://klasma.github.io/Logging_2180/kartor/A 13227-2024 karta.png", "A 13227-2024")</f>
        <v/>
      </c>
      <c r="Y77">
        <f>HYPERLINK("https://klasma.github.io/Logging_2180/klagomål/A 13227-2024 FSC-klagomål.docx", "A 13227-2024")</f>
        <v/>
      </c>
      <c r="Z77">
        <f>HYPERLINK("https://klasma.github.io/Logging_2180/klagomålsmail/A 13227-2024 FSC-klagomål mail.docx", "A 13227-2024")</f>
        <v/>
      </c>
      <c r="AA77">
        <f>HYPERLINK("https://klasma.github.io/Logging_2180/tillsyn/A 13227-2024 tillsynsbegäran.docx", "A 13227-2024")</f>
        <v/>
      </c>
      <c r="AB77">
        <f>HYPERLINK("https://klasma.github.io/Logging_2180/tillsynsmail/A 13227-2024 tillsynsbegäran mail.docx", "A 13227-2024")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46217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Slåtterfibbla</t>
        </is>
      </c>
      <c r="V78">
        <f>HYPERLINK("https://klasma.github.io/Logging_2180/artfynd/A 32254-2023 artfynd.xlsx", "A 32254-2023")</f>
        <v/>
      </c>
      <c r="W78">
        <f>HYPERLINK("https://klasma.github.io/Logging_2180/kartor/A 32254-2023 karta.png", "A 32254-2023")</f>
        <v/>
      </c>
      <c r="Y78">
        <f>HYPERLINK("https://klasma.github.io/Logging_2180/klagomål/A 32254-2023 FSC-klagomål.docx", "A 32254-2023")</f>
        <v/>
      </c>
      <c r="Z78">
        <f>HYPERLINK("https://klasma.github.io/Logging_2180/klagomålsmail/A 32254-2023 FSC-klagomål mail.docx", "A 32254-2023")</f>
        <v/>
      </c>
      <c r="AA78">
        <f>HYPERLINK("https://klasma.github.io/Logging_2180/tillsyn/A 32254-2023 tillsynsbegäran.docx", "A 32254-2023")</f>
        <v/>
      </c>
      <c r="AB78">
        <f>HYPERLINK("https://klasma.github.io/Logging_2180/tillsynsmail/A 32254-2023 tillsynsbegäran mail.docx", "A 32254-2023")</f>
        <v/>
      </c>
    </row>
    <row r="79" ht="15" customHeight="1">
      <c r="A79" t="inlineStr">
        <is>
          <t>A 26157-2022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44735</v>
      </c>
      <c r="E79" s="1" t="n">
        <v>46217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Mattlummer</t>
        </is>
      </c>
      <c r="V79">
        <f>HYPERLINK("https://klasma.github.io/Logging_2180/artfynd/A 26157-2022 artfynd.xlsx", "A 26157-2022")</f>
        <v/>
      </c>
      <c r="W79">
        <f>HYPERLINK("https://klasma.github.io/Logging_2180/kartor/A 26157-2022 karta.png", "A 26157-2022")</f>
        <v/>
      </c>
      <c r="Y79">
        <f>HYPERLINK("https://klasma.github.io/Logging_2180/klagomål/A 26157-2022 FSC-klagomål.docx", "A 26157-2022")</f>
        <v/>
      </c>
      <c r="Z79">
        <f>HYPERLINK("https://klasma.github.io/Logging_2180/klagomålsmail/A 26157-2022 FSC-klagomål mail.docx", "A 26157-2022")</f>
        <v/>
      </c>
      <c r="AA79">
        <f>HYPERLINK("https://klasma.github.io/Logging_2180/tillsyn/A 26157-2022 tillsynsbegäran.docx", "A 26157-2022")</f>
        <v/>
      </c>
      <c r="AB79">
        <f>HYPERLINK("https://klasma.github.io/Logging_2180/tillsynsmail/A 26157-2022 tillsynsbegäran mail.docx", "A 26157-2022")</f>
        <v/>
      </c>
    </row>
    <row r="80" ht="15" customHeight="1">
      <c r="A80" t="inlineStr">
        <is>
          <t>A 51508-2024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45604</v>
      </c>
      <c r="E80" s="1" t="n">
        <v>46217</v>
      </c>
      <c r="F80" t="inlineStr">
        <is>
          <t>GÄVLEBORGS LÄN</t>
        </is>
      </c>
      <c r="G80" t="inlineStr">
        <is>
          <t>GÄVLE</t>
        </is>
      </c>
      <c r="I80" t="n">
        <v>0.9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Tibast</t>
        </is>
      </c>
      <c r="V80">
        <f>HYPERLINK("https://klasma.github.io/Logging_2180/artfynd/A 51508-2024 artfynd.xlsx", "A 51508-2024")</f>
        <v/>
      </c>
      <c r="W80">
        <f>HYPERLINK("https://klasma.github.io/Logging_2180/kartor/A 51508-2024 karta.png", "A 51508-2024")</f>
        <v/>
      </c>
      <c r="Y80">
        <f>HYPERLINK("https://klasma.github.io/Logging_2180/klagomål/A 51508-2024 FSC-klagomål.docx", "A 51508-2024")</f>
        <v/>
      </c>
      <c r="Z80">
        <f>HYPERLINK("https://klasma.github.io/Logging_2180/klagomålsmail/A 51508-2024 FSC-klagomål mail.docx", "A 51508-2024")</f>
        <v/>
      </c>
      <c r="AA80">
        <f>HYPERLINK("https://klasma.github.io/Logging_2180/tillsyn/A 51508-2024 tillsynsbegäran.docx", "A 51508-2024")</f>
        <v/>
      </c>
      <c r="AB80">
        <f>HYPERLINK("https://klasma.github.io/Logging_2180/tillsynsmail/A 51508-2024 tillsynsbegäran mail.docx", "A 51508-2024")</f>
        <v/>
      </c>
    </row>
    <row r="81" ht="15" customHeight="1">
      <c r="A81" t="inlineStr">
        <is>
          <t>A 11411-2025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46217</v>
      </c>
      <c r="F81" t="inlineStr">
        <is>
          <t>GÄVLEBORGS LÄN</t>
        </is>
      </c>
      <c r="G81" t="inlineStr">
        <is>
          <t>GÄVLE</t>
        </is>
      </c>
      <c r="I81" t="n">
        <v>2.4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HYPERLINK("https://klasma.github.io/Logging_2180/artfynd/A 11411-2025 artfynd.xlsx", "A 11411-2025")</f>
        <v/>
      </c>
      <c r="W81">
        <f>HYPERLINK("https://klasma.github.io/Logging_2180/kartor/A 11411-2025 karta.png", "A 11411-2025")</f>
        <v/>
      </c>
      <c r="Y81">
        <f>HYPERLINK("https://klasma.github.io/Logging_2180/klagomål/A 11411-2025 FSC-klagomål.docx", "A 11411-2025")</f>
        <v/>
      </c>
      <c r="Z81">
        <f>HYPERLINK("https://klasma.github.io/Logging_2180/klagomålsmail/A 11411-2025 FSC-klagomål mail.docx", "A 11411-2025")</f>
        <v/>
      </c>
      <c r="AA81">
        <f>HYPERLINK("https://klasma.github.io/Logging_2180/tillsyn/A 11411-2025 tillsynsbegäran.docx", "A 11411-2025")</f>
        <v/>
      </c>
      <c r="AB81">
        <f>HYPERLINK("https://klasma.github.io/Logging_2180/tillsynsmail/A 11411-2025 tillsynsbegäran mail.docx", "A 11411-2025")</f>
        <v/>
      </c>
    </row>
    <row r="82" ht="15" customHeight="1">
      <c r="A82" t="inlineStr">
        <is>
          <t>A 38550-2025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46217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0.5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Ullticka</t>
        </is>
      </c>
      <c r="V82">
        <f>HYPERLINK("https://klasma.github.io/Logging_2180/artfynd/A 38550-2025 artfynd.xlsx", "A 38550-2025")</f>
        <v/>
      </c>
      <c r="W82">
        <f>HYPERLINK("https://klasma.github.io/Logging_2180/kartor/A 38550-2025 karta.png", "A 38550-2025")</f>
        <v/>
      </c>
      <c r="Y82">
        <f>HYPERLINK("https://klasma.github.io/Logging_2180/klagomål/A 38550-2025 FSC-klagomål.docx", "A 38550-2025")</f>
        <v/>
      </c>
      <c r="Z82">
        <f>HYPERLINK("https://klasma.github.io/Logging_2180/klagomålsmail/A 38550-2025 FSC-klagomål mail.docx", "A 38550-2025")</f>
        <v/>
      </c>
      <c r="AA82">
        <f>HYPERLINK("https://klasma.github.io/Logging_2180/tillsyn/A 38550-2025 tillsynsbegäran.docx", "A 38550-2025")</f>
        <v/>
      </c>
      <c r="AB82">
        <f>HYPERLINK("https://klasma.github.io/Logging_2180/tillsynsmail/A 38550-2025 tillsynsbegäran mail.docx", "A 38550-2025")</f>
        <v/>
      </c>
    </row>
    <row r="83" ht="15" customHeight="1">
      <c r="A83" t="inlineStr">
        <is>
          <t>A 13396-2026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46217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Fläcknycklar</t>
        </is>
      </c>
      <c r="V83">
        <f>HYPERLINK("https://klasma.github.io/Logging_2180/artfynd/A 13396-2026 artfynd.xlsx", "A 13396-2026")</f>
        <v/>
      </c>
      <c r="W83">
        <f>HYPERLINK("https://klasma.github.io/Logging_2180/kartor/A 13396-2026 karta.png", "A 13396-2026")</f>
        <v/>
      </c>
      <c r="Y83">
        <f>HYPERLINK("https://klasma.github.io/Logging_2180/klagomål/A 13396-2026 FSC-klagomål.docx", "A 13396-2026")</f>
        <v/>
      </c>
      <c r="Z83">
        <f>HYPERLINK("https://klasma.github.io/Logging_2180/klagomålsmail/A 13396-2026 FSC-klagomål mail.docx", "A 13396-2026")</f>
        <v/>
      </c>
      <c r="AA83">
        <f>HYPERLINK("https://klasma.github.io/Logging_2180/tillsyn/A 13396-2026 tillsynsbegäran.docx", "A 13396-2026")</f>
        <v/>
      </c>
      <c r="AB83">
        <f>HYPERLINK("https://klasma.github.io/Logging_2180/tillsynsmail/A 13396-2026 tillsynsbegäran mail.docx", "A 13396-2026")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46217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Ängsblåvinge</t>
        </is>
      </c>
      <c r="V84">
        <f>HYPERLINK("https://klasma.github.io/Logging_2180/artfynd/A 15001-2023 artfynd.xlsx", "A 15001-2023")</f>
        <v/>
      </c>
      <c r="W84">
        <f>HYPERLINK("https://klasma.github.io/Logging_2180/kartor/A 15001-2023 karta.png", "A 15001-2023")</f>
        <v/>
      </c>
      <c r="Y84">
        <f>HYPERLINK("https://klasma.github.io/Logging_2180/klagomål/A 15001-2023 FSC-klagomål.docx", "A 15001-2023")</f>
        <v/>
      </c>
      <c r="Z84">
        <f>HYPERLINK("https://klasma.github.io/Logging_2180/klagomålsmail/A 15001-2023 FSC-klagomål mail.docx", "A 15001-2023")</f>
        <v/>
      </c>
      <c r="AA84">
        <f>HYPERLINK("https://klasma.github.io/Logging_2180/tillsyn/A 15001-2023 tillsynsbegäran.docx", "A 15001-2023")</f>
        <v/>
      </c>
      <c r="AB84">
        <f>HYPERLINK("https://klasma.github.io/Logging_2180/tillsynsmail/A 15001-2023 tillsynsbegäran mail.docx", "A 15001-2023")</f>
        <v/>
      </c>
    </row>
    <row r="85" ht="15" customHeight="1">
      <c r="A85" t="inlineStr">
        <is>
          <t>A 61056-2024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46217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5.3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Myggblomster</t>
        </is>
      </c>
      <c r="V85">
        <f>HYPERLINK("https://klasma.github.io/Logging_2180/artfynd/A 61056-2024 artfynd.xlsx", "A 61056-2024")</f>
        <v/>
      </c>
      <c r="W85">
        <f>HYPERLINK("https://klasma.github.io/Logging_2180/kartor/A 61056-2024 karta.png", "A 61056-2024")</f>
        <v/>
      </c>
      <c r="Y85">
        <f>HYPERLINK("https://klasma.github.io/Logging_2180/klagomål/A 61056-2024 FSC-klagomål.docx", "A 61056-2024")</f>
        <v/>
      </c>
      <c r="Z85">
        <f>HYPERLINK("https://klasma.github.io/Logging_2180/klagomålsmail/A 61056-2024 FSC-klagomål mail.docx", "A 61056-2024")</f>
        <v/>
      </c>
      <c r="AA85">
        <f>HYPERLINK("https://klasma.github.io/Logging_2180/tillsyn/A 61056-2024 tillsynsbegäran.docx", "A 61056-2024")</f>
        <v/>
      </c>
      <c r="AB85">
        <f>HYPERLINK("https://klasma.github.io/Logging_2180/tillsynsmail/A 61056-2024 tillsynsbegäran mail.docx", "A 61056-2024")</f>
        <v/>
      </c>
    </row>
    <row r="86" ht="15" customHeight="1">
      <c r="A86" t="inlineStr">
        <is>
          <t>A 12083-2025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46217</v>
      </c>
      <c r="F86" t="inlineStr">
        <is>
          <t>GÄVLEBORGS LÄN</t>
        </is>
      </c>
      <c r="G86" t="inlineStr">
        <is>
          <t>GÄVLE</t>
        </is>
      </c>
      <c r="I86" t="n">
        <v>6.3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Grönsiska</t>
        </is>
      </c>
      <c r="V86">
        <f>HYPERLINK("https://klasma.github.io/Logging_2180/artfynd/A 12083-2025 artfynd.xlsx", "A 12083-2025")</f>
        <v/>
      </c>
      <c r="W86">
        <f>HYPERLINK("https://klasma.github.io/Logging_2180/kartor/A 12083-2025 karta.png", "A 12083-2025")</f>
        <v/>
      </c>
      <c r="Y86">
        <f>HYPERLINK("https://klasma.github.io/Logging_2180/klagomål/A 12083-2025 FSC-klagomål.docx", "A 12083-2025")</f>
        <v/>
      </c>
      <c r="Z86">
        <f>HYPERLINK("https://klasma.github.io/Logging_2180/klagomålsmail/A 12083-2025 FSC-klagomål mail.docx", "A 12083-2025")</f>
        <v/>
      </c>
      <c r="AA86">
        <f>HYPERLINK("https://klasma.github.io/Logging_2180/tillsyn/A 12083-2025 tillsynsbegäran.docx", "A 12083-2025")</f>
        <v/>
      </c>
      <c r="AB86">
        <f>HYPERLINK("https://klasma.github.io/Logging_2180/tillsynsmail/A 12083-2025 tillsynsbegäran mail.docx", "A 12083-2025")</f>
        <v/>
      </c>
    </row>
    <row r="87" ht="15" customHeight="1">
      <c r="A87" t="inlineStr">
        <is>
          <t>A 11407-2025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46217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Myskmadra</t>
        </is>
      </c>
      <c r="V87">
        <f>HYPERLINK("https://klasma.github.io/Logging_2180/artfynd/A 11407-2025 artfynd.xlsx", "A 11407-2025")</f>
        <v/>
      </c>
      <c r="W87">
        <f>HYPERLINK("https://klasma.github.io/Logging_2180/kartor/A 11407-2025 karta.png", "A 11407-2025")</f>
        <v/>
      </c>
      <c r="Y87">
        <f>HYPERLINK("https://klasma.github.io/Logging_2180/klagomål/A 11407-2025 FSC-klagomål.docx", "A 11407-2025")</f>
        <v/>
      </c>
      <c r="Z87">
        <f>HYPERLINK("https://klasma.github.io/Logging_2180/klagomålsmail/A 11407-2025 FSC-klagomål mail.docx", "A 11407-2025")</f>
        <v/>
      </c>
      <c r="AA87">
        <f>HYPERLINK("https://klasma.github.io/Logging_2180/tillsyn/A 11407-2025 tillsynsbegäran.docx", "A 11407-2025")</f>
        <v/>
      </c>
      <c r="AB87">
        <f>HYPERLINK("https://klasma.github.io/Logging_2180/tillsynsmail/A 11407-2025 tillsynsbegäran mail.docx", "A 11407-2025")</f>
        <v/>
      </c>
    </row>
    <row r="88" ht="15" customHeight="1">
      <c r="A88" t="inlineStr">
        <is>
          <t>A 45241-2022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46217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22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Blåsippa</t>
        </is>
      </c>
      <c r="V88">
        <f>HYPERLINK("https://klasma.github.io/Logging_2180/artfynd/A 45241-2022 artfynd.xlsx", "A 45241-2022")</f>
        <v/>
      </c>
      <c r="W88">
        <f>HYPERLINK("https://klasma.github.io/Logging_2180/kartor/A 45241-2022 karta.png", "A 45241-2022")</f>
        <v/>
      </c>
      <c r="Y88">
        <f>HYPERLINK("https://klasma.github.io/Logging_2180/klagomål/A 45241-2022 FSC-klagomål.docx", "A 45241-2022")</f>
        <v/>
      </c>
      <c r="Z88">
        <f>HYPERLINK("https://klasma.github.io/Logging_2180/klagomålsmail/A 45241-2022 FSC-klagomål mail.docx", "A 45241-2022")</f>
        <v/>
      </c>
      <c r="AA88">
        <f>HYPERLINK("https://klasma.github.io/Logging_2180/tillsyn/A 45241-2022 tillsynsbegäran.docx", "A 45241-2022")</f>
        <v/>
      </c>
      <c r="AB88">
        <f>HYPERLINK("https://klasma.github.io/Logging_2180/tillsynsmail/A 45241-2022 tillsynsbegäran mail.docx", "A 45241-2022")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46217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Revlummer</t>
        </is>
      </c>
      <c r="V89">
        <f>HYPERLINK("https://klasma.github.io/Logging_2180/artfynd/A 28875-2025 artfynd.xlsx", "A 28875-2025")</f>
        <v/>
      </c>
      <c r="W89">
        <f>HYPERLINK("https://klasma.github.io/Logging_2180/kartor/A 28875-2025 karta.png", "A 28875-2025")</f>
        <v/>
      </c>
      <c r="Y89">
        <f>HYPERLINK("https://klasma.github.io/Logging_2180/klagomål/A 28875-2025 FSC-klagomål.docx", "A 28875-2025")</f>
        <v/>
      </c>
      <c r="Z89">
        <f>HYPERLINK("https://klasma.github.io/Logging_2180/klagomålsmail/A 28875-2025 FSC-klagomål mail.docx", "A 28875-2025")</f>
        <v/>
      </c>
      <c r="AA89">
        <f>HYPERLINK("https://klasma.github.io/Logging_2180/tillsyn/A 28875-2025 tillsynsbegäran.docx", "A 28875-2025")</f>
        <v/>
      </c>
      <c r="AB89">
        <f>HYPERLINK("https://klasma.github.io/Logging_2180/tillsynsmail/A 28875-2025 tillsynsbegäran mail.docx", "A 28875-2025")</f>
        <v/>
      </c>
    </row>
    <row r="90" ht="15" customHeight="1">
      <c r="A90" t="inlineStr">
        <is>
          <t>A 10333-2025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46217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s="2" t="inlineStr">
        <is>
          <t>Tjäder</t>
        </is>
      </c>
      <c r="V90">
        <f>HYPERLINK("https://klasma.github.io/Logging_2180/artfynd/A 10333-2025 artfynd.xlsx", "A 10333-2025")</f>
        <v/>
      </c>
      <c r="W90">
        <f>HYPERLINK("https://klasma.github.io/Logging_2180/kartor/A 10333-2025 karta.png", "A 10333-2025")</f>
        <v/>
      </c>
      <c r="Y90">
        <f>HYPERLINK("https://klasma.github.io/Logging_2180/klagomål/A 10333-2025 FSC-klagomål.docx", "A 10333-2025")</f>
        <v/>
      </c>
      <c r="Z90">
        <f>HYPERLINK("https://klasma.github.io/Logging_2180/klagomålsmail/A 10333-2025 FSC-klagomål mail.docx", "A 10333-2025")</f>
        <v/>
      </c>
      <c r="AA90">
        <f>HYPERLINK("https://klasma.github.io/Logging_2180/tillsyn/A 10333-2025 tillsynsbegäran.docx", "A 10333-2025")</f>
        <v/>
      </c>
      <c r="AB90">
        <f>HYPERLINK("https://klasma.github.io/Logging_2180/tillsynsmail/A 10333-2025 tillsynsbegäran mail.docx", "A 10333-2025")</f>
        <v/>
      </c>
      <c r="AC90">
        <f>HYPERLINK("https://klasma.github.io/Logging_2180/fåglar/A 10333-2025 prioriterade fågelarter.docx", "A 10333-2025")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46217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Revlummer</t>
        </is>
      </c>
      <c r="V91">
        <f>HYPERLINK("https://klasma.github.io/Logging_2180/artfynd/A 49393-2025 artfynd.xlsx", "A 49393-2025")</f>
        <v/>
      </c>
      <c r="W91">
        <f>HYPERLINK("https://klasma.github.io/Logging_2180/kartor/A 49393-2025 karta.png", "A 49393-2025")</f>
        <v/>
      </c>
      <c r="Y91">
        <f>HYPERLINK("https://klasma.github.io/Logging_2180/klagomål/A 49393-2025 FSC-klagomål.docx", "A 49393-2025")</f>
        <v/>
      </c>
      <c r="Z91">
        <f>HYPERLINK("https://klasma.github.io/Logging_2180/klagomålsmail/A 49393-2025 FSC-klagomål mail.docx", "A 49393-2025")</f>
        <v/>
      </c>
      <c r="AA91">
        <f>HYPERLINK("https://klasma.github.io/Logging_2180/tillsyn/A 49393-2025 tillsynsbegäran.docx", "A 49393-2025")</f>
        <v/>
      </c>
      <c r="AB91">
        <f>HYPERLINK("https://klasma.github.io/Logging_2180/tillsynsmail/A 49393-2025 tillsynsbegäran mail.docx", "A 49393-2025")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46217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Kattfotslav</t>
        </is>
      </c>
      <c r="V92">
        <f>HYPERLINK("https://klasma.github.io/Logging_2180/artfynd/A 63036-2023 artfynd.xlsx", "A 63036-2023")</f>
        <v/>
      </c>
      <c r="W92">
        <f>HYPERLINK("https://klasma.github.io/Logging_2180/kartor/A 63036-2023 karta.png", "A 63036-2023")</f>
        <v/>
      </c>
      <c r="Y92">
        <f>HYPERLINK("https://klasma.github.io/Logging_2180/klagomål/A 63036-2023 FSC-klagomål.docx", "A 63036-2023")</f>
        <v/>
      </c>
      <c r="Z92">
        <f>HYPERLINK("https://klasma.github.io/Logging_2180/klagomålsmail/A 63036-2023 FSC-klagomål mail.docx", "A 63036-2023")</f>
        <v/>
      </c>
      <c r="AA92">
        <f>HYPERLINK("https://klasma.github.io/Logging_2180/tillsyn/A 63036-2023 tillsynsbegäran.docx", "A 63036-2023")</f>
        <v/>
      </c>
      <c r="AB92">
        <f>HYPERLINK("https://klasma.github.io/Logging_2180/tillsynsmail/A 63036-2023 tillsynsbegäran mail.docx", "A 63036-2023")</f>
        <v/>
      </c>
    </row>
    <row r="93" ht="15" customHeight="1">
      <c r="A93" t="inlineStr">
        <is>
          <t>A 14730-2026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46101</v>
      </c>
      <c r="E93" s="1" t="n">
        <v>46217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8.199999999999999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Tjäder</t>
        </is>
      </c>
      <c r="V93">
        <f>HYPERLINK("https://klasma.github.io/Logging_2180/artfynd/A 14730-2026 artfynd.xlsx", "A 14730-2026")</f>
        <v/>
      </c>
      <c r="W93">
        <f>HYPERLINK("https://klasma.github.io/Logging_2180/kartor/A 14730-2026 karta.png", "A 14730-2026")</f>
        <v/>
      </c>
      <c r="Y93">
        <f>HYPERLINK("https://klasma.github.io/Logging_2180/klagomål/A 14730-2026 FSC-klagomål.docx", "A 14730-2026")</f>
        <v/>
      </c>
      <c r="Z93">
        <f>HYPERLINK("https://klasma.github.io/Logging_2180/klagomålsmail/A 14730-2026 FSC-klagomål mail.docx", "A 14730-2026")</f>
        <v/>
      </c>
      <c r="AA93">
        <f>HYPERLINK("https://klasma.github.io/Logging_2180/tillsyn/A 14730-2026 tillsynsbegäran.docx", "A 14730-2026")</f>
        <v/>
      </c>
      <c r="AB93">
        <f>HYPERLINK("https://klasma.github.io/Logging_2180/tillsynsmail/A 14730-2026 tillsynsbegäran mail.docx", "A 14730-2026")</f>
        <v/>
      </c>
      <c r="AC93">
        <f>HYPERLINK("https://klasma.github.io/Logging_2180/fåglar/A 14730-2026 prioriterade fågelarter.docx", "A 14730-2026")</f>
        <v/>
      </c>
    </row>
    <row r="94" ht="15" customHeight="1">
      <c r="A94" t="inlineStr">
        <is>
          <t>A 14711-2026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46101</v>
      </c>
      <c r="E94" s="1" t="n">
        <v>46217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1.2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Blanksvart spiklav</t>
        </is>
      </c>
      <c r="V94">
        <f>HYPERLINK("https://klasma.github.io/Logging_2180/artfynd/A 14711-2026 artfynd.xlsx", "A 14711-2026")</f>
        <v/>
      </c>
      <c r="W94">
        <f>HYPERLINK("https://klasma.github.io/Logging_2180/kartor/A 14711-2026 karta.png", "A 14711-2026")</f>
        <v/>
      </c>
      <c r="Y94">
        <f>HYPERLINK("https://klasma.github.io/Logging_2180/klagomål/A 14711-2026 FSC-klagomål.docx", "A 14711-2026")</f>
        <v/>
      </c>
      <c r="Z94">
        <f>HYPERLINK("https://klasma.github.io/Logging_2180/klagomålsmail/A 14711-2026 FSC-klagomål mail.docx", "A 14711-2026")</f>
        <v/>
      </c>
      <c r="AA94">
        <f>HYPERLINK("https://klasma.github.io/Logging_2180/tillsyn/A 14711-2026 tillsynsbegäran.docx", "A 14711-2026")</f>
        <v/>
      </c>
      <c r="AB94">
        <f>HYPERLINK("https://klasma.github.io/Logging_2180/tillsynsmail/A 14711-2026 tillsynsbegäran mail.docx", "A 14711-2026")</f>
        <v/>
      </c>
    </row>
    <row r="95" ht="15" customHeight="1">
      <c r="A95" t="inlineStr">
        <is>
          <t>A 14714-2026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46101</v>
      </c>
      <c r="E95" s="1" t="n">
        <v>46217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1.8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s="2" t="inlineStr">
        <is>
          <t>Tjäder</t>
        </is>
      </c>
      <c r="V95">
        <f>HYPERLINK("https://klasma.github.io/Logging_2180/artfynd/A 14714-2026 artfynd.xlsx", "A 14714-2026")</f>
        <v/>
      </c>
      <c r="W95">
        <f>HYPERLINK("https://klasma.github.io/Logging_2180/kartor/A 14714-2026 karta.png", "A 14714-2026")</f>
        <v/>
      </c>
      <c r="Y95">
        <f>HYPERLINK("https://klasma.github.io/Logging_2180/klagomål/A 14714-2026 FSC-klagomål.docx", "A 14714-2026")</f>
        <v/>
      </c>
      <c r="Z95">
        <f>HYPERLINK("https://klasma.github.io/Logging_2180/klagomålsmail/A 14714-2026 FSC-klagomål mail.docx", "A 14714-2026")</f>
        <v/>
      </c>
      <c r="AA95">
        <f>HYPERLINK("https://klasma.github.io/Logging_2180/tillsyn/A 14714-2026 tillsynsbegäran.docx", "A 14714-2026")</f>
        <v/>
      </c>
      <c r="AB95">
        <f>HYPERLINK("https://klasma.github.io/Logging_2180/tillsynsmail/A 14714-2026 tillsynsbegäran mail.docx", "A 14714-2026")</f>
        <v/>
      </c>
      <c r="AC95">
        <f>HYPERLINK("https://klasma.github.io/Logging_2180/fåglar/A 14714-2026 prioriterade fågelarter.docx", "A 14714-2026")</f>
        <v/>
      </c>
    </row>
    <row r="96" ht="15" customHeight="1">
      <c r="A96" t="inlineStr">
        <is>
          <t>A 54252-2025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46217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Ask</t>
        </is>
      </c>
      <c r="V96">
        <f>HYPERLINK("https://klasma.github.io/Logging_2180/artfynd/A 54252-2025 artfynd.xlsx", "A 54252-2025")</f>
        <v/>
      </c>
      <c r="W96">
        <f>HYPERLINK("https://klasma.github.io/Logging_2180/kartor/A 54252-2025 karta.png", "A 54252-2025")</f>
        <v/>
      </c>
      <c r="Y96">
        <f>HYPERLINK("https://klasma.github.io/Logging_2180/klagomål/A 54252-2025 FSC-klagomål.docx", "A 54252-2025")</f>
        <v/>
      </c>
      <c r="Z96">
        <f>HYPERLINK("https://klasma.github.io/Logging_2180/klagomålsmail/A 54252-2025 FSC-klagomål mail.docx", "A 54252-2025")</f>
        <v/>
      </c>
      <c r="AA96">
        <f>HYPERLINK("https://klasma.github.io/Logging_2180/tillsyn/A 54252-2025 tillsynsbegäran.docx", "A 54252-2025")</f>
        <v/>
      </c>
      <c r="AB96">
        <f>HYPERLINK("https://klasma.github.io/Logging_2180/tillsynsmail/A 54252-2025 tillsynsbegäran mail.docx", "A 54252-2025")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46217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Revlummer</t>
        </is>
      </c>
      <c r="V97">
        <f>HYPERLINK("https://klasma.github.io/Logging_2180/artfynd/A 54963-2025 artfynd.xlsx", "A 54963-2025")</f>
        <v/>
      </c>
      <c r="W97">
        <f>HYPERLINK("https://klasma.github.io/Logging_2180/kartor/A 54963-2025 karta.png", "A 54963-2025")</f>
        <v/>
      </c>
      <c r="Y97">
        <f>HYPERLINK("https://klasma.github.io/Logging_2180/klagomål/A 54963-2025 FSC-klagomål.docx", "A 54963-2025")</f>
        <v/>
      </c>
      <c r="Z97">
        <f>HYPERLINK("https://klasma.github.io/Logging_2180/klagomålsmail/A 54963-2025 FSC-klagomål mail.docx", "A 54963-2025")</f>
        <v/>
      </c>
      <c r="AA97">
        <f>HYPERLINK("https://klasma.github.io/Logging_2180/tillsyn/A 54963-2025 tillsynsbegäran.docx", "A 54963-2025")</f>
        <v/>
      </c>
      <c r="AB97">
        <f>HYPERLINK("https://klasma.github.io/Logging_2180/tillsynsmail/A 54963-2025 tillsynsbegäran mail.docx", "A 54963-2025")</f>
        <v/>
      </c>
    </row>
    <row r="98" ht="15" customHeight="1">
      <c r="A98" t="inlineStr">
        <is>
          <t>A 10064-2025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46217</v>
      </c>
      <c r="F98" t="inlineStr">
        <is>
          <t>GÄVLEBORGS LÄN</t>
        </is>
      </c>
      <c r="G98" t="inlineStr">
        <is>
          <t>GÄVLE</t>
        </is>
      </c>
      <c r="I98" t="n">
        <v>4.6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Älg</t>
        </is>
      </c>
      <c r="V98">
        <f>HYPERLINK("https://klasma.github.io/Logging_2180/artfynd/A 10064-2025 artfynd.xlsx", "A 10064-2025")</f>
        <v/>
      </c>
      <c r="W98">
        <f>HYPERLINK("https://klasma.github.io/Logging_2180/kartor/A 10064-2025 karta.png", "A 10064-2025")</f>
        <v/>
      </c>
      <c r="Y98">
        <f>HYPERLINK("https://klasma.github.io/Logging_2180/klagomål/A 10064-2025 FSC-klagomål.docx", "A 10064-2025")</f>
        <v/>
      </c>
      <c r="Z98">
        <f>HYPERLINK("https://klasma.github.io/Logging_2180/klagomålsmail/A 10064-2025 FSC-klagomål mail.docx", "A 10064-2025")</f>
        <v/>
      </c>
      <c r="AA98">
        <f>HYPERLINK("https://klasma.github.io/Logging_2180/tillsyn/A 10064-2025 tillsynsbegäran.docx", "A 10064-2025")</f>
        <v/>
      </c>
      <c r="AB98">
        <f>HYPERLINK("https://klasma.github.io/Logging_2180/tillsynsmail/A 10064-2025 tillsynsbegäran mail.docx", "A 10064-2025")</f>
        <v/>
      </c>
    </row>
    <row r="99" ht="15" customHeight="1">
      <c r="A99" t="inlineStr">
        <is>
          <t>A 20734-2026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46217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2.6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Blåsippa</t>
        </is>
      </c>
      <c r="V99">
        <f>HYPERLINK("https://klasma.github.io/Logging_2180/artfynd/A 20734-2026 artfynd.xlsx", "A 20734-2026")</f>
        <v/>
      </c>
      <c r="W99">
        <f>HYPERLINK("https://klasma.github.io/Logging_2180/kartor/A 20734-2026 karta.png", "A 20734-2026")</f>
        <v/>
      </c>
      <c r="Y99">
        <f>HYPERLINK("https://klasma.github.io/Logging_2180/klagomål/A 20734-2026 FSC-klagomål.docx", "A 20734-2026")</f>
        <v/>
      </c>
      <c r="Z99">
        <f>HYPERLINK("https://klasma.github.io/Logging_2180/klagomålsmail/A 20734-2026 FSC-klagomål mail.docx", "A 20734-2026")</f>
        <v/>
      </c>
      <c r="AA99">
        <f>HYPERLINK("https://klasma.github.io/Logging_2180/tillsyn/A 20734-2026 tillsynsbegäran.docx", "A 20734-2026")</f>
        <v/>
      </c>
      <c r="AB99">
        <f>HYPERLINK("https://klasma.github.io/Logging_2180/tillsynsmail/A 20734-2026 tillsynsbegäran mail.docx", "A 20734-2026")</f>
        <v/>
      </c>
    </row>
    <row r="100" ht="15" customHeight="1">
      <c r="A100" t="inlineStr">
        <is>
          <t>A 58204-2025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45984</v>
      </c>
      <c r="E100" s="1" t="n">
        <v>46217</v>
      </c>
      <c r="F100" t="inlineStr">
        <is>
          <t>GÄVLEBORGS LÄN</t>
        </is>
      </c>
      <c r="G100" t="inlineStr">
        <is>
          <t>GÄVLE</t>
        </is>
      </c>
      <c r="I100" t="n">
        <v>4.4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Spillkråka</t>
        </is>
      </c>
      <c r="V100">
        <f>HYPERLINK("https://klasma.github.io/Logging_2180/artfynd/A 58204-2025 artfynd.xlsx", "A 58204-2025")</f>
        <v/>
      </c>
      <c r="W100">
        <f>HYPERLINK("https://klasma.github.io/Logging_2180/kartor/A 58204-2025 karta.png", "A 58204-2025")</f>
        <v/>
      </c>
      <c r="Y100">
        <f>HYPERLINK("https://klasma.github.io/Logging_2180/klagomål/A 58204-2025 FSC-klagomål.docx", "A 58204-2025")</f>
        <v/>
      </c>
      <c r="Z100">
        <f>HYPERLINK("https://klasma.github.io/Logging_2180/klagomålsmail/A 58204-2025 FSC-klagomål mail.docx", "A 58204-2025")</f>
        <v/>
      </c>
      <c r="AA100">
        <f>HYPERLINK("https://klasma.github.io/Logging_2180/tillsyn/A 58204-2025 tillsynsbegäran.docx", "A 58204-2025")</f>
        <v/>
      </c>
      <c r="AB100">
        <f>HYPERLINK("https://klasma.github.io/Logging_2180/tillsynsmail/A 58204-2025 tillsynsbegäran mail.docx", "A 58204-2025")</f>
        <v/>
      </c>
      <c r="AC100">
        <f>HYPERLINK("https://klasma.github.io/Logging_2180/fåglar/A 58204-2025 prioriterade fågelarter.docx", "A 58204-2025")</f>
        <v/>
      </c>
    </row>
    <row r="101" ht="15" customHeight="1">
      <c r="A101" t="inlineStr">
        <is>
          <t>A 27043-2026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46185</v>
      </c>
      <c r="E101" s="1" t="n">
        <v>46217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Blåsippa</t>
        </is>
      </c>
      <c r="V101">
        <f>HYPERLINK("https://klasma.github.io/Logging_2180/artfynd/A 27043-2026 artfynd.xlsx", "A 27043-2026")</f>
        <v/>
      </c>
      <c r="W101">
        <f>HYPERLINK("https://klasma.github.io/Logging_2180/kartor/A 27043-2026 karta.png", "A 27043-2026")</f>
        <v/>
      </c>
      <c r="Y101">
        <f>HYPERLINK("https://klasma.github.io/Logging_2180/klagomål/A 27043-2026 FSC-klagomål.docx", "A 27043-2026")</f>
        <v/>
      </c>
      <c r="Z101">
        <f>HYPERLINK("https://klasma.github.io/Logging_2180/klagomålsmail/A 27043-2026 FSC-klagomål mail.docx", "A 27043-2026")</f>
        <v/>
      </c>
      <c r="AA101">
        <f>HYPERLINK("https://klasma.github.io/Logging_2180/tillsyn/A 27043-2026 tillsynsbegäran.docx", "A 27043-2026")</f>
        <v/>
      </c>
      <c r="AB101">
        <f>HYPERLINK("https://klasma.github.io/Logging_2180/tillsynsmail/A 27043-2026 tillsynsbegäran mail.docx", "A 27043-2026")</f>
        <v/>
      </c>
    </row>
    <row r="102" ht="15" customHeight="1">
      <c r="A102" t="inlineStr">
        <is>
          <t>A 27058-2026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46185</v>
      </c>
      <c r="E102" s="1" t="n">
        <v>46217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Gullpudra</t>
        </is>
      </c>
      <c r="V102">
        <f>HYPERLINK("https://klasma.github.io/Logging_2180/artfynd/A 27058-2026 artfynd.xlsx", "A 27058-2026")</f>
        <v/>
      </c>
      <c r="W102">
        <f>HYPERLINK("https://klasma.github.io/Logging_2180/kartor/A 27058-2026 karta.png", "A 27058-2026")</f>
        <v/>
      </c>
      <c r="Y102">
        <f>HYPERLINK("https://klasma.github.io/Logging_2180/klagomål/A 27058-2026 FSC-klagomål.docx", "A 27058-2026")</f>
        <v/>
      </c>
      <c r="Z102">
        <f>HYPERLINK("https://klasma.github.io/Logging_2180/klagomålsmail/A 27058-2026 FSC-klagomål mail.docx", "A 27058-2026")</f>
        <v/>
      </c>
      <c r="AA102">
        <f>HYPERLINK("https://klasma.github.io/Logging_2180/tillsyn/A 27058-2026 tillsynsbegäran.docx", "A 27058-2026")</f>
        <v/>
      </c>
      <c r="AB102">
        <f>HYPERLINK("https://klasma.github.io/Logging_2180/tillsynsmail/A 27058-2026 tillsynsbegäran mail.docx", "A 27058-2026")</f>
        <v/>
      </c>
    </row>
    <row r="103" ht="15" customHeight="1">
      <c r="A103" t="inlineStr">
        <is>
          <t>A 27063-2026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46217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Blåsippa</t>
        </is>
      </c>
      <c r="V103">
        <f>HYPERLINK("https://klasma.github.io/Logging_2180/artfynd/A 27063-2026 artfynd.xlsx", "A 27063-2026")</f>
        <v/>
      </c>
      <c r="W103">
        <f>HYPERLINK("https://klasma.github.io/Logging_2180/kartor/A 27063-2026 karta.png", "A 27063-2026")</f>
        <v/>
      </c>
      <c r="Y103">
        <f>HYPERLINK("https://klasma.github.io/Logging_2180/klagomål/A 27063-2026 FSC-klagomål.docx", "A 27063-2026")</f>
        <v/>
      </c>
      <c r="Z103">
        <f>HYPERLINK("https://klasma.github.io/Logging_2180/klagomålsmail/A 27063-2026 FSC-klagomål mail.docx", "A 27063-2026")</f>
        <v/>
      </c>
      <c r="AA103">
        <f>HYPERLINK("https://klasma.github.io/Logging_2180/tillsyn/A 27063-2026 tillsynsbegäran.docx", "A 27063-2026")</f>
        <v/>
      </c>
      <c r="AB103">
        <f>HYPERLINK("https://klasma.github.io/Logging_2180/tillsynsmail/A 27063-2026 tillsynsbegäran mail.docx", "A 27063-2026")</f>
        <v/>
      </c>
    </row>
    <row r="104" ht="15" customHeight="1">
      <c r="A104" t="inlineStr">
        <is>
          <t>A 26871-2026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46217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4.2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Utter</t>
        </is>
      </c>
      <c r="V104">
        <f>HYPERLINK("https://klasma.github.io/Logging_2180/artfynd/A 26871-2026 artfynd.xlsx", "A 26871-2026")</f>
        <v/>
      </c>
      <c r="W104">
        <f>HYPERLINK("https://klasma.github.io/Logging_2180/kartor/A 26871-2026 karta.png", "A 26871-2026")</f>
        <v/>
      </c>
      <c r="Y104">
        <f>HYPERLINK("https://klasma.github.io/Logging_2180/klagomål/A 26871-2026 FSC-klagomål.docx", "A 26871-2026")</f>
        <v/>
      </c>
      <c r="Z104">
        <f>HYPERLINK("https://klasma.github.io/Logging_2180/klagomålsmail/A 26871-2026 FSC-klagomål mail.docx", "A 26871-2026")</f>
        <v/>
      </c>
      <c r="AA104">
        <f>HYPERLINK("https://klasma.github.io/Logging_2180/tillsyn/A 26871-2026 tillsynsbegäran.docx", "A 26871-2026")</f>
        <v/>
      </c>
      <c r="AB104">
        <f>HYPERLINK("https://klasma.github.io/Logging_2180/tillsynsmail/A 26871-2026 tillsynsbegäran mail.docx", "A 26871-2026")</f>
        <v/>
      </c>
    </row>
    <row r="105" ht="15" customHeight="1">
      <c r="A105" t="inlineStr">
        <is>
          <t>A 13269-2026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46093</v>
      </c>
      <c r="E105" s="1" t="n">
        <v>46217</v>
      </c>
      <c r="F105" t="inlineStr">
        <is>
          <t>GÄVLEBORGS LÄN</t>
        </is>
      </c>
      <c r="G105" t="inlineStr">
        <is>
          <t>GÄVLE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Havsörn</t>
        </is>
      </c>
      <c r="V105">
        <f>HYPERLINK("https://klasma.github.io/Logging_2180/artfynd/A 13269-2026 artfynd.xlsx", "A 13269-2026")</f>
        <v/>
      </c>
      <c r="W105">
        <f>HYPERLINK("https://klasma.github.io/Logging_2180/kartor/A 13269-2026 karta.png", "A 13269-2026")</f>
        <v/>
      </c>
      <c r="Y105">
        <f>HYPERLINK("https://klasma.github.io/Logging_2180/klagomål/A 13269-2026 FSC-klagomål.docx", "A 13269-2026")</f>
        <v/>
      </c>
      <c r="Z105">
        <f>HYPERLINK("https://klasma.github.io/Logging_2180/klagomålsmail/A 13269-2026 FSC-klagomål mail.docx", "A 13269-2026")</f>
        <v/>
      </c>
      <c r="AA105">
        <f>HYPERLINK("https://klasma.github.io/Logging_2180/tillsyn/A 13269-2026 tillsynsbegäran.docx", "A 13269-2026")</f>
        <v/>
      </c>
      <c r="AB105">
        <f>HYPERLINK("https://klasma.github.io/Logging_2180/tillsynsmail/A 13269-2026 tillsynsbegäran mail.docx", "A 13269-2026")</f>
        <v/>
      </c>
      <c r="AC105">
        <f>HYPERLINK("https://klasma.github.io/Logging_2180/fåglar/A 13269-2026 prioriterade fågelarter.docx", "A 13269-2026")</f>
        <v/>
      </c>
    </row>
    <row r="106" ht="15" customHeight="1">
      <c r="A106" t="inlineStr">
        <is>
          <t>A 14703-2026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46217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Tjäder</t>
        </is>
      </c>
      <c r="V106">
        <f>HYPERLINK("https://klasma.github.io/Logging_2180/artfynd/A 14703-2026 artfynd.xlsx", "A 14703-2026")</f>
        <v/>
      </c>
      <c r="W106">
        <f>HYPERLINK("https://klasma.github.io/Logging_2180/kartor/A 14703-2026 karta.png", "A 14703-2026")</f>
        <v/>
      </c>
      <c r="Y106">
        <f>HYPERLINK("https://klasma.github.io/Logging_2180/klagomål/A 14703-2026 FSC-klagomål.docx", "A 14703-2026")</f>
        <v/>
      </c>
      <c r="Z106">
        <f>HYPERLINK("https://klasma.github.io/Logging_2180/klagomålsmail/A 14703-2026 FSC-klagomål mail.docx", "A 14703-2026")</f>
        <v/>
      </c>
      <c r="AA106">
        <f>HYPERLINK("https://klasma.github.io/Logging_2180/tillsyn/A 14703-2026 tillsynsbegäran.docx", "A 14703-2026")</f>
        <v/>
      </c>
      <c r="AB106">
        <f>HYPERLINK("https://klasma.github.io/Logging_2180/tillsynsmail/A 14703-2026 tillsynsbegäran mail.docx", "A 14703-2026")</f>
        <v/>
      </c>
      <c r="AC106">
        <f>HYPERLINK("https://klasma.github.io/Logging_2180/fåglar/A 14703-2026 prioriterade fågelarter.docx", "A 14703-2026")</f>
        <v/>
      </c>
    </row>
    <row r="107" ht="15" customHeight="1">
      <c r="A107" t="inlineStr">
        <is>
          <t>A 22052-2026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46217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Gullpudra</t>
        </is>
      </c>
      <c r="V107">
        <f>HYPERLINK("https://klasma.github.io/Logging_2180/artfynd/A 22052-2026 artfynd.xlsx", "A 22052-2026")</f>
        <v/>
      </c>
      <c r="W107">
        <f>HYPERLINK("https://klasma.github.io/Logging_2180/kartor/A 22052-2026 karta.png", "A 22052-2026")</f>
        <v/>
      </c>
      <c r="Y107">
        <f>HYPERLINK("https://klasma.github.io/Logging_2180/klagomål/A 22052-2026 FSC-klagomål.docx", "A 22052-2026")</f>
        <v/>
      </c>
      <c r="Z107">
        <f>HYPERLINK("https://klasma.github.io/Logging_2180/klagomålsmail/A 22052-2026 FSC-klagomål mail.docx", "A 22052-2026")</f>
        <v/>
      </c>
      <c r="AA107">
        <f>HYPERLINK("https://klasma.github.io/Logging_2180/tillsyn/A 22052-2026 tillsynsbegäran.docx", "A 22052-2026")</f>
        <v/>
      </c>
      <c r="AB107">
        <f>HYPERLINK("https://klasma.github.io/Logging_2180/tillsynsmail/A 22052-2026 tillsynsbegäran mail.docx", "A 22052-2026")</f>
        <v/>
      </c>
    </row>
    <row r="108" ht="15" customHeight="1">
      <c r="A108" t="inlineStr">
        <is>
          <t>A 5409-2023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44959</v>
      </c>
      <c r="E108" s="1" t="n">
        <v>46217</v>
      </c>
      <c r="F108" t="inlineStr">
        <is>
          <t>GÄVLEBORGS LÄN</t>
        </is>
      </c>
      <c r="G108" t="inlineStr">
        <is>
          <t>GÄVLE</t>
        </is>
      </c>
      <c r="I108" t="n">
        <v>0.3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Skogsklocka</t>
        </is>
      </c>
      <c r="V108">
        <f>HYPERLINK("https://klasma.github.io/Logging_2180/artfynd/A 5409-2023 artfynd.xlsx", "A 5409-2023")</f>
        <v/>
      </c>
      <c r="W108">
        <f>HYPERLINK("https://klasma.github.io/Logging_2180/kartor/A 5409-2023 karta.png", "A 5409-2023")</f>
        <v/>
      </c>
      <c r="Y108">
        <f>HYPERLINK("https://klasma.github.io/Logging_2180/klagomål/A 5409-2023 FSC-klagomål.docx", "A 5409-2023")</f>
        <v/>
      </c>
      <c r="Z108">
        <f>HYPERLINK("https://klasma.github.io/Logging_2180/klagomålsmail/A 5409-2023 FSC-klagomål mail.docx", "A 5409-2023")</f>
        <v/>
      </c>
      <c r="AA108">
        <f>HYPERLINK("https://klasma.github.io/Logging_2180/tillsyn/A 5409-2023 tillsynsbegäran.docx", "A 5409-2023")</f>
        <v/>
      </c>
      <c r="AB108">
        <f>HYPERLINK("https://klasma.github.io/Logging_2180/tillsynsmail/A 5409-2023 tillsynsbegäran mail.docx", "A 5409-2023")</f>
        <v/>
      </c>
    </row>
    <row r="109" ht="15" customHeight="1">
      <c r="A109" t="inlineStr">
        <is>
          <t>A 5415-2023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44959</v>
      </c>
      <c r="E109" s="1" t="n">
        <v>46217</v>
      </c>
      <c r="F109" t="inlineStr">
        <is>
          <t>GÄVLEBORGS LÄN</t>
        </is>
      </c>
      <c r="G109" t="inlineStr">
        <is>
          <t>GÄVLE</t>
        </is>
      </c>
      <c r="I109" t="n">
        <v>0.1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Skogsklocka</t>
        </is>
      </c>
      <c r="V109">
        <f>HYPERLINK("https://klasma.github.io/Logging_2180/artfynd/A 5415-2023 artfynd.xlsx", "A 5415-2023")</f>
        <v/>
      </c>
      <c r="W109">
        <f>HYPERLINK("https://klasma.github.io/Logging_2180/kartor/A 5415-2023 karta.png", "A 5415-2023")</f>
        <v/>
      </c>
      <c r="Y109">
        <f>HYPERLINK("https://klasma.github.io/Logging_2180/klagomål/A 5415-2023 FSC-klagomål.docx", "A 5415-2023")</f>
        <v/>
      </c>
      <c r="Z109">
        <f>HYPERLINK("https://klasma.github.io/Logging_2180/klagomålsmail/A 5415-2023 FSC-klagomål mail.docx", "A 5415-2023")</f>
        <v/>
      </c>
      <c r="AA109">
        <f>HYPERLINK("https://klasma.github.io/Logging_2180/tillsyn/A 5415-2023 tillsynsbegäran.docx", "A 5415-2023")</f>
        <v/>
      </c>
      <c r="AB109">
        <f>HYPERLINK("https://klasma.github.io/Logging_2180/tillsynsmail/A 5415-2023 tillsynsbegäran mail.docx", "A 5415-2023")</f>
        <v/>
      </c>
    </row>
    <row r="110" ht="15" customHeight="1">
      <c r="A110" t="inlineStr">
        <is>
          <t>A 28546-2026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46197</v>
      </c>
      <c r="E110" s="1" t="n">
        <v>46217</v>
      </c>
      <c r="F110" t="inlineStr">
        <is>
          <t>GÄVLEBORGS LÄN</t>
        </is>
      </c>
      <c r="G110" t="inlineStr">
        <is>
          <t>GÄVLE</t>
        </is>
      </c>
      <c r="H110" t="inlineStr">
        <is>
          <t>BillerudKorsnäs AB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Fiskgjuse</t>
        </is>
      </c>
      <c r="V110">
        <f>HYPERLINK("https://klasma.github.io/Logging_2180/artfynd/A 28546-2026 artfynd.xlsx", "A 28546-2026")</f>
        <v/>
      </c>
      <c r="W110">
        <f>HYPERLINK("https://klasma.github.io/Logging_2180/kartor/A 28546-2026 karta.png", "A 28546-2026")</f>
        <v/>
      </c>
      <c r="Y110">
        <f>HYPERLINK("https://klasma.github.io/Logging_2180/klagomål/A 28546-2026 FSC-klagomål.docx", "A 28546-2026")</f>
        <v/>
      </c>
      <c r="Z110">
        <f>HYPERLINK("https://klasma.github.io/Logging_2180/klagomålsmail/A 28546-2026 FSC-klagomål mail.docx", "A 28546-2026")</f>
        <v/>
      </c>
      <c r="AA110">
        <f>HYPERLINK("https://klasma.github.io/Logging_2180/tillsyn/A 28546-2026 tillsynsbegäran.docx", "A 28546-2026")</f>
        <v/>
      </c>
      <c r="AB110">
        <f>HYPERLINK("https://klasma.github.io/Logging_2180/tillsynsmail/A 28546-2026 tillsynsbegäran mail.docx", "A 28546-2026")</f>
        <v/>
      </c>
      <c r="AC110">
        <f>HYPERLINK("https://klasma.github.io/Logging_2180/fåglar/A 28546-2026 prioriterade fågelarter.docx", "A 28546-2026")</f>
        <v/>
      </c>
    </row>
    <row r="111" ht="15" customHeight="1">
      <c r="A111" t="inlineStr">
        <is>
          <t>A 21282-2024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46217</v>
      </c>
      <c r="F111" t="inlineStr">
        <is>
          <t>GÄVLEBORGS LÄN</t>
        </is>
      </c>
      <c r="G111" t="inlineStr">
        <is>
          <t>GÄVLE</t>
        </is>
      </c>
      <c r="I111" t="n">
        <v>7.4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s="2" t="inlineStr">
        <is>
          <t>Skogsklocka</t>
        </is>
      </c>
      <c r="V111">
        <f>HYPERLINK("https://klasma.github.io/Logging_2180/artfynd/A 21282-2024 artfynd.xlsx", "A 21282-2024")</f>
        <v/>
      </c>
      <c r="W111">
        <f>HYPERLINK("https://klasma.github.io/Logging_2180/kartor/A 21282-2024 karta.png", "A 21282-2024")</f>
        <v/>
      </c>
      <c r="Y111">
        <f>HYPERLINK("https://klasma.github.io/Logging_2180/klagomål/A 21282-2024 FSC-klagomål.docx", "A 21282-2024")</f>
        <v/>
      </c>
      <c r="Z111">
        <f>HYPERLINK("https://klasma.github.io/Logging_2180/klagomålsmail/A 21282-2024 FSC-klagomål mail.docx", "A 21282-2024")</f>
        <v/>
      </c>
      <c r="AA111">
        <f>HYPERLINK("https://klasma.github.io/Logging_2180/tillsyn/A 21282-2024 tillsynsbegäran.docx", "A 21282-2024")</f>
        <v/>
      </c>
      <c r="AB111">
        <f>HYPERLINK("https://klasma.github.io/Logging_2180/tillsynsmail/A 21282-2024 tillsynsbegäran mail.docx", "A 21282-2024")</f>
        <v/>
      </c>
    </row>
    <row r="112" ht="15" customHeight="1">
      <c r="A112" t="inlineStr">
        <is>
          <t>A 57932-2024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45631</v>
      </c>
      <c r="E112" s="1" t="n">
        <v>46217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48.7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Tjäder</t>
        </is>
      </c>
      <c r="V112">
        <f>HYPERLINK("https://klasma.github.io/Logging_2180/artfynd/A 57932-2024 artfynd.xlsx", "A 57932-2024")</f>
        <v/>
      </c>
      <c r="W112">
        <f>HYPERLINK("https://klasma.github.io/Logging_2180/kartor/A 57932-2024 karta.png", "A 57932-2024")</f>
        <v/>
      </c>
      <c r="Y112">
        <f>HYPERLINK("https://klasma.github.io/Logging_2180/klagomål/A 57932-2024 FSC-klagomål.docx", "A 57932-2024")</f>
        <v/>
      </c>
      <c r="Z112">
        <f>HYPERLINK("https://klasma.github.io/Logging_2180/klagomålsmail/A 57932-2024 FSC-klagomål mail.docx", "A 57932-2024")</f>
        <v/>
      </c>
      <c r="AA112">
        <f>HYPERLINK("https://klasma.github.io/Logging_2180/tillsyn/A 57932-2024 tillsynsbegäran.docx", "A 57932-2024")</f>
        <v/>
      </c>
      <c r="AB112">
        <f>HYPERLINK("https://klasma.github.io/Logging_2180/tillsynsmail/A 57932-2024 tillsynsbegäran mail.docx", "A 57932-2024")</f>
        <v/>
      </c>
      <c r="AC112">
        <f>HYPERLINK("https://klasma.github.io/Logging_2180/fåglar/A 57932-2024 prioriterade fågelarter.docx", "A 57932-2024")</f>
        <v/>
      </c>
    </row>
    <row r="113" ht="15" customHeight="1">
      <c r="A113" t="inlineStr">
        <is>
          <t>A 23003-2026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46160</v>
      </c>
      <c r="E113" s="1" t="n">
        <v>46217</v>
      </c>
      <c r="F113" t="inlineStr">
        <is>
          <t>GÄVLEBORGS LÄN</t>
        </is>
      </c>
      <c r="G113" t="inlineStr">
        <is>
          <t>GÄVLE</t>
        </is>
      </c>
      <c r="I113" t="n">
        <v>12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s="2" t="inlineStr">
        <is>
          <t>Tjäder</t>
        </is>
      </c>
      <c r="V113">
        <f>HYPERLINK("https://klasma.github.io/Logging_2180/artfynd/A 23003-2026 artfynd.xlsx", "A 23003-2026")</f>
        <v/>
      </c>
      <c r="W113">
        <f>HYPERLINK("https://klasma.github.io/Logging_2180/kartor/A 23003-2026 karta.png", "A 23003-2026")</f>
        <v/>
      </c>
      <c r="Y113">
        <f>HYPERLINK("https://klasma.github.io/Logging_2180/klagomål/A 23003-2026 FSC-klagomål.docx", "A 23003-2026")</f>
        <v/>
      </c>
      <c r="Z113">
        <f>HYPERLINK("https://klasma.github.io/Logging_2180/klagomålsmail/A 23003-2026 FSC-klagomål mail.docx", "A 23003-2026")</f>
        <v/>
      </c>
      <c r="AA113">
        <f>HYPERLINK("https://klasma.github.io/Logging_2180/tillsyn/A 23003-2026 tillsynsbegäran.docx", "A 23003-2026")</f>
        <v/>
      </c>
      <c r="AB113">
        <f>HYPERLINK("https://klasma.github.io/Logging_2180/tillsynsmail/A 23003-2026 tillsynsbegäran mail.docx", "A 23003-2026")</f>
        <v/>
      </c>
      <c r="AC113">
        <f>HYPERLINK("https://klasma.github.io/Logging_2180/fåglar/A 23003-2026 prioriterade fågelarter.docx", "A 23003-2026")</f>
        <v/>
      </c>
    </row>
    <row r="114" ht="15" customHeight="1">
      <c r="A114" t="inlineStr">
        <is>
          <t>A 63288-2025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46217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5.3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Scharlakansskål</t>
        </is>
      </c>
      <c r="V114">
        <f>HYPERLINK("https://klasma.github.io/Logging_2180/artfynd/A 63288-2025 artfynd.xlsx", "A 63288-2025")</f>
        <v/>
      </c>
      <c r="W114">
        <f>HYPERLINK("https://klasma.github.io/Logging_2180/kartor/A 63288-2025 karta.png", "A 63288-2025")</f>
        <v/>
      </c>
      <c r="Y114">
        <f>HYPERLINK("https://klasma.github.io/Logging_2180/klagomål/A 63288-2025 FSC-klagomål.docx", "A 63288-2025")</f>
        <v/>
      </c>
      <c r="Z114">
        <f>HYPERLINK("https://klasma.github.io/Logging_2180/klagomålsmail/A 63288-2025 FSC-klagomål mail.docx", "A 63288-2025")</f>
        <v/>
      </c>
      <c r="AA114">
        <f>HYPERLINK("https://klasma.github.io/Logging_2180/tillsyn/A 63288-2025 tillsynsbegäran.docx", "A 63288-2025")</f>
        <v/>
      </c>
      <c r="AB114">
        <f>HYPERLINK("https://klasma.github.io/Logging_2180/tillsynsmail/A 63288-2025 tillsynsbegäran mail.docx", "A 63288-2025")</f>
        <v/>
      </c>
    </row>
    <row r="115" ht="15" customHeight="1">
      <c r="A115" t="inlineStr">
        <is>
          <t>A 22892-2026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46217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1.6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Tjäder</t>
        </is>
      </c>
      <c r="V115">
        <f>HYPERLINK("https://klasma.github.io/Logging_2180/artfynd/A 22892-2026 artfynd.xlsx", "A 22892-2026")</f>
        <v/>
      </c>
      <c r="W115">
        <f>HYPERLINK("https://klasma.github.io/Logging_2180/kartor/A 22892-2026 karta.png", "A 22892-2026")</f>
        <v/>
      </c>
      <c r="Y115">
        <f>HYPERLINK("https://klasma.github.io/Logging_2180/klagomål/A 22892-2026 FSC-klagomål.docx", "A 22892-2026")</f>
        <v/>
      </c>
      <c r="Z115">
        <f>HYPERLINK("https://klasma.github.io/Logging_2180/klagomålsmail/A 22892-2026 FSC-klagomål mail.docx", "A 22892-2026")</f>
        <v/>
      </c>
      <c r="AA115">
        <f>HYPERLINK("https://klasma.github.io/Logging_2180/tillsyn/A 22892-2026 tillsynsbegäran.docx", "A 22892-2026")</f>
        <v/>
      </c>
      <c r="AB115">
        <f>HYPERLINK("https://klasma.github.io/Logging_2180/tillsynsmail/A 22892-2026 tillsynsbegäran mail.docx", "A 22892-2026")</f>
        <v/>
      </c>
      <c r="AC115">
        <f>HYPERLINK("https://klasma.github.io/Logging_2180/fåglar/A 22892-2026 prioriterade fågelarter.docx", "A 22892-2026")</f>
        <v/>
      </c>
    </row>
    <row r="116" ht="15" customHeight="1">
      <c r="A116" t="inlineStr">
        <is>
          <t>A 50052-2025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46217</v>
      </c>
      <c r="F116" t="inlineStr">
        <is>
          <t>GÄVLEBORGS LÄN</t>
        </is>
      </c>
      <c r="G116" t="inlineStr">
        <is>
          <t>GÄVLE</t>
        </is>
      </c>
      <c r="I116" t="n">
        <v>1.9</v>
      </c>
      <c r="J116" t="n">
        <v>1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s="2" t="inlineStr">
        <is>
          <t>Mosippa</t>
        </is>
      </c>
      <c r="V116">
        <f>HYPERLINK("https://klasma.github.io/Logging_2180/artfynd/A 50052-2025 artfynd.xlsx", "A 50052-2025")</f>
        <v/>
      </c>
      <c r="W116">
        <f>HYPERLINK("https://klasma.github.io/Logging_2180/kartor/A 50052-2025 karta.png", "A 50052-2025")</f>
        <v/>
      </c>
      <c r="Y116">
        <f>HYPERLINK("https://klasma.github.io/Logging_2180/klagomål/A 50052-2025 FSC-klagomål.docx", "A 50052-2025")</f>
        <v/>
      </c>
      <c r="Z116">
        <f>HYPERLINK("https://klasma.github.io/Logging_2180/klagomålsmail/A 50052-2025 FSC-klagomål mail.docx", "A 50052-2025")</f>
        <v/>
      </c>
      <c r="AA116">
        <f>HYPERLINK("https://klasma.github.io/Logging_2180/tillsyn/A 50052-2025 tillsynsbegäran.docx", "A 50052-2025")</f>
        <v/>
      </c>
      <c r="AB116">
        <f>HYPERLINK("https://klasma.github.io/Logging_2180/tillsynsmail/A 50052-2025 tillsynsbegäran mail.docx", "A 50052-2025")</f>
        <v/>
      </c>
    </row>
    <row r="117" ht="15" customHeight="1">
      <c r="A117" t="inlineStr">
        <is>
          <t>A 18216-2024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45420</v>
      </c>
      <c r="E117" s="1" t="n">
        <v>46217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2.3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Dofttaggsvamp</t>
        </is>
      </c>
      <c r="V117">
        <f>HYPERLINK("https://klasma.github.io/Logging_2180/artfynd/A 18216-2024 artfynd.xlsx", "A 18216-2024")</f>
        <v/>
      </c>
      <c r="W117">
        <f>HYPERLINK("https://klasma.github.io/Logging_2180/kartor/A 18216-2024 karta.png", "A 18216-2024")</f>
        <v/>
      </c>
      <c r="Y117">
        <f>HYPERLINK("https://klasma.github.io/Logging_2180/klagomål/A 18216-2024 FSC-klagomål.docx", "A 18216-2024")</f>
        <v/>
      </c>
      <c r="Z117">
        <f>HYPERLINK("https://klasma.github.io/Logging_2180/klagomålsmail/A 18216-2024 FSC-klagomål mail.docx", "A 18216-2024")</f>
        <v/>
      </c>
      <c r="AA117">
        <f>HYPERLINK("https://klasma.github.io/Logging_2180/tillsyn/A 18216-2024 tillsynsbegäran.docx", "A 18216-2024")</f>
        <v/>
      </c>
      <c r="AB117">
        <f>HYPERLINK("https://klasma.github.io/Logging_2180/tillsynsmail/A 18216-2024 tillsynsbegäran mail.docx", "A 18216-2024")</f>
        <v/>
      </c>
    </row>
    <row r="118" ht="15" customHeight="1">
      <c r="A118" t="inlineStr">
        <is>
          <t>A 33812-2022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44790</v>
      </c>
      <c r="E118" s="1" t="n">
        <v>46217</v>
      </c>
      <c r="F118" t="inlineStr">
        <is>
          <t>GÄVLEBORGS LÄN</t>
        </is>
      </c>
      <c r="G118" t="inlineStr">
        <is>
          <t>GÄVLE</t>
        </is>
      </c>
      <c r="I118" t="n">
        <v>2.1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Myskmadra</t>
        </is>
      </c>
      <c r="V118">
        <f>HYPERLINK("https://klasma.github.io/Logging_2180/artfynd/A 33812-2022 artfynd.xlsx", "A 33812-2022")</f>
        <v/>
      </c>
      <c r="W118">
        <f>HYPERLINK("https://klasma.github.io/Logging_2180/kartor/A 33812-2022 karta.png", "A 33812-2022")</f>
        <v/>
      </c>
      <c r="Y118">
        <f>HYPERLINK("https://klasma.github.io/Logging_2180/klagomål/A 33812-2022 FSC-klagomål.docx", "A 33812-2022")</f>
        <v/>
      </c>
      <c r="Z118">
        <f>HYPERLINK("https://klasma.github.io/Logging_2180/klagomålsmail/A 33812-2022 FSC-klagomål mail.docx", "A 33812-2022")</f>
        <v/>
      </c>
      <c r="AA118">
        <f>HYPERLINK("https://klasma.github.io/Logging_2180/tillsyn/A 33812-2022 tillsynsbegäran.docx", "A 33812-2022")</f>
        <v/>
      </c>
      <c r="AB118">
        <f>HYPERLINK("https://klasma.github.io/Logging_2180/tillsynsmail/A 33812-2022 tillsynsbegäran mail.docx", "A 33812-2022")</f>
        <v/>
      </c>
    </row>
    <row r="119" ht="15" customHeight="1">
      <c r="A119" t="inlineStr">
        <is>
          <t>A 13684-2026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46217</v>
      </c>
      <c r="F119" t="inlineStr">
        <is>
          <t>GÄVLEBORGS LÄN</t>
        </is>
      </c>
      <c r="G119" t="inlineStr">
        <is>
          <t>GÄVLE</t>
        </is>
      </c>
      <c r="I119" t="n">
        <v>21.3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Igelkott</t>
        </is>
      </c>
      <c r="V119">
        <f>HYPERLINK("https://klasma.github.io/Logging_2180/artfynd/A 13684-2026 artfynd.xlsx", "A 13684-2026")</f>
        <v/>
      </c>
      <c r="W119">
        <f>HYPERLINK("https://klasma.github.io/Logging_2180/kartor/A 13684-2026 karta.png", "A 13684-2026")</f>
        <v/>
      </c>
      <c r="Y119">
        <f>HYPERLINK("https://klasma.github.io/Logging_2180/klagomål/A 13684-2026 FSC-klagomål.docx", "A 13684-2026")</f>
        <v/>
      </c>
      <c r="Z119">
        <f>HYPERLINK("https://klasma.github.io/Logging_2180/klagomålsmail/A 13684-2026 FSC-klagomål mail.docx", "A 13684-2026")</f>
        <v/>
      </c>
      <c r="AA119">
        <f>HYPERLINK("https://klasma.github.io/Logging_2180/tillsyn/A 13684-2026 tillsynsbegäran.docx", "A 13684-2026")</f>
        <v/>
      </c>
      <c r="AB119">
        <f>HYPERLINK("https://klasma.github.io/Logging_2180/tillsynsmail/A 13684-2026 tillsynsbegäran mail.docx", "A 13684-2026")</f>
        <v/>
      </c>
    </row>
    <row r="120" ht="15" customHeight="1">
      <c r="A120" t="inlineStr">
        <is>
          <t>A 17251-2026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46217</v>
      </c>
      <c r="F120" t="inlineStr">
        <is>
          <t>GÄVLEBORGS LÄN</t>
        </is>
      </c>
      <c r="G120" t="inlineStr">
        <is>
          <t>GÄVLE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Blåsippa</t>
        </is>
      </c>
      <c r="V120">
        <f>HYPERLINK("https://klasma.github.io/Logging_2180/artfynd/A 17251-2026 artfynd.xlsx", "A 17251-2026")</f>
        <v/>
      </c>
      <c r="W120">
        <f>HYPERLINK("https://klasma.github.io/Logging_2180/kartor/A 17251-2026 karta.png", "A 17251-2026")</f>
        <v/>
      </c>
      <c r="Y120">
        <f>HYPERLINK("https://klasma.github.io/Logging_2180/klagomål/A 17251-2026 FSC-klagomål.docx", "A 17251-2026")</f>
        <v/>
      </c>
      <c r="Z120">
        <f>HYPERLINK("https://klasma.github.io/Logging_2180/klagomålsmail/A 17251-2026 FSC-klagomål mail.docx", "A 17251-2026")</f>
        <v/>
      </c>
      <c r="AA120">
        <f>HYPERLINK("https://klasma.github.io/Logging_2180/tillsyn/A 17251-2026 tillsynsbegäran.docx", "A 17251-2026")</f>
        <v/>
      </c>
      <c r="AB120">
        <f>HYPERLINK("https://klasma.github.io/Logging_2180/tillsynsmail/A 17251-2026 tillsynsbegäran mail.docx", "A 17251-2026")</f>
        <v/>
      </c>
    </row>
    <row r="121" ht="15" customHeight="1">
      <c r="A121" t="inlineStr">
        <is>
          <t>A 18060-2026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46125</v>
      </c>
      <c r="E121" s="1" t="n">
        <v>46217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24.4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Fläcknycklar</t>
        </is>
      </c>
      <c r="V121">
        <f>HYPERLINK("https://klasma.github.io/Logging_2180/artfynd/A 18060-2026 artfynd.xlsx", "A 18060-2026")</f>
        <v/>
      </c>
      <c r="W121">
        <f>HYPERLINK("https://klasma.github.io/Logging_2180/kartor/A 18060-2026 karta.png", "A 18060-2026")</f>
        <v/>
      </c>
      <c r="Y121">
        <f>HYPERLINK("https://klasma.github.io/Logging_2180/klagomål/A 18060-2026 FSC-klagomål.docx", "A 18060-2026")</f>
        <v/>
      </c>
      <c r="Z121">
        <f>HYPERLINK("https://klasma.github.io/Logging_2180/klagomålsmail/A 18060-2026 FSC-klagomål mail.docx", "A 18060-2026")</f>
        <v/>
      </c>
      <c r="AA121">
        <f>HYPERLINK("https://klasma.github.io/Logging_2180/tillsyn/A 18060-2026 tillsynsbegäran.docx", "A 18060-2026")</f>
        <v/>
      </c>
      <c r="AB121">
        <f>HYPERLINK("https://klasma.github.io/Logging_2180/tillsynsmail/A 18060-2026 tillsynsbegäran mail.docx", "A 18060-2026")</f>
        <v/>
      </c>
    </row>
    <row r="122" ht="15" customHeight="1">
      <c r="A122" t="inlineStr">
        <is>
          <t>A 19635-2026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46217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1.6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Skinnlav</t>
        </is>
      </c>
      <c r="V122">
        <f>HYPERLINK("https://klasma.github.io/Logging_2180/artfynd/A 19635-2026 artfynd.xlsx", "A 19635-2026")</f>
        <v/>
      </c>
      <c r="W122">
        <f>HYPERLINK("https://klasma.github.io/Logging_2180/kartor/A 19635-2026 karta.png", "A 19635-2026")</f>
        <v/>
      </c>
      <c r="Y122">
        <f>HYPERLINK("https://klasma.github.io/Logging_2180/klagomål/A 19635-2026 FSC-klagomål.docx", "A 19635-2026")</f>
        <v/>
      </c>
      <c r="Z122">
        <f>HYPERLINK("https://klasma.github.io/Logging_2180/klagomålsmail/A 19635-2026 FSC-klagomål mail.docx", "A 19635-2026")</f>
        <v/>
      </c>
      <c r="AA122">
        <f>HYPERLINK("https://klasma.github.io/Logging_2180/tillsyn/A 19635-2026 tillsynsbegäran.docx", "A 19635-2026")</f>
        <v/>
      </c>
      <c r="AB122">
        <f>HYPERLINK("https://klasma.github.io/Logging_2180/tillsynsmail/A 19635-2026 tillsynsbegäran mail.docx", "A 19635-2026")</f>
        <v/>
      </c>
    </row>
    <row r="123" ht="15" customHeight="1">
      <c r="A123" t="inlineStr">
        <is>
          <t>A 37927-2022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46217</v>
      </c>
      <c r="F123" t="inlineStr">
        <is>
          <t>GÄVLEBORGS LÄN</t>
        </is>
      </c>
      <c r="G123" t="inlineStr">
        <is>
          <t>GÄVLE</t>
        </is>
      </c>
      <c r="I123" t="n">
        <v>1.6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10</v>
      </c>
      <c r="U123" s="2" t="inlineStr">
        <is>
          <t>Knärot</t>
        </is>
      </c>
      <c r="V123">
        <f>HYPERLINK("https://klasma.github.io/Logging_2180/artfynd/A 37927-2022 artfynd.xlsx", "A 37927-2022")</f>
        <v/>
      </c>
      <c r="W123">
        <f>HYPERLINK("https://klasma.github.io/Logging_2180/kartor/A 37927-2022 karta.png", "A 37927-2022")</f>
        <v/>
      </c>
      <c r="X123">
        <f>HYPERLINK("https://klasma.github.io/Logging_2180/knärot/A 37927-2022 karta knärot.png", "A 37927-2022")</f>
        <v/>
      </c>
      <c r="Y123">
        <f>HYPERLINK("https://klasma.github.io/Logging_2180/klagomål/A 37927-2022 FSC-klagomål.docx", "A 37927-2022")</f>
        <v/>
      </c>
      <c r="Z123">
        <f>HYPERLINK("https://klasma.github.io/Logging_2180/klagomålsmail/A 37927-2022 FSC-klagomål mail.docx", "A 37927-2022")</f>
        <v/>
      </c>
      <c r="AA123">
        <f>HYPERLINK("https://klasma.github.io/Logging_2180/tillsyn/A 37927-2022 tillsynsbegäran.docx", "A 37927-2022")</f>
        <v/>
      </c>
      <c r="AB123">
        <f>HYPERLINK("https://klasma.github.io/Logging_2180/tillsynsmail/A 37927-2022 tillsynsbegäran mail.docx", "A 37927-2022")</f>
        <v/>
      </c>
    </row>
    <row r="124" ht="15" customHeight="1">
      <c r="A124" t="inlineStr">
        <is>
          <t>A 12437-2024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45379</v>
      </c>
      <c r="E124" s="1" t="n">
        <v>46217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Mindre bastardsvärmare</t>
        </is>
      </c>
      <c r="V124">
        <f>HYPERLINK("https://klasma.github.io/Logging_2180/artfynd/A 12437-2024 artfynd.xlsx", "A 12437-2024")</f>
        <v/>
      </c>
      <c r="W124">
        <f>HYPERLINK("https://klasma.github.io/Logging_2180/kartor/A 12437-2024 karta.png", "A 12437-2024")</f>
        <v/>
      </c>
      <c r="Y124">
        <f>HYPERLINK("https://klasma.github.io/Logging_2180/klagomål/A 12437-2024 FSC-klagomål.docx", "A 12437-2024")</f>
        <v/>
      </c>
      <c r="Z124">
        <f>HYPERLINK("https://klasma.github.io/Logging_2180/klagomålsmail/A 12437-2024 FSC-klagomål mail.docx", "A 12437-2024")</f>
        <v/>
      </c>
      <c r="AA124">
        <f>HYPERLINK("https://klasma.github.io/Logging_2180/tillsyn/A 12437-2024 tillsynsbegäran.docx", "A 12437-2024")</f>
        <v/>
      </c>
      <c r="AB124">
        <f>HYPERLINK("https://klasma.github.io/Logging_2180/tillsynsmail/A 12437-2024 tillsynsbegäran mail.docx", "A 12437-2024")</f>
        <v/>
      </c>
    </row>
    <row r="125" ht="15" customHeight="1">
      <c r="A125" t="inlineStr">
        <is>
          <t>A 35225-2024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45530</v>
      </c>
      <c r="E125" s="1" t="n">
        <v>46217</v>
      </c>
      <c r="F125" t="inlineStr">
        <is>
          <t>GÄVLEBORGS LÄN</t>
        </is>
      </c>
      <c r="G125" t="inlineStr">
        <is>
          <t>GÄVLE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Blåsippa</t>
        </is>
      </c>
      <c r="V125">
        <f>HYPERLINK("https://klasma.github.io/Logging_2180/artfynd/A 35225-2024 artfynd.xlsx", "A 35225-2024")</f>
        <v/>
      </c>
      <c r="W125">
        <f>HYPERLINK("https://klasma.github.io/Logging_2180/kartor/A 35225-2024 karta.png", "A 35225-2024")</f>
        <v/>
      </c>
      <c r="Y125">
        <f>HYPERLINK("https://klasma.github.io/Logging_2180/klagomål/A 35225-2024 FSC-klagomål.docx", "A 35225-2024")</f>
        <v/>
      </c>
      <c r="Z125">
        <f>HYPERLINK("https://klasma.github.io/Logging_2180/klagomålsmail/A 35225-2024 FSC-klagomål mail.docx", "A 35225-2024")</f>
        <v/>
      </c>
      <c r="AA125">
        <f>HYPERLINK("https://klasma.github.io/Logging_2180/tillsyn/A 35225-2024 tillsynsbegäran.docx", "A 35225-2024")</f>
        <v/>
      </c>
      <c r="AB125">
        <f>HYPERLINK("https://klasma.github.io/Logging_2180/tillsynsmail/A 35225-2024 tillsynsbegäran mail.docx", "A 35225-2024")</f>
        <v/>
      </c>
    </row>
    <row r="126" ht="15" customHeight="1">
      <c r="A126" t="inlineStr">
        <is>
          <t>A 12381-2023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44999</v>
      </c>
      <c r="E126" s="1" t="n">
        <v>46217</v>
      </c>
      <c r="F126" t="inlineStr">
        <is>
          <t>GÄVLEBORGS LÄN</t>
        </is>
      </c>
      <c r="G126" t="inlineStr">
        <is>
          <t>GÄVLE</t>
        </is>
      </c>
      <c r="I126" t="n">
        <v>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Brunlångöra</t>
        </is>
      </c>
      <c r="V126">
        <f>HYPERLINK("https://klasma.github.io/Logging_2180/artfynd/A 12381-2023 artfynd.xlsx", "A 12381-2023")</f>
        <v/>
      </c>
      <c r="W126">
        <f>HYPERLINK("https://klasma.github.io/Logging_2180/kartor/A 12381-2023 karta.png", "A 12381-2023")</f>
        <v/>
      </c>
      <c r="Y126">
        <f>HYPERLINK("https://klasma.github.io/Logging_2180/klagomål/A 12381-2023 FSC-klagomål.docx", "A 12381-2023")</f>
        <v/>
      </c>
      <c r="Z126">
        <f>HYPERLINK("https://klasma.github.io/Logging_2180/klagomålsmail/A 12381-2023 FSC-klagomål mail.docx", "A 12381-2023")</f>
        <v/>
      </c>
      <c r="AA126">
        <f>HYPERLINK("https://klasma.github.io/Logging_2180/tillsyn/A 12381-2023 tillsynsbegäran.docx", "A 12381-2023")</f>
        <v/>
      </c>
      <c r="AB126">
        <f>HYPERLINK("https://klasma.github.io/Logging_2180/tillsynsmail/A 12381-2023 tillsynsbegäran mail.docx", "A 12381-2023")</f>
        <v/>
      </c>
    </row>
    <row r="127" ht="15" customHeight="1">
      <c r="A127" t="inlineStr">
        <is>
          <t>A 47642-2024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45588</v>
      </c>
      <c r="E127" s="1" t="n">
        <v>46217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8.199999999999999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Orre</t>
        </is>
      </c>
      <c r="V127">
        <f>HYPERLINK("https://klasma.github.io/Logging_2180/artfynd/A 47642-2024 artfynd.xlsx", "A 47642-2024")</f>
        <v/>
      </c>
      <c r="W127">
        <f>HYPERLINK("https://klasma.github.io/Logging_2180/kartor/A 47642-2024 karta.png", "A 47642-2024")</f>
        <v/>
      </c>
      <c r="Y127">
        <f>HYPERLINK("https://klasma.github.io/Logging_2180/klagomål/A 47642-2024 FSC-klagomål.docx", "A 47642-2024")</f>
        <v/>
      </c>
      <c r="Z127">
        <f>HYPERLINK("https://klasma.github.io/Logging_2180/klagomålsmail/A 47642-2024 FSC-klagomål mail.docx", "A 47642-2024")</f>
        <v/>
      </c>
      <c r="AA127">
        <f>HYPERLINK("https://klasma.github.io/Logging_2180/tillsyn/A 47642-2024 tillsynsbegäran.docx", "A 47642-2024")</f>
        <v/>
      </c>
      <c r="AB127">
        <f>HYPERLINK("https://klasma.github.io/Logging_2180/tillsynsmail/A 47642-2024 tillsynsbegäran mail.docx", "A 47642-2024")</f>
        <v/>
      </c>
      <c r="AC127">
        <f>HYPERLINK("https://klasma.github.io/Logging_2180/fåglar/A 47642-2024 prioriterade fågelarter.docx", "A 47642-2024")</f>
        <v/>
      </c>
    </row>
    <row r="128" ht="15" customHeight="1">
      <c r="A128" t="inlineStr">
        <is>
          <t>A 12338-2025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46217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s="2" t="inlineStr">
        <is>
          <t>Skogsklocka</t>
        </is>
      </c>
      <c r="V128">
        <f>HYPERLINK("https://klasma.github.io/Logging_2180/artfynd/A 12338-2025 artfynd.xlsx", "A 12338-2025")</f>
        <v/>
      </c>
      <c r="W128">
        <f>HYPERLINK("https://klasma.github.io/Logging_2180/kartor/A 12338-2025 karta.png", "A 12338-2025")</f>
        <v/>
      </c>
      <c r="Y128">
        <f>HYPERLINK("https://klasma.github.io/Logging_2180/klagomål/A 12338-2025 FSC-klagomål.docx", "A 12338-2025")</f>
        <v/>
      </c>
      <c r="Z128">
        <f>HYPERLINK("https://klasma.github.io/Logging_2180/klagomålsmail/A 12338-2025 FSC-klagomål mail.docx", "A 12338-2025")</f>
        <v/>
      </c>
      <c r="AA128">
        <f>HYPERLINK("https://klasma.github.io/Logging_2180/tillsyn/A 12338-2025 tillsynsbegäran.docx", "A 12338-2025")</f>
        <v/>
      </c>
      <c r="AB128">
        <f>HYPERLINK("https://klasma.github.io/Logging_2180/tillsynsmail/A 12338-2025 tillsynsbegäran mail.docx", "A 12338-2025")</f>
        <v/>
      </c>
    </row>
    <row r="129" ht="15" customHeight="1">
      <c r="A129" t="inlineStr">
        <is>
          <t>A 30302-2025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46217</v>
      </c>
      <c r="F129" t="inlineStr">
        <is>
          <t>GÄVLEBORGS LÄN</t>
        </is>
      </c>
      <c r="G129" t="inlineStr">
        <is>
          <t>GÄVLE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s="2" t="inlineStr">
        <is>
          <t>Fläcknycklar</t>
        </is>
      </c>
      <c r="V129">
        <f>HYPERLINK("https://klasma.github.io/Logging_2180/artfynd/A 30302-2025 artfynd.xlsx", "A 30302-2025")</f>
        <v/>
      </c>
      <c r="W129">
        <f>HYPERLINK("https://klasma.github.io/Logging_2180/kartor/A 30302-2025 karta.png", "A 30302-2025")</f>
        <v/>
      </c>
      <c r="Y129">
        <f>HYPERLINK("https://klasma.github.io/Logging_2180/klagomål/A 30302-2025 FSC-klagomål.docx", "A 30302-2025")</f>
        <v/>
      </c>
      <c r="Z129">
        <f>HYPERLINK("https://klasma.github.io/Logging_2180/klagomålsmail/A 30302-2025 FSC-klagomål mail.docx", "A 30302-2025")</f>
        <v/>
      </c>
      <c r="AA129">
        <f>HYPERLINK("https://klasma.github.io/Logging_2180/tillsyn/A 30302-2025 tillsynsbegäran.docx", "A 30302-2025")</f>
        <v/>
      </c>
      <c r="AB129">
        <f>HYPERLINK("https://klasma.github.io/Logging_2180/tillsynsmail/A 30302-2025 tillsynsbegäran mail.docx", "A 30302-2025")</f>
        <v/>
      </c>
    </row>
    <row r="130" ht="15" customHeight="1">
      <c r="A130" t="inlineStr">
        <is>
          <t>S 399-2022</t>
        </is>
      </c>
      <c r="B130" t="inlineStr">
        <is>
          <t>samrådsanmälan</t>
        </is>
      </c>
      <c r="C130" t="inlineStr">
        <is>
          <t>Skogsgödsling</t>
        </is>
      </c>
      <c r="D130" s="1" t="n">
        <v>44585</v>
      </c>
      <c r="E130" s="1" t="n">
        <v>46217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44.4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Fläcknycklar</t>
        </is>
      </c>
      <c r="V130">
        <f>HYPERLINK("https://klasma.github.io/Logging_2180/artfynd/S 399-2022 artfynd.xlsx", "S 399-2022")</f>
        <v/>
      </c>
      <c r="W130">
        <f>HYPERLINK("https://klasma.github.io/Logging_2180/kartor/S 399-2022 karta.png", "S 399-2022")</f>
        <v/>
      </c>
      <c r="Y130">
        <f>HYPERLINK("https://klasma.github.io/Logging_2180/klagomål/S 399-2022 FSC-klagomål.docx", "S 399-2022")</f>
        <v/>
      </c>
      <c r="Z130">
        <f>HYPERLINK("https://klasma.github.io/Logging_2180/klagomålsmail/S 399-2022 FSC-klagomål mail.docx", "S 399-2022")</f>
        <v/>
      </c>
      <c r="AA130">
        <f>HYPERLINK("https://klasma.github.io/Logging_2180/tillsyn/S 399-2022 tillsynsbegäran.docx", "S 399-2022")</f>
        <v/>
      </c>
      <c r="AB130">
        <f>HYPERLINK("https://klasma.github.io/Logging_2180/tillsynsmail/S 399-2022 tillsynsbegäran mail.docx", "S 399-2022")</f>
        <v/>
      </c>
    </row>
    <row r="131" ht="15" customHeight="1">
      <c r="A131" t="inlineStr">
        <is>
          <t>S 235-2025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45680</v>
      </c>
      <c r="E131" s="1" t="n">
        <v>46217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12.7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Tallticka</t>
        </is>
      </c>
      <c r="V131">
        <f>HYPERLINK("https://klasma.github.io/Logging_2180/artfynd/S 235-2025 artfynd.xlsx", "S 235-2025")</f>
        <v/>
      </c>
      <c r="W131">
        <f>HYPERLINK("https://klasma.github.io/Logging_2180/kartor/S 235-2025 karta.png", "S 235-2025")</f>
        <v/>
      </c>
      <c r="Y131">
        <f>HYPERLINK("https://klasma.github.io/Logging_2180/klagomål/S 235-2025 FSC-klagomål.docx", "S 235-2025")</f>
        <v/>
      </c>
      <c r="Z131">
        <f>HYPERLINK("https://klasma.github.io/Logging_2180/klagomålsmail/S 235-2025 FSC-klagomål mail.docx", "S 235-2025")</f>
        <v/>
      </c>
      <c r="AA131">
        <f>HYPERLINK("https://klasma.github.io/Logging_2180/tillsyn/S 235-2025 tillsynsbegäran.docx", "S 235-2025")</f>
        <v/>
      </c>
      <c r="AB131">
        <f>HYPERLINK("https://klasma.github.io/Logging_2180/tillsynsmail/S 235-2025 tillsynsbegäran mail.docx", "S 235-2025")</f>
        <v/>
      </c>
    </row>
    <row r="132" ht="15" customHeight="1">
      <c r="A132" t="inlineStr">
        <is>
          <t>S 3895-2024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45562</v>
      </c>
      <c r="E132" s="1" t="n">
        <v>46217</v>
      </c>
      <c r="F132" t="inlineStr">
        <is>
          <t>GÄVLEBORGS LÄN</t>
        </is>
      </c>
      <c r="G132" t="inlineStr">
        <is>
          <t>GÄVLE</t>
        </is>
      </c>
      <c r="I132" t="n">
        <v>14.3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16</v>
      </c>
      <c r="U132" s="2" t="inlineStr">
        <is>
          <t>Väddnätfjäril</t>
        </is>
      </c>
      <c r="V132">
        <f>HYPERLINK("https://klasma.github.io/Logging_2180/artfynd/S 3895-2024 artfynd.xlsx", "S 3895-2024")</f>
        <v/>
      </c>
      <c r="W132">
        <f>HYPERLINK("https://klasma.github.io/Logging_2180/kartor/S 3895-2024 karta.png", "S 3895-2024")</f>
        <v/>
      </c>
      <c r="Y132">
        <f>HYPERLINK("https://klasma.github.io/Logging_2180/klagomål/S 3895-2024 FSC-klagomål.docx", "S 3895-2024")</f>
        <v/>
      </c>
      <c r="Z132">
        <f>HYPERLINK("https://klasma.github.io/Logging_2180/klagomålsmail/S 3895-2024 FSC-klagomål mail.docx", "S 3895-2024")</f>
        <v/>
      </c>
      <c r="AA132">
        <f>HYPERLINK("https://klasma.github.io/Logging_2180/tillsyn/S 3895-2024 tillsynsbegäran.docx", "S 3895-2024")</f>
        <v/>
      </c>
      <c r="AB132">
        <f>HYPERLINK("https://klasma.github.io/Logging_2180/tillsynsmail/S 3895-2024 tillsynsbegäran mail.docx", "S 3895-2024")</f>
        <v/>
      </c>
    </row>
    <row r="133" ht="15" customHeight="1">
      <c r="A133" t="inlineStr">
        <is>
          <t>S 952-2026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46113</v>
      </c>
      <c r="E133" s="1" t="n">
        <v>46217</v>
      </c>
      <c r="F133" t="inlineStr">
        <is>
          <t>GÄVLEBORGS LÄN</t>
        </is>
      </c>
      <c r="G133" t="inlineStr">
        <is>
          <t>GÄVLE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s="2" t="inlineStr">
        <is>
          <t>Mosippa</t>
        </is>
      </c>
      <c r="V133">
        <f>HYPERLINK("https://klasma.github.io/Logging_2180/artfynd/S 952-2026 artfynd.xlsx", "S 952-2026")</f>
        <v/>
      </c>
      <c r="W133">
        <f>HYPERLINK("https://klasma.github.io/Logging_2180/kartor/S 952-2026 karta.png", "S 952-2026")</f>
        <v/>
      </c>
      <c r="Y133">
        <f>HYPERLINK("https://klasma.github.io/Logging_2180/klagomål/S 952-2026 FSC-klagomål.docx", "S 952-2026")</f>
        <v/>
      </c>
      <c r="Z133">
        <f>HYPERLINK("https://klasma.github.io/Logging_2180/klagomålsmail/S 952-2026 FSC-klagomål mail.docx", "S 952-2026")</f>
        <v/>
      </c>
      <c r="AA133">
        <f>HYPERLINK("https://klasma.github.io/Logging_2180/tillsyn/S 952-2026 tillsynsbegäran.docx", "S 952-2026")</f>
        <v/>
      </c>
      <c r="AB133">
        <f>HYPERLINK("https://klasma.github.io/Logging_2180/tillsynsmail/S 952-2026 tillsynsbegäran mail.docx", "S 952-2026")</f>
        <v/>
      </c>
    </row>
    <row r="134" ht="15" customHeight="1">
      <c r="A134" t="inlineStr">
        <is>
          <t>A 66494-2021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46217</v>
      </c>
      <c r="F134" t="inlineStr">
        <is>
          <t>GÄVLEBORGS LÄN</t>
        </is>
      </c>
      <c r="G134" t="inlineStr">
        <is>
          <t>GÄVLE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46217</v>
      </c>
      <c r="F135" t="inlineStr">
        <is>
          <t>GÄVLEBORGS LÄN</t>
        </is>
      </c>
      <c r="G135" t="inlineStr">
        <is>
          <t>GÄVLE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46217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46217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11235-2022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46217</v>
      </c>
      <c r="F138" t="inlineStr">
        <is>
          <t>GÄVLEBORGS LÄN</t>
        </is>
      </c>
      <c r="G138" t="inlineStr">
        <is>
          <t>GÄVLE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36768-2022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46217</v>
      </c>
      <c r="F139" t="inlineStr">
        <is>
          <t>GÄVLEBORGS LÄN</t>
        </is>
      </c>
      <c r="G139" t="inlineStr">
        <is>
          <t>GÄVLE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59810-2021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46217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26349-2022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44735</v>
      </c>
      <c r="E141" s="1" t="n">
        <v>46217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31535-2022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46217</v>
      </c>
      <c r="F142" t="inlineStr">
        <is>
          <t>GÄVLEBORGS LÄN</t>
        </is>
      </c>
      <c r="G142" t="inlineStr">
        <is>
          <t>GÄVLE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51809-2021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44462</v>
      </c>
      <c r="E143" s="1" t="n">
        <v>46217</v>
      </c>
      <c r="F143" t="inlineStr">
        <is>
          <t>GÄVLEBORGS LÄN</t>
        </is>
      </c>
      <c r="G143" t="inlineStr">
        <is>
          <t>GÄVLE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15704-2022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44663</v>
      </c>
      <c r="E144" s="1" t="n">
        <v>46217</v>
      </c>
      <c r="F144" t="inlineStr">
        <is>
          <t>GÄVLEBORGS LÄN</t>
        </is>
      </c>
      <c r="G144" t="inlineStr">
        <is>
          <t>GÄVLE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46217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46217</v>
      </c>
      <c r="F146" t="inlineStr">
        <is>
          <t>GÄVLEBORGS LÄN</t>
        </is>
      </c>
      <c r="G146" t="inlineStr">
        <is>
          <t>GÄVLE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29933-2022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44756</v>
      </c>
      <c r="E147" s="1" t="n">
        <v>46217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44813</v>
      </c>
      <c r="E148" s="1" t="n">
        <v>46217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16459-2022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46217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46217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50389-2021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46217</v>
      </c>
      <c r="F151" t="inlineStr">
        <is>
          <t>GÄVLEBORGS LÄN</t>
        </is>
      </c>
      <c r="G151" t="inlineStr">
        <is>
          <t>GÄVLE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44654-2021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44437</v>
      </c>
      <c r="E152" s="1" t="n">
        <v>46217</v>
      </c>
      <c r="F152" t="inlineStr">
        <is>
          <t>GÄVLEBORGS LÄN</t>
        </is>
      </c>
      <c r="G152" t="inlineStr">
        <is>
          <t>GÄVLE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46217</v>
      </c>
      <c r="F153" t="inlineStr">
        <is>
          <t>GÄVLEBORGS LÄN</t>
        </is>
      </c>
      <c r="G153" t="inlineStr">
        <is>
          <t>GÄVLE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26336-2022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46217</v>
      </c>
      <c r="F154" t="inlineStr">
        <is>
          <t>GÄVLEBORGS LÄN</t>
        </is>
      </c>
      <c r="G154" t="inlineStr">
        <is>
          <t>GÄVLE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15101-2022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46217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31773-2022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46217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46217</v>
      </c>
      <c r="F157" t="inlineStr">
        <is>
          <t>GÄVLEBORGS LÄN</t>
        </is>
      </c>
      <c r="G157" t="inlineStr">
        <is>
          <t>GÄVLE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39374-2021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46217</v>
      </c>
      <c r="F158" t="inlineStr">
        <is>
          <t>GÄVLEBORGS LÄN</t>
        </is>
      </c>
      <c r="G158" t="inlineStr">
        <is>
          <t>GÄVLE</t>
        </is>
      </c>
      <c r="H158" t="inlineStr">
        <is>
          <t>Kyrkan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46217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4349-2022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44589</v>
      </c>
      <c r="E160" s="1" t="n">
        <v>46217</v>
      </c>
      <c r="F160" t="inlineStr">
        <is>
          <t>GÄVLEBORGS LÄN</t>
        </is>
      </c>
      <c r="G160" t="inlineStr">
        <is>
          <t>GÄVLE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61352-2021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46217</v>
      </c>
      <c r="F161" t="inlineStr">
        <is>
          <t>GÄVLEBORGS LÄN</t>
        </is>
      </c>
      <c r="G161" t="inlineStr">
        <is>
          <t>GÄVLE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34871-2022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46217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33178-2022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44785</v>
      </c>
      <c r="E163" s="1" t="n">
        <v>46217</v>
      </c>
      <c r="F163" t="inlineStr">
        <is>
          <t>GÄVLEBORGS LÄN</t>
        </is>
      </c>
      <c r="G163" t="inlineStr">
        <is>
          <t>GÄVLE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46217</v>
      </c>
      <c r="F164" t="inlineStr">
        <is>
          <t>GÄVLEBORGS LÄN</t>
        </is>
      </c>
      <c r="G164" t="inlineStr">
        <is>
          <t>GÄVLE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45592-2022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46217</v>
      </c>
      <c r="F165" t="inlineStr">
        <is>
          <t>GÄVLEBORGS LÄN</t>
        </is>
      </c>
      <c r="G165" t="inlineStr">
        <is>
          <t>GÄVLE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45134-2021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46217</v>
      </c>
      <c r="F166" t="inlineStr">
        <is>
          <t>GÄVLEBORGS LÄN</t>
        </is>
      </c>
      <c r="G166" t="inlineStr">
        <is>
          <t>GÄVLE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47739-2021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44448</v>
      </c>
      <c r="E167" s="1" t="n">
        <v>46217</v>
      </c>
      <c r="F167" t="inlineStr">
        <is>
          <t>GÄVLEBORGS LÄN</t>
        </is>
      </c>
      <c r="G167" t="inlineStr">
        <is>
          <t>GÄVLE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45280-2022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44840</v>
      </c>
      <c r="E168" s="1" t="n">
        <v>46217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51249-2021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46217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33175-2022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46217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25938-2022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44734</v>
      </c>
      <c r="E171" s="1" t="n">
        <v>46217</v>
      </c>
      <c r="F171" t="inlineStr">
        <is>
          <t>GÄVLEBORGS LÄN</t>
        </is>
      </c>
      <c r="G171" t="inlineStr">
        <is>
          <t>GÄVLE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18181-2022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46217</v>
      </c>
      <c r="F172" t="inlineStr">
        <is>
          <t>GÄVLEBORGS LÄN</t>
        </is>
      </c>
      <c r="G172" t="inlineStr">
        <is>
          <t>GÄVLE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34706-2022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44795</v>
      </c>
      <c r="E173" s="1" t="n">
        <v>46217</v>
      </c>
      <c r="F173" t="inlineStr">
        <is>
          <t>GÄVLEBORGS LÄN</t>
        </is>
      </c>
      <c r="G173" t="inlineStr">
        <is>
          <t>GÄVLE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59515-2021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44491</v>
      </c>
      <c r="E174" s="1" t="n">
        <v>46217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9419-2025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46217</v>
      </c>
      <c r="F175" t="inlineStr">
        <is>
          <t>GÄVLEBORGS LÄN</t>
        </is>
      </c>
      <c r="G175" t="inlineStr">
        <is>
          <t>GÄVLE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9422-2025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46217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54207-2023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45232</v>
      </c>
      <c r="E177" s="1" t="n">
        <v>46217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49771-2022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46217</v>
      </c>
      <c r="F178" t="inlineStr">
        <is>
          <t>GÄVLEBORGS LÄN</t>
        </is>
      </c>
      <c r="G178" t="inlineStr">
        <is>
          <t>GÄVLE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25829-2024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45467</v>
      </c>
      <c r="E179" s="1" t="n">
        <v>46217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öst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46539-2021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44445</v>
      </c>
      <c r="E180" s="1" t="n">
        <v>46217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60879-2023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46217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34233-2023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46217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15207-2024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46217</v>
      </c>
      <c r="F183" t="inlineStr">
        <is>
          <t>GÄVLEBORGS LÄN</t>
        </is>
      </c>
      <c r="G183" t="inlineStr">
        <is>
          <t>GÄVLE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36638-2022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46217</v>
      </c>
      <c r="F184" t="inlineStr">
        <is>
          <t>GÄVLEBORGS LÄN</t>
        </is>
      </c>
      <c r="G184" t="inlineStr">
        <is>
          <t>GÄVLE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20689-2024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45436</v>
      </c>
      <c r="E185" s="1" t="n">
        <v>46217</v>
      </c>
      <c r="F185" t="inlineStr">
        <is>
          <t>GÄVLEBORGS LÄN</t>
        </is>
      </c>
      <c r="G185" t="inlineStr">
        <is>
          <t>GÄVLE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53082-2022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46217</v>
      </c>
      <c r="F186" t="inlineStr">
        <is>
          <t>GÄVLEBORGS LÄN</t>
        </is>
      </c>
      <c r="G186" t="inlineStr">
        <is>
          <t>GÄVLE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11691-2024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46217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46217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23587-2024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45454</v>
      </c>
      <c r="E189" s="1" t="n">
        <v>46217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44800-2024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46217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23638-2024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46217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59817-2023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46217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61351-2021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46217</v>
      </c>
      <c r="F193" t="inlineStr">
        <is>
          <t>GÄVLEBORGS LÄN</t>
        </is>
      </c>
      <c r="G193" t="inlineStr">
        <is>
          <t>GÄVLE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26131-2024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45468</v>
      </c>
      <c r="E194" s="1" t="n">
        <v>46217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46217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70043-2021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44533</v>
      </c>
      <c r="E196" s="1" t="n">
        <v>46217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2400-2023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44942</v>
      </c>
      <c r="E197" s="1" t="n">
        <v>46217</v>
      </c>
      <c r="F197" t="inlineStr">
        <is>
          <t>GÄVLEBORGS LÄN</t>
        </is>
      </c>
      <c r="G197" t="inlineStr">
        <is>
          <t>GÄVLE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35331-2024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45530</v>
      </c>
      <c r="E198" s="1" t="n">
        <v>46217</v>
      </c>
      <c r="F198" t="inlineStr">
        <is>
          <t>GÄVLEBORGS LÄN</t>
        </is>
      </c>
      <c r="G198" t="inlineStr">
        <is>
          <t>GÄVLE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47108-2024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46217</v>
      </c>
      <c r="F199" t="inlineStr">
        <is>
          <t>GÄVLEBORGS LÄN</t>
        </is>
      </c>
      <c r="G199" t="inlineStr">
        <is>
          <t>GÄVLE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46217</v>
      </c>
      <c r="F200" t="inlineStr">
        <is>
          <t>GÄVLEBORGS LÄN</t>
        </is>
      </c>
      <c r="G200" t="inlineStr">
        <is>
          <t>GÄVLE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32143-2024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45511</v>
      </c>
      <c r="E201" s="1" t="n">
        <v>46217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45628-2022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44845</v>
      </c>
      <c r="E202" s="1" t="n">
        <v>46217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37352-2024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46217</v>
      </c>
      <c r="F203" t="inlineStr">
        <is>
          <t>GÄVLEBORGS LÄN</t>
        </is>
      </c>
      <c r="G203" t="inlineStr">
        <is>
          <t>GÄVLE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45658</v>
      </c>
      <c r="E204" s="1" t="n">
        <v>46217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37258-2024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46217</v>
      </c>
      <c r="F205" t="inlineStr">
        <is>
          <t>GÄVLEBORGS LÄN</t>
        </is>
      </c>
      <c r="G205" t="inlineStr">
        <is>
          <t>GÄVLE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60801-2024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45644</v>
      </c>
      <c r="E206" s="1" t="n">
        <v>46217</v>
      </c>
      <c r="F206" t="inlineStr">
        <is>
          <t>GÄVLEBORGS LÄN</t>
        </is>
      </c>
      <c r="G206" t="inlineStr">
        <is>
          <t>GÄVLE</t>
        </is>
      </c>
      <c r="H206" t="inlineStr">
        <is>
          <t>Kyrkan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27787-2024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46217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65879-2021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46217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55976-2022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46217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10577-2023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44988</v>
      </c>
      <c r="E210" s="1" t="n">
        <v>46217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46217</v>
      </c>
      <c r="F211" t="inlineStr">
        <is>
          <t>GÄVLEBORGS LÄN</t>
        </is>
      </c>
      <c r="G211" t="inlineStr">
        <is>
          <t>GÄVLE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11429-2025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46217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46217</v>
      </c>
      <c r="F213" t="inlineStr">
        <is>
          <t>GÄVLEBORGS LÄN</t>
        </is>
      </c>
      <c r="G213" t="inlineStr">
        <is>
          <t>GÄVLE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14606-2025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45742</v>
      </c>
      <c r="E214" s="1" t="n">
        <v>46217</v>
      </c>
      <c r="F214" t="inlineStr">
        <is>
          <t>GÄVLEBORGS LÄN</t>
        </is>
      </c>
      <c r="G214" t="inlineStr">
        <is>
          <t>GÄVLE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19555-2022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44693</v>
      </c>
      <c r="E215" s="1" t="n">
        <v>46217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51876-2023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45223</v>
      </c>
      <c r="E216" s="1" t="n">
        <v>46217</v>
      </c>
      <c r="F216" t="inlineStr">
        <is>
          <t>GÄVLEBORGS LÄN</t>
        </is>
      </c>
      <c r="G216" t="inlineStr">
        <is>
          <t>GÄVLE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38673-2024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46217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18017-2023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46217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61880-2024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45652</v>
      </c>
      <c r="E219" s="1" t="n">
        <v>46217</v>
      </c>
      <c r="F219" t="inlineStr">
        <is>
          <t>GÄVLEBORGS LÄN</t>
        </is>
      </c>
      <c r="G219" t="inlineStr">
        <is>
          <t>GÄVLE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16624-2023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45030</v>
      </c>
      <c r="E220" s="1" t="n">
        <v>46217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19095-2022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44691</v>
      </c>
      <c r="E221" s="1" t="n">
        <v>46217</v>
      </c>
      <c r="F221" t="inlineStr">
        <is>
          <t>GÄVLEBORGS LÄN</t>
        </is>
      </c>
      <c r="G221" t="inlineStr">
        <is>
          <t>GÄVLE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15312-2023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46217</v>
      </c>
      <c r="F222" t="inlineStr">
        <is>
          <t>GÄVLEBORGS LÄN</t>
        </is>
      </c>
      <c r="G222" t="inlineStr">
        <is>
          <t>GÄVLE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4294-2024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45324</v>
      </c>
      <c r="E223" s="1" t="n">
        <v>46217</v>
      </c>
      <c r="F223" t="inlineStr">
        <is>
          <t>GÄVLEBORGS LÄN</t>
        </is>
      </c>
      <c r="G223" t="inlineStr">
        <is>
          <t>GÄVLE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64871-2023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45282</v>
      </c>
      <c r="E224" s="1" t="n">
        <v>46217</v>
      </c>
      <c r="F224" t="inlineStr">
        <is>
          <t>GÄVLEBORGS LÄN</t>
        </is>
      </c>
      <c r="G224" t="inlineStr">
        <is>
          <t>GÄVLE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64875-2023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45282</v>
      </c>
      <c r="E225" s="1" t="n">
        <v>46217</v>
      </c>
      <c r="F225" t="inlineStr">
        <is>
          <t>GÄVLEBORGS LÄN</t>
        </is>
      </c>
      <c r="G225" t="inlineStr">
        <is>
          <t>GÄVLE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3714-2023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44951</v>
      </c>
      <c r="E226" s="1" t="n">
        <v>46217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44951</v>
      </c>
      <c r="E227" s="1" t="n">
        <v>46217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22577-2022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44713</v>
      </c>
      <c r="E228" s="1" t="n">
        <v>46217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10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46217</v>
      </c>
      <c r="F229" t="inlineStr">
        <is>
          <t>GÄVLEBORGS LÄN</t>
        </is>
      </c>
      <c r="G229" t="inlineStr">
        <is>
          <t>GÄVLE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24478-2023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45082</v>
      </c>
      <c r="E230" s="1" t="n">
        <v>46217</v>
      </c>
      <c r="F230" t="inlineStr">
        <is>
          <t>GÄVLEBORGS LÄN</t>
        </is>
      </c>
      <c r="G230" t="inlineStr">
        <is>
          <t>GÄVLE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21795-2022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44708</v>
      </c>
      <c r="E231" s="1" t="n">
        <v>46217</v>
      </c>
      <c r="F231" t="inlineStr">
        <is>
          <t>GÄVLEBORGS LÄN</t>
        </is>
      </c>
      <c r="G231" t="inlineStr">
        <is>
          <t>GÄVLE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36516-2025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45869</v>
      </c>
      <c r="E232" s="1" t="n">
        <v>46217</v>
      </c>
      <c r="F232" t="inlineStr">
        <is>
          <t>GÄVLEBORGS LÄN</t>
        </is>
      </c>
      <c r="G232" t="inlineStr">
        <is>
          <t>GÄVLE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6367-2025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45699</v>
      </c>
      <c r="E233" s="1" t="n">
        <v>46217</v>
      </c>
      <c r="F233" t="inlineStr">
        <is>
          <t>GÄVLEBORGS LÄN</t>
        </is>
      </c>
      <c r="G233" t="inlineStr">
        <is>
          <t>GÄVLE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36493-2025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45869</v>
      </c>
      <c r="E234" s="1" t="n">
        <v>46217</v>
      </c>
      <c r="F234" t="inlineStr">
        <is>
          <t>GÄVLEBORGS LÄN</t>
        </is>
      </c>
      <c r="G234" t="inlineStr">
        <is>
          <t>GÄVLE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25276-2024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45462</v>
      </c>
      <c r="E235" s="1" t="n">
        <v>46217</v>
      </c>
      <c r="F235" t="inlineStr">
        <is>
          <t>GÄVLEBORGS LÄN</t>
        </is>
      </c>
      <c r="G235" t="inlineStr">
        <is>
          <t>GÄVLE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49380-2024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45595</v>
      </c>
      <c r="E236" s="1" t="n">
        <v>46217</v>
      </c>
      <c r="F236" t="inlineStr">
        <is>
          <t>GÄVLEBORGS LÄN</t>
        </is>
      </c>
      <c r="G236" t="inlineStr">
        <is>
          <t>GÄVLE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25593-2024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45463</v>
      </c>
      <c r="E237" s="1" t="n">
        <v>46217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öst AB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38627-2025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46217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36680-2025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45873</v>
      </c>
      <c r="E239" s="1" t="n">
        <v>46217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53281-2024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46217</v>
      </c>
      <c r="F240" t="inlineStr">
        <is>
          <t>GÄVLEBORGS LÄN</t>
        </is>
      </c>
      <c r="G240" t="inlineStr">
        <is>
          <t>GÄVLE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14365-2026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46100</v>
      </c>
      <c r="E241" s="1" t="n">
        <v>46217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19714-2026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46217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19715-2026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46134</v>
      </c>
      <c r="E243" s="1" t="n">
        <v>46217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13499-2026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46217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38240-2024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45545</v>
      </c>
      <c r="E245" s="1" t="n">
        <v>46217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19712-2026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46217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19711-2026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46134</v>
      </c>
      <c r="E247" s="1" t="n">
        <v>46217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25829-2026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46217</v>
      </c>
      <c r="F248" t="inlineStr">
        <is>
          <t>GÄVLEBORGS LÄN</t>
        </is>
      </c>
      <c r="G248" t="inlineStr">
        <is>
          <t>GÄVLE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14093-2025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45740</v>
      </c>
      <c r="E249" s="1" t="n">
        <v>46217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17062-2023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45034</v>
      </c>
      <c r="E250" s="1" t="n">
        <v>46217</v>
      </c>
      <c r="F250" t="inlineStr">
        <is>
          <t>GÄVLEBORGS LÄN</t>
        </is>
      </c>
      <c r="G250" t="inlineStr">
        <is>
          <t>GÄVLE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14355-2026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46100</v>
      </c>
      <c r="E251" s="1" t="n">
        <v>46217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44000-2025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46217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öst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25808-2026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46217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19713-2026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46217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19716-2026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46134</v>
      </c>
      <c r="E255" s="1" t="n">
        <v>46217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12386-2026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46090</v>
      </c>
      <c r="E256" s="1" t="n">
        <v>46217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25623-2026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46177</v>
      </c>
      <c r="E257" s="1" t="n">
        <v>46217</v>
      </c>
      <c r="F257" t="inlineStr">
        <is>
          <t>GÄVLEBORGS LÄN</t>
        </is>
      </c>
      <c r="G257" t="inlineStr">
        <is>
          <t>GÄVLE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38516-2025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46217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46217</v>
      </c>
      <c r="F259" t="inlineStr">
        <is>
          <t>GÄVLEBORGS LÄN</t>
        </is>
      </c>
      <c r="G259" t="inlineStr">
        <is>
          <t>GÄVLE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46177</v>
      </c>
      <c r="E260" s="1" t="n">
        <v>46217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39878-2025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45891</v>
      </c>
      <c r="E261" s="1" t="n">
        <v>46217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25582-2026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46217</v>
      </c>
      <c r="F262" t="inlineStr">
        <is>
          <t>GÄVLEBORGS LÄN</t>
        </is>
      </c>
      <c r="G262" t="inlineStr">
        <is>
          <t>GÄVLE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40316-2025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46217</v>
      </c>
      <c r="F263" t="inlineStr">
        <is>
          <t>GÄVLEBORGS LÄN</t>
        </is>
      </c>
      <c r="G263" t="inlineStr">
        <is>
          <t>GÄVLE</t>
        </is>
      </c>
      <c r="H263" t="inlineStr">
        <is>
          <t>Kyrkan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25466-2023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45089</v>
      </c>
      <c r="E264" s="1" t="n">
        <v>46217</v>
      </c>
      <c r="F264" t="inlineStr">
        <is>
          <t>GÄVLEBORGS LÄN</t>
        </is>
      </c>
      <c r="G264" t="inlineStr">
        <is>
          <t>GÄVLE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25513-2026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46217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40297-2025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45895</v>
      </c>
      <c r="E266" s="1" t="n">
        <v>46217</v>
      </c>
      <c r="F266" t="inlineStr">
        <is>
          <t>GÄVLEBORGS LÄN</t>
        </is>
      </c>
      <c r="G266" t="inlineStr">
        <is>
          <t>GÄVLE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40549-2025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45896</v>
      </c>
      <c r="E267" s="1" t="n">
        <v>46217</v>
      </c>
      <c r="F267" t="inlineStr">
        <is>
          <t>GÄVLEBORGS LÄN</t>
        </is>
      </c>
      <c r="G267" t="inlineStr">
        <is>
          <t>GÄVLE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41302-2025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46217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9.699999999999999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46217</v>
      </c>
      <c r="F269" t="inlineStr">
        <is>
          <t>GÄVLEBORGS LÄN</t>
        </is>
      </c>
      <c r="G269" t="inlineStr">
        <is>
          <t>GÄVLE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41046-2025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46217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41047-2025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46217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45672</v>
      </c>
      <c r="E272" s="1" t="n">
        <v>46217</v>
      </c>
      <c r="F272" t="inlineStr">
        <is>
          <t>GÄVLEBORGS LÄN</t>
        </is>
      </c>
      <c r="G272" t="inlineStr">
        <is>
          <t>GÄVLE</t>
        </is>
      </c>
      <c r="H272" t="inlineStr">
        <is>
          <t>Kyrkan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15689-2026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46217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öst AB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40882-2025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45897</v>
      </c>
      <c r="E274" s="1" t="n">
        <v>46217</v>
      </c>
      <c r="F274" t="inlineStr">
        <is>
          <t>GÄVLEBORGS LÄN</t>
        </is>
      </c>
      <c r="G274" t="inlineStr">
        <is>
          <t>GÄVLE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40992-2025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46217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1244-2023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44936</v>
      </c>
      <c r="E276" s="1" t="n">
        <v>46217</v>
      </c>
      <c r="F276" t="inlineStr">
        <is>
          <t>GÄVLEBORGS LÄN</t>
        </is>
      </c>
      <c r="G276" t="inlineStr">
        <is>
          <t>GÄVLE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38132-2025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45882</v>
      </c>
      <c r="E277" s="1" t="n">
        <v>46217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41083-2025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46217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40993-2025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46217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66351-2021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44518</v>
      </c>
      <c r="E280" s="1" t="n">
        <v>46217</v>
      </c>
      <c r="F280" t="inlineStr">
        <is>
          <t>GÄVLEBORGS LÄN</t>
        </is>
      </c>
      <c r="G280" t="inlineStr">
        <is>
          <t>GÄVLE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41683-2025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45902</v>
      </c>
      <c r="E281" s="1" t="n">
        <v>46217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24724-2023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45084</v>
      </c>
      <c r="E282" s="1" t="n">
        <v>46217</v>
      </c>
      <c r="F282" t="inlineStr">
        <is>
          <t>GÄVLEBORGS LÄN</t>
        </is>
      </c>
      <c r="G282" t="inlineStr">
        <is>
          <t>GÄVLE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30104-2024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45485</v>
      </c>
      <c r="E283" s="1" t="n">
        <v>46217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15939-2025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46217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36512-2025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45869</v>
      </c>
      <c r="E285" s="1" t="n">
        <v>46217</v>
      </c>
      <c r="F285" t="inlineStr">
        <is>
          <t>GÄVLEBORGS LÄN</t>
        </is>
      </c>
      <c r="G285" t="inlineStr">
        <is>
          <t>GÄVLE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57928-2024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45631</v>
      </c>
      <c r="E286" s="1" t="n">
        <v>46217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10.9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62255-2022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44922</v>
      </c>
      <c r="E287" s="1" t="n">
        <v>46217</v>
      </c>
      <c r="F287" t="inlineStr">
        <is>
          <t>GÄVLEBORGS LÄN</t>
        </is>
      </c>
      <c r="G287" t="inlineStr">
        <is>
          <t>GÄVLE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42557-2025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46217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25532-2023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45089</v>
      </c>
      <c r="E289" s="1" t="n">
        <v>46217</v>
      </c>
      <c r="F289" t="inlineStr">
        <is>
          <t>GÄVLEBORGS LÄN</t>
        </is>
      </c>
      <c r="G289" t="inlineStr">
        <is>
          <t>GÄVLE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35916-2025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45862</v>
      </c>
      <c r="E290" s="1" t="n">
        <v>46217</v>
      </c>
      <c r="F290" t="inlineStr">
        <is>
          <t>GÄVLEBORGS LÄN</t>
        </is>
      </c>
      <c r="G290" t="inlineStr">
        <is>
          <t>GÄVLE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9378-2025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45715</v>
      </c>
      <c r="E291" s="1" t="n">
        <v>46217</v>
      </c>
      <c r="F291" t="inlineStr">
        <is>
          <t>GÄVLEBORGS LÄN</t>
        </is>
      </c>
      <c r="G291" t="inlineStr">
        <is>
          <t>GÄVLE</t>
        </is>
      </c>
      <c r="H291" t="inlineStr">
        <is>
          <t>Kyrkan</t>
        </is>
      </c>
      <c r="I291" t="n">
        <v>8.1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6331-2022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44600</v>
      </c>
      <c r="E292" s="1" t="n">
        <v>46217</v>
      </c>
      <c r="F292" t="inlineStr">
        <is>
          <t>GÄVLEBORGS LÄN</t>
        </is>
      </c>
      <c r="G292" t="inlineStr">
        <is>
          <t>GÄVLE</t>
        </is>
      </c>
      <c r="H292" t="inlineStr">
        <is>
          <t>Kyrkan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43087-2025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45909</v>
      </c>
      <c r="E293" s="1" t="n">
        <v>46217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43097-2025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45909</v>
      </c>
      <c r="E294" s="1" t="n">
        <v>46217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42907-2025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46217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43085-2025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45909</v>
      </c>
      <c r="E296" s="1" t="n">
        <v>46217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43089-2025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46217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14807-2023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45014</v>
      </c>
      <c r="E298" s="1" t="n">
        <v>46217</v>
      </c>
      <c r="F298" t="inlineStr">
        <is>
          <t>GÄVLEBORGS LÄN</t>
        </is>
      </c>
      <c r="G298" t="inlineStr">
        <is>
          <t>GÄVLE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43356-2025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46217</v>
      </c>
      <c r="F299" t="inlineStr">
        <is>
          <t>GÄVLEBORGS LÄN</t>
        </is>
      </c>
      <c r="G299" t="inlineStr">
        <is>
          <t>GÄVLE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10487-2026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46077</v>
      </c>
      <c r="E300" s="1" t="n">
        <v>46217</v>
      </c>
      <c r="F300" t="inlineStr">
        <is>
          <t>GÄVLEBORGS LÄN</t>
        </is>
      </c>
      <c r="G300" t="inlineStr">
        <is>
          <t>GÄVLE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31062-2023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45113</v>
      </c>
      <c r="E301" s="1" t="n">
        <v>46217</v>
      </c>
      <c r="F301" t="inlineStr">
        <is>
          <t>GÄVLEBORGS LÄN</t>
        </is>
      </c>
      <c r="G301" t="inlineStr">
        <is>
          <t>GÄVLE</t>
        </is>
      </c>
      <c r="H301" t="inlineStr">
        <is>
          <t>Kommuner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44060-2025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46217</v>
      </c>
      <c r="F302" t="inlineStr">
        <is>
          <t>GÄVLEBORGS LÄN</t>
        </is>
      </c>
      <c r="G302" t="inlineStr">
        <is>
          <t>GÄVLE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15536-2026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46217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22.4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15647-2026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46217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16076-2026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46217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57570-2024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45630</v>
      </c>
      <c r="E306" s="1" t="n">
        <v>46217</v>
      </c>
      <c r="F306" t="inlineStr">
        <is>
          <t>GÄVLEBORGS LÄN</t>
        </is>
      </c>
      <c r="G306" t="inlineStr">
        <is>
          <t>GÄVLE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15101-2025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45744</v>
      </c>
      <c r="E307" s="1" t="n">
        <v>46217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43556-2023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46217</v>
      </c>
      <c r="F308" t="inlineStr">
        <is>
          <t>GÄVLEBORGS LÄN</t>
        </is>
      </c>
      <c r="G308" t="inlineStr">
        <is>
          <t>GÄVLE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39022-2025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46217</v>
      </c>
      <c r="F309" t="inlineStr">
        <is>
          <t>GÄVLEBORGS LÄN</t>
        </is>
      </c>
      <c r="G309" t="inlineStr">
        <is>
          <t>GÄVLE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15801-2026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46217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19730-2022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44694</v>
      </c>
      <c r="E311" s="1" t="n">
        <v>46217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46011-2025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46217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20589-2026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46217</v>
      </c>
      <c r="F313" t="inlineStr">
        <is>
          <t>GÄVLEBORGS LÄN</t>
        </is>
      </c>
      <c r="G313" t="inlineStr">
        <is>
          <t>GÄVLE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45850-2025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45923</v>
      </c>
      <c r="E314" s="1" t="n">
        <v>46217</v>
      </c>
      <c r="F314" t="inlineStr">
        <is>
          <t>GÄVLEBORGS LÄN</t>
        </is>
      </c>
      <c r="G314" t="inlineStr">
        <is>
          <t>GÄVLE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40530-2025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45896</v>
      </c>
      <c r="E315" s="1" t="n">
        <v>46217</v>
      </c>
      <c r="F315" t="inlineStr">
        <is>
          <t>GÄVLEBORGS LÄN</t>
        </is>
      </c>
      <c r="G315" t="inlineStr">
        <is>
          <t>GÄVLE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46133-2025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46217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58370-2024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45632</v>
      </c>
      <c r="E317" s="1" t="n">
        <v>46217</v>
      </c>
      <c r="F317" t="inlineStr">
        <is>
          <t>GÄVLEBORGS LÄN</t>
        </is>
      </c>
      <c r="G317" t="inlineStr">
        <is>
          <t>GÄVLE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46724-2025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45926</v>
      </c>
      <c r="E318" s="1" t="n">
        <v>46217</v>
      </c>
      <c r="F318" t="inlineStr">
        <is>
          <t>GÄVLEBORGS LÄN</t>
        </is>
      </c>
      <c r="G318" t="inlineStr">
        <is>
          <t>GÄVLE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46552-2025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45926</v>
      </c>
      <c r="E319" s="1" t="n">
        <v>46217</v>
      </c>
      <c r="F319" t="inlineStr">
        <is>
          <t>GÄVLEBORGS LÄN</t>
        </is>
      </c>
      <c r="G319" t="inlineStr">
        <is>
          <t>GÄVLE</t>
        </is>
      </c>
      <c r="H319" t="inlineStr">
        <is>
          <t>Kyrkan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45660</v>
      </c>
      <c r="E320" s="1" t="n">
        <v>46217</v>
      </c>
      <c r="F320" t="inlineStr">
        <is>
          <t>GÄVLEBORGS LÄN</t>
        </is>
      </c>
      <c r="G320" t="inlineStr">
        <is>
          <t>GÄVLE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26094-2025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45805</v>
      </c>
      <c r="E321" s="1" t="n">
        <v>46217</v>
      </c>
      <c r="F321" t="inlineStr">
        <is>
          <t>GÄVLEBORGS LÄN</t>
        </is>
      </c>
      <c r="G321" t="inlineStr">
        <is>
          <t>GÄVLE</t>
        </is>
      </c>
      <c r="I321" t="n">
        <v>12.4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15275-2026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46217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15.2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15324-2026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46217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46783-2025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46217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46790-2025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45926</v>
      </c>
      <c r="E325" s="1" t="n">
        <v>46217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15799-2026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46217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15835-2026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46217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9025-2026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46217</v>
      </c>
      <c r="F328" t="inlineStr">
        <is>
          <t>GÄVLEBORGS LÄN</t>
        </is>
      </c>
      <c r="G328" t="inlineStr">
        <is>
          <t>GÄVLE</t>
        </is>
      </c>
      <c r="I328" t="n">
        <v>12.7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29923-2022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44756</v>
      </c>
      <c r="E329" s="1" t="n">
        <v>46217</v>
      </c>
      <c r="F329" t="inlineStr">
        <is>
          <t>GÄVLEBORGS LÄN</t>
        </is>
      </c>
      <c r="G329" t="inlineStr">
        <is>
          <t>GÄVLE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29927-2022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44756</v>
      </c>
      <c r="E330" s="1" t="n">
        <v>46217</v>
      </c>
      <c r="F330" t="inlineStr">
        <is>
          <t>GÄVLEBORGS LÄN</t>
        </is>
      </c>
      <c r="G330" t="inlineStr">
        <is>
          <t>GÄVLE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47171-2025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45930</v>
      </c>
      <c r="E331" s="1" t="n">
        <v>46217</v>
      </c>
      <c r="F331" t="inlineStr">
        <is>
          <t>GÄVLEBORGS LÄN</t>
        </is>
      </c>
      <c r="G331" t="inlineStr">
        <is>
          <t>GÄVLE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47172-2025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46217</v>
      </c>
      <c r="F332" t="inlineStr">
        <is>
          <t>GÄVLEBORGS LÄN</t>
        </is>
      </c>
      <c r="G332" t="inlineStr">
        <is>
          <t>GÄVLE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14801-2023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45014</v>
      </c>
      <c r="E333" s="1" t="n">
        <v>46217</v>
      </c>
      <c r="F333" t="inlineStr">
        <is>
          <t>GÄVLEBORGS LÄN</t>
        </is>
      </c>
      <c r="G333" t="inlineStr">
        <is>
          <t>GÄVLE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48004-2025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45932</v>
      </c>
      <c r="E334" s="1" t="n">
        <v>46217</v>
      </c>
      <c r="F334" t="inlineStr">
        <is>
          <t>GÄVLEBORGS LÄN</t>
        </is>
      </c>
      <c r="G334" t="inlineStr">
        <is>
          <t>GÄVLE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47994-2025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46217</v>
      </c>
      <c r="F335" t="inlineStr">
        <is>
          <t>GÄVLEBORGS LÄN</t>
        </is>
      </c>
      <c r="G335" t="inlineStr">
        <is>
          <t>GÄVLE</t>
        </is>
      </c>
      <c r="I335" t="n">
        <v>10.1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47612-2025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45931</v>
      </c>
      <c r="E336" s="1" t="n">
        <v>46217</v>
      </c>
      <c r="F336" t="inlineStr">
        <is>
          <t>GÄVLEBORGS LÄN</t>
        </is>
      </c>
      <c r="G336" t="inlineStr">
        <is>
          <t>GÄVLE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47602-2025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45931</v>
      </c>
      <c r="E337" s="1" t="n">
        <v>46217</v>
      </c>
      <c r="F337" t="inlineStr">
        <is>
          <t>GÄVLEBORGS LÄN</t>
        </is>
      </c>
      <c r="G337" t="inlineStr">
        <is>
          <t>GÄVLE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61879-2024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45652</v>
      </c>
      <c r="E338" s="1" t="n">
        <v>46217</v>
      </c>
      <c r="F338" t="inlineStr">
        <is>
          <t>GÄVLEBORGS LÄN</t>
        </is>
      </c>
      <c r="G338" t="inlineStr">
        <is>
          <t>GÄVLE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48002-2025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45932</v>
      </c>
      <c r="E339" s="1" t="n">
        <v>46217</v>
      </c>
      <c r="F339" t="inlineStr">
        <is>
          <t>GÄVLEBORGS LÄN</t>
        </is>
      </c>
      <c r="G339" t="inlineStr">
        <is>
          <t>GÄVLE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48246-2025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46217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48251-2025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45933</v>
      </c>
      <c r="E341" s="1" t="n">
        <v>46217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45686</v>
      </c>
      <c r="E342" s="1" t="n">
        <v>46217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35205-2024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45530</v>
      </c>
      <c r="E343" s="1" t="n">
        <v>46217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48249-2025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45933</v>
      </c>
      <c r="E344" s="1" t="n">
        <v>46217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48117-2025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45933</v>
      </c>
      <c r="E345" s="1" t="n">
        <v>46217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7441-2025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45705</v>
      </c>
      <c r="E346" s="1" t="n">
        <v>46217</v>
      </c>
      <c r="F346" t="inlineStr">
        <is>
          <t>GÄVLEBORGS LÄN</t>
        </is>
      </c>
      <c r="G346" t="inlineStr">
        <is>
          <t>GÄVLE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21966-2025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45784</v>
      </c>
      <c r="E347" s="1" t="n">
        <v>46217</v>
      </c>
      <c r="F347" t="inlineStr">
        <is>
          <t>GÄVLEBORGS LÄN</t>
        </is>
      </c>
      <c r="G347" t="inlineStr">
        <is>
          <t>GÄVLE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49384-2025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46217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48986-2025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45937</v>
      </c>
      <c r="E349" s="1" t="n">
        <v>46217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26016-2026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46217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25645-2023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45089</v>
      </c>
      <c r="E351" s="1" t="n">
        <v>46217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46217</v>
      </c>
      <c r="F352" t="inlineStr">
        <is>
          <t>GÄVLEBORGS LÄN</t>
        </is>
      </c>
      <c r="G352" t="inlineStr">
        <is>
          <t>GÄVLE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9331-2026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46070</v>
      </c>
      <c r="E353" s="1" t="n">
        <v>46217</v>
      </c>
      <c r="F353" t="inlineStr">
        <is>
          <t>GÄVLEBORGS LÄN</t>
        </is>
      </c>
      <c r="G353" t="inlineStr">
        <is>
          <t>GÄVLE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45660</v>
      </c>
      <c r="E354" s="1" t="n">
        <v>46217</v>
      </c>
      <c r="F354" t="inlineStr">
        <is>
          <t>GÄVLEBORGS LÄN</t>
        </is>
      </c>
      <c r="G354" t="inlineStr">
        <is>
          <t>GÄVLE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45660</v>
      </c>
      <c r="E355" s="1" t="n">
        <v>46217</v>
      </c>
      <c r="F355" t="inlineStr">
        <is>
          <t>GÄVLEBORGS LÄN</t>
        </is>
      </c>
      <c r="G355" t="inlineStr">
        <is>
          <t>GÄVLE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44369-2025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45916</v>
      </c>
      <c r="E356" s="1" t="n">
        <v>46217</v>
      </c>
      <c r="F356" t="inlineStr">
        <is>
          <t>GÄVLEBORGS LÄN</t>
        </is>
      </c>
      <c r="G356" t="inlineStr">
        <is>
          <t>GÄVLE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28375-2025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45818</v>
      </c>
      <c r="E357" s="1" t="n">
        <v>46217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49510-2025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46217</v>
      </c>
      <c r="F358" t="inlineStr">
        <is>
          <t>GÄVLEBORGS LÄN</t>
        </is>
      </c>
      <c r="G358" t="inlineStr">
        <is>
          <t>GÄVLE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10521-2026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46217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49934-2025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45940</v>
      </c>
      <c r="E360" s="1" t="n">
        <v>46217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49842-2025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45940</v>
      </c>
      <c r="E361" s="1" t="n">
        <v>46217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41708-2023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45176</v>
      </c>
      <c r="E362" s="1" t="n">
        <v>46217</v>
      </c>
      <c r="F362" t="inlineStr">
        <is>
          <t>GÄVLEBORGS LÄN</t>
        </is>
      </c>
      <c r="G362" t="inlineStr">
        <is>
          <t>GÄVLE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41712-2023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45176</v>
      </c>
      <c r="E363" s="1" t="n">
        <v>46217</v>
      </c>
      <c r="F363" t="inlineStr">
        <is>
          <t>GÄVLEBORGS LÄN</t>
        </is>
      </c>
      <c r="G363" t="inlineStr">
        <is>
          <t>GÄVLE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49511-2025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46217</v>
      </c>
      <c r="F364" t="inlineStr">
        <is>
          <t>GÄVLEBORGS LÄN</t>
        </is>
      </c>
      <c r="G364" t="inlineStr">
        <is>
          <t>GÄVLE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45681</v>
      </c>
      <c r="E365" s="1" t="n">
        <v>46217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8031-2024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45350</v>
      </c>
      <c r="E366" s="1" t="n">
        <v>46217</v>
      </c>
      <c r="F366" t="inlineStr">
        <is>
          <t>GÄVLEBORGS LÄN</t>
        </is>
      </c>
      <c r="G366" t="inlineStr">
        <is>
          <t>GÄVLE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7792-2023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44973</v>
      </c>
      <c r="E367" s="1" t="n">
        <v>46217</v>
      </c>
      <c r="F367" t="inlineStr">
        <is>
          <t>GÄVLEBORGS LÄN</t>
        </is>
      </c>
      <c r="G367" t="inlineStr">
        <is>
          <t>GÄVLE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4482-2022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44589</v>
      </c>
      <c r="E368" s="1" t="n">
        <v>46217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50177-2025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45943</v>
      </c>
      <c r="E369" s="1" t="n">
        <v>46217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50356-2025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45944</v>
      </c>
      <c r="E370" s="1" t="n">
        <v>46217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56487-2023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46217</v>
      </c>
      <c r="F371" t="inlineStr">
        <is>
          <t>GÄVLEBORGS LÄN</t>
        </is>
      </c>
      <c r="G371" t="inlineStr">
        <is>
          <t>GÄVLE</t>
        </is>
      </c>
      <c r="I371" t="n">
        <v>8.699999999999999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50345-2025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45944</v>
      </c>
      <c r="E372" s="1" t="n">
        <v>46217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28005-2025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45817</v>
      </c>
      <c r="E373" s="1" t="n">
        <v>46217</v>
      </c>
      <c r="F373" t="inlineStr">
        <is>
          <t>GÄVLEBORGS LÄN</t>
        </is>
      </c>
      <c r="G373" t="inlineStr">
        <is>
          <t>GÄVLE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46217</v>
      </c>
      <c r="F374" t="inlineStr">
        <is>
          <t>GÄVLEBORGS LÄN</t>
        </is>
      </c>
      <c r="G374" t="inlineStr">
        <is>
          <t>GÄVLE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50537-2025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46217</v>
      </c>
      <c r="F375" t="inlineStr">
        <is>
          <t>GÄVLEBORGS LÄN</t>
        </is>
      </c>
      <c r="G375" t="inlineStr">
        <is>
          <t>GÄVLE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71249-2021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46217</v>
      </c>
      <c r="F376" t="inlineStr">
        <is>
          <t>GÄVLEBORGS LÄN</t>
        </is>
      </c>
      <c r="G376" t="inlineStr">
        <is>
          <t>GÄVLE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51758-2025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45950</v>
      </c>
      <c r="E377" s="1" t="n">
        <v>46217</v>
      </c>
      <c r="F377" t="inlineStr">
        <is>
          <t>GÄVLEBORGS LÄN</t>
        </is>
      </c>
      <c r="G377" t="inlineStr">
        <is>
          <t>GÄVLE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16023-2023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45026</v>
      </c>
      <c r="E378" s="1" t="n">
        <v>46217</v>
      </c>
      <c r="F378" t="inlineStr">
        <is>
          <t>GÄVLEBORGS LÄN</t>
        </is>
      </c>
      <c r="G378" t="inlineStr">
        <is>
          <t>GÄVLE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15092-2026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46217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51893-2025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45952</v>
      </c>
      <c r="E380" s="1" t="n">
        <v>46217</v>
      </c>
      <c r="F380" t="inlineStr">
        <is>
          <t>GÄVLEBORGS LÄN</t>
        </is>
      </c>
      <c r="G380" t="inlineStr">
        <is>
          <t>GÄVLE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57341-2023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45245</v>
      </c>
      <c r="E381" s="1" t="n">
        <v>46217</v>
      </c>
      <c r="F381" t="inlineStr">
        <is>
          <t>GÄVLEBORGS LÄN</t>
        </is>
      </c>
      <c r="G381" t="inlineStr">
        <is>
          <t>GÄVLE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3615-2024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45320</v>
      </c>
      <c r="E382" s="1" t="n">
        <v>46217</v>
      </c>
      <c r="F382" t="inlineStr">
        <is>
          <t>GÄVLEBORGS LÄN</t>
        </is>
      </c>
      <c r="G382" t="inlineStr">
        <is>
          <t>GÄVLE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14792-2023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45014</v>
      </c>
      <c r="E383" s="1" t="n">
        <v>46217</v>
      </c>
      <c r="F383" t="inlineStr">
        <is>
          <t>GÄVLEBORGS LÄN</t>
        </is>
      </c>
      <c r="G383" t="inlineStr">
        <is>
          <t>GÄVLE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52156-2025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45953</v>
      </c>
      <c r="E384" s="1" t="n">
        <v>46217</v>
      </c>
      <c r="F384" t="inlineStr">
        <is>
          <t>GÄVLEBORGS LÄN</t>
        </is>
      </c>
      <c r="G384" t="inlineStr">
        <is>
          <t>GÄVLE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48247-2025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45933</v>
      </c>
      <c r="E385" s="1" t="n">
        <v>46217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52801-2025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46217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52897-2025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45957</v>
      </c>
      <c r="E387" s="1" t="n">
        <v>46217</v>
      </c>
      <c r="F387" t="inlineStr">
        <is>
          <t>GÄVLEBORGS LÄN</t>
        </is>
      </c>
      <c r="G387" t="inlineStr">
        <is>
          <t>GÄVLE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42592-2025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46217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11643-2025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45727</v>
      </c>
      <c r="E389" s="1" t="n">
        <v>46217</v>
      </c>
      <c r="F389" t="inlineStr">
        <is>
          <t>GÄVLEBORGS LÄN</t>
        </is>
      </c>
      <c r="G389" t="inlineStr">
        <is>
          <t>GÄVLE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52970-2025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45957</v>
      </c>
      <c r="E390" s="1" t="n">
        <v>46217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7743-2025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46217</v>
      </c>
      <c r="F391" t="inlineStr">
        <is>
          <t>GÄVLEBORGS LÄN</t>
        </is>
      </c>
      <c r="G391" t="inlineStr">
        <is>
          <t>GÄVLE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47746-2023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45203</v>
      </c>
      <c r="E392" s="1" t="n">
        <v>46217</v>
      </c>
      <c r="F392" t="inlineStr">
        <is>
          <t>GÄVLEBORGS LÄN</t>
        </is>
      </c>
      <c r="G392" t="inlineStr">
        <is>
          <t>GÄVLE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53541-2025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46217</v>
      </c>
      <c r="F393" t="inlineStr">
        <is>
          <t>GÄVLEBORGS LÄN</t>
        </is>
      </c>
      <c r="G393" t="inlineStr">
        <is>
          <t>GÄVLE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10095-2025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46217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45964</v>
      </c>
      <c r="E395" s="1" t="n">
        <v>46217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22466-2023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45070</v>
      </c>
      <c r="E396" s="1" t="n">
        <v>46217</v>
      </c>
      <c r="F396" t="inlineStr">
        <is>
          <t>GÄVLEBORGS LÄN</t>
        </is>
      </c>
      <c r="G396" t="inlineStr">
        <is>
          <t>GÄVLE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17605-2025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45757</v>
      </c>
      <c r="E397" s="1" t="n">
        <v>46217</v>
      </c>
      <c r="F397" t="inlineStr">
        <is>
          <t>GÄVLEBORGS LÄN</t>
        </is>
      </c>
      <c r="G397" t="inlineStr">
        <is>
          <t>GÄVLE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17607-2025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45757</v>
      </c>
      <c r="E398" s="1" t="n">
        <v>46217</v>
      </c>
      <c r="F398" t="inlineStr">
        <is>
          <t>GÄVLEBORGS LÄN</t>
        </is>
      </c>
      <c r="G398" t="inlineStr">
        <is>
          <t>GÄVLE</t>
        </is>
      </c>
      <c r="I398" t="n">
        <v>7.6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25812-2023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45090</v>
      </c>
      <c r="E399" s="1" t="n">
        <v>46217</v>
      </c>
      <c r="F399" t="inlineStr">
        <is>
          <t>GÄVLEBORGS LÄN</t>
        </is>
      </c>
      <c r="G399" t="inlineStr">
        <is>
          <t>GÄVLE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10118-2025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46217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15105-2025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45744</v>
      </c>
      <c r="E401" s="1" t="n">
        <v>46217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54480-2025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45965</v>
      </c>
      <c r="E402" s="1" t="n">
        <v>46217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1328-2026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46031</v>
      </c>
      <c r="E403" s="1" t="n">
        <v>46217</v>
      </c>
      <c r="F403" t="inlineStr">
        <is>
          <t>GÄVLEBORGS LÄN</t>
        </is>
      </c>
      <c r="G403" t="inlineStr">
        <is>
          <t>GÄVLE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54768-2025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46217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46033</v>
      </c>
      <c r="E405" s="1" t="n">
        <v>46217</v>
      </c>
      <c r="F405" t="inlineStr">
        <is>
          <t>GÄVLEBORGS LÄN</t>
        </is>
      </c>
      <c r="G405" t="inlineStr">
        <is>
          <t>GÄVLE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54599-2025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46217</v>
      </c>
      <c r="F406" t="inlineStr">
        <is>
          <t>GÄVLEBORGS LÄN</t>
        </is>
      </c>
      <c r="G406" t="inlineStr">
        <is>
          <t>GÄVLE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17404-2025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45757</v>
      </c>
      <c r="E407" s="1" t="n">
        <v>46217</v>
      </c>
      <c r="F407" t="inlineStr">
        <is>
          <t>GÄVLEBORGS LÄN</t>
        </is>
      </c>
      <c r="G407" t="inlineStr">
        <is>
          <t>GÄVLE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8568-2026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46065</v>
      </c>
      <c r="E408" s="1" t="n">
        <v>46217</v>
      </c>
      <c r="F408" t="inlineStr">
        <is>
          <t>GÄVLEBORGS LÄN</t>
        </is>
      </c>
      <c r="G408" t="inlineStr">
        <is>
          <t>GÄVLE</t>
        </is>
      </c>
      <c r="I408" t="n">
        <v>9.5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54958-2025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45967</v>
      </c>
      <c r="E409" s="1" t="n">
        <v>46217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54960-2025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45967</v>
      </c>
      <c r="E410" s="1" t="n">
        <v>46217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54966-2025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45967</v>
      </c>
      <c r="E411" s="1" t="n">
        <v>46217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62983-2023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45272</v>
      </c>
      <c r="E412" s="1" t="n">
        <v>46217</v>
      </c>
      <c r="F412" t="inlineStr">
        <is>
          <t>GÄVLEBORGS LÄN</t>
        </is>
      </c>
      <c r="G412" t="inlineStr">
        <is>
          <t>GÄVLE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55221-2025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45968</v>
      </c>
      <c r="E413" s="1" t="n">
        <v>46217</v>
      </c>
      <c r="F413" t="inlineStr">
        <is>
          <t>GÄVLEBORGS LÄN</t>
        </is>
      </c>
      <c r="G413" t="inlineStr">
        <is>
          <t>GÄVLE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54959-2025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45967</v>
      </c>
      <c r="E414" s="1" t="n">
        <v>46217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52387-2022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44874</v>
      </c>
      <c r="E415" s="1" t="n">
        <v>46217</v>
      </c>
      <c r="F415" t="inlineStr">
        <is>
          <t>GÄVLEBORGS LÄN</t>
        </is>
      </c>
      <c r="G415" t="inlineStr">
        <is>
          <t>GÄVLE</t>
        </is>
      </c>
      <c r="H415" t="inlineStr">
        <is>
          <t>Kommuner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50871-2022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44867</v>
      </c>
      <c r="E416" s="1" t="n">
        <v>46217</v>
      </c>
      <c r="F416" t="inlineStr">
        <is>
          <t>GÄVLEBORGS LÄN</t>
        </is>
      </c>
      <c r="G416" t="inlineStr">
        <is>
          <t>GÄVLE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26658-2026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46184</v>
      </c>
      <c r="E417" s="1" t="n">
        <v>46217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55432-2025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45971</v>
      </c>
      <c r="E418" s="1" t="n">
        <v>46217</v>
      </c>
      <c r="F418" t="inlineStr">
        <is>
          <t>GÄVLEBORGS LÄN</t>
        </is>
      </c>
      <c r="G418" t="inlineStr">
        <is>
          <t>GÄVLE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20685-2026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46141</v>
      </c>
      <c r="E419" s="1" t="n">
        <v>46217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56271-2025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46217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56277-2025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46217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56268-2025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46217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6.8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56269-2025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46217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56275-2025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46217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56123-2025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45973</v>
      </c>
      <c r="E425" s="1" t="n">
        <v>46217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10.5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26600-2026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46217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56270-2025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46217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56121-2025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46217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56267-2025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46217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56272-2025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46217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56273-2025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46217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56120-2025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45973</v>
      </c>
      <c r="E432" s="1" t="n">
        <v>46217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56122-2025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46217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20736-2026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46217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46217</v>
      </c>
      <c r="F435" t="inlineStr">
        <is>
          <t>GÄVLEBORGS LÄN</t>
        </is>
      </c>
      <c r="G435" t="inlineStr">
        <is>
          <t>GÄVLE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45334</v>
      </c>
      <c r="E436" s="1" t="n">
        <v>46217</v>
      </c>
      <c r="F436" t="inlineStr">
        <is>
          <t>GÄVLEBORGS LÄN</t>
        </is>
      </c>
      <c r="G436" t="inlineStr">
        <is>
          <t>GÄVLE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56774-2025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46217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56776-2025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46217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56773-2025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45978</v>
      </c>
      <c r="E439" s="1" t="n">
        <v>46217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16190-2026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46111</v>
      </c>
      <c r="E440" s="1" t="n">
        <v>46217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16263-2026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46111</v>
      </c>
      <c r="E441" s="1" t="n">
        <v>46217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29862-2023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46217</v>
      </c>
      <c r="F442" t="inlineStr">
        <is>
          <t>GÄVLEBORGS LÄN</t>
        </is>
      </c>
      <c r="G442" t="inlineStr">
        <is>
          <t>GÄVLE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20785-2026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46217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20676-2026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46141</v>
      </c>
      <c r="E444" s="1" t="n">
        <v>46217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34600-2024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45526</v>
      </c>
      <c r="E445" s="1" t="n">
        <v>46217</v>
      </c>
      <c r="F445" t="inlineStr">
        <is>
          <t>GÄVLEBORGS LÄN</t>
        </is>
      </c>
      <c r="G445" t="inlineStr">
        <is>
          <t>GÄVLE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20905-2026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46142</v>
      </c>
      <c r="E446" s="1" t="n">
        <v>46217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26599-2026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46183</v>
      </c>
      <c r="E447" s="1" t="n">
        <v>46217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20735-2026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46217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20906-2026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46217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58542-2025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46217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27360-2026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46217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15456-2026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46217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27048-2026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46217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27042-2026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46185</v>
      </c>
      <c r="E454" s="1" t="n">
        <v>46217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27056-2026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46217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27066-2026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46217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26885-2026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46217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27361-2026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46217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27359-2026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46217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27052-2026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46185</v>
      </c>
      <c r="E460" s="1" t="n">
        <v>46217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27041-2026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46217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27046-2026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46217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27051-2026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46185</v>
      </c>
      <c r="E463" s="1" t="n">
        <v>46217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27055-2026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46185</v>
      </c>
      <c r="E464" s="1" t="n">
        <v>46217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27059-2026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46185</v>
      </c>
      <c r="E465" s="1" t="n">
        <v>46217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27061-2026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46217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27068-2026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46217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46217</v>
      </c>
      <c r="F468" t="inlineStr">
        <is>
          <t>GÄVLEBORGS LÄN</t>
        </is>
      </c>
      <c r="G468" t="inlineStr">
        <is>
          <t>GÄVLE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27040-2026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46185</v>
      </c>
      <c r="E469" s="1" t="n">
        <v>46217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26991-2026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46185</v>
      </c>
      <c r="E470" s="1" t="n">
        <v>46217</v>
      </c>
      <c r="F470" t="inlineStr">
        <is>
          <t>GÄVLEBORGS LÄN</t>
        </is>
      </c>
      <c r="G470" t="inlineStr">
        <is>
          <t>GÄVLE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27067-2026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46217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27057-2026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46217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14.7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27069-2026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46185</v>
      </c>
      <c r="E473" s="1" t="n">
        <v>46217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27053-2026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46185</v>
      </c>
      <c r="E474" s="1" t="n">
        <v>46217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27060-2026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46185</v>
      </c>
      <c r="E475" s="1" t="n">
        <v>46217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27065-2026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46217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26942-2026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46217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21033-2026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46217</v>
      </c>
      <c r="F478" t="inlineStr">
        <is>
          <t>GÄVLEBORGS LÄN</t>
        </is>
      </c>
      <c r="G478" t="inlineStr">
        <is>
          <t>GÄVLE</t>
        </is>
      </c>
      <c r="H478" t="inlineStr">
        <is>
          <t>Kyrkan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21367-2026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46147</v>
      </c>
      <c r="E479" s="1" t="n">
        <v>46217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16144-2026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46217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21364-2026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46147</v>
      </c>
      <c r="E481" s="1" t="n">
        <v>46217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14707-2026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46101</v>
      </c>
      <c r="E482" s="1" t="n">
        <v>46217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21365-2026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46147</v>
      </c>
      <c r="E483" s="1" t="n">
        <v>46217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45448-2025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46217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43742-2025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46217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43774-2025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45912</v>
      </c>
      <c r="E486" s="1" t="n">
        <v>46217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45469-2025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46217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45548-2025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45922</v>
      </c>
      <c r="E488" s="1" t="n">
        <v>46217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45426-2025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45922</v>
      </c>
      <c r="E489" s="1" t="n">
        <v>46217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8.199999999999999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45546-2025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45922</v>
      </c>
      <c r="E490" s="1" t="n">
        <v>46217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43771-2025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45912</v>
      </c>
      <c r="E491" s="1" t="n">
        <v>46217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7.3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43780-2025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45912</v>
      </c>
      <c r="E492" s="1" t="n">
        <v>46217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45415-2025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46217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45438-2025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45922</v>
      </c>
      <c r="E494" s="1" t="n">
        <v>46217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58925-2025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45987</v>
      </c>
      <c r="E495" s="1" t="n">
        <v>46217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14666-2026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46101</v>
      </c>
      <c r="E496" s="1" t="n">
        <v>46217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45456-2025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45922</v>
      </c>
      <c r="E497" s="1" t="n">
        <v>46217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43764-2025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45912</v>
      </c>
      <c r="E498" s="1" t="n">
        <v>46217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45410-2025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45922</v>
      </c>
      <c r="E499" s="1" t="n">
        <v>46217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45442-2025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45922</v>
      </c>
      <c r="E500" s="1" t="n">
        <v>46217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46800-2021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44446</v>
      </c>
      <c r="E501" s="1" t="n">
        <v>46217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59624-2025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46217</v>
      </c>
      <c r="F502" t="inlineStr">
        <is>
          <t>GÄVLEBORGS LÄN</t>
        </is>
      </c>
      <c r="G502" t="inlineStr">
        <is>
          <t>GÄVLE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61016-2024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45645</v>
      </c>
      <c r="E503" s="1" t="n">
        <v>46217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22342-2026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46154</v>
      </c>
      <c r="E504" s="1" t="n">
        <v>46217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45672</v>
      </c>
      <c r="E505" s="1" t="n">
        <v>46217</v>
      </c>
      <c r="F505" t="inlineStr">
        <is>
          <t>GÄVLEBORGS LÄN</t>
        </is>
      </c>
      <c r="G505" t="inlineStr">
        <is>
          <t>GÄVLE</t>
        </is>
      </c>
      <c r="H505" t="inlineStr">
        <is>
          <t>Kyrkan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28334-2026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46196</v>
      </c>
      <c r="E506" s="1" t="n">
        <v>46217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45660</v>
      </c>
      <c r="E507" s="1" t="n">
        <v>46217</v>
      </c>
      <c r="F507" t="inlineStr">
        <is>
          <t>GÄVLEBORGS LÄN</t>
        </is>
      </c>
      <c r="G507" t="inlineStr">
        <is>
          <t>GÄVLE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45660</v>
      </c>
      <c r="E508" s="1" t="n">
        <v>46217</v>
      </c>
      <c r="F508" t="inlineStr">
        <is>
          <t>GÄVLEBORGS LÄN</t>
        </is>
      </c>
      <c r="G508" t="inlineStr">
        <is>
          <t>GÄVLE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59627-2025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45992</v>
      </c>
      <c r="E509" s="1" t="n">
        <v>46217</v>
      </c>
      <c r="F509" t="inlineStr">
        <is>
          <t>GÄVLEBORGS LÄN</t>
        </is>
      </c>
      <c r="G509" t="inlineStr">
        <is>
          <t>GÄVLE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28331-2026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46196</v>
      </c>
      <c r="E510" s="1" t="n">
        <v>46217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31544-2023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45117</v>
      </c>
      <c r="E511" s="1" t="n">
        <v>46217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väst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989-2023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44935</v>
      </c>
      <c r="E512" s="1" t="n">
        <v>46217</v>
      </c>
      <c r="F512" t="inlineStr">
        <is>
          <t>GÄVLEBORGS LÄN</t>
        </is>
      </c>
      <c r="G512" t="inlineStr">
        <is>
          <t>GÄVLE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60038-2025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45993</v>
      </c>
      <c r="E513" s="1" t="n">
        <v>46217</v>
      </c>
      <c r="F513" t="inlineStr">
        <is>
          <t>GÄVLEBORGS LÄN</t>
        </is>
      </c>
      <c r="G513" t="inlineStr">
        <is>
          <t>GÄVLE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31011-2023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46217</v>
      </c>
      <c r="F514" t="inlineStr">
        <is>
          <t>GÄVLEBORGS LÄN</t>
        </is>
      </c>
      <c r="G514" t="inlineStr">
        <is>
          <t>GÄVLE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60105-2025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46217</v>
      </c>
      <c r="F515" t="inlineStr">
        <is>
          <t>GÄVLEBORGS LÄN</t>
        </is>
      </c>
      <c r="G515" t="inlineStr">
        <is>
          <t>GÄVLE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60536-2025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46217</v>
      </c>
      <c r="F516" t="inlineStr">
        <is>
          <t>GÄVLEBORGS LÄN</t>
        </is>
      </c>
      <c r="G516" t="inlineStr">
        <is>
          <t>GÄVLE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46031</v>
      </c>
      <c r="E517" s="1" t="n">
        <v>46217</v>
      </c>
      <c r="F517" t="inlineStr">
        <is>
          <t>GÄVLEBORGS LÄN</t>
        </is>
      </c>
      <c r="G517" t="inlineStr">
        <is>
          <t>GÄVLE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60532-2025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46217</v>
      </c>
      <c r="F518" t="inlineStr">
        <is>
          <t>GÄVLEBORGS LÄN</t>
        </is>
      </c>
      <c r="G518" t="inlineStr">
        <is>
          <t>GÄVLE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55217-2025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45968</v>
      </c>
      <c r="E519" s="1" t="n">
        <v>46217</v>
      </c>
      <c r="F519" t="inlineStr">
        <is>
          <t>GÄVLEBORGS LÄN</t>
        </is>
      </c>
      <c r="G519" t="inlineStr">
        <is>
          <t>GÄVLE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60364-2025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46217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38495-2023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46217</v>
      </c>
      <c r="F521" t="inlineStr">
        <is>
          <t>GÄVLEBORGS LÄN</t>
        </is>
      </c>
      <c r="G521" t="inlineStr">
        <is>
          <t>GÄVLE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60922-2025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46217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61093-2025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46217</v>
      </c>
      <c r="F523" t="inlineStr">
        <is>
          <t>GÄVLEBORGS LÄN</t>
        </is>
      </c>
      <c r="G523" t="inlineStr">
        <is>
          <t>GÄVLE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22356-2026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46217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28332-2026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46196</v>
      </c>
      <c r="E525" s="1" t="n">
        <v>46217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50314-2024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45600</v>
      </c>
      <c r="E526" s="1" t="n">
        <v>46217</v>
      </c>
      <c r="F526" t="inlineStr">
        <is>
          <t>GÄVLEBORGS LÄN</t>
        </is>
      </c>
      <c r="G526" t="inlineStr">
        <is>
          <t>GÄVLE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28140-2026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46195</v>
      </c>
      <c r="E527" s="1" t="n">
        <v>46217</v>
      </c>
      <c r="F527" t="inlineStr">
        <is>
          <t>GÄVLEBORGS LÄN</t>
        </is>
      </c>
      <c r="G527" t="inlineStr">
        <is>
          <t>GÄVLE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33449-2024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45519</v>
      </c>
      <c r="E528" s="1" t="n">
        <v>46217</v>
      </c>
      <c r="F528" t="inlineStr">
        <is>
          <t>GÄVLEBORGS LÄN</t>
        </is>
      </c>
      <c r="G528" t="inlineStr">
        <is>
          <t>GÄVLE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37146-2024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45539</v>
      </c>
      <c r="E529" s="1" t="n">
        <v>46217</v>
      </c>
      <c r="F529" t="inlineStr">
        <is>
          <t>GÄVLEBORGS LÄN</t>
        </is>
      </c>
      <c r="G529" t="inlineStr">
        <is>
          <t>GÄVLE</t>
        </is>
      </c>
      <c r="I529" t="n">
        <v>9.4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22053-2026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46217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61648-2025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46002</v>
      </c>
      <c r="E531" s="1" t="n">
        <v>46217</v>
      </c>
      <c r="F531" t="inlineStr">
        <is>
          <t>GÄVLEBORGS LÄN</t>
        </is>
      </c>
      <c r="G531" t="inlineStr">
        <is>
          <t>GÄVLE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61651-2025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46002</v>
      </c>
      <c r="E532" s="1" t="n">
        <v>46217</v>
      </c>
      <c r="F532" t="inlineStr">
        <is>
          <t>GÄVLEBORGS LÄN</t>
        </is>
      </c>
      <c r="G532" t="inlineStr">
        <is>
          <t>GÄVLE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60349-2022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44910</v>
      </c>
      <c r="E533" s="1" t="n">
        <v>46217</v>
      </c>
      <c r="F533" t="inlineStr">
        <is>
          <t>GÄVLEBORGS LÄN</t>
        </is>
      </c>
      <c r="G533" t="inlineStr">
        <is>
          <t>GÄVLE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60396-2022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44910</v>
      </c>
      <c r="E534" s="1" t="n">
        <v>46217</v>
      </c>
      <c r="F534" t="inlineStr">
        <is>
          <t>GÄVLEBORGS LÄN</t>
        </is>
      </c>
      <c r="G534" t="inlineStr">
        <is>
          <t>GÄVLE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61650-2025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46002</v>
      </c>
      <c r="E535" s="1" t="n">
        <v>46217</v>
      </c>
      <c r="F535" t="inlineStr">
        <is>
          <t>GÄVLEBORGS LÄN</t>
        </is>
      </c>
      <c r="G535" t="inlineStr">
        <is>
          <t>GÄVLE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22075-2026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46217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62766-2022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44885</v>
      </c>
      <c r="E537" s="1" t="n">
        <v>46217</v>
      </c>
      <c r="F537" t="inlineStr">
        <is>
          <t>GÄVLEBORGS LÄN</t>
        </is>
      </c>
      <c r="G537" t="inlineStr">
        <is>
          <t>GÄVLE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46549-2021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44445</v>
      </c>
      <c r="E538" s="1" t="n">
        <v>46217</v>
      </c>
      <c r="F538" t="inlineStr">
        <is>
          <t>GÄVLEBORGS LÄN</t>
        </is>
      </c>
      <c r="G538" t="inlineStr">
        <is>
          <t>GÄVLE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61449-2025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46001</v>
      </c>
      <c r="E539" s="1" t="n">
        <v>46217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61880-2025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46003</v>
      </c>
      <c r="E540" s="1" t="n">
        <v>46217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22111-2026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46217</v>
      </c>
      <c r="F541" t="inlineStr">
        <is>
          <t>GÄVLEBORGS LÄN</t>
        </is>
      </c>
      <c r="G541" t="inlineStr">
        <is>
          <t>GÄVLE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62226-2025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46006</v>
      </c>
      <c r="E542" s="1" t="n">
        <v>46217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61879-2025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46003</v>
      </c>
      <c r="E543" s="1" t="n">
        <v>46217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28379-2026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46196</v>
      </c>
      <c r="E544" s="1" t="n">
        <v>46217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45306</v>
      </c>
      <c r="E545" s="1" t="n">
        <v>46217</v>
      </c>
      <c r="F545" t="inlineStr">
        <is>
          <t>GÄVLEBORGS LÄN</t>
        </is>
      </c>
      <c r="G545" t="inlineStr">
        <is>
          <t>GÄVLE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22121-2026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46217</v>
      </c>
      <c r="F546" t="inlineStr">
        <is>
          <t>GÄVLEBORGS LÄN</t>
        </is>
      </c>
      <c r="G546" t="inlineStr">
        <is>
          <t>GÄVLE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22054-2026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46217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8.5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62742-2025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46008</v>
      </c>
      <c r="E548" s="1" t="n">
        <v>46217</v>
      </c>
      <c r="F548" t="inlineStr">
        <is>
          <t>GÄVLEBORGS LÄN</t>
        </is>
      </c>
      <c r="G548" t="inlineStr">
        <is>
          <t>GÄVLE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38255-2023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45161</v>
      </c>
      <c r="E549" s="1" t="n">
        <v>46217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72734-2021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44546</v>
      </c>
      <c r="E550" s="1" t="n">
        <v>46217</v>
      </c>
      <c r="F550" t="inlineStr">
        <is>
          <t>GÄVLEBORGS LÄN</t>
        </is>
      </c>
      <c r="G550" t="inlineStr">
        <is>
          <t>GÄVLE</t>
        </is>
      </c>
      <c r="H550" t="inlineStr">
        <is>
          <t>Kommuner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29016-2023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45104</v>
      </c>
      <c r="E551" s="1" t="n">
        <v>46217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22354-2026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46217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22358-2026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46154</v>
      </c>
      <c r="E553" s="1" t="n">
        <v>46217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22361-2026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46217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väst AB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17245-2024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45414</v>
      </c>
      <c r="E555" s="1" t="n">
        <v>46217</v>
      </c>
      <c r="F555" t="inlineStr">
        <is>
          <t>GÄVLEBORGS LÄN</t>
        </is>
      </c>
      <c r="G555" t="inlineStr">
        <is>
          <t>GÄVLE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22363-2026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46154</v>
      </c>
      <c r="E556" s="1" t="n">
        <v>46217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17113-2024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45412</v>
      </c>
      <c r="E557" s="1" t="n">
        <v>46217</v>
      </c>
      <c r="F557" t="inlineStr">
        <is>
          <t>GÄVLEBORGS LÄN</t>
        </is>
      </c>
      <c r="G557" t="inlineStr">
        <is>
          <t>GÄVLE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28659-2026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46217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32353-2023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45120</v>
      </c>
      <c r="E559" s="1" t="n">
        <v>46217</v>
      </c>
      <c r="F559" t="inlineStr">
        <is>
          <t>GÄVLEBORGS LÄN</t>
        </is>
      </c>
      <c r="G559" t="inlineStr">
        <is>
          <t>GÄVLE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12228-2022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44637</v>
      </c>
      <c r="E560" s="1" t="n">
        <v>46217</v>
      </c>
      <c r="F560" t="inlineStr">
        <is>
          <t>GÄVLEBORGS LÄN</t>
        </is>
      </c>
      <c r="G560" t="inlineStr">
        <is>
          <t>GÄVLE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28485-2026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46197</v>
      </c>
      <c r="E561" s="1" t="n">
        <v>46217</v>
      </c>
      <c r="F561" t="inlineStr">
        <is>
          <t>GÄVLEBORGS LÄN</t>
        </is>
      </c>
      <c r="G561" t="inlineStr">
        <is>
          <t>GÄVLE</t>
        </is>
      </c>
      <c r="H561" t="inlineStr">
        <is>
          <t>BillerudKorsnäs AB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28654-2026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46198</v>
      </c>
      <c r="E562" s="1" t="n">
        <v>46217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10001-2025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45719</v>
      </c>
      <c r="E563" s="1" t="n">
        <v>46217</v>
      </c>
      <c r="F563" t="inlineStr">
        <is>
          <t>GÄVLEBORGS LÄN</t>
        </is>
      </c>
      <c r="G563" t="inlineStr">
        <is>
          <t>GÄVLE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63801-2025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46019</v>
      </c>
      <c r="E564" s="1" t="n">
        <v>46217</v>
      </c>
      <c r="F564" t="inlineStr">
        <is>
          <t>GÄVLEBORGS LÄN</t>
        </is>
      </c>
      <c r="G564" t="inlineStr">
        <is>
          <t>GÄVLE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54953-2025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45967</v>
      </c>
      <c r="E565" s="1" t="n">
        <v>46217</v>
      </c>
      <c r="F565" t="inlineStr">
        <is>
          <t>GÄVLEBORGS LÄN</t>
        </is>
      </c>
      <c r="G565" t="inlineStr">
        <is>
          <t>GÄVLE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47694-2025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45931</v>
      </c>
      <c r="E566" s="1" t="n">
        <v>46217</v>
      </c>
      <c r="F566" t="inlineStr">
        <is>
          <t>GÄVLEBORGS LÄN</t>
        </is>
      </c>
      <c r="G566" t="inlineStr">
        <is>
          <t>GÄVLE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48864-2025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45937</v>
      </c>
      <c r="E567" s="1" t="n">
        <v>46217</v>
      </c>
      <c r="F567" t="inlineStr">
        <is>
          <t>GÄVLEBORGS LÄN</t>
        </is>
      </c>
      <c r="G567" t="inlineStr">
        <is>
          <t>GÄVLE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35450-2025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45855</v>
      </c>
      <c r="E568" s="1" t="n">
        <v>46217</v>
      </c>
      <c r="F568" t="inlineStr">
        <is>
          <t>GÄVLEBORGS LÄN</t>
        </is>
      </c>
      <c r="G568" t="inlineStr">
        <is>
          <t>GÄVLE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28655-2026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46217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28657-2026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46217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28658-2026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46217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63800-2025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46019</v>
      </c>
      <c r="E572" s="1" t="n">
        <v>46217</v>
      </c>
      <c r="F572" t="inlineStr">
        <is>
          <t>GÄVLEBORGS LÄN</t>
        </is>
      </c>
      <c r="G572" t="inlineStr">
        <is>
          <t>GÄVLE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42788-2025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45908</v>
      </c>
      <c r="E573" s="1" t="n">
        <v>46217</v>
      </c>
      <c r="F573" t="inlineStr">
        <is>
          <t>GÄVLEBORGS LÄN</t>
        </is>
      </c>
      <c r="G573" t="inlineStr">
        <is>
          <t>GÄVLE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47942-2025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45932</v>
      </c>
      <c r="E574" s="1" t="n">
        <v>46217</v>
      </c>
      <c r="F574" t="inlineStr">
        <is>
          <t>GÄVLEBORGS LÄN</t>
        </is>
      </c>
      <c r="G574" t="inlineStr">
        <is>
          <t>GÄVLE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47981-2025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45932</v>
      </c>
      <c r="E575" s="1" t="n">
        <v>46217</v>
      </c>
      <c r="F575" t="inlineStr">
        <is>
          <t>GÄVLEBORGS LÄN</t>
        </is>
      </c>
      <c r="G575" t="inlineStr">
        <is>
          <t>GÄVLE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48928-2025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45937</v>
      </c>
      <c r="E576" s="1" t="n">
        <v>46217</v>
      </c>
      <c r="F576" t="inlineStr">
        <is>
          <t>GÄVLEBORGS LÄN</t>
        </is>
      </c>
      <c r="G576" t="inlineStr">
        <is>
          <t>GÄVLE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42692-2025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45908</v>
      </c>
      <c r="E577" s="1" t="n">
        <v>46217</v>
      </c>
      <c r="F577" t="inlineStr">
        <is>
          <t>GÄVLEBORGS LÄN</t>
        </is>
      </c>
      <c r="G577" t="inlineStr">
        <is>
          <t>GÄVLE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64142-2025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46022</v>
      </c>
      <c r="E578" s="1" t="n">
        <v>46217</v>
      </c>
      <c r="F578" t="inlineStr">
        <is>
          <t>GÄVLEBORGS LÄN</t>
        </is>
      </c>
      <c r="G578" t="inlineStr">
        <is>
          <t>GÄVLE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47916-2025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45932</v>
      </c>
      <c r="E579" s="1" t="n">
        <v>46217</v>
      </c>
      <c r="F579" t="inlineStr">
        <is>
          <t>GÄVLEBORGS LÄN</t>
        </is>
      </c>
      <c r="G579" t="inlineStr">
        <is>
          <t>GÄVLE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4290-2024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45324</v>
      </c>
      <c r="E580" s="1" t="n">
        <v>46217</v>
      </c>
      <c r="F580" t="inlineStr">
        <is>
          <t>GÄVLEBORGS LÄN</t>
        </is>
      </c>
      <c r="G580" t="inlineStr">
        <is>
          <t>GÄVLE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42934-2023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45182</v>
      </c>
      <c r="E581" s="1" t="n">
        <v>46217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22570-2026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46217</v>
      </c>
      <c r="F582" t="inlineStr">
        <is>
          <t>GÄVLEBORGS LÄN</t>
        </is>
      </c>
      <c r="G582" t="inlineStr">
        <is>
          <t>GÄVLE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872-2026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46217</v>
      </c>
      <c r="F583" t="inlineStr">
        <is>
          <t>GÄVLEBORGS LÄN</t>
        </is>
      </c>
      <c r="G583" t="inlineStr">
        <is>
          <t>GÄVLE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22584-2026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46155</v>
      </c>
      <c r="E584" s="1" t="n">
        <v>46217</v>
      </c>
      <c r="F584" t="inlineStr">
        <is>
          <t>GÄVLEBORGS LÄN</t>
        </is>
      </c>
      <c r="G584" t="inlineStr">
        <is>
          <t>GÄVLE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3472-2022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44585</v>
      </c>
      <c r="E585" s="1" t="n">
        <v>46217</v>
      </c>
      <c r="F585" t="inlineStr">
        <is>
          <t>GÄVLEBORGS LÄN</t>
        </is>
      </c>
      <c r="G585" t="inlineStr">
        <is>
          <t>GÄVLE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876-2026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46217</v>
      </c>
      <c r="F586" t="inlineStr">
        <is>
          <t>GÄVLEBORGS LÄN</t>
        </is>
      </c>
      <c r="G586" t="inlineStr">
        <is>
          <t>GÄVLE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35440-2023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45146</v>
      </c>
      <c r="E587" s="1" t="n">
        <v>46217</v>
      </c>
      <c r="F587" t="inlineStr">
        <is>
          <t>GÄVLEBORGS LÄN</t>
        </is>
      </c>
      <c r="G587" t="inlineStr">
        <is>
          <t>GÄVLE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31866-2023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45106</v>
      </c>
      <c r="E588" s="1" t="n">
        <v>46217</v>
      </c>
      <c r="F588" t="inlineStr">
        <is>
          <t>GÄVLEBORGS LÄN</t>
        </is>
      </c>
      <c r="G588" t="inlineStr">
        <is>
          <t>GÄVLE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17300-2026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46119</v>
      </c>
      <c r="E589" s="1" t="n">
        <v>46217</v>
      </c>
      <c r="F589" t="inlineStr">
        <is>
          <t>GÄVLEBORGS LÄN</t>
        </is>
      </c>
      <c r="G589" t="inlineStr">
        <is>
          <t>GÄVLE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33901-2024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45523</v>
      </c>
      <c r="E590" s="1" t="n">
        <v>46217</v>
      </c>
      <c r="F590" t="inlineStr">
        <is>
          <t>GÄVLEBORGS LÄN</t>
        </is>
      </c>
      <c r="G590" t="inlineStr">
        <is>
          <t>GÄVLE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247-2025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45660</v>
      </c>
      <c r="E591" s="1" t="n">
        <v>46217</v>
      </c>
      <c r="F591" t="inlineStr">
        <is>
          <t>GÄVLEBORGS LÄN</t>
        </is>
      </c>
      <c r="G591" t="inlineStr">
        <is>
          <t>GÄVLE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46034</v>
      </c>
      <c r="E592" s="1" t="n">
        <v>46217</v>
      </c>
      <c r="F592" t="inlineStr">
        <is>
          <t>GÄVLEBORGS LÄN</t>
        </is>
      </c>
      <c r="G592" t="inlineStr">
        <is>
          <t>GÄVLE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61878-2025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46003</v>
      </c>
      <c r="E593" s="1" t="n">
        <v>46217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15152-2026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46217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28656-2026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46217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60792-2024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45644</v>
      </c>
      <c r="E596" s="1" t="n">
        <v>46217</v>
      </c>
      <c r="F596" t="inlineStr">
        <is>
          <t>GÄVLEBORGS LÄN</t>
        </is>
      </c>
      <c r="G596" t="inlineStr">
        <is>
          <t>GÄVLE</t>
        </is>
      </c>
      <c r="H596" t="inlineStr">
        <is>
          <t>Kyrkan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22545-2026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46217</v>
      </c>
      <c r="F597" t="inlineStr">
        <is>
          <t>GÄVLEBORGS LÄN</t>
        </is>
      </c>
      <c r="G597" t="inlineStr">
        <is>
          <t>GÄVLE</t>
        </is>
      </c>
      <c r="H597" t="inlineStr">
        <is>
          <t>Kyrkan</t>
        </is>
      </c>
      <c r="I597" t="n">
        <v>10.1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15158-2026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46105</v>
      </c>
      <c r="E598" s="1" t="n">
        <v>46217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22517-2026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46217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28905-2023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45104</v>
      </c>
      <c r="E600" s="1" t="n">
        <v>46217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3156-2026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46041</v>
      </c>
      <c r="E601" s="1" t="n">
        <v>46217</v>
      </c>
      <c r="F601" t="inlineStr">
        <is>
          <t>GÄVLEBORGS LÄN</t>
        </is>
      </c>
      <c r="G601" t="inlineStr">
        <is>
          <t>GÄVLE</t>
        </is>
      </c>
      <c r="I601" t="n">
        <v>9.699999999999999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29333-2026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46202</v>
      </c>
      <c r="E602" s="1" t="n">
        <v>46217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7235-2025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45702</v>
      </c>
      <c r="E603" s="1" t="n">
        <v>46217</v>
      </c>
      <c r="F603" t="inlineStr">
        <is>
          <t>GÄVLEBORGS LÄN</t>
        </is>
      </c>
      <c r="G603" t="inlineStr">
        <is>
          <t>GÄVLE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29142-2026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46202</v>
      </c>
      <c r="E604" s="1" t="n">
        <v>46217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22508-2026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46217</v>
      </c>
      <c r="F605" t="inlineStr">
        <is>
          <t>GÄVLEBORGS LÄN</t>
        </is>
      </c>
      <c r="G605" t="inlineStr">
        <is>
          <t>GÄVLE</t>
        </is>
      </c>
      <c r="H605" t="inlineStr">
        <is>
          <t>Kyrkan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4444-2026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46045</v>
      </c>
      <c r="E606" s="1" t="n">
        <v>46217</v>
      </c>
      <c r="F606" t="inlineStr">
        <is>
          <t>GÄVLEBORGS LÄN</t>
        </is>
      </c>
      <c r="G606" t="inlineStr">
        <is>
          <t>GÄVLE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15167-2026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46105</v>
      </c>
      <c r="E607" s="1" t="n">
        <v>46217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15711-2026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46217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15469-2026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46106</v>
      </c>
      <c r="E609" s="1" t="n">
        <v>46217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61004-2024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45645</v>
      </c>
      <c r="E610" s="1" t="n">
        <v>46217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4308-2026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46217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väst AB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15790-2026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46107</v>
      </c>
      <c r="E612" s="1" t="n">
        <v>46217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30662-2022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44763</v>
      </c>
      <c r="E613" s="1" t="n">
        <v>46217</v>
      </c>
      <c r="F613" t="inlineStr">
        <is>
          <t>GÄVLEBORGS LÄN</t>
        </is>
      </c>
      <c r="G613" t="inlineStr">
        <is>
          <t>GÄVLE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4307-2026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46045</v>
      </c>
      <c r="E614" s="1" t="n">
        <v>46217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väst AB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18217-2024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45420</v>
      </c>
      <c r="E615" s="1" t="n">
        <v>46217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22848-2026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46160</v>
      </c>
      <c r="E616" s="1" t="n">
        <v>46217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20682-2023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45058</v>
      </c>
      <c r="E617" s="1" t="n">
        <v>46217</v>
      </c>
      <c r="F617" t="inlineStr">
        <is>
          <t>GÄVLEBORGS LÄN</t>
        </is>
      </c>
      <c r="G617" t="inlineStr">
        <is>
          <t>GÄVLE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8693-2024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45356</v>
      </c>
      <c r="E618" s="1" t="n">
        <v>46217</v>
      </c>
      <c r="F618" t="inlineStr">
        <is>
          <t>GÄVLEBORGS LÄN</t>
        </is>
      </c>
      <c r="G618" t="inlineStr">
        <is>
          <t>GÄVLE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22844-2026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46160</v>
      </c>
      <c r="E619" s="1" t="n">
        <v>46217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6065-2026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46052</v>
      </c>
      <c r="E620" s="1" t="n">
        <v>46217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5700-2026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46051</v>
      </c>
      <c r="E621" s="1" t="n">
        <v>46217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6046-2026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46052</v>
      </c>
      <c r="E622" s="1" t="n">
        <v>46217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3662-2022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44586</v>
      </c>
      <c r="E623" s="1" t="n">
        <v>46217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5722-2026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46051</v>
      </c>
      <c r="E624" s="1" t="n">
        <v>46217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6055-2026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46217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61501-2024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45646</v>
      </c>
      <c r="E626" s="1" t="n">
        <v>46217</v>
      </c>
      <c r="F626" t="inlineStr">
        <is>
          <t>GÄVLEBORGS LÄN</t>
        </is>
      </c>
      <c r="G626" t="inlineStr">
        <is>
          <t>GÄVLE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23117-2026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46217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13193-2025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45735</v>
      </c>
      <c r="E628" s="1" t="n">
        <v>46217</v>
      </c>
      <c r="F628" t="inlineStr">
        <is>
          <t>GÄVLEBORGS LÄN</t>
        </is>
      </c>
      <c r="G628" t="inlineStr">
        <is>
          <t>GÄVLE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6683-2026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46217</v>
      </c>
      <c r="F629" t="inlineStr">
        <is>
          <t>GÄVLEBORGS LÄN</t>
        </is>
      </c>
      <c r="G629" t="inlineStr">
        <is>
          <t>GÄVLE</t>
        </is>
      </c>
      <c r="I629" t="n">
        <v>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6681-2026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46217</v>
      </c>
      <c r="F630" t="inlineStr">
        <is>
          <t>GÄVLEBORGS LÄN</t>
        </is>
      </c>
      <c r="G630" t="inlineStr">
        <is>
          <t>GÄVLE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6673-2026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46217</v>
      </c>
      <c r="F631" t="inlineStr">
        <is>
          <t>GÄVLEBORGS LÄN</t>
        </is>
      </c>
      <c r="G631" t="inlineStr">
        <is>
          <t>GÄVLE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29364-2026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46203</v>
      </c>
      <c r="E632" s="1" t="n">
        <v>46217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7252-2026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46058</v>
      </c>
      <c r="E633" s="1" t="n">
        <v>46217</v>
      </c>
      <c r="F633" t="inlineStr">
        <is>
          <t>GÄVLEBORGS LÄN</t>
        </is>
      </c>
      <c r="G633" t="inlineStr">
        <is>
          <t>GÄVLE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14553-2026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46100</v>
      </c>
      <c r="E634" s="1" t="n">
        <v>46217</v>
      </c>
      <c r="F634" t="inlineStr">
        <is>
          <t>GÄVLEBORGS LÄN</t>
        </is>
      </c>
      <c r="G634" t="inlineStr">
        <is>
          <t>GÄVLE</t>
        </is>
      </c>
      <c r="H634" t="inlineStr">
        <is>
          <t>Övriga statliga verk och myndigheter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7239-2026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46058</v>
      </c>
      <c r="E635" s="1" t="n">
        <v>46217</v>
      </c>
      <c r="F635" t="inlineStr">
        <is>
          <t>GÄVLEBORGS LÄN</t>
        </is>
      </c>
      <c r="G635" t="inlineStr">
        <is>
          <t>GÄVLE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38793-2024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45547</v>
      </c>
      <c r="E636" s="1" t="n">
        <v>46217</v>
      </c>
      <c r="F636" t="inlineStr">
        <is>
          <t>GÄVLEBORGS LÄN</t>
        </is>
      </c>
      <c r="G636" t="inlineStr">
        <is>
          <t>GÄVLE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7665-2026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46062</v>
      </c>
      <c r="E637" s="1" t="n">
        <v>46217</v>
      </c>
      <c r="F637" t="inlineStr">
        <is>
          <t>GÄVLEBORGS LÄN</t>
        </is>
      </c>
      <c r="G637" t="inlineStr">
        <is>
          <t>GÄVLE</t>
        </is>
      </c>
      <c r="H637" t="inlineStr">
        <is>
          <t>Kyrkan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7673-2026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46062</v>
      </c>
      <c r="E638" s="1" t="n">
        <v>46217</v>
      </c>
      <c r="F638" t="inlineStr">
        <is>
          <t>GÄVLEBORGS LÄN</t>
        </is>
      </c>
      <c r="G638" t="inlineStr">
        <is>
          <t>GÄVLE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8292-2026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46217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11.6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8303-2026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46063</v>
      </c>
      <c r="E640" s="1" t="n">
        <v>46217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2373-2025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45673</v>
      </c>
      <c r="E641" s="1" t="n">
        <v>46217</v>
      </c>
      <c r="F641" t="inlineStr">
        <is>
          <t>GÄVLEBORGS LÄN</t>
        </is>
      </c>
      <c r="G641" t="inlineStr">
        <is>
          <t>GÄVLE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2374-2025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45673</v>
      </c>
      <c r="E642" s="1" t="n">
        <v>46217</v>
      </c>
      <c r="F642" t="inlineStr">
        <is>
          <t>GÄVLEBORGS LÄN</t>
        </is>
      </c>
      <c r="G642" t="inlineStr">
        <is>
          <t>GÄVLE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8298-2026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46063</v>
      </c>
      <c r="E643" s="1" t="n">
        <v>46217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8301-2026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46063</v>
      </c>
      <c r="E644" s="1" t="n">
        <v>46217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29494-2026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46198</v>
      </c>
      <c r="E645" s="1" t="n">
        <v>46217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18162-2022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44684</v>
      </c>
      <c r="E646" s="1" t="n">
        <v>46217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väst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12079-2025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46217</v>
      </c>
      <c r="F647" t="inlineStr">
        <is>
          <t>GÄVLEBORGS LÄN</t>
        </is>
      </c>
      <c r="G647" t="inlineStr">
        <is>
          <t>GÄVLE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24618-2023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45084</v>
      </c>
      <c r="E648" s="1" t="n">
        <v>46217</v>
      </c>
      <c r="F648" t="inlineStr">
        <is>
          <t>GÄVLEBORGS LÄN</t>
        </is>
      </c>
      <c r="G648" t="inlineStr">
        <is>
          <t>GÄVLE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8558-2026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46065</v>
      </c>
      <c r="E649" s="1" t="n">
        <v>46217</v>
      </c>
      <c r="F649" t="inlineStr">
        <is>
          <t>GÄVLEBORGS LÄN</t>
        </is>
      </c>
      <c r="G649" t="inlineStr">
        <is>
          <t>GÄVLE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7410-2025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45705</v>
      </c>
      <c r="E650" s="1" t="n">
        <v>46217</v>
      </c>
      <c r="F650" t="inlineStr">
        <is>
          <t>GÄVLEBORGS LÄN</t>
        </is>
      </c>
      <c r="G650" t="inlineStr">
        <is>
          <t>GÄVLE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25814-2023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46217</v>
      </c>
      <c r="F651" t="inlineStr">
        <is>
          <t>GÄVLEBORGS LÄN</t>
        </is>
      </c>
      <c r="G651" t="inlineStr">
        <is>
          <t>GÄVLE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2461-2024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45312</v>
      </c>
      <c r="E652" s="1" t="n">
        <v>46217</v>
      </c>
      <c r="F652" t="inlineStr">
        <is>
          <t>GÄVLEBORGS LÄN</t>
        </is>
      </c>
      <c r="G652" t="inlineStr">
        <is>
          <t>GÄVLE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1066-2025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45666</v>
      </c>
      <c r="E653" s="1" t="n">
        <v>46217</v>
      </c>
      <c r="F653" t="inlineStr">
        <is>
          <t>GÄVLEBORGS LÄN</t>
        </is>
      </c>
      <c r="G653" t="inlineStr">
        <is>
          <t>GÄVLE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8954-2026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46069</v>
      </c>
      <c r="E654" s="1" t="n">
        <v>46217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9129-2026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46069</v>
      </c>
      <c r="E655" s="1" t="n">
        <v>46217</v>
      </c>
      <c r="F655" t="inlineStr">
        <is>
          <t>GÄVLEBORGS LÄN</t>
        </is>
      </c>
      <c r="G655" t="inlineStr">
        <is>
          <t>GÄVLE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47143-2024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45586</v>
      </c>
      <c r="E656" s="1" t="n">
        <v>46217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9534-2026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46071</v>
      </c>
      <c r="E657" s="1" t="n">
        <v>46217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18168-2022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44684</v>
      </c>
      <c r="E658" s="1" t="n">
        <v>46217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51071-2023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45218</v>
      </c>
      <c r="E659" s="1" t="n">
        <v>46217</v>
      </c>
      <c r="F659" t="inlineStr">
        <is>
          <t>GÄVLEBORGS LÄN</t>
        </is>
      </c>
      <c r="G659" t="inlineStr">
        <is>
          <t>GÄVLE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9779-2026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46072</v>
      </c>
      <c r="E660" s="1" t="n">
        <v>46217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3639-2022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44586</v>
      </c>
      <c r="E661" s="1" t="n">
        <v>46217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9673-2026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46072</v>
      </c>
      <c r="E662" s="1" t="n">
        <v>46217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10273-2026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46076</v>
      </c>
      <c r="E663" s="1" t="n">
        <v>46217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1062-2025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45666</v>
      </c>
      <c r="E664" s="1" t="n">
        <v>46217</v>
      </c>
      <c r="F664" t="inlineStr">
        <is>
          <t>GÄVLEBORGS LÄN</t>
        </is>
      </c>
      <c r="G664" t="inlineStr">
        <is>
          <t>GÄVLE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10257-2026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46076</v>
      </c>
      <c r="E665" s="1" t="n">
        <v>46217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10063-2026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46073</v>
      </c>
      <c r="E666" s="1" t="n">
        <v>46217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10504-2026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46077</v>
      </c>
      <c r="E667" s="1" t="n">
        <v>46217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11114-2026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46079</v>
      </c>
      <c r="E668" s="1" t="n">
        <v>46217</v>
      </c>
      <c r="F668" t="inlineStr">
        <is>
          <t>GÄVLEBORGS LÄN</t>
        </is>
      </c>
      <c r="G668" t="inlineStr">
        <is>
          <t>GÄVLE</t>
        </is>
      </c>
      <c r="H668" t="inlineStr">
        <is>
          <t>Kommuner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57168-2023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45245</v>
      </c>
      <c r="E669" s="1" t="n">
        <v>46217</v>
      </c>
      <c r="F669" t="inlineStr">
        <is>
          <t>GÄVLEBORGS LÄN</t>
        </is>
      </c>
      <c r="G669" t="inlineStr">
        <is>
          <t>GÄVLE</t>
        </is>
      </c>
      <c r="H669" t="inlineStr">
        <is>
          <t>Kyrkan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33880-2022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44790</v>
      </c>
      <c r="E670" s="1" t="n">
        <v>46217</v>
      </c>
      <c r="F670" t="inlineStr">
        <is>
          <t>GÄVLEBORGS LÄN</t>
        </is>
      </c>
      <c r="G670" t="inlineStr">
        <is>
          <t>GÄVLE</t>
        </is>
      </c>
      <c r="I670" t="n">
        <v>9.4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29506-2026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46198</v>
      </c>
      <c r="E671" s="1" t="n">
        <v>46217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52.7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11523-2026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46083</v>
      </c>
      <c r="E672" s="1" t="n">
        <v>46217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14974-2026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46104</v>
      </c>
      <c r="E673" s="1" t="n">
        <v>46217</v>
      </c>
      <c r="F673" t="inlineStr">
        <is>
          <t>GÄVLEBORGS LÄN</t>
        </is>
      </c>
      <c r="G673" t="inlineStr">
        <is>
          <t>GÄVLE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15765-2026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46107</v>
      </c>
      <c r="E674" s="1" t="n">
        <v>46217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22968-2026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46160</v>
      </c>
      <c r="E675" s="1" t="n">
        <v>46217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11926-2026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46085</v>
      </c>
      <c r="E676" s="1" t="n">
        <v>46217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26249-2022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44735</v>
      </c>
      <c r="E677" s="1" t="n">
        <v>46217</v>
      </c>
      <c r="F677" t="inlineStr">
        <is>
          <t>GÄVLEBORGS LÄN</t>
        </is>
      </c>
      <c r="G677" t="inlineStr">
        <is>
          <t>GÄVLE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12015-2026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46085</v>
      </c>
      <c r="E678" s="1" t="n">
        <v>46217</v>
      </c>
      <c r="F678" t="inlineStr">
        <is>
          <t>GÄVLEBORGS LÄN</t>
        </is>
      </c>
      <c r="G678" t="inlineStr">
        <is>
          <t>GÄVLE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26281-2026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46217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väst AB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20999-2022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44701</v>
      </c>
      <c r="E680" s="1" t="n">
        <v>46217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26.3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12738-2026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46091</v>
      </c>
      <c r="E681" s="1" t="n">
        <v>46217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13104-2026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46217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12990-2026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46092</v>
      </c>
      <c r="E683" s="1" t="n">
        <v>46217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12948-2026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46092</v>
      </c>
      <c r="E684" s="1" t="n">
        <v>46217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12952-2026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46092</v>
      </c>
      <c r="E685" s="1" t="n">
        <v>46217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13475-2026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46094</v>
      </c>
      <c r="E686" s="1" t="n">
        <v>46217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13498-2026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46094</v>
      </c>
      <c r="E687" s="1" t="n">
        <v>46217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27182-2022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44741</v>
      </c>
      <c r="E688" s="1" t="n">
        <v>46217</v>
      </c>
      <c r="F688" t="inlineStr">
        <is>
          <t>GÄVLEBORGS LÄN</t>
        </is>
      </c>
      <c r="G688" t="inlineStr">
        <is>
          <t>GÄVLE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13521-2026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46217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13503-2026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46094</v>
      </c>
      <c r="E690" s="1" t="n">
        <v>46217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23591-2026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46163</v>
      </c>
      <c r="E691" s="1" t="n">
        <v>46217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13317-2026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46217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13574-2026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46095</v>
      </c>
      <c r="E693" s="1" t="n">
        <v>46217</v>
      </c>
      <c r="F693" t="inlineStr">
        <is>
          <t>GÄVLEBORGS LÄN</t>
        </is>
      </c>
      <c r="G693" t="inlineStr">
        <is>
          <t>GÄVLE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13489-2026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46217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35761-2022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44800</v>
      </c>
      <c r="E695" s="1" t="n">
        <v>46217</v>
      </c>
      <c r="F695" t="inlineStr">
        <is>
          <t>GÄVLEBORGS LÄN</t>
        </is>
      </c>
      <c r="G695" t="inlineStr">
        <is>
          <t>GÄVLE</t>
        </is>
      </c>
      <c r="I695" t="n">
        <v>8.199999999999999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13329-2026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46094</v>
      </c>
      <c r="E696" s="1" t="n">
        <v>46217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13389-2026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46217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13432-2026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46094</v>
      </c>
      <c r="E698" s="1" t="n">
        <v>46217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10.2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13527-2026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46094</v>
      </c>
      <c r="E699" s="1" t="n">
        <v>46217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13500-2026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46094</v>
      </c>
      <c r="E700" s="1" t="n">
        <v>46217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59322-2022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44904</v>
      </c>
      <c r="E701" s="1" t="n">
        <v>46217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13893-2026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46217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14280-2026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46099</v>
      </c>
      <c r="E703" s="1" t="n">
        <v>46217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30601-2026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46210</v>
      </c>
      <c r="E704" s="1" t="n">
        <v>46217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14583-2026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46217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14401-2026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46217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24099-2026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46168</v>
      </c>
      <c r="E707" s="1" t="n">
        <v>46217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23956-2026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46217</v>
      </c>
      <c r="F708" t="inlineStr">
        <is>
          <t>GÄVLEBORGS LÄN</t>
        </is>
      </c>
      <c r="G708" t="inlineStr">
        <is>
          <t>GÄVLE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14459-2026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46100</v>
      </c>
      <c r="E709" s="1" t="n">
        <v>46217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61672-2023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46217</v>
      </c>
      <c r="F710" t="inlineStr">
        <is>
          <t>GÄVLEBORGS LÄN</t>
        </is>
      </c>
      <c r="G710" t="inlineStr">
        <is>
          <t>GÄVLE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24090-2026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46168</v>
      </c>
      <c r="E711" s="1" t="n">
        <v>46217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15046-2026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46104</v>
      </c>
      <c r="E712" s="1" t="n">
        <v>46217</v>
      </c>
      <c r="F712" t="inlineStr">
        <is>
          <t>GÄVLEBORGS LÄN</t>
        </is>
      </c>
      <c r="G712" t="inlineStr">
        <is>
          <t>GÄVLE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24172-2026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46217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30875-2022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44767</v>
      </c>
      <c r="E714" s="1" t="n">
        <v>46217</v>
      </c>
      <c r="F714" t="inlineStr">
        <is>
          <t>GÄVLEBORGS LÄN</t>
        </is>
      </c>
      <c r="G714" t="inlineStr">
        <is>
          <t>GÄVLE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15097-2026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46217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14963-2026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46217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30324-2026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46207</v>
      </c>
      <c r="E717" s="1" t="n">
        <v>46217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9426-2025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45715</v>
      </c>
      <c r="E718" s="1" t="n">
        <v>46217</v>
      </c>
      <c r="F718" t="inlineStr">
        <is>
          <t>GÄVLEBORGS LÄN</t>
        </is>
      </c>
      <c r="G718" t="inlineStr">
        <is>
          <t>GÄVLE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15669-2026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46106</v>
      </c>
      <c r="E719" s="1" t="n">
        <v>46217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15535-2026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46106</v>
      </c>
      <c r="E720" s="1" t="n">
        <v>46217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60885-2023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45261</v>
      </c>
      <c r="E721" s="1" t="n">
        <v>46217</v>
      </c>
      <c r="F721" t="inlineStr">
        <is>
          <t>GÄVLEBORGS LÄN</t>
        </is>
      </c>
      <c r="G721" t="inlineStr">
        <is>
          <t>GÄVLE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15843-2026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46107</v>
      </c>
      <c r="E722" s="1" t="n">
        <v>46217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2457-2024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45312</v>
      </c>
      <c r="E723" s="1" t="n">
        <v>46217</v>
      </c>
      <c r="F723" t="inlineStr">
        <is>
          <t>GÄVLEBORGS LÄN</t>
        </is>
      </c>
      <c r="G723" t="inlineStr">
        <is>
          <t>GÄVLE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16430-2026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46111</v>
      </c>
      <c r="E724" s="1" t="n">
        <v>46217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15985-2026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46217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24089-2026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46168</v>
      </c>
      <c r="E726" s="1" t="n">
        <v>46217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30600-2026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46210</v>
      </c>
      <c r="E727" s="1" t="n">
        <v>46217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24398-2026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46169</v>
      </c>
      <c r="E728" s="1" t="n">
        <v>46217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24400-2026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46169</v>
      </c>
      <c r="E729" s="1" t="n">
        <v>46217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16401-2025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45751</v>
      </c>
      <c r="E730" s="1" t="n">
        <v>46217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64868-2023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45282</v>
      </c>
      <c r="E731" s="1" t="n">
        <v>46217</v>
      </c>
      <c r="F731" t="inlineStr">
        <is>
          <t>GÄVLEBORGS LÄN</t>
        </is>
      </c>
      <c r="G731" t="inlineStr">
        <is>
          <t>GÄVLE</t>
        </is>
      </c>
      <c r="I731" t="n">
        <v>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64873-2023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45282</v>
      </c>
      <c r="E732" s="1" t="n">
        <v>46217</v>
      </c>
      <c r="F732" t="inlineStr">
        <is>
          <t>GÄVLEBORGS LÄN</t>
        </is>
      </c>
      <c r="G732" t="inlineStr">
        <is>
          <t>GÄVLE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10488-2026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46077</v>
      </c>
      <c r="E733" s="1" t="n">
        <v>46217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17695-2026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46121</v>
      </c>
      <c r="E734" s="1" t="n">
        <v>46217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24295-2026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46169</v>
      </c>
      <c r="E735" s="1" t="n">
        <v>46217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24306-2026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46169</v>
      </c>
      <c r="E736" s="1" t="n">
        <v>46217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17471-2026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46120</v>
      </c>
      <c r="E737" s="1" t="n">
        <v>46217</v>
      </c>
      <c r="F737" t="inlineStr">
        <is>
          <t>GÄVLEBORGS LÄN</t>
        </is>
      </c>
      <c r="G737" t="inlineStr">
        <is>
          <t>GÄVLE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17974-2026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46124</v>
      </c>
      <c r="E738" s="1" t="n">
        <v>46217</v>
      </c>
      <c r="F738" t="inlineStr">
        <is>
          <t>GÄVLEBORGS LÄN</t>
        </is>
      </c>
      <c r="G738" t="inlineStr">
        <is>
          <t>GÄVLE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17975-2026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46124</v>
      </c>
      <c r="E739" s="1" t="n">
        <v>46217</v>
      </c>
      <c r="F739" t="inlineStr">
        <is>
          <t>GÄVLEBORGS LÄN</t>
        </is>
      </c>
      <c r="G739" t="inlineStr">
        <is>
          <t>GÄVLE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24325-2026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46169</v>
      </c>
      <c r="E740" s="1" t="n">
        <v>46217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24373-2026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46169</v>
      </c>
      <c r="E741" s="1" t="n">
        <v>46217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17976-2026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46124</v>
      </c>
      <c r="E742" s="1" t="n">
        <v>46217</v>
      </c>
      <c r="F742" t="inlineStr">
        <is>
          <t>GÄVLEBORGS LÄN</t>
        </is>
      </c>
      <c r="G742" t="inlineStr">
        <is>
          <t>GÄVLE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24294-2026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46169</v>
      </c>
      <c r="E743" s="1" t="n">
        <v>46217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17954-2026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46122</v>
      </c>
      <c r="E744" s="1" t="n">
        <v>46217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väst AB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13961-2024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45392</v>
      </c>
      <c r="E745" s="1" t="n">
        <v>46217</v>
      </c>
      <c r="F745" t="inlineStr">
        <is>
          <t>GÄVLEBORGS LÄN</t>
        </is>
      </c>
      <c r="G745" t="inlineStr">
        <is>
          <t>GÄVLE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17863-2026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46122</v>
      </c>
      <c r="E746" s="1" t="n">
        <v>46217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24367-2026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46169</v>
      </c>
      <c r="E747" s="1" t="n">
        <v>46217</v>
      </c>
      <c r="F747" t="inlineStr">
        <is>
          <t>GÄVLEBORGS LÄN</t>
        </is>
      </c>
      <c r="G747" t="inlineStr">
        <is>
          <t>GÄVLE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15444-2024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45401</v>
      </c>
      <c r="E748" s="1" t="n">
        <v>46217</v>
      </c>
      <c r="F748" t="inlineStr">
        <is>
          <t>GÄVLEBORGS LÄN</t>
        </is>
      </c>
      <c r="G748" t="inlineStr">
        <is>
          <t>GÄVLE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34668-2024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45526</v>
      </c>
      <c r="E749" s="1" t="n">
        <v>46217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17830-2026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46122</v>
      </c>
      <c r="E750" s="1" t="n">
        <v>46217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61301-2024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45645</v>
      </c>
      <c r="E751" s="1" t="n">
        <v>46217</v>
      </c>
      <c r="F751" t="inlineStr">
        <is>
          <t>GÄVLEBORGS LÄN</t>
        </is>
      </c>
      <c r="G751" t="inlineStr">
        <is>
          <t>GÄVLE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17977-2026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46124</v>
      </c>
      <c r="E752" s="1" t="n">
        <v>46217</v>
      </c>
      <c r="F752" t="inlineStr">
        <is>
          <t>GÄVLEBORGS LÄN</t>
        </is>
      </c>
      <c r="G752" t="inlineStr">
        <is>
          <t>GÄVLE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18175-2026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46125</v>
      </c>
      <c r="E753" s="1" t="n">
        <v>46217</v>
      </c>
      <c r="F753" t="inlineStr">
        <is>
          <t>GÄVLEBORGS LÄN</t>
        </is>
      </c>
      <c r="G753" t="inlineStr">
        <is>
          <t>GÄVLE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18173-2026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46125</v>
      </c>
      <c r="E754" s="1" t="n">
        <v>46217</v>
      </c>
      <c r="F754" t="inlineStr">
        <is>
          <t>GÄVLEBORGS LÄN</t>
        </is>
      </c>
      <c r="G754" t="inlineStr">
        <is>
          <t>GÄVLE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44806-2024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45574</v>
      </c>
      <c r="E755" s="1" t="n">
        <v>46217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13046-2026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46093</v>
      </c>
      <c r="E756" s="1" t="n">
        <v>46217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15558-2026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46217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15568-2026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46106</v>
      </c>
      <c r="E758" s="1" t="n">
        <v>46217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11572-2026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46084</v>
      </c>
      <c r="E759" s="1" t="n">
        <v>46217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47458-2022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44853</v>
      </c>
      <c r="E760" s="1" t="n">
        <v>46217</v>
      </c>
      <c r="F760" t="inlineStr">
        <is>
          <t>GÄVLEBORGS LÄN</t>
        </is>
      </c>
      <c r="G760" t="inlineStr">
        <is>
          <t>GÄVLE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15634-2026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46217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36.3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13492-2026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46217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14966-2026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46104</v>
      </c>
      <c r="E763" s="1" t="n">
        <v>46217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30967-2026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46213</v>
      </c>
      <c r="E764" s="1" t="n">
        <v>46217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19088-2026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46217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33635-2024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45520</v>
      </c>
      <c r="E766" s="1" t="n">
        <v>46217</v>
      </c>
      <c r="F766" t="inlineStr">
        <is>
          <t>GÄVLEBORGS LÄN</t>
        </is>
      </c>
      <c r="G766" t="inlineStr">
        <is>
          <t>GÄVLE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33637-2024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45520</v>
      </c>
      <c r="E767" s="1" t="n">
        <v>46217</v>
      </c>
      <c r="F767" t="inlineStr">
        <is>
          <t>GÄVLEBORGS LÄN</t>
        </is>
      </c>
      <c r="G767" t="inlineStr">
        <is>
          <t>GÄVLE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15635-2026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46217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18657-2026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46128</v>
      </c>
      <c r="E769" s="1" t="n">
        <v>46217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18660-2026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46128</v>
      </c>
      <c r="E770" s="1" t="n">
        <v>46217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19122-2026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46132</v>
      </c>
      <c r="E771" s="1" t="n">
        <v>46217</v>
      </c>
      <c r="F771" t="inlineStr">
        <is>
          <t>GÄVLEBORGS LÄN</t>
        </is>
      </c>
      <c r="G771" t="inlineStr">
        <is>
          <t>GÄVLE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19164-2026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46132</v>
      </c>
      <c r="E772" s="1" t="n">
        <v>46217</v>
      </c>
      <c r="F772" t="inlineStr">
        <is>
          <t>GÄVLEBORGS LÄN</t>
        </is>
      </c>
      <c r="G772" t="inlineStr">
        <is>
          <t>GÄVLE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18659-2026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46128</v>
      </c>
      <c r="E773" s="1" t="n">
        <v>46217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väst AB</t>
        </is>
      </c>
      <c r="I773" t="n">
        <v>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11410-2025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45726</v>
      </c>
      <c r="E774" s="1" t="n">
        <v>46217</v>
      </c>
      <c r="F774" t="inlineStr">
        <is>
          <t>GÄVLEBORGS LÄN</t>
        </is>
      </c>
      <c r="G774" t="inlineStr">
        <is>
          <t>GÄVLE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61492-2024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45646</v>
      </c>
      <c r="E775" s="1" t="n">
        <v>46217</v>
      </c>
      <c r="F775" t="inlineStr">
        <is>
          <t>GÄVLEBORGS LÄN</t>
        </is>
      </c>
      <c r="G775" t="inlineStr">
        <is>
          <t>GÄVLE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19085-2026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46132</v>
      </c>
      <c r="E776" s="1" t="n">
        <v>46217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18817-2026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46128</v>
      </c>
      <c r="E777" s="1" t="n">
        <v>46217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53138-2024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45611</v>
      </c>
      <c r="E778" s="1" t="n">
        <v>46217</v>
      </c>
      <c r="F778" t="inlineStr">
        <is>
          <t>GÄVLEBORGS LÄN</t>
        </is>
      </c>
      <c r="G778" t="inlineStr">
        <is>
          <t>GÄVLE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19087-2026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46132</v>
      </c>
      <c r="E779" s="1" t="n">
        <v>46217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19185-2026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46132</v>
      </c>
      <c r="E780" s="1" t="n">
        <v>46217</v>
      </c>
      <c r="F780" t="inlineStr">
        <is>
          <t>GÄVLEBORGS LÄN</t>
        </is>
      </c>
      <c r="G780" t="inlineStr">
        <is>
          <t>GÄVLE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30948-2026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46213</v>
      </c>
      <c r="E781" s="1" t="n">
        <v>46217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24669-2026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46171</v>
      </c>
      <c r="E782" s="1" t="n">
        <v>46217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21.4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31019-2026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46217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24810-2026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46173</v>
      </c>
      <c r="E784" s="1" t="n">
        <v>46217</v>
      </c>
      <c r="F784" t="inlineStr">
        <is>
          <t>GÄVLEBORGS LÄN</t>
        </is>
      </c>
      <c r="G784" t="inlineStr">
        <is>
          <t>GÄVLE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24456-2026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46217</v>
      </c>
      <c r="F785" t="inlineStr">
        <is>
          <t>GÄVLEBORGS LÄN</t>
        </is>
      </c>
      <c r="G785" t="inlineStr">
        <is>
          <t>GÄVLE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30969-2026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46213</v>
      </c>
      <c r="E786" s="1" t="n">
        <v>46217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66493-2021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44519</v>
      </c>
      <c r="E787" s="1" t="n">
        <v>46217</v>
      </c>
      <c r="F787" t="inlineStr">
        <is>
          <t>GÄVLEBORGS LÄN</t>
        </is>
      </c>
      <c r="G787" t="inlineStr">
        <is>
          <t>GÄVLE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7060-2022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44603</v>
      </c>
      <c r="E788" s="1" t="n">
        <v>46217</v>
      </c>
      <c r="F788" t="inlineStr">
        <is>
          <t>GÄVLEBORGS LÄN</t>
        </is>
      </c>
      <c r="G788" t="inlineStr">
        <is>
          <t>GÄVLE</t>
        </is>
      </c>
      <c r="I788" t="n">
        <v>10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7998-2023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44973</v>
      </c>
      <c r="E789" s="1" t="n">
        <v>46217</v>
      </c>
      <c r="F789" t="inlineStr">
        <is>
          <t>GÄVLEBORGS LÄN</t>
        </is>
      </c>
      <c r="G789" t="inlineStr">
        <is>
          <t>GÄVLE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25384-2026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46176</v>
      </c>
      <c r="E790" s="1" t="n">
        <v>46217</v>
      </c>
      <c r="F790" t="inlineStr">
        <is>
          <t>GÄVLEBORGS LÄN</t>
        </is>
      </c>
      <c r="G790" t="inlineStr">
        <is>
          <t>GÄVLE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19372-2026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46133</v>
      </c>
      <c r="E791" s="1" t="n">
        <v>46217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15176-2026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46105</v>
      </c>
      <c r="E792" s="1" t="n">
        <v>46217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30951-2026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46213</v>
      </c>
      <c r="E793" s="1" t="n">
        <v>46217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25367-2026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46176</v>
      </c>
      <c r="E794" s="1" t="n">
        <v>46217</v>
      </c>
      <c r="F794" t="inlineStr">
        <is>
          <t>GÄVLEBORGS LÄN</t>
        </is>
      </c>
      <c r="G794" t="inlineStr">
        <is>
          <t>GÄVLE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19370-2026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46133</v>
      </c>
      <c r="E795" s="1" t="n">
        <v>46217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19371-2026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46133</v>
      </c>
      <c r="E796" s="1" t="n">
        <v>46217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5408-2023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44959</v>
      </c>
      <c r="E797" s="1" t="n">
        <v>46217</v>
      </c>
      <c r="F797" t="inlineStr">
        <is>
          <t>GÄVLEBORGS LÄN</t>
        </is>
      </c>
      <c r="G797" t="inlineStr">
        <is>
          <t>GÄVLE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60442-2022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44911</v>
      </c>
      <c r="E798" s="1" t="n">
        <v>46217</v>
      </c>
      <c r="F798" t="inlineStr">
        <is>
          <t>GÄVLEBORGS LÄN</t>
        </is>
      </c>
      <c r="G798" t="inlineStr">
        <is>
          <t>GÄVLE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26334-2022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44735</v>
      </c>
      <c r="E799" s="1" t="n">
        <v>46217</v>
      </c>
      <c r="F799" t="inlineStr">
        <is>
          <t>GÄVLEBORGS LÄN</t>
        </is>
      </c>
      <c r="G799" t="inlineStr">
        <is>
          <t>GÄVLE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5462-2023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44960</v>
      </c>
      <c r="E800" s="1" t="n">
        <v>46217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19424-2022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44693</v>
      </c>
      <c r="E801" s="1" t="n">
        <v>46217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37534-2023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45158</v>
      </c>
      <c r="E802" s="1" t="n">
        <v>46217</v>
      </c>
      <c r="F802" t="inlineStr">
        <is>
          <t>GÄVLEBORGS LÄN</t>
        </is>
      </c>
      <c r="G802" t="inlineStr">
        <is>
          <t>GÄVLE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37538-2023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45158</v>
      </c>
      <c r="E803" s="1" t="n">
        <v>46217</v>
      </c>
      <c r="F803" t="inlineStr">
        <is>
          <t>GÄVLEBORGS LÄN</t>
        </is>
      </c>
      <c r="G803" t="inlineStr">
        <is>
          <t>GÄVLE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14750-2022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44656</v>
      </c>
      <c r="E804" s="1" t="n">
        <v>46217</v>
      </c>
      <c r="F804" t="inlineStr">
        <is>
          <t>GÄVLEBORGS LÄN</t>
        </is>
      </c>
      <c r="G804" t="inlineStr">
        <is>
          <t>GÄVLE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53432-2021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44468</v>
      </c>
      <c r="E805" s="1" t="n">
        <v>46217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14735-2024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45397</v>
      </c>
      <c r="E806" s="1" t="n">
        <v>46217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19712-2022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44694</v>
      </c>
      <c r="E807" s="1" t="n">
        <v>46217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14173-2022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44651</v>
      </c>
      <c r="E808" s="1" t="n">
        <v>46217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9307-2022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44616</v>
      </c>
      <c r="E809" s="1" t="n">
        <v>46217</v>
      </c>
      <c r="F809" t="inlineStr">
        <is>
          <t>GÄVLEBORGS LÄN</t>
        </is>
      </c>
      <c r="G809" t="inlineStr">
        <is>
          <t>GÄVLE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5728-2023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44962</v>
      </c>
      <c r="E810" s="1" t="n">
        <v>46217</v>
      </c>
      <c r="F810" t="inlineStr">
        <is>
          <t>GÄVLEBORGS LÄN</t>
        </is>
      </c>
      <c r="G810" t="inlineStr">
        <is>
          <t>GÄVLE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18361-2024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45422</v>
      </c>
      <c r="E811" s="1" t="n">
        <v>46217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44927</v>
      </c>
      <c r="E812" s="1" t="n">
        <v>46217</v>
      </c>
      <c r="F812" t="inlineStr">
        <is>
          <t>GÄVLEBORGS LÄN</t>
        </is>
      </c>
      <c r="G812" t="inlineStr">
        <is>
          <t>GÄVLE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33015-2023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45125</v>
      </c>
      <c r="E813" s="1" t="n">
        <v>46217</v>
      </c>
      <c r="F813" t="inlineStr">
        <is>
          <t>GÄVLEBORGS LÄN</t>
        </is>
      </c>
      <c r="G813" t="inlineStr">
        <is>
          <t>GÄVLE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64878-2023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45282</v>
      </c>
      <c r="E814" s="1" t="n">
        <v>46217</v>
      </c>
      <c r="F814" t="inlineStr">
        <is>
          <t>GÄVLEBORGS LÄN</t>
        </is>
      </c>
      <c r="G814" t="inlineStr">
        <is>
          <t>GÄVLE</t>
        </is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9235-2022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44616</v>
      </c>
      <c r="E815" s="1" t="n">
        <v>46217</v>
      </c>
      <c r="F815" t="inlineStr">
        <is>
          <t>GÄVLEBORGS LÄN</t>
        </is>
      </c>
      <c r="G815" t="inlineStr">
        <is>
          <t>GÄVLE</t>
        </is>
      </c>
      <c r="I815" t="n">
        <v>4.2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35445-2023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45146</v>
      </c>
      <c r="E816" s="1" t="n">
        <v>46217</v>
      </c>
      <c r="F816" t="inlineStr">
        <is>
          <t>GÄVLEBORGS LÄN</t>
        </is>
      </c>
      <c r="G816" t="inlineStr">
        <is>
          <t>GÄVLE</t>
        </is>
      </c>
      <c r="I816" t="n">
        <v>6.2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52495-2021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44466</v>
      </c>
      <c r="E817" s="1" t="n">
        <v>46217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väst AB</t>
        </is>
      </c>
      <c r="I817" t="n">
        <v>5.9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17088-2023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45034</v>
      </c>
      <c r="E818" s="1" t="n">
        <v>46217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32255-2023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45120</v>
      </c>
      <c r="E819" s="1" t="n">
        <v>46217</v>
      </c>
      <c r="F819" t="inlineStr">
        <is>
          <t>GÄVLEBORGS LÄN</t>
        </is>
      </c>
      <c r="G819" t="inlineStr">
        <is>
          <t>GÄVLE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2247-2023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44942</v>
      </c>
      <c r="E820" s="1" t="n">
        <v>46217</v>
      </c>
      <c r="F820" t="inlineStr">
        <is>
          <t>GÄVLEBORGS LÄN</t>
        </is>
      </c>
      <c r="G820" t="inlineStr">
        <is>
          <t>GÄVLE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38558-2023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45162</v>
      </c>
      <c r="E821" s="1" t="n">
        <v>46217</v>
      </c>
      <c r="F821" t="inlineStr">
        <is>
          <t>GÄVLEBORGS LÄN</t>
        </is>
      </c>
      <c r="G821" t="inlineStr">
        <is>
          <t>GÄVLE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52250-2024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45608</v>
      </c>
      <c r="E822" s="1" t="n">
        <v>46217</v>
      </c>
      <c r="F822" t="inlineStr">
        <is>
          <t>GÄVLEBORGS LÄN</t>
        </is>
      </c>
      <c r="G822" t="inlineStr">
        <is>
          <t>GÄVLE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7748-2025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45706</v>
      </c>
      <c r="E823" s="1" t="n">
        <v>46217</v>
      </c>
      <c r="F823" t="inlineStr">
        <is>
          <t>GÄVLEBORGS LÄN</t>
        </is>
      </c>
      <c r="G823" t="inlineStr">
        <is>
          <t>GÄVLE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3712-2023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44951</v>
      </c>
      <c r="E824" s="1" t="n">
        <v>46217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26129-2024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45468</v>
      </c>
      <c r="E825" s="1" t="n">
        <v>46217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9.9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41100-2024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45559</v>
      </c>
      <c r="E826" s="1" t="n">
        <v>46217</v>
      </c>
      <c r="F826" t="inlineStr">
        <is>
          <t>GÄVLEBORGS LÄN</t>
        </is>
      </c>
      <c r="G826" t="inlineStr">
        <is>
          <t>GÄVLE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45278-2022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44840</v>
      </c>
      <c r="E827" s="1" t="n">
        <v>46217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8.5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24720-2023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45084</v>
      </c>
      <c r="E828" s="1" t="n">
        <v>46217</v>
      </c>
      <c r="F828" t="inlineStr">
        <is>
          <t>GÄVLEBORGS LÄN</t>
        </is>
      </c>
      <c r="G828" t="inlineStr">
        <is>
          <t>GÄVLE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71215-2021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44539</v>
      </c>
      <c r="E829" s="1" t="n">
        <v>46217</v>
      </c>
      <c r="F829" t="inlineStr">
        <is>
          <t>GÄVLEBORGS LÄN</t>
        </is>
      </c>
      <c r="G829" t="inlineStr">
        <is>
          <t>GÄVLE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56138-2023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45240</v>
      </c>
      <c r="E830" s="1" t="n">
        <v>46217</v>
      </c>
      <c r="F830" t="inlineStr">
        <is>
          <t>GÄVLEBORGS LÄN</t>
        </is>
      </c>
      <c r="G830" t="inlineStr">
        <is>
          <t>GÄVLE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25768-2022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44733</v>
      </c>
      <c r="E831" s="1" t="n">
        <v>46217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50582-2023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45217</v>
      </c>
      <c r="E832" s="1" t="n">
        <v>46217</v>
      </c>
      <c r="F832" t="inlineStr">
        <is>
          <t>GÄVLEBORGS LÄN</t>
        </is>
      </c>
      <c r="G832" t="inlineStr">
        <is>
          <t>GÄVLE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48834-2024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45593</v>
      </c>
      <c r="E833" s="1" t="n">
        <v>46217</v>
      </c>
      <c r="F833" t="inlineStr">
        <is>
          <t>GÄVLEBORGS LÄN</t>
        </is>
      </c>
      <c r="G833" t="inlineStr">
        <is>
          <t>GÄVLE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58192-2024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45632</v>
      </c>
      <c r="E834" s="1" t="n">
        <v>46217</v>
      </c>
      <c r="F834" t="inlineStr">
        <is>
          <t>GÄVLEBORGS LÄN</t>
        </is>
      </c>
      <c r="G834" t="inlineStr">
        <is>
          <t>GÄVLE</t>
        </is>
      </c>
      <c r="I834" t="n">
        <v>4.4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42876-2023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45182</v>
      </c>
      <c r="E835" s="1" t="n">
        <v>46217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22.7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61786-2024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45649</v>
      </c>
      <c r="E836" s="1" t="n">
        <v>46217</v>
      </c>
      <c r="F836" t="inlineStr">
        <is>
          <t>GÄVLEBORGS LÄN</t>
        </is>
      </c>
      <c r="G836" t="inlineStr">
        <is>
          <t>GÄVLE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61300-2024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45645</v>
      </c>
      <c r="E837" s="1" t="n">
        <v>46217</v>
      </c>
      <c r="F837" t="inlineStr">
        <is>
          <t>GÄVLEBORGS LÄN</t>
        </is>
      </c>
      <c r="G837" t="inlineStr">
        <is>
          <t>GÄVLE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39509-2022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44818</v>
      </c>
      <c r="E838" s="1" t="n">
        <v>46217</v>
      </c>
      <c r="F838" t="inlineStr">
        <is>
          <t>GÄVLEBORGS LÄN</t>
        </is>
      </c>
      <c r="G838" t="inlineStr">
        <is>
          <t>GÄVLE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40091-2023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45168</v>
      </c>
      <c r="E839" s="1" t="n">
        <v>46217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6370-2025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45699</v>
      </c>
      <c r="E840" s="1" t="n">
        <v>46217</v>
      </c>
      <c r="F840" t="inlineStr">
        <is>
          <t>GÄVLEBORGS LÄN</t>
        </is>
      </c>
      <c r="G840" t="inlineStr">
        <is>
          <t>GÄVLE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15935-2025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45749</v>
      </c>
      <c r="E841" s="1" t="n">
        <v>46217</v>
      </c>
      <c r="F841" t="inlineStr">
        <is>
          <t>GÄVLEBORGS LÄN</t>
        </is>
      </c>
      <c r="G841" t="inlineStr">
        <is>
          <t>GÄVLE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29929-2022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44756</v>
      </c>
      <c r="E842" s="1" t="n">
        <v>46217</v>
      </c>
      <c r="F842" t="inlineStr">
        <is>
          <t>GÄVLEBORGS LÄN</t>
        </is>
      </c>
      <c r="G842" t="inlineStr">
        <is>
          <t>GÄVLE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10352-2025</t>
        </is>
      </c>
      <c r="B843" t="inlineStr">
        <is>
          <t>avverkningsanmälan</t>
        </is>
      </c>
      <c r="C843" t="inlineStr">
        <is>
          <t>Avverkning för att bevara och utveckla /försöksver</t>
        </is>
      </c>
      <c r="D843" s="1" t="n">
        <v>45720</v>
      </c>
      <c r="E843" s="1" t="n">
        <v>46217</v>
      </c>
      <c r="F843" t="inlineStr">
        <is>
          <t>GÄVLEBORGS LÄN</t>
        </is>
      </c>
      <c r="G843" t="inlineStr">
        <is>
          <t>GÄVLE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58445-2021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44488</v>
      </c>
      <c r="E844" s="1" t="n">
        <v>46217</v>
      </c>
      <c r="F844" t="inlineStr">
        <is>
          <t>GÄVLEBORGS LÄN</t>
        </is>
      </c>
      <c r="G844" t="inlineStr">
        <is>
          <t>GÄVLE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35206-2024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45530</v>
      </c>
      <c r="E845" s="1" t="n">
        <v>46217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61918-2023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45266</v>
      </c>
      <c r="E846" s="1" t="n">
        <v>46217</v>
      </c>
      <c r="F846" t="inlineStr">
        <is>
          <t>GÄVLEBORGS LÄN</t>
        </is>
      </c>
      <c r="G846" t="inlineStr">
        <is>
          <t>GÄVLE</t>
        </is>
      </c>
      <c r="I846" t="n">
        <v>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2458-2024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45312</v>
      </c>
      <c r="E847" s="1" t="n">
        <v>46217</v>
      </c>
      <c r="F847" t="inlineStr">
        <is>
          <t>GÄVLEBORGS LÄN</t>
        </is>
      </c>
      <c r="G847" t="inlineStr">
        <is>
          <t>GÄVLE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21300-2024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45440</v>
      </c>
      <c r="E848" s="1" t="n">
        <v>46217</v>
      </c>
      <c r="F848" t="inlineStr">
        <is>
          <t>GÄVLEBORGS LÄN</t>
        </is>
      </c>
      <c r="G848" t="inlineStr">
        <is>
          <t>GÄVLE</t>
        </is>
      </c>
      <c r="I848" t="n">
        <v>8.6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61843-2023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45266</v>
      </c>
      <c r="E849" s="1" t="n">
        <v>46217</v>
      </c>
      <c r="F849" t="inlineStr">
        <is>
          <t>GÄVLEBORGS LÄN</t>
        </is>
      </c>
      <c r="G849" t="inlineStr">
        <is>
          <t>GÄVLE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214-2025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45660</v>
      </c>
      <c r="E850" s="1" t="n">
        <v>46217</v>
      </c>
      <c r="F850" t="inlineStr">
        <is>
          <t>GÄVLEBORGS LÄN</t>
        </is>
      </c>
      <c r="G850" t="inlineStr">
        <is>
          <t>GÄVLE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49401-2024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45595</v>
      </c>
      <c r="E851" s="1" t="n">
        <v>46217</v>
      </c>
      <c r="F851" t="inlineStr">
        <is>
          <t>GÄVLEBORGS LÄN</t>
        </is>
      </c>
      <c r="G851" t="inlineStr">
        <is>
          <t>GÄVLE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45938-2024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45580</v>
      </c>
      <c r="E852" s="1" t="n">
        <v>46217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20621-2025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45776</v>
      </c>
      <c r="E853" s="1" t="n">
        <v>46217</v>
      </c>
      <c r="F853" t="inlineStr">
        <is>
          <t>GÄVLEBORGS LÄN</t>
        </is>
      </c>
      <c r="G853" t="inlineStr">
        <is>
          <t>GÄVLE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21431-2025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45782</v>
      </c>
      <c r="E854" s="1" t="n">
        <v>46217</v>
      </c>
      <c r="F854" t="inlineStr">
        <is>
          <t>GÄVLEBORGS LÄN</t>
        </is>
      </c>
      <c r="G854" t="inlineStr">
        <is>
          <t>GÄVLE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59044-2023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45252</v>
      </c>
      <c r="E855" s="1" t="n">
        <v>46217</v>
      </c>
      <c r="F855" t="inlineStr">
        <is>
          <t>GÄVLEBORGS LÄN</t>
        </is>
      </c>
      <c r="G855" t="inlineStr">
        <is>
          <t>GÄVLE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7451-2025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45705</v>
      </c>
      <c r="E856" s="1" t="n">
        <v>46217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7202-2025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45702</v>
      </c>
      <c r="E857" s="1" t="n">
        <v>46217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3862-2024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45322</v>
      </c>
      <c r="E858" s="1" t="n">
        <v>46217</v>
      </c>
      <c r="F858" t="inlineStr">
        <is>
          <t>GÄVLEBORGS LÄN</t>
        </is>
      </c>
      <c r="G858" t="inlineStr">
        <is>
          <t>GÄVLE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22923-2025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45790</v>
      </c>
      <c r="E859" s="1" t="n">
        <v>46217</v>
      </c>
      <c r="F859" t="inlineStr">
        <is>
          <t>GÄVLEBORGS LÄN</t>
        </is>
      </c>
      <c r="G859" t="inlineStr">
        <is>
          <t>GÄVLE</t>
        </is>
      </c>
      <c r="I859" t="n">
        <v>20.8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22879-2025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45790</v>
      </c>
      <c r="E860" s="1" t="n">
        <v>46217</v>
      </c>
      <c r="F860" t="inlineStr">
        <is>
          <t>GÄVLEBORGS LÄN</t>
        </is>
      </c>
      <c r="G860" t="inlineStr">
        <is>
          <t>GÄVLE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255-2025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45660</v>
      </c>
      <c r="E861" s="1" t="n">
        <v>46217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23324-2025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45791</v>
      </c>
      <c r="E862" s="1" t="n">
        <v>46217</v>
      </c>
      <c r="F862" t="inlineStr">
        <is>
          <t>GÄVLEBORGS LÄN</t>
        </is>
      </c>
      <c r="G862" t="inlineStr">
        <is>
          <t>GÄVLE</t>
        </is>
      </c>
      <c r="I862" t="n">
        <v>6.2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23291-2025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45791</v>
      </c>
      <c r="E863" s="1" t="n">
        <v>46217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23232-2025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45791</v>
      </c>
      <c r="E864" s="1" t="n">
        <v>46217</v>
      </c>
      <c r="F864" t="inlineStr">
        <is>
          <t>GÄVLEBORGS LÄN</t>
        </is>
      </c>
      <c r="G864" t="inlineStr">
        <is>
          <t>GÄVLE</t>
        </is>
      </c>
      <c r="I864" t="n">
        <v>10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48913-2024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45594</v>
      </c>
      <c r="E865" s="1" t="n">
        <v>46217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55878-2024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45623</v>
      </c>
      <c r="E866" s="1" t="n">
        <v>46217</v>
      </c>
      <c r="F866" t="inlineStr">
        <is>
          <t>GÄVLEBORGS LÄN</t>
        </is>
      </c>
      <c r="G866" t="inlineStr">
        <is>
          <t>GÄVLE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58373-2024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45632</v>
      </c>
      <c r="E867" s="1" t="n">
        <v>46217</v>
      </c>
      <c r="F867" t="inlineStr">
        <is>
          <t>GÄVLEBORGS LÄN</t>
        </is>
      </c>
      <c r="G867" t="inlineStr">
        <is>
          <t>GÄVLE</t>
        </is>
      </c>
      <c r="I867" t="n">
        <v>13.1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24225-2025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45797</v>
      </c>
      <c r="E868" s="1" t="n">
        <v>46217</v>
      </c>
      <c r="F868" t="inlineStr">
        <is>
          <t>GÄVLEBORGS LÄN</t>
        </is>
      </c>
      <c r="G868" t="inlineStr">
        <is>
          <t>GÄVLE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24614-2025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45798</v>
      </c>
      <c r="E869" s="1" t="n">
        <v>46217</v>
      </c>
      <c r="F869" t="inlineStr">
        <is>
          <t>GÄVLEBORGS LÄN</t>
        </is>
      </c>
      <c r="G869" t="inlineStr">
        <is>
          <t>GÄVLE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24228-2025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45797</v>
      </c>
      <c r="E870" s="1" t="n">
        <v>46217</v>
      </c>
      <c r="F870" t="inlineStr">
        <is>
          <t>GÄVLEBORGS LÄN</t>
        </is>
      </c>
      <c r="G870" t="inlineStr">
        <is>
          <t>GÄVLE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31367-2024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45505</v>
      </c>
      <c r="E871" s="1" t="n">
        <v>46217</v>
      </c>
      <c r="F871" t="inlineStr">
        <is>
          <t>GÄVLEBORGS LÄN</t>
        </is>
      </c>
      <c r="G871" t="inlineStr">
        <is>
          <t>GÄVLE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26564-2022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44739</v>
      </c>
      <c r="E872" s="1" t="n">
        <v>46217</v>
      </c>
      <c r="F872" t="inlineStr">
        <is>
          <t>GÄVLEBORGS LÄN</t>
        </is>
      </c>
      <c r="G872" t="inlineStr">
        <is>
          <t>GÄVLE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25878-2025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45804</v>
      </c>
      <c r="E873" s="1" t="n">
        <v>46217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27611-2025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45813</v>
      </c>
      <c r="E874" s="1" t="n">
        <v>46217</v>
      </c>
      <c r="F874" t="inlineStr">
        <is>
          <t>GÄVLEBORGS LÄN</t>
        </is>
      </c>
      <c r="G874" t="inlineStr">
        <is>
          <t>GÄVLE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27666-2025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45813</v>
      </c>
      <c r="E875" s="1" t="n">
        <v>46217</v>
      </c>
      <c r="F875" t="inlineStr">
        <is>
          <t>GÄVLEBORGS LÄN</t>
        </is>
      </c>
      <c r="G875" t="inlineStr">
        <is>
          <t>GÄVLE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28009-2025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45817</v>
      </c>
      <c r="E876" s="1" t="n">
        <v>46217</v>
      </c>
      <c r="F876" t="inlineStr">
        <is>
          <t>GÄVLEBORGS LÄN</t>
        </is>
      </c>
      <c r="G876" t="inlineStr">
        <is>
          <t>GÄVLE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28481-2025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45819</v>
      </c>
      <c r="E877" s="1" t="n">
        <v>46217</v>
      </c>
      <c r="F877" t="inlineStr">
        <is>
          <t>GÄVLEBORGS LÄN</t>
        </is>
      </c>
      <c r="G877" t="inlineStr">
        <is>
          <t>GÄVLE</t>
        </is>
      </c>
      <c r="I877" t="n">
        <v>13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28624-2025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45819</v>
      </c>
      <c r="E878" s="1" t="n">
        <v>46217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14563-2025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45741</v>
      </c>
      <c r="E879" s="1" t="n">
        <v>46217</v>
      </c>
      <c r="F879" t="inlineStr">
        <is>
          <t>GÄVLEBORGS LÄN</t>
        </is>
      </c>
      <c r="G879" t="inlineStr">
        <is>
          <t>GÄVLE</t>
        </is>
      </c>
      <c r="I879" t="n">
        <v>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30300-2025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45827</v>
      </c>
      <c r="E880" s="1" t="n">
        <v>46217</v>
      </c>
      <c r="F880" t="inlineStr">
        <is>
          <t>GÄVLEBORGS LÄN</t>
        </is>
      </c>
      <c r="G880" t="inlineStr">
        <is>
          <t>GÄVLE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30304-2025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45827</v>
      </c>
      <c r="E881" s="1" t="n">
        <v>46217</v>
      </c>
      <c r="F881" t="inlineStr">
        <is>
          <t>GÄVLEBORGS LÄN</t>
        </is>
      </c>
      <c r="G881" t="inlineStr">
        <is>
          <t>GÄVLE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30301-2025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45827</v>
      </c>
      <c r="E882" s="1" t="n">
        <v>46217</v>
      </c>
      <c r="F882" t="inlineStr">
        <is>
          <t>GÄVLEBORGS LÄN</t>
        </is>
      </c>
      <c r="G882" t="inlineStr">
        <is>
          <t>GÄVLE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30202-2025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45827</v>
      </c>
      <c r="E883" s="1" t="n">
        <v>46217</v>
      </c>
      <c r="F883" t="inlineStr">
        <is>
          <t>GÄVLEBORGS LÄN</t>
        </is>
      </c>
      <c r="G883" t="inlineStr">
        <is>
          <t>GÄVLE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30915-2025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45832</v>
      </c>
      <c r="E884" s="1" t="n">
        <v>46217</v>
      </c>
      <c r="F884" t="inlineStr">
        <is>
          <t>GÄVLEBORGS LÄN</t>
        </is>
      </c>
      <c r="G884" t="inlineStr">
        <is>
          <t>GÄVLE</t>
        </is>
      </c>
      <c r="I884" t="n">
        <v>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31920-2025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45834</v>
      </c>
      <c r="E885" s="1" t="n">
        <v>46217</v>
      </c>
      <c r="F885" t="inlineStr">
        <is>
          <t>GÄVLEBORGS LÄN</t>
        </is>
      </c>
      <c r="G885" t="inlineStr">
        <is>
          <t>GÄVLE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32022-2025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45835</v>
      </c>
      <c r="E886" s="1" t="n">
        <v>46217</v>
      </c>
      <c r="F886" t="inlineStr">
        <is>
          <t>GÄVLEBORGS LÄN</t>
        </is>
      </c>
      <c r="G886" t="inlineStr">
        <is>
          <t>GÄVLE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34116-2025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45845</v>
      </c>
      <c r="E887" s="1" t="n">
        <v>46217</v>
      </c>
      <c r="F887" t="inlineStr">
        <is>
          <t>GÄVLEBORGS LÄN</t>
        </is>
      </c>
      <c r="G887" t="inlineStr">
        <is>
          <t>GÄVLE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21978-2025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45784</v>
      </c>
      <c r="E888" s="1" t="n">
        <v>46217</v>
      </c>
      <c r="F888" t="inlineStr">
        <is>
          <t>GÄVLEBORGS LÄN</t>
        </is>
      </c>
      <c r="G888" t="inlineStr">
        <is>
          <t>GÄVLE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34113-2025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45845</v>
      </c>
      <c r="E889" s="1" t="n">
        <v>46217</v>
      </c>
      <c r="F889" t="inlineStr">
        <is>
          <t>GÄVLEBORGS LÄN</t>
        </is>
      </c>
      <c r="G889" t="inlineStr">
        <is>
          <t>GÄVLE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34722-2025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45848</v>
      </c>
      <c r="E890" s="1" t="n">
        <v>46217</v>
      </c>
      <c r="F890" t="inlineStr">
        <is>
          <t>GÄVLEBORGS LÄN</t>
        </is>
      </c>
      <c r="G890" t="inlineStr">
        <is>
          <t>GÄVLE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34725-2025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45848</v>
      </c>
      <c r="E891" s="1" t="n">
        <v>46217</v>
      </c>
      <c r="F891" t="inlineStr">
        <is>
          <t>GÄVLEBORGS LÄN</t>
        </is>
      </c>
      <c r="G891" t="inlineStr">
        <is>
          <t>GÄVLE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37253-2024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45540</v>
      </c>
      <c r="E892" s="1" t="n">
        <v>46217</v>
      </c>
      <c r="F892" t="inlineStr">
        <is>
          <t>GÄVLEBORGS LÄN</t>
        </is>
      </c>
      <c r="G892" t="inlineStr">
        <is>
          <t>GÄVLE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35337-2025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45854</v>
      </c>
      <c r="E893" s="1" t="n">
        <v>46217</v>
      </c>
      <c r="F893" t="inlineStr">
        <is>
          <t>GÄVLEBORGS LÄN</t>
        </is>
      </c>
      <c r="G893" t="inlineStr">
        <is>
          <t>GÄVLE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35650-2025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45859</v>
      </c>
      <c r="E894" s="1" t="n">
        <v>46217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35938-2025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45862</v>
      </c>
      <c r="E895" s="1" t="n">
        <v>46217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35878-2025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45862</v>
      </c>
      <c r="E896" s="1" t="n">
        <v>46217</v>
      </c>
      <c r="F896" t="inlineStr">
        <is>
          <t>GÄVLEBORGS LÄN</t>
        </is>
      </c>
      <c r="G896" t="inlineStr">
        <is>
          <t>GÄVLE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35919-2025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45862</v>
      </c>
      <c r="E897" s="1" t="n">
        <v>46217</v>
      </c>
      <c r="F897" t="inlineStr">
        <is>
          <t>GÄVLEBORGS LÄN</t>
        </is>
      </c>
      <c r="G897" t="inlineStr">
        <is>
          <t>GÄVLE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36106-2025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45866</v>
      </c>
      <c r="E898" s="1" t="n">
        <v>46217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36255-2025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45867</v>
      </c>
      <c r="E899" s="1" t="n">
        <v>46217</v>
      </c>
      <c r="F899" t="inlineStr">
        <is>
          <t>GÄVLEBORGS LÄN</t>
        </is>
      </c>
      <c r="G899" t="inlineStr">
        <is>
          <t>GÄVLE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S 3425-2023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45205</v>
      </c>
      <c r="E900" s="1" t="n">
        <v>46217</v>
      </c>
      <c r="F900" t="inlineStr">
        <is>
          <t>GÄVLEBORGS LÄN</t>
        </is>
      </c>
      <c r="G900" t="inlineStr">
        <is>
          <t>GÄVLE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  <c r="X900">
        <f>HYPERLINK("https://klasma.github.io/Logging_2180/knärot/S 3425-2023 karta knärot.png", "S 3425-2023")</f>
        <v/>
      </c>
      <c r="Y900">
        <f>HYPERLINK("https://klasma.github.io/Logging_2180/klagomål/S 3425-2023 FSC-klagomål.docx", "S 3425-2023")</f>
        <v/>
      </c>
      <c r="Z900">
        <f>HYPERLINK("https://klasma.github.io/Logging_2180/klagomålsmail/S 3425-2023 FSC-klagomål mail.docx", "S 3425-2023")</f>
        <v/>
      </c>
      <c r="AA900">
        <f>HYPERLINK("https://klasma.github.io/Logging_2180/tillsyn/S 3425-2023 tillsynsbegäran.docx", "S 3425-2023")</f>
        <v/>
      </c>
      <c r="AB900">
        <f>HYPERLINK("https://klasma.github.io/Logging_2180/tillsynsmail/S 3425-2023 tillsynsbegäran mail.docx", "S 3425-2023")</f>
        <v/>
      </c>
    </row>
    <row r="901" ht="15" customHeight="1">
      <c r="A901" t="inlineStr">
        <is>
          <t>S 889-2023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44995</v>
      </c>
      <c r="E901" s="1" t="n">
        <v>46217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väst AB</t>
        </is>
      </c>
      <c r="I901" t="n">
        <v>13.3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S 886-2024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45376</v>
      </c>
      <c r="E902" s="1" t="n">
        <v>46217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2464-2024</t>
        </is>
      </c>
      <c r="B903" t="inlineStr">
        <is>
          <t>samrådsanmälan</t>
        </is>
      </c>
      <c r="C903" t="inlineStr">
        <is>
          <t>Skogsbilväg</t>
        </is>
      </c>
      <c r="D903" s="1" t="n">
        <v>45470</v>
      </c>
      <c r="E903" s="1" t="n">
        <v>46217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>
      <c r="A904" t="inlineStr">
        <is>
          <t>S 644-2026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46089</v>
      </c>
      <c r="E904" s="1" t="n">
        <v>46217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29.2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2026-07-14T08:58:07Z</dcterms:created>
  <dcterms:modified xmlns:dcterms="http://purl.org/dc/terms/" xmlns:xsi="http://www.w3.org/2001/XMLSchema-instance" xsi:type="dcterms:W3CDTF">2026-07-14T08:58:08Z</dcterms:modified>
</cp:coreProperties>
</file>