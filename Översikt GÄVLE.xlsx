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46259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46259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46259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46259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14564-2025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45741</v>
      </c>
      <c r="E18" s="1" t="n">
        <v>46259</v>
      </c>
      <c r="F18" t="inlineStr">
        <is>
          <t>GÄVLEBORGS LÄN</t>
        </is>
      </c>
      <c r="G18" t="inlineStr">
        <is>
          <t>GÄVLE</t>
        </is>
      </c>
      <c r="I18" t="n">
        <v>2</v>
      </c>
      <c r="J18" t="n">
        <v>1</v>
      </c>
      <c r="K18" t="n">
        <v>2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5</v>
      </c>
      <c r="T18" t="n">
        <v>5</v>
      </c>
      <c r="U18" t="n">
        <v>5</v>
      </c>
      <c r="V18" s="2" t="inlineStr">
        <is>
          <t>Garnlav
Knärot
Kattfotslav
Guldlockmossa
Korallblylav</t>
        </is>
      </c>
      <c r="W18">
        <f>HYPERLINK("https://klasma.github.io/Logging_2180/artfynd/A 14564-2025 artfynd.xlsx", "A 14564-2025")</f>
        <v/>
      </c>
      <c r="X18">
        <f>HYPERLINK("https://klasma.github.io/Logging_2180/kartor/A 14564-2025 karta.png", "A 14564-2025")</f>
        <v/>
      </c>
      <c r="Y18">
        <f>HYPERLINK("https://klasma.github.io/Logging_2180/kartor_geotiff/A 14564-2025 georefererad karta.tif", "A 14564-2025")</f>
        <v/>
      </c>
      <c r="Z18">
        <f>HYPERLINK("https://klasma.github.io/Logging_2180/knärot/A 14564-2025 karta knärot.png", "A 14564-2025")</f>
        <v/>
      </c>
      <c r="AA18">
        <f>HYPERLINK("https://klasma.github.io/Logging_2180/klagomål/A 14564-2025 FSC-klagomål.docx", "A 14564-2025")</f>
        <v/>
      </c>
      <c r="AB18">
        <f>HYPERLINK("https://klasma.github.io/Logging_2180/klagomålsmail/A 14564-2025 FSC-klagomål mail.docx", "A 14564-2025")</f>
        <v/>
      </c>
      <c r="AC18">
        <f>HYPERLINK("https://klasma.github.io/Logging_2180/tillsyn/A 14564-2025 tillsynsbegäran.docx", "A 14564-2025")</f>
        <v/>
      </c>
      <c r="AD18">
        <f>HYPERLINK("https://klasma.github.io/Logging_2180/tillsynsmail/A 14564-2025 tillsynsbegäran mail.docx", "A 14564-2025")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46259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46259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46259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46259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1100-2024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45302</v>
      </c>
      <c r="E30" s="1" t="n">
        <v>46259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väst AB</t>
        </is>
      </c>
      <c r="I30" t="n">
        <v>3.9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Tallticka
Vedskivlav
Vågbandad barkbock</t>
        </is>
      </c>
      <c r="W30">
        <f>HYPERLINK("https://klasma.github.io/Logging_2180/artfynd/A 1100-2024 artfynd.xlsx", "A 1100-2024")</f>
        <v/>
      </c>
      <c r="X30">
        <f>HYPERLINK("https://klasma.github.io/Logging_2180/kartor/A 1100-2024 karta.png", "A 1100-2024")</f>
        <v/>
      </c>
      <c r="Y30">
        <f>HYPERLINK("https://klasma.github.io/Logging_2180/kartor_geotiff/A 1100-2024 georefererad karta.tif", "A 1100-2024")</f>
        <v/>
      </c>
      <c r="AA30">
        <f>HYPERLINK("https://klasma.github.io/Logging_2180/klagomål/A 1100-2024 FSC-klagomål.docx", "A 1100-2024")</f>
        <v/>
      </c>
      <c r="AB30">
        <f>HYPERLINK("https://klasma.github.io/Logging_2180/klagomålsmail/A 1100-2024 FSC-klagomål mail.docx", "A 1100-2024")</f>
        <v/>
      </c>
      <c r="AC30">
        <f>HYPERLINK("https://klasma.github.io/Logging_2180/tillsyn/A 1100-2024 tillsynsbegäran.docx", "A 1100-2024")</f>
        <v/>
      </c>
      <c r="AD30">
        <f>HYPERLINK("https://klasma.github.io/Logging_2180/tillsynsmail/A 1100-2024 tillsynsbegäran mail.docx", "A 1100-2024")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46259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46259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46259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46259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3193-2026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46259</v>
      </c>
      <c r="F35" t="inlineStr">
        <is>
          <t>GÄVLEBORGS LÄN</t>
        </is>
      </c>
      <c r="G35" t="inlineStr">
        <is>
          <t>GÄVLE</t>
        </is>
      </c>
      <c r="I35" t="n">
        <v>10.3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1</v>
      </c>
      <c r="V35" s="2" t="inlineStr">
        <is>
          <t>Trastsångare
Enkelbeckasin
Buskskvätta
Trana</t>
        </is>
      </c>
      <c r="W35">
        <f>HYPERLINK("https://klasma.github.io/Logging_2180/artfynd/A 3193-2026 artfynd.xlsx", "A 3193-2026")</f>
        <v/>
      </c>
      <c r="X35">
        <f>HYPERLINK("https://klasma.github.io/Logging_2180/kartor/A 3193-2026 karta.png", "A 3193-2026")</f>
        <v/>
      </c>
      <c r="Y35">
        <f>HYPERLINK("https://klasma.github.io/Logging_2180/kartor_geotiff/A 3193-2026 georefererad karta.tif", "A 3193-2026")</f>
        <v/>
      </c>
      <c r="AA35">
        <f>HYPERLINK("https://klasma.github.io/Logging_2180/klagomål/A 3193-2026 FSC-klagomål.docx", "A 3193-2026")</f>
        <v/>
      </c>
      <c r="AB35">
        <f>HYPERLINK("https://klasma.github.io/Logging_2180/klagomålsmail/A 3193-2026 FSC-klagomål mail.docx", "A 3193-2026")</f>
        <v/>
      </c>
      <c r="AC35">
        <f>HYPERLINK("https://klasma.github.io/Logging_2180/tillsyn/A 3193-2026 tillsynsbegäran.docx", "A 3193-2026")</f>
        <v/>
      </c>
      <c r="AD35">
        <f>HYPERLINK("https://klasma.github.io/Logging_2180/tillsynsmail/A 3193-2026 tillsynsbegäran mail.docx", "A 3193-2026")</f>
        <v/>
      </c>
      <c r="AE35">
        <f>HYPERLINK("https://klasma.github.io/Logging_2180/fåglar/A 3193-2026 prioriterade fågelarter.docx", "A 3193-2026")</f>
        <v/>
      </c>
    </row>
    <row r="36" ht="15" customHeight="1">
      <c r="A36" t="inlineStr">
        <is>
          <t>A 6080-2026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46259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0</v>
      </c>
      <c r="K36" t="n">
        <v>0</v>
      </c>
      <c r="L36" t="n">
        <v>1</v>
      </c>
      <c r="M36" t="n">
        <v>3</v>
      </c>
      <c r="N36" t="n">
        <v>0</v>
      </c>
      <c r="O36" t="n">
        <v>0</v>
      </c>
      <c r="P36" t="n">
        <v>0</v>
      </c>
      <c r="Q36" t="n">
        <v>4</v>
      </c>
      <c r="R36" t="n">
        <v>3</v>
      </c>
      <c r="S36" t="n">
        <v>4</v>
      </c>
      <c r="T36" t="n">
        <v>4</v>
      </c>
      <c r="U36" t="n">
        <v>0</v>
      </c>
      <c r="V36" s="2" t="inlineStr">
        <is>
          <t>Bredbrämad bastardsvärmare
Mindre bastardsvärmare
Ängsblåvinge
Storfläckig kungsnattslända</t>
        </is>
      </c>
      <c r="W36">
        <f>HYPERLINK("https://klasma.github.io/Logging_2180/artfynd/A 6080-2026 artfynd.xlsx", "A 6080-2026")</f>
        <v/>
      </c>
      <c r="X36">
        <f>HYPERLINK("https://klasma.github.io/Logging_2180/kartor/A 6080-2026 karta.png", "A 6080-2026")</f>
        <v/>
      </c>
      <c r="Y36">
        <f>HYPERLINK("https://klasma.github.io/Logging_2180/kartor_geotiff/A 6080-2026 georefererad karta.tif", "A 6080-2026")</f>
        <v/>
      </c>
      <c r="AA36">
        <f>HYPERLINK("https://klasma.github.io/Logging_2180/klagomål/A 6080-2026 FSC-klagomål.docx", "A 6080-2026")</f>
        <v/>
      </c>
      <c r="AB36">
        <f>HYPERLINK("https://klasma.github.io/Logging_2180/klagomålsmail/A 6080-2026 FSC-klagomål mail.docx", "A 6080-2026")</f>
        <v/>
      </c>
      <c r="AC36">
        <f>HYPERLINK("https://klasma.github.io/Logging_2180/tillsyn/A 6080-2026 tillsynsbegäran.docx", "A 6080-2026")</f>
        <v/>
      </c>
      <c r="AD36">
        <f>HYPERLINK("https://klasma.github.io/Logging_2180/tillsynsmail/A 6080-2026 tillsynsbegäran mail.docx", "A 6080-2026")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46259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46259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46259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46259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46259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10169-2026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46076</v>
      </c>
      <c r="E46" s="1" t="n">
        <v>46259</v>
      </c>
      <c r="F46" t="inlineStr">
        <is>
          <t>GÄVLEBORGS LÄN</t>
        </is>
      </c>
      <c r="G46" t="inlineStr">
        <is>
          <t>GÄVLE</t>
        </is>
      </c>
      <c r="I46" t="n">
        <v>2.1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Nordfladdermus
Blåsippa
Vattenfladdermus</t>
        </is>
      </c>
      <c r="W46">
        <f>HYPERLINK("https://klasma.github.io/Logging_2180/artfynd/A 10169-2026 artfynd.xlsx", "A 10169-2026")</f>
        <v/>
      </c>
      <c r="X46">
        <f>HYPERLINK("https://klasma.github.io/Logging_2180/kartor/A 10169-2026 karta.png", "A 10169-2026")</f>
        <v/>
      </c>
      <c r="Y46">
        <f>HYPERLINK("https://klasma.github.io/Logging_2180/kartor_geotiff/A 10169-2026 georefererad karta.tif", "A 10169-2026")</f>
        <v/>
      </c>
      <c r="AA46">
        <f>HYPERLINK("https://klasma.github.io/Logging_2180/klagomål/A 10169-2026 FSC-klagomål.docx", "A 10169-2026")</f>
        <v/>
      </c>
      <c r="AB46">
        <f>HYPERLINK("https://klasma.github.io/Logging_2180/klagomålsmail/A 10169-2026 FSC-klagomål mail.docx", "A 10169-2026")</f>
        <v/>
      </c>
      <c r="AC46">
        <f>HYPERLINK("https://klasma.github.io/Logging_2180/tillsyn/A 10169-2026 tillsynsbegäran.docx", "A 10169-2026")</f>
        <v/>
      </c>
      <c r="AD46">
        <f>HYPERLINK("https://klasma.github.io/Logging_2180/tillsynsmail/A 10169-2026 tillsynsbegäran mail.docx", "A 10169-2026")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46259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46259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56538-2022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46259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Dropptaggsvamp
Blåsippa</t>
        </is>
      </c>
      <c r="W49">
        <f>HYPERLINK("https://klasma.github.io/Logging_2180/artfynd/A 56538-2022 artfynd.xlsx", "A 56538-2022")</f>
        <v/>
      </c>
      <c r="X49">
        <f>HYPERLINK("https://klasma.github.io/Logging_2180/kartor/A 56538-2022 karta.png", "A 56538-2022")</f>
        <v/>
      </c>
      <c r="Y49">
        <f>HYPERLINK("https://klasma.github.io/Logging_2180/kartor_geotiff/A 56538-2022 georefererad karta.tif", "A 56538-2022")</f>
        <v/>
      </c>
      <c r="AA49">
        <f>HYPERLINK("https://klasma.github.io/Logging_2180/klagomål/A 56538-2022 FSC-klagomål.docx", "A 56538-2022")</f>
        <v/>
      </c>
      <c r="AB49">
        <f>HYPERLINK("https://klasma.github.io/Logging_2180/klagomålsmail/A 56538-2022 FSC-klagomål mail.docx", "A 56538-2022")</f>
        <v/>
      </c>
      <c r="AC49">
        <f>HYPERLINK("https://klasma.github.io/Logging_2180/tillsyn/A 56538-2022 tillsynsbegäran.docx", "A 56538-2022")</f>
        <v/>
      </c>
      <c r="AD49">
        <f>HYPERLINK("https://klasma.github.io/Logging_2180/tillsynsmail/A 56538-2022 tillsynsbegäran mail.docx", "A 56538-2022")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46259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46259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46259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46259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46259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46259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46259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10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Rödvingetrast
Nattskärra</t>
        </is>
      </c>
      <c r="W56">
        <f>HYPERLINK("https://klasma.github.io/Logging_2180/artfynd/A 19718-2026 artfynd.xlsx", "A 19718-2026")</f>
        <v/>
      </c>
      <c r="X56">
        <f>HYPERLINK("https://klasma.github.io/Logging_2180/kartor/A 19718-2026 karta.png", "A 19718-2026")</f>
        <v/>
      </c>
      <c r="Y56">
        <f>HYPERLINK("https://klasma.github.io/Logging_2180/kartor_geotiff/A 19718-2026 georefererad karta.tif", "A 19718-2026")</f>
        <v/>
      </c>
      <c r="AA56">
        <f>HYPERLINK("https://klasma.github.io/Logging_2180/klagomål/A 19718-2026 FSC-klagomål.docx", "A 19718-2026")</f>
        <v/>
      </c>
      <c r="AB56">
        <f>HYPERLINK("https://klasma.github.io/Logging_2180/klagomålsmail/A 19718-2026 FSC-klagomål mail.docx", "A 19718-2026")</f>
        <v/>
      </c>
      <c r="AC56">
        <f>HYPERLINK("https://klasma.github.io/Logging_2180/tillsyn/A 19718-2026 tillsynsbegäran.docx", "A 19718-2026")</f>
        <v/>
      </c>
      <c r="AD56">
        <f>HYPERLINK("https://klasma.github.io/Logging_2180/tillsynsmail/A 19718-2026 tillsynsbegäran mail.docx", "A 19718-2026")</f>
        <v/>
      </c>
      <c r="AE56">
        <f>HYPERLINK("https://klasma.github.io/Logging_2180/fåglar/A 19718-2026 prioriterade fågelarter.docx", "A 19718-2026")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46259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46259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13727-2025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46259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2</v>
      </c>
      <c r="V59" s="2" t="inlineStr">
        <is>
          <t>Ullticka
Järpe</t>
        </is>
      </c>
      <c r="W59">
        <f>HYPERLINK("https://klasma.github.io/Logging_2180/artfynd/A 13727-2025 artfynd.xlsx", "A 13727-2025")</f>
        <v/>
      </c>
      <c r="X59">
        <f>HYPERLINK("https://klasma.github.io/Logging_2180/kartor/A 13727-2025 karta.png", "A 13727-2025")</f>
        <v/>
      </c>
      <c r="Y59">
        <f>HYPERLINK("https://klasma.github.io/Logging_2180/kartor_geotiff/A 13727-2025 georefererad karta.tif", "A 13727-2025")</f>
        <v/>
      </c>
      <c r="AA59">
        <f>HYPERLINK("https://klasma.github.io/Logging_2180/klagomål/A 13727-2025 FSC-klagomål.docx", "A 13727-2025")</f>
        <v/>
      </c>
      <c r="AB59">
        <f>HYPERLINK("https://klasma.github.io/Logging_2180/klagomålsmail/A 13727-2025 FSC-klagomål mail.docx", "A 13727-2025")</f>
        <v/>
      </c>
      <c r="AC59">
        <f>HYPERLINK("https://klasma.github.io/Logging_2180/tillsyn/A 13727-2025 tillsynsbegäran.docx", "A 13727-2025")</f>
        <v/>
      </c>
      <c r="AD59">
        <f>HYPERLINK("https://klasma.github.io/Logging_2180/tillsynsmail/A 13727-2025 tillsynsbegäran mail.docx", "A 13727-2025")</f>
        <v/>
      </c>
      <c r="AE59">
        <f>HYPERLINK("https://klasma.github.io/Logging_2180/fåglar/A 13727-2025 prioriterade fågelarter.docx", "A 13727-2025")</f>
        <v/>
      </c>
    </row>
    <row r="60" ht="15" customHeight="1">
      <c r="A60" t="inlineStr">
        <is>
          <t>A 50049-2025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46259</v>
      </c>
      <c r="F60" t="inlineStr">
        <is>
          <t>GÄVLEBORGS LÄN</t>
        </is>
      </c>
      <c r="G60" t="inlineStr">
        <is>
          <t>GÄVLE</t>
        </is>
      </c>
      <c r="H60" t="inlineStr">
        <is>
          <t>Kyrkan</t>
        </is>
      </c>
      <c r="I60" t="n">
        <v>10.3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Vårärt
Blåsippa</t>
        </is>
      </c>
      <c r="W60">
        <f>HYPERLINK("https://klasma.github.io/Logging_2180/artfynd/A 50049-2025 artfynd.xlsx", "A 50049-2025")</f>
        <v/>
      </c>
      <c r="X60">
        <f>HYPERLINK("https://klasma.github.io/Logging_2180/kartor/A 50049-2025 karta.png", "A 50049-2025")</f>
        <v/>
      </c>
      <c r="Y60">
        <f>HYPERLINK("https://klasma.github.io/Logging_2180/kartor_geotiff/A 50049-2025 georefererad karta.tif", "A 50049-2025")</f>
        <v/>
      </c>
      <c r="AA60">
        <f>HYPERLINK("https://klasma.github.io/Logging_2180/klagomål/A 50049-2025 FSC-klagomål.docx", "A 50049-2025")</f>
        <v/>
      </c>
      <c r="AB60">
        <f>HYPERLINK("https://klasma.github.io/Logging_2180/klagomålsmail/A 50049-2025 FSC-klagomål mail.docx", "A 50049-2025")</f>
        <v/>
      </c>
      <c r="AC60">
        <f>HYPERLINK("https://klasma.github.io/Logging_2180/tillsyn/A 50049-2025 tillsynsbegäran.docx", "A 50049-2025")</f>
        <v/>
      </c>
      <c r="AD60">
        <f>HYPERLINK("https://klasma.github.io/Logging_2180/tillsynsmail/A 50049-2025 tillsynsbegäran mail.docx", "A 50049-2025")</f>
        <v/>
      </c>
    </row>
    <row r="61" ht="15" customHeight="1">
      <c r="A61" t="inlineStr">
        <is>
          <t>A 35989-2024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45533</v>
      </c>
      <c r="E61" s="1" t="n">
        <v>46259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3.1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Knärot
Jättesvampmal</t>
        </is>
      </c>
      <c r="W61">
        <f>HYPERLINK("https://klasma.github.io/Logging_2180/artfynd/A 35989-2024 artfynd.xlsx", "A 35989-2024")</f>
        <v/>
      </c>
      <c r="X61">
        <f>HYPERLINK("https://klasma.github.io/Logging_2180/kartor/A 35989-2024 karta.png", "A 35989-2024")</f>
        <v/>
      </c>
      <c r="Y61">
        <f>HYPERLINK("https://klasma.github.io/Logging_2180/kartor_geotiff/A 35989-2024 georefererad karta.tif", "A 35989-2024")</f>
        <v/>
      </c>
      <c r="Z61">
        <f>HYPERLINK("https://klasma.github.io/Logging_2180/knärot/A 35989-2024 karta knärot.png", "A 35989-2024")</f>
        <v/>
      </c>
      <c r="AA61">
        <f>HYPERLINK("https://klasma.github.io/Logging_2180/klagomål/A 35989-2024 FSC-klagomål.docx", "A 35989-2024")</f>
        <v/>
      </c>
      <c r="AB61">
        <f>HYPERLINK("https://klasma.github.io/Logging_2180/klagomålsmail/A 35989-2024 FSC-klagomål mail.docx", "A 35989-2024")</f>
        <v/>
      </c>
      <c r="AC61">
        <f>HYPERLINK("https://klasma.github.io/Logging_2180/tillsyn/A 35989-2024 tillsynsbegäran.docx", "A 35989-2024")</f>
        <v/>
      </c>
      <c r="AD61">
        <f>HYPERLINK("https://klasma.github.io/Logging_2180/tillsynsmail/A 35989-2024 tillsynsbegäran mail.docx", "A 35989-2024")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46259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22149-2026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46259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Vedtrappmossa
Rödgul trumpetsvamp</t>
        </is>
      </c>
      <c r="W63">
        <f>HYPERLINK("https://klasma.github.io/Logging_2180/artfynd/A 22149-2026 artfynd.xlsx", "A 22149-2026")</f>
        <v/>
      </c>
      <c r="X63">
        <f>HYPERLINK("https://klasma.github.io/Logging_2180/kartor/A 22149-2026 karta.png", "A 22149-2026")</f>
        <v/>
      </c>
      <c r="Y63">
        <f>HYPERLINK("https://klasma.github.io/Logging_2180/kartor_geotiff/A 22149-2026 georefererad karta.tif", "A 22149-2026")</f>
        <v/>
      </c>
      <c r="AA63">
        <f>HYPERLINK("https://klasma.github.io/Logging_2180/klagomål/A 22149-2026 FSC-klagomål.docx", "A 22149-2026")</f>
        <v/>
      </c>
      <c r="AB63">
        <f>HYPERLINK("https://klasma.github.io/Logging_2180/klagomålsmail/A 22149-2026 FSC-klagomål mail.docx", "A 22149-2026")</f>
        <v/>
      </c>
      <c r="AC63">
        <f>HYPERLINK("https://klasma.github.io/Logging_2180/tillsyn/A 22149-2026 tillsynsbegäran.docx", "A 22149-2026")</f>
        <v/>
      </c>
      <c r="AD63">
        <f>HYPERLINK("https://klasma.github.io/Logging_2180/tillsynsmail/A 22149-2026 tillsynsbegäran mail.docx", "A 22149-2026")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46259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23257-2026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46259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42.1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Havsörn</t>
        </is>
      </c>
      <c r="W65">
        <f>HYPERLINK("https://klasma.github.io/Logging_2180/artfynd/A 23257-2026 artfynd.xlsx", "A 23257-2026")</f>
        <v/>
      </c>
      <c r="X65">
        <f>HYPERLINK("https://klasma.github.io/Logging_2180/kartor/A 23257-2026 karta.png", "A 23257-2026")</f>
        <v/>
      </c>
      <c r="Y65">
        <f>HYPERLINK("https://klasma.github.io/Logging_2180/kartor_geotiff/A 23257-2026 georefererad karta.tif", "A 23257-2026")</f>
        <v/>
      </c>
      <c r="AA65">
        <f>HYPERLINK("https://klasma.github.io/Logging_2180/klagomål/A 23257-2026 FSC-klagomål.docx", "A 23257-2026")</f>
        <v/>
      </c>
      <c r="AB65">
        <f>HYPERLINK("https://klasma.github.io/Logging_2180/klagomålsmail/A 23257-2026 FSC-klagomål mail.docx", "A 23257-2026")</f>
        <v/>
      </c>
      <c r="AC65">
        <f>HYPERLINK("https://klasma.github.io/Logging_2180/tillsyn/A 23257-2026 tillsynsbegäran.docx", "A 23257-2026")</f>
        <v/>
      </c>
      <c r="AD65">
        <f>HYPERLINK("https://klasma.github.io/Logging_2180/tillsynsmail/A 23257-2026 tillsynsbegäran mail.docx", "A 23257-2026")</f>
        <v/>
      </c>
      <c r="AE65">
        <f>HYPERLINK("https://klasma.github.io/Logging_2180/fåglar/A 23257-2026 prioriterade fågelarter.docx", "A 23257-2026")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46259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29821-2023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46259</v>
      </c>
      <c r="F67" t="inlineStr">
        <is>
          <t>GÄVLEBORGS LÄN</t>
        </is>
      </c>
      <c r="G67" t="inlineStr">
        <is>
          <t>GÄVLE</t>
        </is>
      </c>
      <c r="I67" t="n">
        <v>5.3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Järnsparv
Svartvit flugsnappare</t>
        </is>
      </c>
      <c r="W67">
        <f>HYPERLINK("https://klasma.github.io/Logging_2180/artfynd/A 29821-2023 artfynd.xlsx", "A 29821-2023")</f>
        <v/>
      </c>
      <c r="X67">
        <f>HYPERLINK("https://klasma.github.io/Logging_2180/kartor/A 29821-2023 karta.png", "A 29821-2023")</f>
        <v/>
      </c>
      <c r="Y67">
        <f>HYPERLINK("https://klasma.github.io/Logging_2180/kartor_geotiff/A 29821-2023 georefererad karta.tif", "A 29821-2023")</f>
        <v/>
      </c>
      <c r="AA67">
        <f>HYPERLINK("https://klasma.github.io/Logging_2180/klagomål/A 29821-2023 FSC-klagomål.docx", "A 29821-2023")</f>
        <v/>
      </c>
      <c r="AB67">
        <f>HYPERLINK("https://klasma.github.io/Logging_2180/klagomålsmail/A 29821-2023 FSC-klagomål mail.docx", "A 29821-2023")</f>
        <v/>
      </c>
      <c r="AC67">
        <f>HYPERLINK("https://klasma.github.io/Logging_2180/tillsyn/A 29821-2023 tillsynsbegäran.docx", "A 29821-2023")</f>
        <v/>
      </c>
      <c r="AD67">
        <f>HYPERLINK("https://klasma.github.io/Logging_2180/tillsynsmail/A 29821-2023 tillsynsbegäran mail.docx", "A 29821-2023")</f>
        <v/>
      </c>
      <c r="AE67">
        <f>HYPERLINK("https://klasma.github.io/Logging_2180/fåglar/A 29821-2023 prioriterade fågelarter.docx", "A 29821-2023")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46259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27054-2026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46259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27054-2026 artfynd.xlsx", "A 27054-2026")</f>
        <v/>
      </c>
      <c r="X69">
        <f>HYPERLINK("https://klasma.github.io/Logging_2180/kartor/A 27054-2026 karta.png", "A 27054-2026")</f>
        <v/>
      </c>
      <c r="Y69">
        <f>HYPERLINK("https://klasma.github.io/Logging_2180/kartor_geotiff/A 27054-2026 georefererad karta.tif", "A 27054-2026")</f>
        <v/>
      </c>
      <c r="AA69">
        <f>HYPERLINK("https://klasma.github.io/Logging_2180/klagomål/A 27054-2026 FSC-klagomål.docx", "A 27054-2026")</f>
        <v/>
      </c>
      <c r="AB69">
        <f>HYPERLINK("https://klasma.github.io/Logging_2180/klagomålsmail/A 27054-2026 FSC-klagomål mail.docx", "A 27054-2026")</f>
        <v/>
      </c>
      <c r="AC69">
        <f>HYPERLINK("https://klasma.github.io/Logging_2180/tillsyn/A 27054-2026 tillsynsbegäran.docx", "A 27054-2026")</f>
        <v/>
      </c>
      <c r="AD69">
        <f>HYPERLINK("https://klasma.github.io/Logging_2180/tillsynsmail/A 27054-2026 tillsynsbegäran mail.docx", "A 27054-2026")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46259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60202-2025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45994</v>
      </c>
      <c r="E71" s="1" t="n">
        <v>46259</v>
      </c>
      <c r="F71" t="inlineStr">
        <is>
          <t>GÄVLEBORGS LÄN</t>
        </is>
      </c>
      <c r="G71" t="inlineStr">
        <is>
          <t>GÄVLE</t>
        </is>
      </c>
      <c r="I71" t="n">
        <v>4.3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Spillkråka</t>
        </is>
      </c>
      <c r="W71">
        <f>HYPERLINK("https://klasma.github.io/Logging_2180/artfynd/A 60202-2025 artfynd.xlsx", "A 60202-2025")</f>
        <v/>
      </c>
      <c r="X71">
        <f>HYPERLINK("https://klasma.github.io/Logging_2180/kartor/A 60202-2025 karta.png", "A 60202-2025")</f>
        <v/>
      </c>
      <c r="Y71">
        <f>HYPERLINK("https://klasma.github.io/Logging_2180/kartor_geotiff/A 60202-2025 georefererad karta.tif", "A 60202-2025")</f>
        <v/>
      </c>
      <c r="AA71">
        <f>HYPERLINK("https://klasma.github.io/Logging_2180/klagomål/A 60202-2025 FSC-klagomål.docx", "A 60202-2025")</f>
        <v/>
      </c>
      <c r="AB71">
        <f>HYPERLINK("https://klasma.github.io/Logging_2180/klagomålsmail/A 60202-2025 FSC-klagomål mail.docx", "A 60202-2025")</f>
        <v/>
      </c>
      <c r="AC71">
        <f>HYPERLINK("https://klasma.github.io/Logging_2180/tillsyn/A 60202-2025 tillsynsbegäran.docx", "A 60202-2025")</f>
        <v/>
      </c>
      <c r="AD71">
        <f>HYPERLINK("https://klasma.github.io/Logging_2180/tillsynsmail/A 60202-2025 tillsynsbegäran mail.docx", "A 60202-2025")</f>
        <v/>
      </c>
      <c r="AE71">
        <f>HYPERLINK("https://klasma.github.io/Logging_2180/fåglar/A 60202-2025 prioriterade fågelarter.docx", "A 60202-2025")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46259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46259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46259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46259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A 14554-2026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46259</v>
      </c>
      <c r="F76" t="inlineStr">
        <is>
          <t>GÄVLEBORGS LÄN</t>
        </is>
      </c>
      <c r="G76" t="inlineStr">
        <is>
          <t>GÄVLE</t>
        </is>
      </c>
      <c r="H76" t="inlineStr">
        <is>
          <t>Övriga statliga verk och myndigheter</t>
        </is>
      </c>
      <c r="I76" t="n">
        <v>6.6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121</v>
      </c>
      <c r="U76" t="n">
        <v>0</v>
      </c>
      <c r="V76" s="2" t="inlineStr">
        <is>
          <t>Väddnätfjäril
Sotnätfjäril</t>
        </is>
      </c>
      <c r="W76">
        <f>HYPERLINK("https://klasma.github.io/Logging_2180/artfynd/A 14554-2026 artfynd.xlsx", "A 14554-2026")</f>
        <v/>
      </c>
      <c r="X76">
        <f>HYPERLINK("https://klasma.github.io/Logging_2180/kartor/A 14554-2026 karta.png", "A 14554-2026")</f>
        <v/>
      </c>
      <c r="Y76">
        <f>HYPERLINK("https://klasma.github.io/Logging_2180/kartor_geotiff/A 14554-2026 georefererad karta.tif", "A 14554-2026")</f>
        <v/>
      </c>
      <c r="AA76">
        <f>HYPERLINK("https://klasma.github.io/Logging_2180/klagomål/A 14554-2026 FSC-klagomål.docx", "A 14554-2026")</f>
        <v/>
      </c>
      <c r="AB76">
        <f>HYPERLINK("https://klasma.github.io/Logging_2180/klagomålsmail/A 14554-2026 FSC-klagomål mail.docx", "A 14554-2026")</f>
        <v/>
      </c>
      <c r="AC76">
        <f>HYPERLINK("https://klasma.github.io/Logging_2180/tillsyn/A 14554-2026 tillsynsbegäran.docx", "A 14554-2026")</f>
        <v/>
      </c>
      <c r="AD76">
        <f>HYPERLINK("https://klasma.github.io/Logging_2180/tillsynsmail/A 14554-2026 tillsynsbegäran mail.docx", "A 14554-2026")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46259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46259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47642-2024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46259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8.199999999999999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HYPERLINK("https://klasma.github.io/Logging_2180/artfynd/A 47642-2024 artfynd.xlsx", "A 47642-2024")</f>
        <v/>
      </c>
      <c r="X79">
        <f>HYPERLINK("https://klasma.github.io/Logging_2180/kartor/A 47642-2024 karta.png", "A 47642-2024")</f>
        <v/>
      </c>
      <c r="Y79">
        <f>HYPERLINK("https://klasma.github.io/Logging_2180/kartor_geotiff/A 47642-2024 georefererad karta.tif", "A 47642-2024")</f>
        <v/>
      </c>
      <c r="AA79">
        <f>HYPERLINK("https://klasma.github.io/Logging_2180/klagomål/A 47642-2024 FSC-klagomål.docx", "A 47642-2024")</f>
        <v/>
      </c>
      <c r="AB79">
        <f>HYPERLINK("https://klasma.github.io/Logging_2180/klagomålsmail/A 47642-2024 FSC-klagomål mail.docx", "A 47642-2024")</f>
        <v/>
      </c>
      <c r="AC79">
        <f>HYPERLINK("https://klasma.github.io/Logging_2180/tillsyn/A 47642-2024 tillsynsbegäran.docx", "A 47642-2024")</f>
        <v/>
      </c>
      <c r="AD79">
        <f>HYPERLINK("https://klasma.github.io/Logging_2180/tillsynsmail/A 47642-2024 tillsynsbegäran mail.docx", "A 47642-2024")</f>
        <v/>
      </c>
      <c r="AE79">
        <f>HYPERLINK("https://klasma.github.io/Logging_2180/fåglar/A 47642-2024 prioriterade fågelarter.docx", "A 47642-2024")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46259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13227-2024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46259</v>
      </c>
      <c r="F81" t="inlineStr">
        <is>
          <t>GÄVLEBORGS LÄN</t>
        </is>
      </c>
      <c r="G81" t="inlineStr">
        <is>
          <t>GÄVLE</t>
        </is>
      </c>
      <c r="H81" t="inlineStr">
        <is>
          <t>Övriga statliga verk och myndigheter</t>
        </is>
      </c>
      <c r="I81" t="n">
        <v>5.9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Större vattensalamander</t>
        </is>
      </c>
      <c r="W81">
        <f>HYPERLINK("https://klasma.github.io/Logging_2180/artfynd/A 13227-2024 artfynd.xlsx", "A 13227-2024")</f>
        <v/>
      </c>
      <c r="X81">
        <f>HYPERLINK("https://klasma.github.io/Logging_2180/kartor/A 13227-2024 karta.png", "A 13227-2024")</f>
        <v/>
      </c>
      <c r="Y81">
        <f>HYPERLINK("https://klasma.github.io/Logging_2180/kartor_geotiff/A 13227-2024 georefererad karta.tif", "A 13227-2024")</f>
        <v/>
      </c>
      <c r="AA81">
        <f>HYPERLINK("https://klasma.github.io/Logging_2180/klagomål/A 13227-2024 FSC-klagomål.docx", "A 13227-2024")</f>
        <v/>
      </c>
      <c r="AB81">
        <f>HYPERLINK("https://klasma.github.io/Logging_2180/klagomålsmail/A 13227-2024 FSC-klagomål mail.docx", "A 13227-2024")</f>
        <v/>
      </c>
      <c r="AC81">
        <f>HYPERLINK("https://klasma.github.io/Logging_2180/tillsyn/A 13227-2024 tillsynsbegäran.docx", "A 13227-2024")</f>
        <v/>
      </c>
      <c r="AD81">
        <f>HYPERLINK("https://klasma.github.io/Logging_2180/tillsynsmail/A 13227-2024 tillsynsbegäran mail.docx", "A 13227-2024")</f>
        <v/>
      </c>
    </row>
    <row r="82" ht="15" customHeight="1">
      <c r="A82" t="inlineStr">
        <is>
          <t>A 30302-2025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46259</v>
      </c>
      <c r="F82" t="inlineStr">
        <is>
          <t>GÄVLEBORGS LÄN</t>
        </is>
      </c>
      <c r="G82" t="inlineStr">
        <is>
          <t>GÄVLE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Fläcknycklar</t>
        </is>
      </c>
      <c r="W82">
        <f>HYPERLINK("https://klasma.github.io/Logging_2180/artfynd/A 30302-2025 artfynd.xlsx", "A 30302-2025")</f>
        <v/>
      </c>
      <c r="X82">
        <f>HYPERLINK("https://klasma.github.io/Logging_2180/kartor/A 30302-2025 karta.png", "A 30302-2025")</f>
        <v/>
      </c>
      <c r="Y82">
        <f>HYPERLINK("https://klasma.github.io/Logging_2180/kartor_geotiff/A 30302-2025 georefererad karta.tif", "A 30302-2025")</f>
        <v/>
      </c>
      <c r="AA82">
        <f>HYPERLINK("https://klasma.github.io/Logging_2180/klagomål/A 30302-2025 FSC-klagomål.docx", "A 30302-2025")</f>
        <v/>
      </c>
      <c r="AB82">
        <f>HYPERLINK("https://klasma.github.io/Logging_2180/klagomålsmail/A 30302-2025 FSC-klagomål mail.docx", "A 30302-2025")</f>
        <v/>
      </c>
      <c r="AC82">
        <f>HYPERLINK("https://klasma.github.io/Logging_2180/tillsyn/A 30302-2025 tillsynsbegäran.docx", "A 30302-2025")</f>
        <v/>
      </c>
      <c r="AD82">
        <f>HYPERLINK("https://klasma.github.io/Logging_2180/tillsynsmail/A 30302-2025 tillsynsbegäran mail.docx", "A 30302-2025")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46259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5409-2023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46259</v>
      </c>
      <c r="F84" t="inlineStr">
        <is>
          <t>GÄVLEBORGS LÄN</t>
        </is>
      </c>
      <c r="G84" t="inlineStr">
        <is>
          <t>GÄVLE</t>
        </is>
      </c>
      <c r="I84" t="n">
        <v>0.3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5409-2023 artfynd.xlsx", "A 5409-2023")</f>
        <v/>
      </c>
      <c r="X84">
        <f>HYPERLINK("https://klasma.github.io/Logging_2180/kartor/A 5409-2023 karta.png", "A 5409-2023")</f>
        <v/>
      </c>
      <c r="Y84">
        <f>HYPERLINK("https://klasma.github.io/Logging_2180/kartor_geotiff/A 5409-2023 georefererad karta.tif", "A 5409-2023")</f>
        <v/>
      </c>
      <c r="AA84">
        <f>HYPERLINK("https://klasma.github.io/Logging_2180/klagomål/A 5409-2023 FSC-klagomål.docx", "A 5409-2023")</f>
        <v/>
      </c>
      <c r="AB84">
        <f>HYPERLINK("https://klasma.github.io/Logging_2180/klagomålsmail/A 5409-2023 FSC-klagomål mail.docx", "A 5409-2023")</f>
        <v/>
      </c>
      <c r="AC84">
        <f>HYPERLINK("https://klasma.github.io/Logging_2180/tillsyn/A 5409-2023 tillsynsbegäran.docx", "A 5409-2023")</f>
        <v/>
      </c>
      <c r="AD84">
        <f>HYPERLINK("https://klasma.github.io/Logging_2180/tillsynsmail/A 5409-2023 tillsynsbegäran mail.docx", "A 5409-2023")</f>
        <v/>
      </c>
    </row>
    <row r="85" ht="15" customHeight="1">
      <c r="A85" t="inlineStr">
        <is>
          <t>A 5415-2023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44959</v>
      </c>
      <c r="E85" s="1" t="n">
        <v>46259</v>
      </c>
      <c r="F85" t="inlineStr">
        <is>
          <t>GÄVLEBORGS LÄN</t>
        </is>
      </c>
      <c r="G85" t="inlineStr">
        <is>
          <t>GÄVLE</t>
        </is>
      </c>
      <c r="I85" t="n">
        <v>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Skogsklocka</t>
        </is>
      </c>
      <c r="W85">
        <f>HYPERLINK("https://klasma.github.io/Logging_2180/artfynd/A 5415-2023 artfynd.xlsx", "A 5415-2023")</f>
        <v/>
      </c>
      <c r="X85">
        <f>HYPERLINK("https://klasma.github.io/Logging_2180/kartor/A 5415-2023 karta.png", "A 5415-2023")</f>
        <v/>
      </c>
      <c r="Y85">
        <f>HYPERLINK("https://klasma.github.io/Logging_2180/kartor_geotiff/A 5415-2023 georefererad karta.tif", "A 5415-2023")</f>
        <v/>
      </c>
      <c r="AA85">
        <f>HYPERLINK("https://klasma.github.io/Logging_2180/klagomål/A 5415-2023 FSC-klagomål.docx", "A 5415-2023")</f>
        <v/>
      </c>
      <c r="AB85">
        <f>HYPERLINK("https://klasma.github.io/Logging_2180/klagomålsmail/A 5415-2023 FSC-klagomål mail.docx", "A 5415-2023")</f>
        <v/>
      </c>
      <c r="AC85">
        <f>HYPERLINK("https://klasma.github.io/Logging_2180/tillsyn/A 5415-2023 tillsynsbegäran.docx", "A 5415-2023")</f>
        <v/>
      </c>
      <c r="AD85">
        <f>HYPERLINK("https://klasma.github.io/Logging_2180/tillsynsmail/A 5415-2023 tillsynsbegäran mail.docx", "A 5415-2023")</f>
        <v/>
      </c>
    </row>
    <row r="86" ht="15" customHeight="1">
      <c r="A86" t="inlineStr">
        <is>
          <t>A 11411-2025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46259</v>
      </c>
      <c r="F86" t="inlineStr">
        <is>
          <t>GÄVLEBORGS LÄN</t>
        </is>
      </c>
      <c r="G86" t="inlineStr">
        <is>
          <t>GÄVLE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11411-2025 artfynd.xlsx", "A 11411-2025")</f>
        <v/>
      </c>
      <c r="X86">
        <f>HYPERLINK("https://klasma.github.io/Logging_2180/kartor/A 11411-2025 karta.png", "A 11411-2025")</f>
        <v/>
      </c>
      <c r="Y86">
        <f>HYPERLINK("https://klasma.github.io/Logging_2180/kartor_geotiff/A 11411-2025 georefererad karta.tif", "A 11411-2025")</f>
        <v/>
      </c>
      <c r="AA86">
        <f>HYPERLINK("https://klasma.github.io/Logging_2180/klagomål/A 11411-2025 FSC-klagomål.docx", "A 11411-2025")</f>
        <v/>
      </c>
      <c r="AB86">
        <f>HYPERLINK("https://klasma.github.io/Logging_2180/klagomålsmail/A 11411-2025 FSC-klagomål mail.docx", "A 11411-2025")</f>
        <v/>
      </c>
      <c r="AC86">
        <f>HYPERLINK("https://klasma.github.io/Logging_2180/tillsyn/A 11411-2025 tillsynsbegäran.docx", "A 11411-2025")</f>
        <v/>
      </c>
      <c r="AD86">
        <f>HYPERLINK("https://klasma.github.io/Logging_2180/tillsynsmail/A 11411-2025 tillsynsbegäran mail.docx", "A 11411-2025")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46259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13684-2026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46259</v>
      </c>
      <c r="F88" t="inlineStr">
        <is>
          <t>GÄVLEBORGS LÄN</t>
        </is>
      </c>
      <c r="G88" t="inlineStr">
        <is>
          <t>GÄVLE</t>
        </is>
      </c>
      <c r="I88" t="n">
        <v>21.3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HYPERLINK("https://klasma.github.io/Logging_2180/artfynd/A 13684-2026 artfynd.xlsx", "A 13684-2026")</f>
        <v/>
      </c>
      <c r="X88">
        <f>HYPERLINK("https://klasma.github.io/Logging_2180/kartor/A 13684-2026 karta.png", "A 13684-2026")</f>
        <v/>
      </c>
      <c r="Y88">
        <f>HYPERLINK("https://klasma.github.io/Logging_2180/kartor_geotiff/A 13684-2026 georefererad karta.tif", "A 13684-2026")</f>
        <v/>
      </c>
      <c r="AA88">
        <f>HYPERLINK("https://klasma.github.io/Logging_2180/klagomål/A 13684-2026 FSC-klagomål.docx", "A 13684-2026")</f>
        <v/>
      </c>
      <c r="AB88">
        <f>HYPERLINK("https://klasma.github.io/Logging_2180/klagomålsmail/A 13684-2026 FSC-klagomål mail.docx", "A 13684-2026")</f>
        <v/>
      </c>
      <c r="AC88">
        <f>HYPERLINK("https://klasma.github.io/Logging_2180/tillsyn/A 13684-2026 tillsynsbegäran.docx", "A 13684-2026")</f>
        <v/>
      </c>
      <c r="AD88">
        <f>HYPERLINK("https://klasma.github.io/Logging_2180/tillsynsmail/A 13684-2026 tillsynsbegäran mail.docx", "A 13684-2026")</f>
        <v/>
      </c>
    </row>
    <row r="89" ht="15" customHeight="1">
      <c r="A89" t="inlineStr">
        <is>
          <t>A 21282-2024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46259</v>
      </c>
      <c r="F89" t="inlineStr">
        <is>
          <t>GÄVLEBORGS LÄN</t>
        </is>
      </c>
      <c r="G89" t="inlineStr">
        <is>
          <t>GÄVLE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Skogsklocka</t>
        </is>
      </c>
      <c r="W89">
        <f>HYPERLINK("https://klasma.github.io/Logging_2180/artfynd/A 21282-2024 artfynd.xlsx", "A 21282-2024")</f>
        <v/>
      </c>
      <c r="X89">
        <f>HYPERLINK("https://klasma.github.io/Logging_2180/kartor/A 21282-2024 karta.png", "A 21282-2024")</f>
        <v/>
      </c>
      <c r="Y89">
        <f>HYPERLINK("https://klasma.github.io/Logging_2180/kartor_geotiff/A 21282-2024 georefererad karta.tif", "A 21282-2024")</f>
        <v/>
      </c>
      <c r="AA89">
        <f>HYPERLINK("https://klasma.github.io/Logging_2180/klagomål/A 21282-2024 FSC-klagomål.docx", "A 21282-2024")</f>
        <v/>
      </c>
      <c r="AB89">
        <f>HYPERLINK("https://klasma.github.io/Logging_2180/klagomålsmail/A 21282-2024 FSC-klagomål mail.docx", "A 21282-2024")</f>
        <v/>
      </c>
      <c r="AC89">
        <f>HYPERLINK("https://klasma.github.io/Logging_2180/tillsyn/A 21282-2024 tillsynsbegäran.docx", "A 21282-2024")</f>
        <v/>
      </c>
      <c r="AD89">
        <f>HYPERLINK("https://klasma.github.io/Logging_2180/tillsynsmail/A 21282-2024 tillsynsbegäran mail.docx", "A 21282-2024")</f>
        <v/>
      </c>
    </row>
    <row r="90" ht="15" customHeight="1">
      <c r="A90" t="inlineStr">
        <is>
          <t>A 57932-2024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46259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48.7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HYPERLINK("https://klasma.github.io/Logging_2180/artfynd/A 57932-2024 artfynd.xlsx", "A 57932-2024")</f>
        <v/>
      </c>
      <c r="X90">
        <f>HYPERLINK("https://klasma.github.io/Logging_2180/kartor/A 57932-2024 karta.png", "A 57932-2024")</f>
        <v/>
      </c>
      <c r="Y90">
        <f>HYPERLINK("https://klasma.github.io/Logging_2180/kartor_geotiff/A 57932-2024 georefererad karta.tif", "A 57932-2024")</f>
        <v/>
      </c>
      <c r="AA90">
        <f>HYPERLINK("https://klasma.github.io/Logging_2180/klagomål/A 57932-2024 FSC-klagomål.docx", "A 57932-2024")</f>
        <v/>
      </c>
      <c r="AB90">
        <f>HYPERLINK("https://klasma.github.io/Logging_2180/klagomålsmail/A 57932-2024 FSC-klagomål mail.docx", "A 57932-2024")</f>
        <v/>
      </c>
      <c r="AC90">
        <f>HYPERLINK("https://klasma.github.io/Logging_2180/tillsyn/A 57932-2024 tillsynsbegäran.docx", "A 57932-2024")</f>
        <v/>
      </c>
      <c r="AD90">
        <f>HYPERLINK("https://klasma.github.io/Logging_2180/tillsynsmail/A 57932-2024 tillsynsbegäran mail.docx", "A 57932-2024")</f>
        <v/>
      </c>
      <c r="AE90">
        <f>HYPERLINK("https://klasma.github.io/Logging_2180/fåglar/A 57932-2024 prioriterade fågelarter.docx", "A 57932-2024")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46259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26157-2022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46259</v>
      </c>
      <c r="F92" t="inlineStr">
        <is>
          <t>GÄVLEBORGS LÄN</t>
        </is>
      </c>
      <c r="G92" t="inlineStr">
        <is>
          <t>GÄVLE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HYPERLINK("https://klasma.github.io/Logging_2180/artfynd/A 26157-2022 artfynd.xlsx", "A 26157-2022")</f>
        <v/>
      </c>
      <c r="X92">
        <f>HYPERLINK("https://klasma.github.io/Logging_2180/kartor/A 26157-2022 karta.png", "A 26157-2022")</f>
        <v/>
      </c>
      <c r="Y92">
        <f>HYPERLINK("https://klasma.github.io/Logging_2180/kartor_geotiff/A 26157-2022 georefererad karta.tif", "A 26157-2022")</f>
        <v/>
      </c>
      <c r="AA92">
        <f>HYPERLINK("https://klasma.github.io/Logging_2180/klagomål/A 26157-2022 FSC-klagomål.docx", "A 26157-2022")</f>
        <v/>
      </c>
      <c r="AB92">
        <f>HYPERLINK("https://klasma.github.io/Logging_2180/klagomålsmail/A 26157-2022 FSC-klagomål mail.docx", "A 26157-2022")</f>
        <v/>
      </c>
      <c r="AC92">
        <f>HYPERLINK("https://klasma.github.io/Logging_2180/tillsyn/A 26157-2022 tillsynsbegäran.docx", "A 26157-2022")</f>
        <v/>
      </c>
      <c r="AD92">
        <f>HYPERLINK("https://klasma.github.io/Logging_2180/tillsynsmail/A 26157-2022 tillsynsbegäran mail.docx", "A 26157-2022")</f>
        <v/>
      </c>
    </row>
    <row r="93" ht="15" customHeight="1">
      <c r="A93" t="inlineStr">
        <is>
          <t>A 51508-2024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46259</v>
      </c>
      <c r="F93" t="inlineStr">
        <is>
          <t>GÄVLEBORGS LÄN</t>
        </is>
      </c>
      <c r="G93" t="inlineStr">
        <is>
          <t>GÄVLE</t>
        </is>
      </c>
      <c r="I93" t="n">
        <v>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HYPERLINK("https://klasma.github.io/Logging_2180/artfynd/A 51508-2024 artfynd.xlsx", "A 51508-2024")</f>
        <v/>
      </c>
      <c r="X93">
        <f>HYPERLINK("https://klasma.github.io/Logging_2180/kartor/A 51508-2024 karta.png", "A 51508-2024")</f>
        <v/>
      </c>
      <c r="Y93">
        <f>HYPERLINK("https://klasma.github.io/Logging_2180/kartor_geotiff/A 51508-2024 georefererad karta.tif", "A 51508-2024")</f>
        <v/>
      </c>
      <c r="AA93">
        <f>HYPERLINK("https://klasma.github.io/Logging_2180/klagomål/A 51508-2024 FSC-klagomål.docx", "A 51508-2024")</f>
        <v/>
      </c>
      <c r="AB93">
        <f>HYPERLINK("https://klasma.github.io/Logging_2180/klagomålsmail/A 51508-2024 FSC-klagomål mail.docx", "A 51508-2024")</f>
        <v/>
      </c>
      <c r="AC93">
        <f>HYPERLINK("https://klasma.github.io/Logging_2180/tillsyn/A 51508-2024 tillsynsbegäran.docx", "A 51508-2024")</f>
        <v/>
      </c>
      <c r="AD93">
        <f>HYPERLINK("https://klasma.github.io/Logging_2180/tillsynsmail/A 51508-2024 tillsynsbegäran mail.docx", "A 51508-2024")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46259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46259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46259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28875-2025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46259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43.3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Revlummer</t>
        </is>
      </c>
      <c r="W97">
        <f>HYPERLINK("https://klasma.github.io/Logging_2180/artfynd/A 28875-2025 artfynd.xlsx", "A 28875-2025")</f>
        <v/>
      </c>
      <c r="X97">
        <f>HYPERLINK("https://klasma.github.io/Logging_2180/kartor/A 28875-2025 karta.png", "A 28875-2025")</f>
        <v/>
      </c>
      <c r="Y97">
        <f>HYPERLINK("https://klasma.github.io/Logging_2180/kartor_geotiff/A 28875-2025 georefererad karta.tif", "A 28875-2025")</f>
        <v/>
      </c>
      <c r="AA97">
        <f>HYPERLINK("https://klasma.github.io/Logging_2180/klagomål/A 28875-2025 FSC-klagomål.docx", "A 28875-2025")</f>
        <v/>
      </c>
      <c r="AB97">
        <f>HYPERLINK("https://klasma.github.io/Logging_2180/klagomålsmail/A 28875-2025 FSC-klagomål mail.docx", "A 28875-2025")</f>
        <v/>
      </c>
      <c r="AC97">
        <f>HYPERLINK("https://klasma.github.io/Logging_2180/tillsyn/A 28875-2025 tillsynsbegäran.docx", "A 28875-2025")</f>
        <v/>
      </c>
      <c r="AD97">
        <f>HYPERLINK("https://klasma.github.io/Logging_2180/tillsynsmail/A 28875-2025 tillsynsbegäran mail.docx", "A 28875-2025")</f>
        <v/>
      </c>
    </row>
    <row r="98" ht="15" customHeight="1">
      <c r="A98" t="inlineStr">
        <is>
          <t>A 49393-2025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46259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49393-2025 artfynd.xlsx", "A 49393-2025")</f>
        <v/>
      </c>
      <c r="X98">
        <f>HYPERLINK("https://klasma.github.io/Logging_2180/kartor/A 49393-2025 karta.png", "A 49393-2025")</f>
        <v/>
      </c>
      <c r="Y98">
        <f>HYPERLINK("https://klasma.github.io/Logging_2180/kartor_geotiff/A 49393-2025 georefererad karta.tif", "A 49393-2025")</f>
        <v/>
      </c>
      <c r="AA98">
        <f>HYPERLINK("https://klasma.github.io/Logging_2180/klagomål/A 49393-2025 FSC-klagomål.docx", "A 49393-2025")</f>
        <v/>
      </c>
      <c r="AB98">
        <f>HYPERLINK("https://klasma.github.io/Logging_2180/klagomålsmail/A 49393-2025 FSC-klagomål mail.docx", "A 49393-2025")</f>
        <v/>
      </c>
      <c r="AC98">
        <f>HYPERLINK("https://klasma.github.io/Logging_2180/tillsyn/A 49393-2025 tillsynsbegäran.docx", "A 49393-2025")</f>
        <v/>
      </c>
      <c r="AD98">
        <f>HYPERLINK("https://klasma.github.io/Logging_2180/tillsynsmail/A 49393-2025 tillsynsbegäran mail.docx", "A 49393-2025")</f>
        <v/>
      </c>
    </row>
    <row r="99" ht="15" customHeight="1">
      <c r="A99" t="inlineStr">
        <is>
          <t>A 18216-2024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46259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Dofttaggsvamp</t>
        </is>
      </c>
      <c r="W99">
        <f>HYPERLINK("https://klasma.github.io/Logging_2180/artfynd/A 18216-2024 artfynd.xlsx", "A 18216-2024")</f>
        <v/>
      </c>
      <c r="X99">
        <f>HYPERLINK("https://klasma.github.io/Logging_2180/kartor/A 18216-2024 karta.png", "A 18216-2024")</f>
        <v/>
      </c>
      <c r="Y99">
        <f>HYPERLINK("https://klasma.github.io/Logging_2180/kartor_geotiff/A 18216-2024 georefererad karta.tif", "A 18216-2024")</f>
        <v/>
      </c>
      <c r="AA99">
        <f>HYPERLINK("https://klasma.github.io/Logging_2180/klagomål/A 18216-2024 FSC-klagomål.docx", "A 18216-2024")</f>
        <v/>
      </c>
      <c r="AB99">
        <f>HYPERLINK("https://klasma.github.io/Logging_2180/klagomålsmail/A 18216-2024 FSC-klagomål mail.docx", "A 18216-2024")</f>
        <v/>
      </c>
      <c r="AC99">
        <f>HYPERLINK("https://klasma.github.io/Logging_2180/tillsyn/A 18216-2024 tillsynsbegäran.docx", "A 18216-2024")</f>
        <v/>
      </c>
      <c r="AD99">
        <f>HYPERLINK("https://klasma.github.io/Logging_2180/tillsynsmail/A 18216-2024 tillsynsbegäran mail.docx", "A 18216-2024")</f>
        <v/>
      </c>
    </row>
    <row r="100" ht="15" customHeight="1">
      <c r="A100" t="inlineStr">
        <is>
          <t>A 33812-2022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44790</v>
      </c>
      <c r="E100" s="1" t="n">
        <v>46259</v>
      </c>
      <c r="F100" t="inlineStr">
        <is>
          <t>GÄVLEBORGS LÄN</t>
        </is>
      </c>
      <c r="G100" t="inlineStr">
        <is>
          <t>GÄVLE</t>
        </is>
      </c>
      <c r="I100" t="n">
        <v>2.1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HYPERLINK("https://klasma.github.io/Logging_2180/artfynd/A 33812-2022 artfynd.xlsx", "A 33812-2022")</f>
        <v/>
      </c>
      <c r="X100">
        <f>HYPERLINK("https://klasma.github.io/Logging_2180/kartor/A 33812-2022 karta.png", "A 33812-2022")</f>
        <v/>
      </c>
      <c r="Y100">
        <f>HYPERLINK("https://klasma.github.io/Logging_2180/kartor_geotiff/A 33812-2022 georefererad karta.tif", "A 33812-2022")</f>
        <v/>
      </c>
      <c r="AA100">
        <f>HYPERLINK("https://klasma.github.io/Logging_2180/klagomål/A 33812-2022 FSC-klagomål.docx", "A 33812-2022")</f>
        <v/>
      </c>
      <c r="AB100">
        <f>HYPERLINK("https://klasma.github.io/Logging_2180/klagomålsmail/A 33812-2022 FSC-klagomål mail.docx", "A 33812-2022")</f>
        <v/>
      </c>
      <c r="AC100">
        <f>HYPERLINK("https://klasma.github.io/Logging_2180/tillsyn/A 33812-2022 tillsynsbegäran.docx", "A 33812-2022")</f>
        <v/>
      </c>
      <c r="AD100">
        <f>HYPERLINK("https://klasma.github.io/Logging_2180/tillsynsmail/A 33812-2022 tillsynsbegäran mail.docx", "A 33812-2022")</f>
        <v/>
      </c>
    </row>
    <row r="101" ht="15" customHeight="1">
      <c r="A101" t="inlineStr">
        <is>
          <t>A 14730-2026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46259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8.199999999999999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HYPERLINK("https://klasma.github.io/Logging_2180/artfynd/A 14730-2026 artfynd.xlsx", "A 14730-2026")</f>
        <v/>
      </c>
      <c r="X101">
        <f>HYPERLINK("https://klasma.github.io/Logging_2180/kartor/A 14730-2026 karta.png", "A 14730-2026")</f>
        <v/>
      </c>
      <c r="Y101">
        <f>HYPERLINK("https://klasma.github.io/Logging_2180/kartor_geotiff/A 14730-2026 georefererad karta.tif", "A 14730-2026")</f>
        <v/>
      </c>
      <c r="AA101">
        <f>HYPERLINK("https://klasma.github.io/Logging_2180/klagomål/A 14730-2026 FSC-klagomål.docx", "A 14730-2026")</f>
        <v/>
      </c>
      <c r="AB101">
        <f>HYPERLINK("https://klasma.github.io/Logging_2180/klagomålsmail/A 14730-2026 FSC-klagomål mail.docx", "A 14730-2026")</f>
        <v/>
      </c>
      <c r="AC101">
        <f>HYPERLINK("https://klasma.github.io/Logging_2180/tillsyn/A 14730-2026 tillsynsbegäran.docx", "A 14730-2026")</f>
        <v/>
      </c>
      <c r="AD101">
        <f>HYPERLINK("https://klasma.github.io/Logging_2180/tillsynsmail/A 14730-2026 tillsynsbegäran mail.docx", "A 14730-2026")</f>
        <v/>
      </c>
      <c r="AE101">
        <f>HYPERLINK("https://klasma.github.io/Logging_2180/fåglar/A 14730-2026 prioriterade fågelarter.docx", "A 14730-2026")</f>
        <v/>
      </c>
    </row>
    <row r="102" ht="15" customHeight="1">
      <c r="A102" t="inlineStr">
        <is>
          <t>A 14711-2026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46259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Blanksvart spiklav</t>
        </is>
      </c>
      <c r="W102">
        <f>HYPERLINK("https://klasma.github.io/Logging_2180/artfynd/A 14711-2026 artfynd.xlsx", "A 14711-2026")</f>
        <v/>
      </c>
      <c r="X102">
        <f>HYPERLINK("https://klasma.github.io/Logging_2180/kartor/A 14711-2026 karta.png", "A 14711-2026")</f>
        <v/>
      </c>
      <c r="Y102">
        <f>HYPERLINK("https://klasma.github.io/Logging_2180/kartor_geotiff/A 14711-2026 georefererad karta.tif", "A 14711-2026")</f>
        <v/>
      </c>
      <c r="AA102">
        <f>HYPERLINK("https://klasma.github.io/Logging_2180/klagomål/A 14711-2026 FSC-klagomål.docx", "A 14711-2026")</f>
        <v/>
      </c>
      <c r="AB102">
        <f>HYPERLINK("https://klasma.github.io/Logging_2180/klagomålsmail/A 14711-2026 FSC-klagomål mail.docx", "A 14711-2026")</f>
        <v/>
      </c>
      <c r="AC102">
        <f>HYPERLINK("https://klasma.github.io/Logging_2180/tillsyn/A 14711-2026 tillsynsbegäran.docx", "A 14711-2026")</f>
        <v/>
      </c>
      <c r="AD102">
        <f>HYPERLINK("https://klasma.github.io/Logging_2180/tillsynsmail/A 14711-2026 tillsynsbegäran mail.docx", "A 14711-2026")</f>
        <v/>
      </c>
    </row>
    <row r="103" ht="15" customHeight="1">
      <c r="A103" t="inlineStr">
        <is>
          <t>A 14714-2026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46259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14714-2026 artfynd.xlsx", "A 14714-2026")</f>
        <v/>
      </c>
      <c r="X103">
        <f>HYPERLINK("https://klasma.github.io/Logging_2180/kartor/A 14714-2026 karta.png", "A 14714-2026")</f>
        <v/>
      </c>
      <c r="Y103">
        <f>HYPERLINK("https://klasma.github.io/Logging_2180/kartor_geotiff/A 14714-2026 georefererad karta.tif", "A 14714-2026")</f>
        <v/>
      </c>
      <c r="AA103">
        <f>HYPERLINK("https://klasma.github.io/Logging_2180/klagomål/A 14714-2026 FSC-klagomål.docx", "A 14714-2026")</f>
        <v/>
      </c>
      <c r="AB103">
        <f>HYPERLINK("https://klasma.github.io/Logging_2180/klagomålsmail/A 14714-2026 FSC-klagomål mail.docx", "A 14714-2026")</f>
        <v/>
      </c>
      <c r="AC103">
        <f>HYPERLINK("https://klasma.github.io/Logging_2180/tillsyn/A 14714-2026 tillsynsbegäran.docx", "A 14714-2026")</f>
        <v/>
      </c>
      <c r="AD103">
        <f>HYPERLINK("https://klasma.github.io/Logging_2180/tillsynsmail/A 14714-2026 tillsynsbegäran mail.docx", "A 14714-2026")</f>
        <v/>
      </c>
      <c r="AE103">
        <f>HYPERLINK("https://klasma.github.io/Logging_2180/fåglar/A 14714-2026 prioriterade fågelarter.docx", "A 14714-2026")</f>
        <v/>
      </c>
    </row>
    <row r="104" ht="15" customHeight="1">
      <c r="A104" t="inlineStr">
        <is>
          <t>A 61056-2024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46259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5.3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Myggblomster</t>
        </is>
      </c>
      <c r="W104">
        <f>HYPERLINK("https://klasma.github.io/Logging_2180/artfynd/A 61056-2024 artfynd.xlsx", "A 61056-2024")</f>
        <v/>
      </c>
      <c r="X104">
        <f>HYPERLINK("https://klasma.github.io/Logging_2180/kartor/A 61056-2024 karta.png", "A 61056-2024")</f>
        <v/>
      </c>
      <c r="Y104">
        <f>HYPERLINK("https://klasma.github.io/Logging_2180/kartor_geotiff/A 61056-2024 georefererad karta.tif", "A 61056-2024")</f>
        <v/>
      </c>
      <c r="AA104">
        <f>HYPERLINK("https://klasma.github.io/Logging_2180/klagomål/A 61056-2024 FSC-klagomål.docx", "A 61056-2024")</f>
        <v/>
      </c>
      <c r="AB104">
        <f>HYPERLINK("https://klasma.github.io/Logging_2180/klagomålsmail/A 61056-2024 FSC-klagomål mail.docx", "A 61056-2024")</f>
        <v/>
      </c>
      <c r="AC104">
        <f>HYPERLINK("https://klasma.github.io/Logging_2180/tillsyn/A 61056-2024 tillsynsbegäran.docx", "A 61056-2024")</f>
        <v/>
      </c>
      <c r="AD104">
        <f>HYPERLINK("https://klasma.github.io/Logging_2180/tillsynsmail/A 61056-2024 tillsynsbegäran mail.docx", "A 61056-2024")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46259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20734-2026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46259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20734-2026 artfynd.xlsx", "A 20734-2026")</f>
        <v/>
      </c>
      <c r="X106">
        <f>HYPERLINK("https://klasma.github.io/Logging_2180/kartor/A 20734-2026 karta.png", "A 20734-2026")</f>
        <v/>
      </c>
      <c r="Y106">
        <f>HYPERLINK("https://klasma.github.io/Logging_2180/kartor_geotiff/A 20734-2026 georefererad karta.tif", "A 20734-2026")</f>
        <v/>
      </c>
      <c r="AA106">
        <f>HYPERLINK("https://klasma.github.io/Logging_2180/klagomål/A 20734-2026 FSC-klagomål.docx", "A 20734-2026")</f>
        <v/>
      </c>
      <c r="AB106">
        <f>HYPERLINK("https://klasma.github.io/Logging_2180/klagomålsmail/A 20734-2026 FSC-klagomål mail.docx", "A 20734-2026")</f>
        <v/>
      </c>
      <c r="AC106">
        <f>HYPERLINK("https://klasma.github.io/Logging_2180/tillsyn/A 20734-2026 tillsynsbegäran.docx", "A 20734-2026")</f>
        <v/>
      </c>
      <c r="AD106">
        <f>HYPERLINK("https://klasma.github.io/Logging_2180/tillsynsmail/A 20734-2026 tillsynsbegäran mail.docx", "A 20734-2026")</f>
        <v/>
      </c>
    </row>
    <row r="107" ht="15" customHeight="1">
      <c r="A107" t="inlineStr">
        <is>
          <t>A 63036-2023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46259</v>
      </c>
      <c r="F107" t="inlineStr">
        <is>
          <t>GÄVLEBORGS LÄN</t>
        </is>
      </c>
      <c r="G107" t="inlineStr">
        <is>
          <t>GÄVLE</t>
        </is>
      </c>
      <c r="I107" t="n">
        <v>12.7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Kattfotslav</t>
        </is>
      </c>
      <c r="W107">
        <f>HYPERLINK("https://klasma.github.io/Logging_2180/artfynd/A 63036-2023 artfynd.xlsx", "A 63036-2023")</f>
        <v/>
      </c>
      <c r="X107">
        <f>HYPERLINK("https://klasma.github.io/Logging_2180/kartor/A 63036-2023 karta.png", "A 63036-2023")</f>
        <v/>
      </c>
      <c r="Y107">
        <f>HYPERLINK("https://klasma.github.io/Logging_2180/kartor_geotiff/A 63036-2023 georefererad karta.tif", "A 63036-2023")</f>
        <v/>
      </c>
      <c r="AA107">
        <f>HYPERLINK("https://klasma.github.io/Logging_2180/klagomål/A 63036-2023 FSC-klagomål.docx", "A 63036-2023")</f>
        <v/>
      </c>
      <c r="AB107">
        <f>HYPERLINK("https://klasma.github.io/Logging_2180/klagomålsmail/A 63036-2023 FSC-klagomål mail.docx", "A 63036-2023")</f>
        <v/>
      </c>
      <c r="AC107">
        <f>HYPERLINK("https://klasma.github.io/Logging_2180/tillsyn/A 63036-2023 tillsynsbegäran.docx", "A 63036-2023")</f>
        <v/>
      </c>
      <c r="AD107">
        <f>HYPERLINK("https://klasma.github.io/Logging_2180/tillsynsmail/A 63036-2023 tillsynsbegäran mail.docx", "A 63036-2023")</f>
        <v/>
      </c>
    </row>
    <row r="108" ht="15" customHeight="1">
      <c r="A108" t="inlineStr">
        <is>
          <t>A 12083-2025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46259</v>
      </c>
      <c r="F108" t="inlineStr">
        <is>
          <t>GÄVLEBORGS LÄN</t>
        </is>
      </c>
      <c r="G108" t="inlineStr">
        <is>
          <t>GÄVLE</t>
        </is>
      </c>
      <c r="I108" t="n">
        <v>6.3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Grönsiska</t>
        </is>
      </c>
      <c r="W108">
        <f>HYPERLINK("https://klasma.github.io/Logging_2180/artfynd/A 12083-2025 artfynd.xlsx", "A 12083-2025")</f>
        <v/>
      </c>
      <c r="X108">
        <f>HYPERLINK("https://klasma.github.io/Logging_2180/kartor/A 12083-2025 karta.png", "A 12083-2025")</f>
        <v/>
      </c>
      <c r="Y108">
        <f>HYPERLINK("https://klasma.github.io/Logging_2180/kartor_geotiff/A 12083-2025 georefererad karta.tif", "A 12083-2025")</f>
        <v/>
      </c>
      <c r="AA108">
        <f>HYPERLINK("https://klasma.github.io/Logging_2180/klagomål/A 12083-2025 FSC-klagomål.docx", "A 12083-2025")</f>
        <v/>
      </c>
      <c r="AB108">
        <f>HYPERLINK("https://klasma.github.io/Logging_2180/klagomålsmail/A 12083-2025 FSC-klagomål mail.docx", "A 12083-2025")</f>
        <v/>
      </c>
      <c r="AC108">
        <f>HYPERLINK("https://klasma.github.io/Logging_2180/tillsyn/A 12083-2025 tillsynsbegäran.docx", "A 12083-2025")</f>
        <v/>
      </c>
      <c r="AD108">
        <f>HYPERLINK("https://klasma.github.io/Logging_2180/tillsynsmail/A 12083-2025 tillsynsbegäran mail.docx", "A 12083-2025")</f>
        <v/>
      </c>
    </row>
    <row r="109" ht="15" customHeight="1">
      <c r="A109" t="inlineStr">
        <is>
          <t>A 11407-2025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46259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Myskmadra</t>
        </is>
      </c>
      <c r="W109">
        <f>HYPERLINK("https://klasma.github.io/Logging_2180/artfynd/A 11407-2025 artfynd.xlsx", "A 11407-2025")</f>
        <v/>
      </c>
      <c r="X109">
        <f>HYPERLINK("https://klasma.github.io/Logging_2180/kartor/A 11407-2025 karta.png", "A 11407-2025")</f>
        <v/>
      </c>
      <c r="Y109">
        <f>HYPERLINK("https://klasma.github.io/Logging_2180/kartor_geotiff/A 11407-2025 georefererad karta.tif", "A 11407-2025")</f>
        <v/>
      </c>
      <c r="AA109">
        <f>HYPERLINK("https://klasma.github.io/Logging_2180/klagomål/A 11407-2025 FSC-klagomål.docx", "A 11407-2025")</f>
        <v/>
      </c>
      <c r="AB109">
        <f>HYPERLINK("https://klasma.github.io/Logging_2180/klagomålsmail/A 11407-2025 FSC-klagomål mail.docx", "A 11407-2025")</f>
        <v/>
      </c>
      <c r="AC109">
        <f>HYPERLINK("https://klasma.github.io/Logging_2180/tillsyn/A 11407-2025 tillsynsbegäran.docx", "A 11407-2025")</f>
        <v/>
      </c>
      <c r="AD109">
        <f>HYPERLINK("https://klasma.github.io/Logging_2180/tillsynsmail/A 11407-2025 tillsynsbegäran mail.docx", "A 11407-2025")</f>
        <v/>
      </c>
    </row>
    <row r="110" ht="15" customHeight="1">
      <c r="A110" t="inlineStr">
        <is>
          <t>A 45241-2022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46259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22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HYPERLINK("https://klasma.github.io/Logging_2180/artfynd/A 45241-2022 artfynd.xlsx", "A 45241-2022")</f>
        <v/>
      </c>
      <c r="X110">
        <f>HYPERLINK("https://klasma.github.io/Logging_2180/kartor/A 45241-2022 karta.png", "A 45241-2022")</f>
        <v/>
      </c>
      <c r="Y110">
        <f>HYPERLINK("https://klasma.github.io/Logging_2180/kartor_geotiff/A 45241-2022 georefererad karta.tif", "A 45241-2022")</f>
        <v/>
      </c>
      <c r="AA110">
        <f>HYPERLINK("https://klasma.github.io/Logging_2180/klagomål/A 45241-2022 FSC-klagomål.docx", "A 45241-2022")</f>
        <v/>
      </c>
      <c r="AB110">
        <f>HYPERLINK("https://klasma.github.io/Logging_2180/klagomålsmail/A 45241-2022 FSC-klagomål mail.docx", "A 45241-2022")</f>
        <v/>
      </c>
      <c r="AC110">
        <f>HYPERLINK("https://klasma.github.io/Logging_2180/tillsyn/A 45241-2022 tillsynsbegäran.docx", "A 45241-2022")</f>
        <v/>
      </c>
      <c r="AD110">
        <f>HYPERLINK("https://klasma.github.io/Logging_2180/tillsynsmail/A 45241-2022 tillsynsbegäran mail.docx", "A 45241-2022")</f>
        <v/>
      </c>
    </row>
    <row r="111" ht="15" customHeight="1">
      <c r="A111" t="inlineStr">
        <is>
          <t>A 13269-2026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46259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HYPERLINK("https://klasma.github.io/Logging_2180/artfynd/A 13269-2026 artfynd.xlsx", "A 13269-2026")</f>
        <v/>
      </c>
      <c r="X111">
        <f>HYPERLINK("https://klasma.github.io/Logging_2180/kartor/A 13269-2026 karta.png", "A 13269-2026")</f>
        <v/>
      </c>
      <c r="Y111">
        <f>HYPERLINK("https://klasma.github.io/Logging_2180/kartor_geotiff/A 13269-2026 georefererad karta.tif", "A 13269-2026")</f>
        <v/>
      </c>
      <c r="AA111">
        <f>HYPERLINK("https://klasma.github.io/Logging_2180/klagomål/A 13269-2026 FSC-klagomål.docx", "A 13269-2026")</f>
        <v/>
      </c>
      <c r="AB111">
        <f>HYPERLINK("https://klasma.github.io/Logging_2180/klagomålsmail/A 13269-2026 FSC-klagomål mail.docx", "A 13269-2026")</f>
        <v/>
      </c>
      <c r="AC111">
        <f>HYPERLINK("https://klasma.github.io/Logging_2180/tillsyn/A 13269-2026 tillsynsbegäran.docx", "A 13269-2026")</f>
        <v/>
      </c>
      <c r="AD111">
        <f>HYPERLINK("https://klasma.github.io/Logging_2180/tillsynsmail/A 13269-2026 tillsynsbegäran mail.docx", "A 13269-2026")</f>
        <v/>
      </c>
      <c r="AE111">
        <f>HYPERLINK("https://klasma.github.io/Logging_2180/fåglar/A 13269-2026 prioriterade fågelarter.docx", "A 13269-2026")</f>
        <v/>
      </c>
    </row>
    <row r="112" ht="15" customHeight="1">
      <c r="A112" t="inlineStr">
        <is>
          <t>A 14703-2026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46259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14703-2026 artfynd.xlsx", "A 14703-2026")</f>
        <v/>
      </c>
      <c r="X112">
        <f>HYPERLINK("https://klasma.github.io/Logging_2180/kartor/A 14703-2026 karta.png", "A 14703-2026")</f>
        <v/>
      </c>
      <c r="Y112">
        <f>HYPERLINK("https://klasma.github.io/Logging_2180/kartor_geotiff/A 14703-2026 georefererad karta.tif", "A 14703-2026")</f>
        <v/>
      </c>
      <c r="AA112">
        <f>HYPERLINK("https://klasma.github.io/Logging_2180/klagomål/A 14703-2026 FSC-klagomål.docx", "A 14703-2026")</f>
        <v/>
      </c>
      <c r="AB112">
        <f>HYPERLINK("https://klasma.github.io/Logging_2180/klagomålsmail/A 14703-2026 FSC-klagomål mail.docx", "A 14703-2026")</f>
        <v/>
      </c>
      <c r="AC112">
        <f>HYPERLINK("https://klasma.github.io/Logging_2180/tillsyn/A 14703-2026 tillsynsbegäran.docx", "A 14703-2026")</f>
        <v/>
      </c>
      <c r="AD112">
        <f>HYPERLINK("https://klasma.github.io/Logging_2180/tillsynsmail/A 14703-2026 tillsynsbegäran mail.docx", "A 14703-2026")</f>
        <v/>
      </c>
      <c r="AE112">
        <f>HYPERLINK("https://klasma.github.io/Logging_2180/fåglar/A 14703-2026 prioriterade fågelarter.docx", "A 14703-2026")</f>
        <v/>
      </c>
    </row>
    <row r="113" ht="15" customHeight="1">
      <c r="A113" t="inlineStr">
        <is>
          <t>A 10333-2025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46259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Tjäder</t>
        </is>
      </c>
      <c r="W113">
        <f>HYPERLINK("https://klasma.github.io/Logging_2180/artfynd/A 10333-2025 artfynd.xlsx", "A 10333-2025")</f>
        <v/>
      </c>
      <c r="X113">
        <f>HYPERLINK("https://klasma.github.io/Logging_2180/kartor/A 10333-2025 karta.png", "A 10333-2025")</f>
        <v/>
      </c>
      <c r="Y113">
        <f>HYPERLINK("https://klasma.github.io/Logging_2180/kartor_geotiff/A 10333-2025 georefererad karta.tif", "A 10333-2025")</f>
        <v/>
      </c>
      <c r="AA113">
        <f>HYPERLINK("https://klasma.github.io/Logging_2180/klagomål/A 10333-2025 FSC-klagomål.docx", "A 10333-2025")</f>
        <v/>
      </c>
      <c r="AB113">
        <f>HYPERLINK("https://klasma.github.io/Logging_2180/klagomålsmail/A 10333-2025 FSC-klagomål mail.docx", "A 10333-2025")</f>
        <v/>
      </c>
      <c r="AC113">
        <f>HYPERLINK("https://klasma.github.io/Logging_2180/tillsyn/A 10333-2025 tillsynsbegäran.docx", "A 10333-2025")</f>
        <v/>
      </c>
      <c r="AD113">
        <f>HYPERLINK("https://klasma.github.io/Logging_2180/tillsynsmail/A 10333-2025 tillsynsbegäran mail.docx", "A 10333-2025")</f>
        <v/>
      </c>
      <c r="AE113">
        <f>HYPERLINK("https://klasma.github.io/Logging_2180/fåglar/A 10333-2025 prioriterade fågelarter.docx", "A 10333-2025")</f>
        <v/>
      </c>
    </row>
    <row r="114" ht="15" customHeight="1">
      <c r="A114" t="inlineStr">
        <is>
          <t>A 22052-2026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46259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22052-2026 artfynd.xlsx", "A 22052-2026")</f>
        <v/>
      </c>
      <c r="X114">
        <f>HYPERLINK("https://klasma.github.io/Logging_2180/kartor/A 22052-2026 karta.png", "A 22052-2026")</f>
        <v/>
      </c>
      <c r="Y114">
        <f>HYPERLINK("https://klasma.github.io/Logging_2180/kartor_geotiff/A 22052-2026 georefererad karta.tif", "A 22052-2026")</f>
        <v/>
      </c>
      <c r="AA114">
        <f>HYPERLINK("https://klasma.github.io/Logging_2180/klagomål/A 22052-2026 FSC-klagomål.docx", "A 22052-2026")</f>
        <v/>
      </c>
      <c r="AB114">
        <f>HYPERLINK("https://klasma.github.io/Logging_2180/klagomålsmail/A 22052-2026 FSC-klagomål mail.docx", "A 22052-2026")</f>
        <v/>
      </c>
      <c r="AC114">
        <f>HYPERLINK("https://klasma.github.io/Logging_2180/tillsyn/A 22052-2026 tillsynsbegäran.docx", "A 22052-2026")</f>
        <v/>
      </c>
      <c r="AD114">
        <f>HYPERLINK("https://klasma.github.io/Logging_2180/tillsynsmail/A 22052-2026 tillsynsbegäran mail.docx", "A 22052-2026")</f>
        <v/>
      </c>
    </row>
    <row r="115" ht="15" customHeight="1">
      <c r="A115" t="inlineStr">
        <is>
          <t>A 23003-2026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46160</v>
      </c>
      <c r="E115" s="1" t="n">
        <v>46259</v>
      </c>
      <c r="F115" t="inlineStr">
        <is>
          <t>GÄVLEBORGS LÄN</t>
        </is>
      </c>
      <c r="G115" t="inlineStr">
        <is>
          <t>GÄVLE</t>
        </is>
      </c>
      <c r="I115" t="n">
        <v>12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Tjäder</t>
        </is>
      </c>
      <c r="W115">
        <f>HYPERLINK("https://klasma.github.io/Logging_2180/artfynd/A 23003-2026 artfynd.xlsx", "A 23003-2026")</f>
        <v/>
      </c>
      <c r="X115">
        <f>HYPERLINK("https://klasma.github.io/Logging_2180/kartor/A 23003-2026 karta.png", "A 23003-2026")</f>
        <v/>
      </c>
      <c r="Y115">
        <f>HYPERLINK("https://klasma.github.io/Logging_2180/kartor_geotiff/A 23003-2026 georefererad karta.tif", "A 23003-2026")</f>
        <v/>
      </c>
      <c r="AA115">
        <f>HYPERLINK("https://klasma.github.io/Logging_2180/klagomål/A 23003-2026 FSC-klagomål.docx", "A 23003-2026")</f>
        <v/>
      </c>
      <c r="AB115">
        <f>HYPERLINK("https://klasma.github.io/Logging_2180/klagomålsmail/A 23003-2026 FSC-klagomål mail.docx", "A 23003-2026")</f>
        <v/>
      </c>
      <c r="AC115">
        <f>HYPERLINK("https://klasma.github.io/Logging_2180/tillsyn/A 23003-2026 tillsynsbegäran.docx", "A 23003-2026")</f>
        <v/>
      </c>
      <c r="AD115">
        <f>HYPERLINK("https://klasma.github.io/Logging_2180/tillsynsmail/A 23003-2026 tillsynsbegäran mail.docx", "A 23003-2026")</f>
        <v/>
      </c>
      <c r="AE115">
        <f>HYPERLINK("https://klasma.github.io/Logging_2180/fåglar/A 23003-2026 prioriterade fågelarter.docx", "A 23003-2026")</f>
        <v/>
      </c>
    </row>
    <row r="116" ht="15" customHeight="1">
      <c r="A116" t="inlineStr">
        <is>
          <t>A 37927-2022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46259</v>
      </c>
      <c r="F116" t="inlineStr">
        <is>
          <t>GÄVLEBORGS LÄN</t>
        </is>
      </c>
      <c r="G116" t="inlineStr">
        <is>
          <t>GÄVLE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10</v>
      </c>
      <c r="U116" t="n">
        <v>10</v>
      </c>
      <c r="V116" s="2" t="inlineStr">
        <is>
          <t>Knärot</t>
        </is>
      </c>
      <c r="W116">
        <f>HYPERLINK("https://klasma.github.io/Logging_2180/artfynd/A 37927-2022 artfynd.xlsx", "A 37927-2022")</f>
        <v/>
      </c>
      <c r="X116">
        <f>HYPERLINK("https://klasma.github.io/Logging_2180/kartor/A 37927-2022 karta.png", "A 37927-2022")</f>
        <v/>
      </c>
      <c r="Y116">
        <f>HYPERLINK("https://klasma.github.io/Logging_2180/kartor_geotiff/A 37927-2022 georefererad karta.tif", "A 37927-2022")</f>
        <v/>
      </c>
      <c r="Z116">
        <f>HYPERLINK("https://klasma.github.io/Logging_2180/knärot/A 37927-2022 karta knärot.png", "A 37927-2022")</f>
        <v/>
      </c>
      <c r="AA116">
        <f>HYPERLINK("https://klasma.github.io/Logging_2180/klagomål/A 37927-2022 FSC-klagomål.docx", "A 37927-2022")</f>
        <v/>
      </c>
      <c r="AB116">
        <f>HYPERLINK("https://klasma.github.io/Logging_2180/klagomålsmail/A 37927-2022 FSC-klagomål mail.docx", "A 37927-2022")</f>
        <v/>
      </c>
      <c r="AC116">
        <f>HYPERLINK("https://klasma.github.io/Logging_2180/tillsyn/A 37927-2022 tillsynsbegäran.docx", "A 37927-2022")</f>
        <v/>
      </c>
      <c r="AD116">
        <f>HYPERLINK("https://klasma.github.io/Logging_2180/tillsynsmail/A 37927-2022 tillsynsbegäran mail.docx", "A 37927-2022")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46259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54252-2025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46259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HYPERLINK("https://klasma.github.io/Logging_2180/artfynd/A 54252-2025 artfynd.xlsx", "A 54252-2025")</f>
        <v/>
      </c>
      <c r="X118">
        <f>HYPERLINK("https://klasma.github.io/Logging_2180/kartor/A 54252-2025 karta.png", "A 54252-2025")</f>
        <v/>
      </c>
      <c r="Y118">
        <f>HYPERLINK("https://klasma.github.io/Logging_2180/kartor_geotiff/A 54252-2025 georefererad karta.tif", "A 54252-2025")</f>
        <v/>
      </c>
      <c r="AA118">
        <f>HYPERLINK("https://klasma.github.io/Logging_2180/klagomål/A 54252-2025 FSC-klagomål.docx", "A 54252-2025")</f>
        <v/>
      </c>
      <c r="AB118">
        <f>HYPERLINK("https://klasma.github.io/Logging_2180/klagomålsmail/A 54252-2025 FSC-klagomål mail.docx", "A 54252-2025")</f>
        <v/>
      </c>
      <c r="AC118">
        <f>HYPERLINK("https://klasma.github.io/Logging_2180/tillsyn/A 54252-2025 tillsynsbegäran.docx", "A 54252-2025")</f>
        <v/>
      </c>
      <c r="AD118">
        <f>HYPERLINK("https://klasma.github.io/Logging_2180/tillsynsmail/A 54252-2025 tillsynsbegäran mail.docx", "A 54252-2025")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46259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54963-2025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45967</v>
      </c>
      <c r="E120" s="1" t="n">
        <v>46259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7.9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HYPERLINK("https://klasma.github.io/Logging_2180/artfynd/A 54963-2025 artfynd.xlsx", "A 54963-2025")</f>
        <v/>
      </c>
      <c r="X120">
        <f>HYPERLINK("https://klasma.github.io/Logging_2180/kartor/A 54963-2025 karta.png", "A 54963-2025")</f>
        <v/>
      </c>
      <c r="Y120">
        <f>HYPERLINK("https://klasma.github.io/Logging_2180/kartor_geotiff/A 54963-2025 georefererad karta.tif", "A 54963-2025")</f>
        <v/>
      </c>
      <c r="AA120">
        <f>HYPERLINK("https://klasma.github.io/Logging_2180/klagomål/A 54963-2025 FSC-klagomål.docx", "A 54963-2025")</f>
        <v/>
      </c>
      <c r="AB120">
        <f>HYPERLINK("https://klasma.github.io/Logging_2180/klagomålsmail/A 54963-2025 FSC-klagomål mail.docx", "A 54963-2025")</f>
        <v/>
      </c>
      <c r="AC120">
        <f>HYPERLINK("https://klasma.github.io/Logging_2180/tillsyn/A 54963-2025 tillsynsbegäran.docx", "A 54963-2025")</f>
        <v/>
      </c>
      <c r="AD120">
        <f>HYPERLINK("https://klasma.github.io/Logging_2180/tillsynsmail/A 54963-2025 tillsynsbegäran mail.docx", "A 54963-2025")</f>
        <v/>
      </c>
    </row>
    <row r="121" ht="15" customHeight="1">
      <c r="A121" t="inlineStr">
        <is>
          <t>A 27043-2026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46259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27043-2026 artfynd.xlsx", "A 27043-2026")</f>
        <v/>
      </c>
      <c r="X121">
        <f>HYPERLINK("https://klasma.github.io/Logging_2180/kartor/A 27043-2026 karta.png", "A 27043-2026")</f>
        <v/>
      </c>
      <c r="Y121">
        <f>HYPERLINK("https://klasma.github.io/Logging_2180/kartor_geotiff/A 27043-2026 georefererad karta.tif", "A 27043-2026")</f>
        <v/>
      </c>
      <c r="AA121">
        <f>HYPERLINK("https://klasma.github.io/Logging_2180/klagomål/A 27043-2026 FSC-klagomål.docx", "A 27043-2026")</f>
        <v/>
      </c>
      <c r="AB121">
        <f>HYPERLINK("https://klasma.github.io/Logging_2180/klagomålsmail/A 27043-2026 FSC-klagomål mail.docx", "A 27043-2026")</f>
        <v/>
      </c>
      <c r="AC121">
        <f>HYPERLINK("https://klasma.github.io/Logging_2180/tillsyn/A 27043-2026 tillsynsbegäran.docx", "A 27043-2026")</f>
        <v/>
      </c>
      <c r="AD121">
        <f>HYPERLINK("https://klasma.github.io/Logging_2180/tillsynsmail/A 27043-2026 tillsynsbegäran mail.docx", "A 27043-2026")</f>
        <v/>
      </c>
    </row>
    <row r="122" ht="15" customHeight="1">
      <c r="A122" t="inlineStr">
        <is>
          <t>A 26871-2026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46259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HYPERLINK("https://klasma.github.io/Logging_2180/artfynd/A 26871-2026 artfynd.xlsx", "A 26871-2026")</f>
        <v/>
      </c>
      <c r="X122">
        <f>HYPERLINK("https://klasma.github.io/Logging_2180/kartor/A 26871-2026 karta.png", "A 26871-2026")</f>
        <v/>
      </c>
      <c r="Y122">
        <f>HYPERLINK("https://klasma.github.io/Logging_2180/kartor_geotiff/A 26871-2026 georefererad karta.tif", "A 26871-2026")</f>
        <v/>
      </c>
      <c r="AA122">
        <f>HYPERLINK("https://klasma.github.io/Logging_2180/klagomål/A 26871-2026 FSC-klagomål.docx", "A 26871-2026")</f>
        <v/>
      </c>
      <c r="AB122">
        <f>HYPERLINK("https://klasma.github.io/Logging_2180/klagomålsmail/A 26871-2026 FSC-klagomål mail.docx", "A 26871-2026")</f>
        <v/>
      </c>
      <c r="AC122">
        <f>HYPERLINK("https://klasma.github.io/Logging_2180/tillsyn/A 26871-2026 tillsynsbegäran.docx", "A 26871-2026")</f>
        <v/>
      </c>
      <c r="AD122">
        <f>HYPERLINK("https://klasma.github.io/Logging_2180/tillsynsmail/A 26871-2026 tillsynsbegäran mail.docx", "A 26871-2026")</f>
        <v/>
      </c>
    </row>
    <row r="123" ht="15" customHeight="1">
      <c r="A123" t="inlineStr">
        <is>
          <t>A 27058-2026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46259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Gullpudra</t>
        </is>
      </c>
      <c r="W123">
        <f>HYPERLINK("https://klasma.github.io/Logging_2180/artfynd/A 27058-2026 artfynd.xlsx", "A 27058-2026")</f>
        <v/>
      </c>
      <c r="X123">
        <f>HYPERLINK("https://klasma.github.io/Logging_2180/kartor/A 27058-2026 karta.png", "A 27058-2026")</f>
        <v/>
      </c>
      <c r="Y123">
        <f>HYPERLINK("https://klasma.github.io/Logging_2180/kartor_geotiff/A 27058-2026 georefererad karta.tif", "A 27058-2026")</f>
        <v/>
      </c>
      <c r="AA123">
        <f>HYPERLINK("https://klasma.github.io/Logging_2180/klagomål/A 27058-2026 FSC-klagomål.docx", "A 27058-2026")</f>
        <v/>
      </c>
      <c r="AB123">
        <f>HYPERLINK("https://klasma.github.io/Logging_2180/klagomålsmail/A 27058-2026 FSC-klagomål mail.docx", "A 27058-2026")</f>
        <v/>
      </c>
      <c r="AC123">
        <f>HYPERLINK("https://klasma.github.io/Logging_2180/tillsyn/A 27058-2026 tillsynsbegäran.docx", "A 27058-2026")</f>
        <v/>
      </c>
      <c r="AD123">
        <f>HYPERLINK("https://klasma.github.io/Logging_2180/tillsynsmail/A 27058-2026 tillsynsbegäran mail.docx", "A 27058-2026")</f>
        <v/>
      </c>
    </row>
    <row r="124" ht="15" customHeight="1">
      <c r="A124" t="inlineStr">
        <is>
          <t>A 27063-2026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46259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HYPERLINK("https://klasma.github.io/Logging_2180/artfynd/A 27063-2026 artfynd.xlsx", "A 27063-2026")</f>
        <v/>
      </c>
      <c r="X124">
        <f>HYPERLINK("https://klasma.github.io/Logging_2180/kartor/A 27063-2026 karta.png", "A 27063-2026")</f>
        <v/>
      </c>
      <c r="Y124">
        <f>HYPERLINK("https://klasma.github.io/Logging_2180/kartor_geotiff/A 27063-2026 georefererad karta.tif", "A 27063-2026")</f>
        <v/>
      </c>
      <c r="AA124">
        <f>HYPERLINK("https://klasma.github.io/Logging_2180/klagomål/A 27063-2026 FSC-klagomål.docx", "A 27063-2026")</f>
        <v/>
      </c>
      <c r="AB124">
        <f>HYPERLINK("https://klasma.github.io/Logging_2180/klagomålsmail/A 27063-2026 FSC-klagomål mail.docx", "A 27063-2026")</f>
        <v/>
      </c>
      <c r="AC124">
        <f>HYPERLINK("https://klasma.github.io/Logging_2180/tillsyn/A 27063-2026 tillsynsbegäran.docx", "A 27063-2026")</f>
        <v/>
      </c>
      <c r="AD124">
        <f>HYPERLINK("https://klasma.github.io/Logging_2180/tillsynsmail/A 27063-2026 tillsynsbegäran mail.docx", "A 27063-2026")</f>
        <v/>
      </c>
    </row>
    <row r="125" ht="15" customHeight="1">
      <c r="A125" t="inlineStr">
        <is>
          <t>A 58204-2025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45984</v>
      </c>
      <c r="E125" s="1" t="n">
        <v>46259</v>
      </c>
      <c r="F125" t="inlineStr">
        <is>
          <t>GÄVLEBORGS LÄN</t>
        </is>
      </c>
      <c r="G125" t="inlineStr">
        <is>
          <t>GÄVLE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HYPERLINK("https://klasma.github.io/Logging_2180/artfynd/A 58204-2025 artfynd.xlsx", "A 58204-2025")</f>
        <v/>
      </c>
      <c r="X125">
        <f>HYPERLINK("https://klasma.github.io/Logging_2180/kartor/A 58204-2025 karta.png", "A 58204-2025")</f>
        <v/>
      </c>
      <c r="Y125">
        <f>HYPERLINK("https://klasma.github.io/Logging_2180/kartor_geotiff/A 58204-2025 georefererad karta.tif", "A 58204-2025")</f>
        <v/>
      </c>
      <c r="AA125">
        <f>HYPERLINK("https://klasma.github.io/Logging_2180/klagomål/A 58204-2025 FSC-klagomål.docx", "A 58204-2025")</f>
        <v/>
      </c>
      <c r="AB125">
        <f>HYPERLINK("https://klasma.github.io/Logging_2180/klagomålsmail/A 58204-2025 FSC-klagomål mail.docx", "A 58204-2025")</f>
        <v/>
      </c>
      <c r="AC125">
        <f>HYPERLINK("https://klasma.github.io/Logging_2180/tillsyn/A 58204-2025 tillsynsbegäran.docx", "A 58204-2025")</f>
        <v/>
      </c>
      <c r="AD125">
        <f>HYPERLINK("https://klasma.github.io/Logging_2180/tillsynsmail/A 58204-2025 tillsynsbegäran mail.docx", "A 58204-2025")</f>
        <v/>
      </c>
      <c r="AE125">
        <f>HYPERLINK("https://klasma.github.io/Logging_2180/fåglar/A 58204-2025 prioriterade fågelarter.docx", "A 58204-2025")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46259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HYPERLINK("https://klasma.github.io/Logging_2180/artfynd/A 12437-2024 artfynd.xlsx", "A 12437-2024")</f>
        <v/>
      </c>
      <c r="X126">
        <f>HYPERLINK("https://klasma.github.io/Logging_2180/kartor/A 12437-2024 karta.png", "A 12437-2024")</f>
        <v/>
      </c>
      <c r="Y126">
        <f>HYPERLINK("https://klasma.github.io/Logging_2180/kartor_geotiff/A 12437-2024 georefererad karta.tif", "A 12437-2024")</f>
        <v/>
      </c>
      <c r="AA126">
        <f>HYPERLINK("https://klasma.github.io/Logging_2180/klagomål/A 12437-2024 FSC-klagomål.docx", "A 12437-2024")</f>
        <v/>
      </c>
      <c r="AB126">
        <f>HYPERLINK("https://klasma.github.io/Logging_2180/klagomålsmail/A 12437-2024 FSC-klagomål mail.docx", "A 12437-2024")</f>
        <v/>
      </c>
      <c r="AC126">
        <f>HYPERLINK("https://klasma.github.io/Logging_2180/tillsyn/A 12437-2024 tillsynsbegäran.docx", "A 12437-2024")</f>
        <v/>
      </c>
      <c r="AD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46259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Fiskgjuse</t>
        </is>
      </c>
      <c r="W127">
        <f>HYPERLINK("https://klasma.github.io/Logging_2180/artfynd/A 28546-2026 artfynd.xlsx", "A 28546-2026")</f>
        <v/>
      </c>
      <c r="X127">
        <f>HYPERLINK("https://klasma.github.io/Logging_2180/kartor/A 28546-2026 karta.png", "A 28546-2026")</f>
        <v/>
      </c>
      <c r="Y127">
        <f>HYPERLINK("https://klasma.github.io/Logging_2180/kartor_geotiff/A 28546-2026 georefererad karta.tif", "A 28546-2026")</f>
        <v/>
      </c>
      <c r="AA127">
        <f>HYPERLINK("https://klasma.github.io/Logging_2180/klagomål/A 28546-2026 FSC-klagomål.docx", "A 28546-2026")</f>
        <v/>
      </c>
      <c r="AB127">
        <f>HYPERLINK("https://klasma.github.io/Logging_2180/klagomålsmail/A 28546-2026 FSC-klagomål mail.docx", "A 28546-2026")</f>
        <v/>
      </c>
      <c r="AC127">
        <f>HYPERLINK("https://klasma.github.io/Logging_2180/tillsyn/A 28546-2026 tillsynsbegäran.docx", "A 28546-2026")</f>
        <v/>
      </c>
      <c r="AD127">
        <f>HYPERLINK("https://klasma.github.io/Logging_2180/tillsynsmail/A 28546-2026 tillsynsbegäran mail.docx", "A 28546-2026")</f>
        <v/>
      </c>
      <c r="AE127">
        <f>HYPERLINK("https://klasma.github.io/Logging_2180/fåglar/A 28546-2026 prioriterade fågelarter.docx", "A 28546-2026")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46259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63288-2025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46259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5.3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Scharlakansskål</t>
        </is>
      </c>
      <c r="W129">
        <f>HYPERLINK("https://klasma.github.io/Logging_2180/artfynd/A 63288-2025 artfynd.xlsx", "A 63288-2025")</f>
        <v/>
      </c>
      <c r="X129">
        <f>HYPERLINK("https://klasma.github.io/Logging_2180/kartor/A 63288-2025 karta.png", "A 63288-2025")</f>
        <v/>
      </c>
      <c r="Y129">
        <f>HYPERLINK("https://klasma.github.io/Logging_2180/kartor_geotiff/A 63288-2025 georefererad karta.tif", "A 63288-2025")</f>
        <v/>
      </c>
      <c r="AA129">
        <f>HYPERLINK("https://klasma.github.io/Logging_2180/klagomål/A 63288-2025 FSC-klagomål.docx", "A 63288-2025")</f>
        <v/>
      </c>
      <c r="AB129">
        <f>HYPERLINK("https://klasma.github.io/Logging_2180/klagomålsmail/A 63288-2025 FSC-klagomål mail.docx", "A 63288-2025")</f>
        <v/>
      </c>
      <c r="AC129">
        <f>HYPERLINK("https://klasma.github.io/Logging_2180/tillsyn/A 63288-2025 tillsynsbegäran.docx", "A 63288-2025")</f>
        <v/>
      </c>
      <c r="AD129">
        <f>HYPERLINK("https://klasma.github.io/Logging_2180/tillsynsmail/A 63288-2025 tillsynsbegäran mail.docx", "A 63288-2025")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46259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12381-2023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44999</v>
      </c>
      <c r="E131" s="1" t="n">
        <v>46259</v>
      </c>
      <c r="F131" t="inlineStr">
        <is>
          <t>GÄVLEBORGS LÄN</t>
        </is>
      </c>
      <c r="G131" t="inlineStr">
        <is>
          <t>GÄVLE</t>
        </is>
      </c>
      <c r="I131" t="n">
        <v>4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Brunlångöra</t>
        </is>
      </c>
      <c r="W131">
        <f>HYPERLINK("https://klasma.github.io/Logging_2180/artfynd/A 12381-2023 artfynd.xlsx", "A 12381-2023")</f>
        <v/>
      </c>
      <c r="X131">
        <f>HYPERLINK("https://klasma.github.io/Logging_2180/kartor/A 12381-2023 karta.png", "A 12381-2023")</f>
        <v/>
      </c>
      <c r="Y131">
        <f>HYPERLINK("https://klasma.github.io/Logging_2180/kartor_geotiff/A 12381-2023 georefererad karta.tif", "A 12381-2023")</f>
        <v/>
      </c>
      <c r="AA131">
        <f>HYPERLINK("https://klasma.github.io/Logging_2180/klagomål/A 12381-2023 FSC-klagomål.docx", "A 12381-2023")</f>
        <v/>
      </c>
      <c r="AB131">
        <f>HYPERLINK("https://klasma.github.io/Logging_2180/klagomålsmail/A 12381-2023 FSC-klagomål mail.docx", "A 12381-2023")</f>
        <v/>
      </c>
      <c r="AC131">
        <f>HYPERLINK("https://klasma.github.io/Logging_2180/tillsyn/A 12381-2023 tillsynsbegäran.docx", "A 12381-2023")</f>
        <v/>
      </c>
      <c r="AD131">
        <f>HYPERLINK("https://klasma.github.io/Logging_2180/tillsynsmail/A 12381-2023 tillsynsbegäran mail.docx", "A 12381-2023")</f>
        <v/>
      </c>
    </row>
    <row r="132" ht="15" customHeight="1">
      <c r="A132" t="inlineStr">
        <is>
          <t>A 34086-2026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46252</v>
      </c>
      <c r="E132" s="1" t="n">
        <v>46259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6.1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Gullgröppa</t>
        </is>
      </c>
      <c r="W132">
        <f>HYPERLINK("https://klasma.github.io/Logging_2180/artfynd/A 34086-2026 artfynd.xlsx", "A 34086-2026")</f>
        <v/>
      </c>
      <c r="X132">
        <f>HYPERLINK("https://klasma.github.io/Logging_2180/kartor/A 34086-2026 karta.png", "A 34086-2026")</f>
        <v/>
      </c>
      <c r="Y132">
        <f>HYPERLINK("https://klasma.github.io/Logging_2180/kartor_geotiff/A 34086-2026 georefererad karta.tif", "A 34086-2026")</f>
        <v/>
      </c>
      <c r="AA132">
        <f>HYPERLINK("https://klasma.github.io/Logging_2180/klagomål/A 34086-2026 FSC-klagomål.docx", "A 34086-2026")</f>
        <v/>
      </c>
      <c r="AB132">
        <f>HYPERLINK("https://klasma.github.io/Logging_2180/klagomålsmail/A 34086-2026 FSC-klagomål mail.docx", "A 34086-2026")</f>
        <v/>
      </c>
      <c r="AC132">
        <f>HYPERLINK("https://klasma.github.io/Logging_2180/tillsyn/A 34086-2026 tillsynsbegäran.docx", "A 34086-2026")</f>
        <v/>
      </c>
      <c r="AD132">
        <f>HYPERLINK("https://klasma.github.io/Logging_2180/tillsynsmail/A 34086-2026 tillsynsbegäran mail.docx", "A 34086-2026")</f>
        <v/>
      </c>
    </row>
    <row r="133" ht="15" customHeight="1">
      <c r="A133" t="inlineStr">
        <is>
          <t>A 34589-2026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46255</v>
      </c>
      <c r="E133" s="1" t="n">
        <v>46259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15.3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Tibast</t>
        </is>
      </c>
      <c r="W133">
        <f>HYPERLINK("https://klasma.github.io/Logging_2180/artfynd/A 34589-2026 artfynd.xlsx", "A 34589-2026")</f>
        <v/>
      </c>
      <c r="X133">
        <f>HYPERLINK("https://klasma.github.io/Logging_2180/kartor/A 34589-2026 karta.png", "A 34589-2026")</f>
        <v/>
      </c>
      <c r="Y133">
        <f>HYPERLINK("https://klasma.github.io/Logging_2180/kartor_geotiff/A 34589-2026 georefererad karta.tif", "A 34589-2026")</f>
        <v/>
      </c>
      <c r="AA133">
        <f>HYPERLINK("https://klasma.github.io/Logging_2180/klagomål/A 34589-2026 FSC-klagomål.docx", "A 34589-2026")</f>
        <v/>
      </c>
      <c r="AB133">
        <f>HYPERLINK("https://klasma.github.io/Logging_2180/klagomålsmail/A 34589-2026 FSC-klagomål mail.docx", "A 34589-2026")</f>
        <v/>
      </c>
      <c r="AC133">
        <f>HYPERLINK("https://klasma.github.io/Logging_2180/tillsyn/A 34589-2026 tillsynsbegäran.docx", "A 34589-2026")</f>
        <v/>
      </c>
      <c r="AD133">
        <f>HYPERLINK("https://klasma.github.io/Logging_2180/tillsynsmail/A 34589-2026 tillsynsbegäran mail.docx", "A 34589-2026")</f>
        <v/>
      </c>
    </row>
    <row r="134" ht="15" customHeight="1">
      <c r="A134" t="inlineStr">
        <is>
          <t>A 50052-2025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45943</v>
      </c>
      <c r="E134" s="1" t="n">
        <v>46259</v>
      </c>
      <c r="F134" t="inlineStr">
        <is>
          <t>GÄVLEBORGS LÄN</t>
        </is>
      </c>
      <c r="G134" t="inlineStr">
        <is>
          <t>GÄVLE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HYPERLINK("https://klasma.github.io/Logging_2180/artfynd/A 50052-2025 artfynd.xlsx", "A 50052-2025")</f>
        <v/>
      </c>
      <c r="X134">
        <f>HYPERLINK("https://klasma.github.io/Logging_2180/kartor/A 50052-2025 karta.png", "A 50052-2025")</f>
        <v/>
      </c>
      <c r="Y134">
        <f>HYPERLINK("https://klasma.github.io/Logging_2180/kartor_geotiff/A 50052-2025 georefererad karta.tif", "A 50052-2025")</f>
        <v/>
      </c>
      <c r="AA134">
        <f>HYPERLINK("https://klasma.github.io/Logging_2180/klagomål/A 50052-2025 FSC-klagomål.docx", "A 50052-2025")</f>
        <v/>
      </c>
      <c r="AB134">
        <f>HYPERLINK("https://klasma.github.io/Logging_2180/klagomålsmail/A 50052-2025 FSC-klagomål mail.docx", "A 50052-2025")</f>
        <v/>
      </c>
      <c r="AC134">
        <f>HYPERLINK("https://klasma.github.io/Logging_2180/tillsyn/A 50052-2025 tillsynsbegäran.docx", "A 50052-2025")</f>
        <v/>
      </c>
      <c r="AD134">
        <f>HYPERLINK("https://klasma.github.io/Logging_2180/tillsynsmail/A 50052-2025 tillsynsbegäran mail.docx", "A 50052-2025")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46259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46259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46259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46259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46259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46259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46259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46259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46259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46259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46259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46259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46259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46259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46259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46259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46259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46259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46259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46259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46259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46259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44654-2021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44437</v>
      </c>
      <c r="E157" s="1" t="n">
        <v>46259</v>
      </c>
      <c r="F157" t="inlineStr">
        <is>
          <t>GÄVLEBORGS LÄN</t>
        </is>
      </c>
      <c r="G157" t="inlineStr">
        <is>
          <t>GÄVLE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44599</v>
      </c>
      <c r="E158" s="1" t="n">
        <v>46259</v>
      </c>
      <c r="F158" t="inlineStr">
        <is>
          <t>GÄVLEBORGS LÄN</t>
        </is>
      </c>
      <c r="G158" t="inlineStr">
        <is>
          <t>GÄVLE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46259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44658</v>
      </c>
      <c r="E160" s="1" t="n">
        <v>46259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46259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44571</v>
      </c>
      <c r="E162" s="1" t="n">
        <v>46259</v>
      </c>
      <c r="F162" t="inlineStr">
        <is>
          <t>GÄVLEBORGS LÄN</t>
        </is>
      </c>
      <c r="G162" t="inlineStr">
        <is>
          <t>GÄVLE</t>
        </is>
      </c>
      <c r="I162" t="n">
        <v>12.2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46259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44589</v>
      </c>
      <c r="E164" s="1" t="n">
        <v>46259</v>
      </c>
      <c r="F164" t="inlineStr">
        <is>
          <t>GÄVLEBORGS LÄN</t>
        </is>
      </c>
      <c r="G164" t="inlineStr">
        <is>
          <t>GÄVLE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46259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46259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46259</v>
      </c>
      <c r="F167" t="inlineStr">
        <is>
          <t>GÄVLEBORGS LÄN</t>
        </is>
      </c>
      <c r="G167" t="inlineStr">
        <is>
          <t>GÄVLE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46259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46259</v>
      </c>
      <c r="F169" t="inlineStr">
        <is>
          <t>GÄVLEBORGS LÄN</t>
        </is>
      </c>
      <c r="G169" t="inlineStr">
        <is>
          <t>GÄVLE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46259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46259</v>
      </c>
      <c r="F171" t="inlineStr">
        <is>
          <t>GÄVLEBORGS LÄN</t>
        </is>
      </c>
      <c r="G171" t="inlineStr">
        <is>
          <t>GÄVLE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46259</v>
      </c>
      <c r="F172" t="inlineStr">
        <is>
          <t>GÄVLEBORGS LÄN</t>
        </is>
      </c>
      <c r="G172" t="inlineStr">
        <is>
          <t>GÄVLE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44448</v>
      </c>
      <c r="E173" s="1" t="n">
        <v>46259</v>
      </c>
      <c r="F173" t="inlineStr">
        <is>
          <t>GÄVLEBORGS LÄN</t>
        </is>
      </c>
      <c r="G173" t="inlineStr">
        <is>
          <t>GÄVLE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26564-2022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44739</v>
      </c>
      <c r="E174" s="1" t="n">
        <v>46259</v>
      </c>
      <c r="F174" t="inlineStr">
        <is>
          <t>GÄVLEBORGS LÄN</t>
        </is>
      </c>
      <c r="G174" t="inlineStr">
        <is>
          <t>GÄVLE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46259</v>
      </c>
      <c r="F175" t="inlineStr">
        <is>
          <t>GÄVLEBORGS LÄN</t>
        </is>
      </c>
      <c r="G175" t="inlineStr">
        <is>
          <t>GÄVLE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46259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öst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46259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46259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45026</v>
      </c>
      <c r="E179" s="1" t="n">
        <v>46259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46259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46259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46259</v>
      </c>
      <c r="F182" t="inlineStr">
        <is>
          <t>GÄVLEBORGS LÄN</t>
        </is>
      </c>
      <c r="G182" t="inlineStr">
        <is>
          <t>GÄVLE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45014</v>
      </c>
      <c r="E183" s="1" t="n">
        <v>46259</v>
      </c>
      <c r="F183" t="inlineStr">
        <is>
          <t>GÄVLEBORGS LÄN</t>
        </is>
      </c>
      <c r="G183" t="inlineStr">
        <is>
          <t>GÄVLE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46259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46259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46259</v>
      </c>
      <c r="F186" t="inlineStr">
        <is>
          <t>GÄVLEBORGS LÄN</t>
        </is>
      </c>
      <c r="G186" t="inlineStr">
        <is>
          <t>GÄVLE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46259</v>
      </c>
      <c r="F187" t="inlineStr">
        <is>
          <t>GÄVLEBORGS LÄN</t>
        </is>
      </c>
      <c r="G187" t="inlineStr">
        <is>
          <t>GÄVLE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46259</v>
      </c>
      <c r="F188" t="inlineStr">
        <is>
          <t>GÄVLEBORGS LÄN</t>
        </is>
      </c>
      <c r="G188" t="inlineStr">
        <is>
          <t>GÄVLE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46259</v>
      </c>
      <c r="F189" t="inlineStr">
        <is>
          <t>GÄVLEBORGS LÄN</t>
        </is>
      </c>
      <c r="G189" t="inlineStr">
        <is>
          <t>GÄVLE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51249-2021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44461</v>
      </c>
      <c r="E190" s="1" t="n">
        <v>46259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47746-2023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45203</v>
      </c>
      <c r="E191" s="1" t="n">
        <v>46259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46259</v>
      </c>
      <c r="F192" t="inlineStr">
        <is>
          <t>GÄVLEBORGS LÄN</t>
        </is>
      </c>
      <c r="G192" t="inlineStr">
        <is>
          <t>GÄVLE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46259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46259</v>
      </c>
      <c r="F194" t="inlineStr">
        <is>
          <t>GÄVLEBORGS LÄN</t>
        </is>
      </c>
      <c r="G194" t="inlineStr">
        <is>
          <t>GÄVLE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45757</v>
      </c>
      <c r="E195" s="1" t="n">
        <v>46259</v>
      </c>
      <c r="F195" t="inlineStr">
        <is>
          <t>GÄVLEBORGS LÄN</t>
        </is>
      </c>
      <c r="G195" t="inlineStr">
        <is>
          <t>GÄVLE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44785</v>
      </c>
      <c r="E196" s="1" t="n">
        <v>46259</v>
      </c>
      <c r="F196" t="inlineStr">
        <is>
          <t>GÄVLEBORGS LÄN</t>
        </is>
      </c>
      <c r="G196" t="inlineStr">
        <is>
          <t>GÄVLE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46259</v>
      </c>
      <c r="F197" t="inlineStr">
        <is>
          <t>GÄVLEBORGS LÄN</t>
        </is>
      </c>
      <c r="G197" t="inlineStr">
        <is>
          <t>GÄVLE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46259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46259</v>
      </c>
      <c r="F199" t="inlineStr">
        <is>
          <t>GÄVLEBORGS LÄN</t>
        </is>
      </c>
      <c r="G199" t="inlineStr">
        <is>
          <t>GÄVLE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46259</v>
      </c>
      <c r="F200" t="inlineStr">
        <is>
          <t>GÄVLEBORGS LÄN</t>
        </is>
      </c>
      <c r="G200" t="inlineStr">
        <is>
          <t>GÄVLE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46259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45757</v>
      </c>
      <c r="E202" s="1" t="n">
        <v>46259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46259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46259</v>
      </c>
      <c r="F204" t="inlineStr">
        <is>
          <t>GÄVLEBORGS LÄN</t>
        </is>
      </c>
      <c r="G204" t="inlineStr">
        <is>
          <t>GÄVLE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46259</v>
      </c>
      <c r="F205" t="inlineStr">
        <is>
          <t>GÄVLEBORGS LÄN</t>
        </is>
      </c>
      <c r="G205" t="inlineStr">
        <is>
          <t>GÄVLE</t>
        </is>
      </c>
      <c r="H205" t="inlineStr">
        <is>
          <t>Kommuner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44445</v>
      </c>
      <c r="E206" s="1" t="n">
        <v>46259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50871-2022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44867</v>
      </c>
      <c r="E207" s="1" t="n">
        <v>46259</v>
      </c>
      <c r="F207" t="inlineStr">
        <is>
          <t>GÄVLEBORGS LÄN</t>
        </is>
      </c>
      <c r="G207" t="inlineStr">
        <is>
          <t>GÄVLE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46259</v>
      </c>
      <c r="F208" t="inlineStr">
        <is>
          <t>GÄVLEBORGS LÄN</t>
        </is>
      </c>
      <c r="G208" t="inlineStr">
        <is>
          <t>GÄVLE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46259</v>
      </c>
      <c r="F209" t="inlineStr">
        <is>
          <t>GÄVLEBORGS LÄN</t>
        </is>
      </c>
      <c r="G209" t="inlineStr">
        <is>
          <t>GÄVLE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46259</v>
      </c>
      <c r="F210" t="inlineStr">
        <is>
          <t>GÄVLEBORGS LÄN</t>
        </is>
      </c>
      <c r="G210" t="inlineStr">
        <is>
          <t>GÄVLE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46259</v>
      </c>
      <c r="F211" t="inlineStr">
        <is>
          <t>GÄVLEBORGS LÄN</t>
        </is>
      </c>
      <c r="G211" t="inlineStr">
        <is>
          <t>GÄVLE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46259</v>
      </c>
      <c r="F212" t="inlineStr">
        <is>
          <t>GÄVLEBORGS LÄN</t>
        </is>
      </c>
      <c r="G212" t="inlineStr">
        <is>
          <t>GÄVLE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46259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30202-2025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45827</v>
      </c>
      <c r="E214" s="1" t="n">
        <v>46259</v>
      </c>
      <c r="F214" t="inlineStr">
        <is>
          <t>GÄVLEBORGS LÄN</t>
        </is>
      </c>
      <c r="G214" t="inlineStr">
        <is>
          <t>GÄVLE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45400</v>
      </c>
      <c r="E215" s="1" t="n">
        <v>46259</v>
      </c>
      <c r="F215" t="inlineStr">
        <is>
          <t>GÄVLEBORGS LÄN</t>
        </is>
      </c>
      <c r="G215" t="inlineStr">
        <is>
          <t>GÄVLE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44804</v>
      </c>
      <c r="E216" s="1" t="n">
        <v>46259</v>
      </c>
      <c r="F216" t="inlineStr">
        <is>
          <t>GÄVLEBORGS LÄN</t>
        </is>
      </c>
      <c r="G216" t="inlineStr">
        <is>
          <t>GÄVLE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20689-2024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45436</v>
      </c>
      <c r="E217" s="1" t="n">
        <v>46259</v>
      </c>
      <c r="F217" t="inlineStr">
        <is>
          <t>GÄVLEBORGS LÄN</t>
        </is>
      </c>
      <c r="G217" t="inlineStr">
        <is>
          <t>GÄVLE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46259</v>
      </c>
      <c r="F218" t="inlineStr">
        <is>
          <t>GÄVLEBORGS LÄN</t>
        </is>
      </c>
      <c r="G218" t="inlineStr">
        <is>
          <t>GÄVLE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46259</v>
      </c>
      <c r="F219" t="inlineStr">
        <is>
          <t>GÄVLEBORGS LÄN</t>
        </is>
      </c>
      <c r="G219" t="inlineStr">
        <is>
          <t>GÄVLE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46259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46259</v>
      </c>
      <c r="F221" t="inlineStr">
        <is>
          <t>GÄVLEBORGS LÄN</t>
        </is>
      </c>
      <c r="G221" t="inlineStr">
        <is>
          <t>GÄVLE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46259</v>
      </c>
      <c r="F222" t="inlineStr">
        <is>
          <t>GÄVLEBORGS LÄN</t>
        </is>
      </c>
      <c r="G222" t="inlineStr">
        <is>
          <t>GÄVLE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44876</v>
      </c>
      <c r="E223" s="1" t="n">
        <v>46259</v>
      </c>
      <c r="F223" t="inlineStr">
        <is>
          <t>GÄVLEBORGS LÄN</t>
        </is>
      </c>
      <c r="G223" t="inlineStr">
        <is>
          <t>GÄVLE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46259</v>
      </c>
      <c r="F224" t="inlineStr">
        <is>
          <t>GÄVLEBORGS LÄN</t>
        </is>
      </c>
      <c r="G224" t="inlineStr">
        <is>
          <t>GÄVLE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46259</v>
      </c>
      <c r="F225" t="inlineStr">
        <is>
          <t>GÄVLEBORGS LÄN</t>
        </is>
      </c>
      <c r="G225" t="inlineStr">
        <is>
          <t>GÄVLE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45526</v>
      </c>
      <c r="E226" s="1" t="n">
        <v>46259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46259</v>
      </c>
      <c r="F227" t="inlineStr">
        <is>
          <t>GÄVLEBORGS LÄN</t>
        </is>
      </c>
      <c r="G227" t="inlineStr">
        <is>
          <t>GÄVLE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45454</v>
      </c>
      <c r="E228" s="1" t="n">
        <v>46259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46259</v>
      </c>
      <c r="F229" t="inlineStr">
        <is>
          <t>GÄVLEBORGS LÄN</t>
        </is>
      </c>
      <c r="G229" t="inlineStr">
        <is>
          <t>GÄVLE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46259</v>
      </c>
      <c r="F230" t="inlineStr">
        <is>
          <t>GÄVLEBORGS LÄN</t>
        </is>
      </c>
      <c r="G230" t="inlineStr">
        <is>
          <t>GÄVLE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46259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46800-2021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44446</v>
      </c>
      <c r="E232" s="1" t="n">
        <v>46259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46259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öst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46259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45645</v>
      </c>
      <c r="E235" s="1" t="n">
        <v>46259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46259</v>
      </c>
      <c r="F236" t="inlineStr">
        <is>
          <t>GÄVLEBORGS LÄN</t>
        </is>
      </c>
      <c r="G236" t="inlineStr">
        <is>
          <t>GÄVLE</t>
        </is>
      </c>
      <c r="H236" t="inlineStr">
        <is>
          <t>Kyrkan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45660</v>
      </c>
      <c r="E237" s="1" t="n">
        <v>46259</v>
      </c>
      <c r="F237" t="inlineStr">
        <is>
          <t>GÄVLEBORGS LÄN</t>
        </is>
      </c>
      <c r="G237" t="inlineStr">
        <is>
          <t>GÄVLE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45660</v>
      </c>
      <c r="E238" s="1" t="n">
        <v>46259</v>
      </c>
      <c r="F238" t="inlineStr">
        <is>
          <t>GÄVLEBORGS LÄN</t>
        </is>
      </c>
      <c r="G238" t="inlineStr">
        <is>
          <t>GÄVLE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45454</v>
      </c>
      <c r="E239" s="1" t="n">
        <v>46259</v>
      </c>
      <c r="F239" t="inlineStr">
        <is>
          <t>GÄVLEBORGS LÄN</t>
        </is>
      </c>
      <c r="G239" t="inlineStr">
        <is>
          <t>GÄVLE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46259</v>
      </c>
      <c r="F240" t="inlineStr">
        <is>
          <t>GÄVLEBORGS LÄN</t>
        </is>
      </c>
      <c r="G240" t="inlineStr">
        <is>
          <t>GÄVLE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46259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46259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46259</v>
      </c>
      <c r="F243" t="inlineStr">
        <is>
          <t>GÄVLEBORGS LÄN</t>
        </is>
      </c>
      <c r="G243" t="inlineStr">
        <is>
          <t>GÄVLE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46259</v>
      </c>
      <c r="F244" t="inlineStr">
        <is>
          <t>GÄVLEBORGS LÄN</t>
        </is>
      </c>
      <c r="G244" t="inlineStr">
        <is>
          <t>GÄVLE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44498</v>
      </c>
      <c r="E245" s="1" t="n">
        <v>46259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46259</v>
      </c>
      <c r="F246" t="inlineStr">
        <is>
          <t>GÄVLEBORGS LÄN</t>
        </is>
      </c>
      <c r="G246" t="inlineStr">
        <is>
          <t>GÄVLE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45854</v>
      </c>
      <c r="E247" s="1" t="n">
        <v>46259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45859</v>
      </c>
      <c r="E248" s="1" t="n">
        <v>46259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45862</v>
      </c>
      <c r="E249" s="1" t="n">
        <v>46259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46259</v>
      </c>
      <c r="F250" t="inlineStr">
        <is>
          <t>GÄVLEBORGS LÄN</t>
        </is>
      </c>
      <c r="G250" t="inlineStr">
        <is>
          <t>GÄVLE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46259</v>
      </c>
      <c r="F251" t="inlineStr">
        <is>
          <t>GÄVLEBORGS LÄN</t>
        </is>
      </c>
      <c r="G251" t="inlineStr">
        <is>
          <t>GÄVLE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44823</v>
      </c>
      <c r="E252" s="1" t="n">
        <v>46259</v>
      </c>
      <c r="F252" t="inlineStr">
        <is>
          <t>GÄVLEBORGS LÄN</t>
        </is>
      </c>
      <c r="G252" t="inlineStr">
        <is>
          <t>GÄVLE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45862</v>
      </c>
      <c r="E253" s="1" t="n">
        <v>46259</v>
      </c>
      <c r="F253" t="inlineStr">
        <is>
          <t>GÄVLEBORGS LÄN</t>
        </is>
      </c>
      <c r="G253" t="inlineStr">
        <is>
          <t>GÄVLE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45468</v>
      </c>
      <c r="E254" s="1" t="n">
        <v>46259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46259</v>
      </c>
      <c r="F255" t="inlineStr">
        <is>
          <t>GÄVLEBORGS LÄN</t>
        </is>
      </c>
      <c r="G255" t="inlineStr">
        <is>
          <t>GÄVLE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45866</v>
      </c>
      <c r="E256" s="1" t="n">
        <v>46259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46259</v>
      </c>
      <c r="F257" t="inlineStr">
        <is>
          <t>GÄVLEBORGS LÄN</t>
        </is>
      </c>
      <c r="G257" t="inlineStr">
        <is>
          <t>GÄVLE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45539</v>
      </c>
      <c r="E258" s="1" t="n">
        <v>46259</v>
      </c>
      <c r="F258" t="inlineStr">
        <is>
          <t>GÄVLEBORGS LÄN</t>
        </is>
      </c>
      <c r="G258" t="inlineStr">
        <is>
          <t>GÄVLE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46259</v>
      </c>
      <c r="F259" t="inlineStr">
        <is>
          <t>GÄVLEBORGS LÄN</t>
        </is>
      </c>
      <c r="G259" t="inlineStr">
        <is>
          <t>GÄVLE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44910</v>
      </c>
      <c r="E260" s="1" t="n">
        <v>46259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44910</v>
      </c>
      <c r="E261" s="1" t="n">
        <v>46259</v>
      </c>
      <c r="F261" t="inlineStr">
        <is>
          <t>GÄVLEBORGS LÄN</t>
        </is>
      </c>
      <c r="G261" t="inlineStr">
        <is>
          <t>GÄVLE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36516-2025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45869</v>
      </c>
      <c r="E262" s="1" t="n">
        <v>46259</v>
      </c>
      <c r="F262" t="inlineStr">
        <is>
          <t>GÄVLEBORGS LÄN</t>
        </is>
      </c>
      <c r="G262" t="inlineStr">
        <is>
          <t>GÄVLE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45869</v>
      </c>
      <c r="E263" s="1" t="n">
        <v>46259</v>
      </c>
      <c r="F263" t="inlineStr">
        <is>
          <t>GÄVLEBORGS LÄN</t>
        </is>
      </c>
      <c r="G263" t="inlineStr">
        <is>
          <t>GÄVLE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46259</v>
      </c>
      <c r="F264" t="inlineStr">
        <is>
          <t>GÄVLEBORGS LÄN</t>
        </is>
      </c>
      <c r="G264" t="inlineStr">
        <is>
          <t>GÄVLE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45891</v>
      </c>
      <c r="E265" s="1" t="n">
        <v>46259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44885</v>
      </c>
      <c r="E266" s="1" t="n">
        <v>46259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46549-2021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44445</v>
      </c>
      <c r="E267" s="1" t="n">
        <v>46259</v>
      </c>
      <c r="F267" t="inlineStr">
        <is>
          <t>GÄVLEBORGS LÄN</t>
        </is>
      </c>
      <c r="G267" t="inlineStr">
        <is>
          <t>GÄVLE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70043-2021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44533</v>
      </c>
      <c r="E268" s="1" t="n">
        <v>46259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45306</v>
      </c>
      <c r="E269" s="1" t="n">
        <v>46259</v>
      </c>
      <c r="F269" t="inlineStr">
        <is>
          <t>GÄVLEBORGS LÄN</t>
        </is>
      </c>
      <c r="G269" t="inlineStr">
        <is>
          <t>GÄVLE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46259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44942</v>
      </c>
      <c r="E271" s="1" t="n">
        <v>46259</v>
      </c>
      <c r="F271" t="inlineStr">
        <is>
          <t>GÄVLEBORGS LÄN</t>
        </is>
      </c>
      <c r="G271" t="inlineStr">
        <is>
          <t>GÄVLE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46259</v>
      </c>
      <c r="F272" t="inlineStr">
        <is>
          <t>GÄVLEBORGS LÄN</t>
        </is>
      </c>
      <c r="G272" t="inlineStr">
        <is>
          <t>GÄVLE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46259</v>
      </c>
      <c r="F273" t="inlineStr">
        <is>
          <t>GÄVLEBORGS LÄN</t>
        </is>
      </c>
      <c r="G273" t="inlineStr">
        <is>
          <t>GÄVLE</t>
        </is>
      </c>
      <c r="H273" t="inlineStr">
        <is>
          <t>Kyrkan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45545</v>
      </c>
      <c r="E274" s="1" t="n">
        <v>46259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46259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72734-2021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44546</v>
      </c>
      <c r="E276" s="1" t="n">
        <v>46259</v>
      </c>
      <c r="F276" t="inlineStr">
        <is>
          <t>GÄVLEBORGS LÄN</t>
        </is>
      </c>
      <c r="G276" t="inlineStr">
        <is>
          <t>GÄVLE</t>
        </is>
      </c>
      <c r="H276" t="inlineStr">
        <is>
          <t>Kommuner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46259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40297-2025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45895</v>
      </c>
      <c r="E278" s="1" t="n">
        <v>46259</v>
      </c>
      <c r="F278" t="inlineStr">
        <is>
          <t>GÄVLEBORGS LÄN</t>
        </is>
      </c>
      <c r="G278" t="inlineStr">
        <is>
          <t>GÄVLE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46259</v>
      </c>
      <c r="F279" t="inlineStr">
        <is>
          <t>GÄVLEBORGS LÄN</t>
        </is>
      </c>
      <c r="G279" t="inlineStr">
        <is>
          <t>GÄVLE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46259</v>
      </c>
      <c r="F280" t="inlineStr">
        <is>
          <t>GÄVLEBORGS LÄN</t>
        </is>
      </c>
      <c r="G280" t="inlineStr">
        <is>
          <t>GÄVLE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46259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46259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46259</v>
      </c>
      <c r="F283" t="inlineStr">
        <is>
          <t>GÄVLEBORGS LÄN</t>
        </is>
      </c>
      <c r="G283" t="inlineStr">
        <is>
          <t>GÄVLE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46259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46259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46259</v>
      </c>
      <c r="F286" t="inlineStr">
        <is>
          <t>GÄVLEBORGS LÄN</t>
        </is>
      </c>
      <c r="G286" t="inlineStr">
        <is>
          <t>GÄVLE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17245-2024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45414</v>
      </c>
      <c r="E287" s="1" t="n">
        <v>46259</v>
      </c>
      <c r="F287" t="inlineStr">
        <is>
          <t>GÄVLEBORGS LÄN</t>
        </is>
      </c>
      <c r="G287" t="inlineStr">
        <is>
          <t>GÄVLE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46259</v>
      </c>
      <c r="F288" t="inlineStr">
        <is>
          <t>GÄVLEBORGS LÄN</t>
        </is>
      </c>
      <c r="G288" t="inlineStr">
        <is>
          <t>GÄVLE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45628-2022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44845</v>
      </c>
      <c r="E289" s="1" t="n">
        <v>46259</v>
      </c>
      <c r="F289" t="inlineStr">
        <is>
          <t>GÄVLEBORGS LÄN</t>
        </is>
      </c>
      <c r="G289" t="inlineStr">
        <is>
          <t>GÄVLE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46259</v>
      </c>
      <c r="F290" t="inlineStr">
        <is>
          <t>GÄVLEBORGS LÄN</t>
        </is>
      </c>
      <c r="G290" t="inlineStr">
        <is>
          <t>GÄVLE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46259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45511</v>
      </c>
      <c r="E292" s="1" t="n">
        <v>46259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38132-2025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45882</v>
      </c>
      <c r="E293" s="1" t="n">
        <v>46259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46259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46259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45658</v>
      </c>
      <c r="E296" s="1" t="n">
        <v>46259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45120</v>
      </c>
      <c r="E297" s="1" t="n">
        <v>46259</v>
      </c>
      <c r="F297" t="inlineStr">
        <is>
          <t>GÄVLEBORGS LÄN</t>
        </is>
      </c>
      <c r="G297" t="inlineStr">
        <is>
          <t>GÄVLE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46259</v>
      </c>
      <c r="F298" t="inlineStr">
        <is>
          <t>GÄVLEBORGS LÄN</t>
        </is>
      </c>
      <c r="G298" t="inlineStr">
        <is>
          <t>GÄVLE</t>
        </is>
      </c>
      <c r="H298" t="inlineStr">
        <is>
          <t>Kyrkan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45902</v>
      </c>
      <c r="E299" s="1" t="n">
        <v>46259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46259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46259</v>
      </c>
      <c r="F301" t="inlineStr">
        <is>
          <t>GÄVLEBORGS LÄN</t>
        </is>
      </c>
      <c r="G301" t="inlineStr">
        <is>
          <t>GÄVLE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46259</v>
      </c>
      <c r="F302" t="inlineStr">
        <is>
          <t>GÄVLEBORGS LÄN</t>
        </is>
      </c>
      <c r="G302" t="inlineStr">
        <is>
          <t>GÄVLE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45485</v>
      </c>
      <c r="E303" s="1" t="n">
        <v>46259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46259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46259</v>
      </c>
      <c r="F305" t="inlineStr">
        <is>
          <t>GÄVLEBORGS LÄN</t>
        </is>
      </c>
      <c r="G305" t="inlineStr">
        <is>
          <t>GÄVLE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45475</v>
      </c>
      <c r="E306" s="1" t="n">
        <v>46259</v>
      </c>
      <c r="F306" t="inlineStr">
        <is>
          <t>GÄVLEBORGS LÄN</t>
        </is>
      </c>
      <c r="G306" t="inlineStr">
        <is>
          <t>GÄVLE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45540</v>
      </c>
      <c r="E307" s="1" t="n">
        <v>46259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46259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46259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46259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46259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46259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46259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46259</v>
      </c>
      <c r="F314" t="inlineStr">
        <is>
          <t>GÄVLEBORGS LÄN</t>
        </is>
      </c>
      <c r="G314" t="inlineStr">
        <is>
          <t>GÄVLE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46259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46095</v>
      </c>
      <c r="E316" s="1" t="n">
        <v>46259</v>
      </c>
      <c r="F316" t="inlineStr">
        <is>
          <t>GÄVLEBORGS LÄN</t>
        </is>
      </c>
      <c r="G316" t="inlineStr">
        <is>
          <t>GÄVLE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46259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46259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46259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46259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46259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46259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46259</v>
      </c>
      <c r="F324" t="inlineStr">
        <is>
          <t>GÄVLEBORGS LÄN</t>
        </is>
      </c>
      <c r="G324" t="inlineStr">
        <is>
          <t>GÄVLE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46259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46259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65879-2021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44517</v>
      </c>
      <c r="E327" s="1" t="n">
        <v>46259</v>
      </c>
      <c r="F327" t="inlineStr">
        <is>
          <t>GÄVLEBORGS LÄN</t>
        </is>
      </c>
      <c r="G327" t="inlineStr">
        <is>
          <t>GÄVLE</t>
        </is>
      </c>
      <c r="H327" t="inlineStr">
        <is>
          <t>Kyrkan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46259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46259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46259</v>
      </c>
      <c r="F330" t="inlineStr">
        <is>
          <t>GÄVLEBORGS LÄN</t>
        </is>
      </c>
      <c r="G330" t="inlineStr">
        <is>
          <t>GÄVLE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46259</v>
      </c>
      <c r="F331" t="inlineStr">
        <is>
          <t>GÄVLEBORGS LÄN</t>
        </is>
      </c>
      <c r="G331" t="inlineStr">
        <is>
          <t>GÄVLE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46259</v>
      </c>
      <c r="F332" t="inlineStr">
        <is>
          <t>GÄVLEBORGS LÄN</t>
        </is>
      </c>
      <c r="G332" t="inlineStr">
        <is>
          <t>GÄVLE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46259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44988</v>
      </c>
      <c r="E334" s="1" t="n">
        <v>46259</v>
      </c>
      <c r="F334" t="inlineStr">
        <is>
          <t>GÄVLEBORGS LÄN</t>
        </is>
      </c>
      <c r="G334" t="inlineStr">
        <is>
          <t>GÄVLE</t>
        </is>
      </c>
      <c r="H334" t="inlineStr">
        <is>
          <t>Kyrkan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44585</v>
      </c>
      <c r="E335" s="1" t="n">
        <v>46259</v>
      </c>
      <c r="F335" t="inlineStr">
        <is>
          <t>GÄVLEBORGS LÄN</t>
        </is>
      </c>
      <c r="G335" t="inlineStr">
        <is>
          <t>GÄVLE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46259</v>
      </c>
      <c r="F336" t="inlineStr">
        <is>
          <t>GÄVLEBORGS LÄN</t>
        </is>
      </c>
      <c r="G336" t="inlineStr">
        <is>
          <t>GÄVLE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43087-2025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46259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46259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45523</v>
      </c>
      <c r="E339" s="1" t="n">
        <v>46259</v>
      </c>
      <c r="F339" t="inlineStr">
        <is>
          <t>GÄVLEBORGS LÄN</t>
        </is>
      </c>
      <c r="G339" t="inlineStr">
        <is>
          <t>GÄVLE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45660</v>
      </c>
      <c r="E340" s="1" t="n">
        <v>46259</v>
      </c>
      <c r="F340" t="inlineStr">
        <is>
          <t>GÄVLEBORGS LÄN</t>
        </is>
      </c>
      <c r="G340" t="inlineStr">
        <is>
          <t>GÄVLE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46259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46259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46259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45644</v>
      </c>
      <c r="E344" s="1" t="n">
        <v>46259</v>
      </c>
      <c r="F344" t="inlineStr">
        <is>
          <t>GÄVLEBORGS LÄN</t>
        </is>
      </c>
      <c r="G344" t="inlineStr">
        <is>
          <t>GÄVLE</t>
        </is>
      </c>
      <c r="H344" t="inlineStr">
        <is>
          <t>Kyrkan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46259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45726</v>
      </c>
      <c r="E346" s="1" t="n">
        <v>46259</v>
      </c>
      <c r="F346" t="inlineStr">
        <is>
          <t>GÄVLEBORGS LÄN</t>
        </is>
      </c>
      <c r="G346" t="inlineStr">
        <is>
          <t>GÄVLE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46259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45742</v>
      </c>
      <c r="E348" s="1" t="n">
        <v>46259</v>
      </c>
      <c r="F348" t="inlineStr">
        <is>
          <t>GÄVLEBORGS LÄN</t>
        </is>
      </c>
      <c r="G348" t="inlineStr">
        <is>
          <t>GÄVLE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45547</v>
      </c>
      <c r="E349" s="1" t="n">
        <v>46259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46259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46259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46259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46259</v>
      </c>
      <c r="F353" t="inlineStr">
        <is>
          <t>GÄVLEBORGS LÄN</t>
        </is>
      </c>
      <c r="G353" t="inlineStr">
        <is>
          <t>GÄVLE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46259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46259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44959</v>
      </c>
      <c r="E356" s="1" t="n">
        <v>46259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44693</v>
      </c>
      <c r="E357" s="1" t="n">
        <v>46259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46259</v>
      </c>
      <c r="F358" t="inlineStr">
        <is>
          <t>GÄVLEBORGS LÄN</t>
        </is>
      </c>
      <c r="G358" t="inlineStr">
        <is>
          <t>GÄVLE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45702</v>
      </c>
      <c r="E359" s="1" t="n">
        <v>46259</v>
      </c>
      <c r="F359" t="inlineStr">
        <is>
          <t>GÄVLEBORGS LÄN</t>
        </is>
      </c>
      <c r="G359" t="inlineStr">
        <is>
          <t>GÄVLE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46259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45019</v>
      </c>
      <c r="E361" s="1" t="n">
        <v>46259</v>
      </c>
      <c r="F361" t="inlineStr">
        <is>
          <t>GÄVLEBORGS LÄN</t>
        </is>
      </c>
      <c r="G361" t="inlineStr">
        <is>
          <t>GÄVLE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46077</v>
      </c>
      <c r="E362" s="1" t="n">
        <v>46259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45652</v>
      </c>
      <c r="E363" s="1" t="n">
        <v>46259</v>
      </c>
      <c r="F363" t="inlineStr">
        <is>
          <t>GÄVLEBORGS LÄN</t>
        </is>
      </c>
      <c r="G363" t="inlineStr">
        <is>
          <t>GÄVLE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46259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19095-2022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44691</v>
      </c>
      <c r="E365" s="1" t="n">
        <v>46259</v>
      </c>
      <c r="F365" t="inlineStr">
        <is>
          <t>GÄVLEBORGS LÄN</t>
        </is>
      </c>
      <c r="G365" t="inlineStr">
        <is>
          <t>GÄVLE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17471-2026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46120</v>
      </c>
      <c r="E366" s="1" t="n">
        <v>46259</v>
      </c>
      <c r="F366" t="inlineStr">
        <is>
          <t>GÄVLEBORGS LÄN</t>
        </is>
      </c>
      <c r="G366" t="inlineStr">
        <is>
          <t>GÄVLE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17974-2026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46124</v>
      </c>
      <c r="E367" s="1" t="n">
        <v>46259</v>
      </c>
      <c r="F367" t="inlineStr">
        <is>
          <t>GÄVLEBORGS LÄN</t>
        </is>
      </c>
      <c r="G367" t="inlineStr">
        <is>
          <t>GÄVLE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30662-2022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44763</v>
      </c>
      <c r="E368" s="1" t="n">
        <v>46259</v>
      </c>
      <c r="F368" t="inlineStr">
        <is>
          <t>GÄVLEBORGS LÄN</t>
        </is>
      </c>
      <c r="G368" t="inlineStr">
        <is>
          <t>GÄVLE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46124</v>
      </c>
      <c r="E369" s="1" t="n">
        <v>46259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46259</v>
      </c>
      <c r="F370" t="inlineStr">
        <is>
          <t>GÄVLEBORGS LÄN</t>
        </is>
      </c>
      <c r="G370" t="inlineStr">
        <is>
          <t>GÄVLE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46259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46259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46124</v>
      </c>
      <c r="E373" s="1" t="n">
        <v>46259</v>
      </c>
      <c r="F373" t="inlineStr">
        <is>
          <t>GÄVLEBORGS LÄN</t>
        </is>
      </c>
      <c r="G373" t="inlineStr">
        <is>
          <t>GÄVLE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46259</v>
      </c>
      <c r="F374" t="inlineStr">
        <is>
          <t>GÄVLEBORGS LÄN</t>
        </is>
      </c>
      <c r="G374" t="inlineStr">
        <is>
          <t>GÄVLE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45420</v>
      </c>
      <c r="E375" s="1" t="n">
        <v>46259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46259</v>
      </c>
      <c r="F376" t="inlineStr">
        <is>
          <t>GÄVLEBORGS LÄN</t>
        </is>
      </c>
      <c r="G376" t="inlineStr">
        <is>
          <t>GÄVLE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45595</v>
      </c>
      <c r="E377" s="1" t="n">
        <v>46259</v>
      </c>
      <c r="F377" t="inlineStr">
        <is>
          <t>GÄVLEBORGS LÄN</t>
        </is>
      </c>
      <c r="G377" t="inlineStr">
        <is>
          <t>GÄVLE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46259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46259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46259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45058</v>
      </c>
      <c r="E381" s="1" t="n">
        <v>46259</v>
      </c>
      <c r="F381" t="inlineStr">
        <is>
          <t>GÄVLEBORGS LÄN</t>
        </is>
      </c>
      <c r="G381" t="inlineStr">
        <is>
          <t>GÄVLE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45356</v>
      </c>
      <c r="E382" s="1" t="n">
        <v>46259</v>
      </c>
      <c r="F382" t="inlineStr">
        <is>
          <t>GÄVLEBORGS LÄN</t>
        </is>
      </c>
      <c r="G382" t="inlineStr">
        <is>
          <t>GÄVLE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46259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46259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44951</v>
      </c>
      <c r="E385" s="1" t="n">
        <v>46259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44586</v>
      </c>
      <c r="E386" s="1" t="n">
        <v>46259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46259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36.3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46259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46259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45324</v>
      </c>
      <c r="E390" s="1" t="n">
        <v>46259</v>
      </c>
      <c r="F390" t="inlineStr">
        <is>
          <t>GÄVLEBORGS LÄN</t>
        </is>
      </c>
      <c r="G390" t="inlineStr">
        <is>
          <t>GÄVLE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64871-2023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45282</v>
      </c>
      <c r="E391" s="1" t="n">
        <v>46259</v>
      </c>
      <c r="F391" t="inlineStr">
        <is>
          <t>GÄVLEBORGS LÄN</t>
        </is>
      </c>
      <c r="G391" t="inlineStr">
        <is>
          <t>GÄVLE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64875-2023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45282</v>
      </c>
      <c r="E392" s="1" t="n">
        <v>46259</v>
      </c>
      <c r="F392" t="inlineStr">
        <is>
          <t>GÄVLEBORGS LÄN</t>
        </is>
      </c>
      <c r="G392" t="inlineStr">
        <is>
          <t>GÄVLE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19088-2026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46259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61501-2024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46259</v>
      </c>
      <c r="F394" t="inlineStr">
        <is>
          <t>GÄVLEBORGS LÄN</t>
        </is>
      </c>
      <c r="G394" t="inlineStr">
        <is>
          <t>GÄVLE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46259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46259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46259</v>
      </c>
      <c r="F397" t="inlineStr">
        <is>
          <t>GÄVLEBORGS LÄN</t>
        </is>
      </c>
      <c r="G397" t="inlineStr">
        <is>
          <t>GÄVLE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46259</v>
      </c>
      <c r="F398" t="inlineStr">
        <is>
          <t>GÄVLEBORGS LÄN</t>
        </is>
      </c>
      <c r="G398" t="inlineStr">
        <is>
          <t>GÄVLE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46259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46259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46259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44713</v>
      </c>
      <c r="E402" s="1" t="n">
        <v>46259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45330</v>
      </c>
      <c r="E403" s="1" t="n">
        <v>46259</v>
      </c>
      <c r="F403" t="inlineStr">
        <is>
          <t>GÄVLEBORGS LÄN</t>
        </is>
      </c>
      <c r="G403" t="inlineStr">
        <is>
          <t>GÄVLE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45888</v>
      </c>
      <c r="E404" s="1" t="n">
        <v>46259</v>
      </c>
      <c r="F404" t="inlineStr">
        <is>
          <t>GÄVLEBORGS LÄN</t>
        </is>
      </c>
      <c r="G404" t="inlineStr">
        <is>
          <t>GÄVLE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46259</v>
      </c>
      <c r="F405" t="inlineStr">
        <is>
          <t>GÄVLEBORGS LÄN</t>
        </is>
      </c>
      <c r="G405" t="inlineStr">
        <is>
          <t>GÄVLE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46259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46259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46259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46259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14365-2026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46100</v>
      </c>
      <c r="E410" s="1" t="n">
        <v>46259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46259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46259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45673</v>
      </c>
      <c r="E413" s="1" t="n">
        <v>46259</v>
      </c>
      <c r="F413" t="inlineStr">
        <is>
          <t>GÄVLEBORGS LÄN</t>
        </is>
      </c>
      <c r="G413" t="inlineStr">
        <is>
          <t>GÄVLE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45673</v>
      </c>
      <c r="E414" s="1" t="n">
        <v>46259</v>
      </c>
      <c r="F414" t="inlineStr">
        <is>
          <t>GÄVLEBORGS LÄN</t>
        </is>
      </c>
      <c r="G414" t="inlineStr">
        <is>
          <t>GÄVLE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46259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46134</v>
      </c>
      <c r="E416" s="1" t="n">
        <v>46259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44708</v>
      </c>
      <c r="E417" s="1" t="n">
        <v>46259</v>
      </c>
      <c r="F417" t="inlineStr">
        <is>
          <t>GÄVLEBORGS LÄN</t>
        </is>
      </c>
      <c r="G417" t="inlineStr">
        <is>
          <t>GÄVLE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46259</v>
      </c>
      <c r="F418" t="inlineStr">
        <is>
          <t>GÄVLEBORGS LÄN</t>
        </is>
      </c>
      <c r="G418" t="inlineStr">
        <is>
          <t>GÄVLE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19711-2026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46259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14355-2026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46259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46259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46259</v>
      </c>
      <c r="F422" t="inlineStr">
        <is>
          <t>GÄVLEBORGS LÄN</t>
        </is>
      </c>
      <c r="G422" t="inlineStr">
        <is>
          <t>GÄVLE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18162-2022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46259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12079-2025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46259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46259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46259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46259</v>
      </c>
      <c r="F427" t="inlineStr">
        <is>
          <t>GÄVLEBORGS LÄN</t>
        </is>
      </c>
      <c r="G427" t="inlineStr">
        <is>
          <t>GÄVLE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45705</v>
      </c>
      <c r="E428" s="1" t="n">
        <v>46259</v>
      </c>
      <c r="F428" t="inlineStr">
        <is>
          <t>GÄVLEBORGS LÄN</t>
        </is>
      </c>
      <c r="G428" t="inlineStr">
        <is>
          <t>GÄVLE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46259</v>
      </c>
      <c r="F429" t="inlineStr">
        <is>
          <t>GÄVLEBORGS LÄN</t>
        </is>
      </c>
      <c r="G429" t="inlineStr">
        <is>
          <t>GÄVLE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45924</v>
      </c>
      <c r="E430" s="1" t="n">
        <v>46259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46259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45850-2025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45923</v>
      </c>
      <c r="E432" s="1" t="n">
        <v>46259</v>
      </c>
      <c r="F432" t="inlineStr">
        <is>
          <t>GÄVLEBORGS LÄN</t>
        </is>
      </c>
      <c r="G432" t="inlineStr">
        <is>
          <t>GÄVLE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45462</v>
      </c>
      <c r="E433" s="1" t="n">
        <v>46259</v>
      </c>
      <c r="F433" t="inlineStr">
        <is>
          <t>GÄVLEBORGS LÄN</t>
        </is>
      </c>
      <c r="G433" t="inlineStr">
        <is>
          <t>GÄVLE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45666</v>
      </c>
      <c r="E434" s="1" t="n">
        <v>46259</v>
      </c>
      <c r="F434" t="inlineStr">
        <is>
          <t>GÄVLEBORGS LÄN</t>
        </is>
      </c>
      <c r="G434" t="inlineStr">
        <is>
          <t>GÄVLE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45463</v>
      </c>
      <c r="E435" s="1" t="n">
        <v>46259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45896</v>
      </c>
      <c r="E436" s="1" t="n">
        <v>46259</v>
      </c>
      <c r="F436" t="inlineStr">
        <is>
          <t>GÄVLEBORGS LÄN</t>
        </is>
      </c>
      <c r="G436" t="inlineStr">
        <is>
          <t>GÄVLE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46259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44684</v>
      </c>
      <c r="E438" s="1" t="n">
        <v>46259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46259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45218</v>
      </c>
      <c r="E440" s="1" t="n">
        <v>46259</v>
      </c>
      <c r="F440" t="inlineStr">
        <is>
          <t>GÄVLEBORGS LÄN</t>
        </is>
      </c>
      <c r="G440" t="inlineStr">
        <is>
          <t>GÄVLE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44586</v>
      </c>
      <c r="E441" s="1" t="n">
        <v>46259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46259</v>
      </c>
      <c r="F442" t="inlineStr">
        <is>
          <t>GÄVLEBORGS LÄN</t>
        </is>
      </c>
      <c r="G442" t="inlineStr">
        <is>
          <t>GÄVLE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36512-2025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45869</v>
      </c>
      <c r="E443" s="1" t="n">
        <v>46259</v>
      </c>
      <c r="F443" t="inlineStr">
        <is>
          <t>GÄVLEBORGS LÄN</t>
        </is>
      </c>
      <c r="G443" t="inlineStr">
        <is>
          <t>GÄVLE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45862</v>
      </c>
      <c r="E444" s="1" t="n">
        <v>46259</v>
      </c>
      <c r="F444" t="inlineStr">
        <is>
          <t>GÄVLEBORGS LÄN</t>
        </is>
      </c>
      <c r="G444" t="inlineStr">
        <is>
          <t>GÄVLE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46259</v>
      </c>
      <c r="F445" t="inlineStr">
        <is>
          <t>GÄVLEBORGS LÄN</t>
        </is>
      </c>
      <c r="G445" t="inlineStr">
        <is>
          <t>GÄVLE</t>
        </is>
      </c>
      <c r="H445" t="inlineStr">
        <is>
          <t>Kyrkan</t>
        </is>
      </c>
      <c r="I445" t="n">
        <v>8.1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46259</v>
      </c>
      <c r="F446" t="inlineStr">
        <is>
          <t>GÄVLEBORGS LÄN</t>
        </is>
      </c>
      <c r="G446" t="inlineStr">
        <is>
          <t>GÄVLE</t>
        </is>
      </c>
      <c r="H446" t="inlineStr">
        <is>
          <t>Kyrkan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45666</v>
      </c>
      <c r="E447" s="1" t="n">
        <v>46259</v>
      </c>
      <c r="F447" t="inlineStr">
        <is>
          <t>GÄVLEBORGS LÄN</t>
        </is>
      </c>
      <c r="G447" t="inlineStr">
        <is>
          <t>GÄVLE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46077</v>
      </c>
      <c r="E448" s="1" t="n">
        <v>46259</v>
      </c>
      <c r="F448" t="inlineStr">
        <is>
          <t>GÄVLEBORGS LÄN</t>
        </is>
      </c>
      <c r="G448" t="inlineStr">
        <is>
          <t>GÄVLE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17062-2023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45034</v>
      </c>
      <c r="E449" s="1" t="n">
        <v>46259</v>
      </c>
      <c r="F449" t="inlineStr">
        <is>
          <t>GÄVLEBORGS LÄN</t>
        </is>
      </c>
      <c r="G449" t="inlineStr">
        <is>
          <t>GÄVLE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46259</v>
      </c>
      <c r="F450" t="inlineStr">
        <is>
          <t>GÄVLEBORGS LÄN</t>
        </is>
      </c>
      <c r="G450" t="inlineStr">
        <is>
          <t>GÄVLE</t>
        </is>
      </c>
      <c r="H450" t="inlineStr">
        <is>
          <t>Kyrkan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46259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22.4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46259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46259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46259</v>
      </c>
      <c r="F454" t="inlineStr">
        <is>
          <t>GÄVLEBORGS LÄN</t>
        </is>
      </c>
      <c r="G454" t="inlineStr">
        <is>
          <t>GÄVLE</t>
        </is>
      </c>
      <c r="H454" t="inlineStr">
        <is>
          <t>Kyrkan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46259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46259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33880-2022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44790</v>
      </c>
      <c r="E457" s="1" t="n">
        <v>46259</v>
      </c>
      <c r="F457" t="inlineStr">
        <is>
          <t>GÄVLEBORGS LÄN</t>
        </is>
      </c>
      <c r="G457" t="inlineStr">
        <is>
          <t>GÄVLE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46259</v>
      </c>
      <c r="F458" t="inlineStr">
        <is>
          <t>GÄVLEBORGS LÄN</t>
        </is>
      </c>
      <c r="G458" t="inlineStr">
        <is>
          <t>GÄVLE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46783-2025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45926</v>
      </c>
      <c r="E459" s="1" t="n">
        <v>46259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46259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26094-2025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45805</v>
      </c>
      <c r="E461" s="1" t="n">
        <v>46259</v>
      </c>
      <c r="F461" t="inlineStr">
        <is>
          <t>GÄVLEBORGS LÄN</t>
        </is>
      </c>
      <c r="G461" t="inlineStr">
        <is>
          <t>GÄVLE</t>
        </is>
      </c>
      <c r="I461" t="n">
        <v>12.4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46259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46259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46107</v>
      </c>
      <c r="E464" s="1" t="n">
        <v>46259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46259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46259</v>
      </c>
      <c r="F466" t="inlineStr">
        <is>
          <t>GÄVLEBORGS LÄN</t>
        </is>
      </c>
      <c r="G466" t="inlineStr">
        <is>
          <t>GÄVLE</t>
        </is>
      </c>
      <c r="I466" t="n">
        <v>12.7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46259</v>
      </c>
      <c r="F467" t="inlineStr">
        <is>
          <t>GÄVLEBORGS LÄN</t>
        </is>
      </c>
      <c r="G467" t="inlineStr">
        <is>
          <t>GÄVLE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20999-2022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44701</v>
      </c>
      <c r="E468" s="1" t="n">
        <v>46259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26.3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47171-2025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46259</v>
      </c>
      <c r="F469" t="inlineStr">
        <is>
          <t>GÄVLEBORGS LÄN</t>
        </is>
      </c>
      <c r="G469" t="inlineStr">
        <is>
          <t>GÄVLE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46259</v>
      </c>
      <c r="F470" t="inlineStr">
        <is>
          <t>GÄVLEBORGS LÄN</t>
        </is>
      </c>
      <c r="G470" t="inlineStr">
        <is>
          <t>GÄVLE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45686</v>
      </c>
      <c r="E471" s="1" t="n">
        <v>46259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48004-2025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46259</v>
      </c>
      <c r="F472" t="inlineStr">
        <is>
          <t>GÄVLEBORGS LÄN</t>
        </is>
      </c>
      <c r="G472" t="inlineStr">
        <is>
          <t>GÄVLE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45932</v>
      </c>
      <c r="E473" s="1" t="n">
        <v>46259</v>
      </c>
      <c r="F473" t="inlineStr">
        <is>
          <t>GÄVLEBORGS LÄN</t>
        </is>
      </c>
      <c r="G473" t="inlineStr">
        <is>
          <t>GÄVLE</t>
        </is>
      </c>
      <c r="I473" t="n">
        <v>10.1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46259</v>
      </c>
      <c r="F474" t="inlineStr">
        <is>
          <t>GÄVLEBORGS LÄN</t>
        </is>
      </c>
      <c r="G474" t="inlineStr">
        <is>
          <t>GÄVLE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47602-2025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45931</v>
      </c>
      <c r="E475" s="1" t="n">
        <v>46259</v>
      </c>
      <c r="F475" t="inlineStr">
        <is>
          <t>GÄVLEBORGS LÄN</t>
        </is>
      </c>
      <c r="G475" t="inlineStr">
        <is>
          <t>GÄVLE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46259</v>
      </c>
      <c r="F476" t="inlineStr">
        <is>
          <t>GÄVLEBORGS LÄN</t>
        </is>
      </c>
      <c r="G476" t="inlineStr">
        <is>
          <t>GÄVLE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45705</v>
      </c>
      <c r="E477" s="1" t="n">
        <v>46259</v>
      </c>
      <c r="F477" t="inlineStr">
        <is>
          <t>GÄVLEBORGS LÄN</t>
        </is>
      </c>
      <c r="G477" t="inlineStr">
        <is>
          <t>GÄVLE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21966-2025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45784</v>
      </c>
      <c r="E478" s="1" t="n">
        <v>46259</v>
      </c>
      <c r="F478" t="inlineStr">
        <is>
          <t>GÄVLEBORGS LÄN</t>
        </is>
      </c>
      <c r="G478" t="inlineStr">
        <is>
          <t>GÄVLE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45933</v>
      </c>
      <c r="E479" s="1" t="n">
        <v>46259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45933</v>
      </c>
      <c r="E480" s="1" t="n">
        <v>46259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46259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48117-2025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46259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45089</v>
      </c>
      <c r="E483" s="1" t="n">
        <v>46259</v>
      </c>
      <c r="F483" t="inlineStr">
        <is>
          <t>GÄVLEBORGS LÄN</t>
        </is>
      </c>
      <c r="G483" t="inlineStr">
        <is>
          <t>GÄVLE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46070</v>
      </c>
      <c r="E484" s="1" t="n">
        <v>46259</v>
      </c>
      <c r="F484" t="inlineStr">
        <is>
          <t>GÄVLEBORGS LÄN</t>
        </is>
      </c>
      <c r="G484" t="inlineStr">
        <is>
          <t>GÄVLE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45938</v>
      </c>
      <c r="E485" s="1" t="n">
        <v>46259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45937</v>
      </c>
      <c r="E486" s="1" t="n">
        <v>46259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45672</v>
      </c>
      <c r="E487" s="1" t="n">
        <v>46259</v>
      </c>
      <c r="F487" t="inlineStr">
        <is>
          <t>GÄVLEBORGS LÄN</t>
        </is>
      </c>
      <c r="G487" t="inlineStr">
        <is>
          <t>GÄVLE</t>
        </is>
      </c>
      <c r="H487" t="inlineStr">
        <is>
          <t>Kyrkan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46077</v>
      </c>
      <c r="E488" s="1" t="n">
        <v>46259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46259</v>
      </c>
      <c r="F489" t="inlineStr">
        <is>
          <t>GÄVLEBORGS LÄN</t>
        </is>
      </c>
      <c r="G489" t="inlineStr">
        <is>
          <t>GÄVLE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44936</v>
      </c>
      <c r="E490" s="1" t="n">
        <v>46259</v>
      </c>
      <c r="F490" t="inlineStr">
        <is>
          <t>GÄVLEBORGS LÄN</t>
        </is>
      </c>
      <c r="G490" t="inlineStr">
        <is>
          <t>GÄVLE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66351-2021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44518</v>
      </c>
      <c r="E491" s="1" t="n">
        <v>46259</v>
      </c>
      <c r="F491" t="inlineStr">
        <is>
          <t>GÄVLEBORGS LÄN</t>
        </is>
      </c>
      <c r="G491" t="inlineStr">
        <is>
          <t>GÄVLE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50537-2025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45945</v>
      </c>
      <c r="E492" s="1" t="n">
        <v>46259</v>
      </c>
      <c r="F492" t="inlineStr">
        <is>
          <t>GÄVLEBORGS LÄN</t>
        </is>
      </c>
      <c r="G492" t="inlineStr">
        <is>
          <t>GÄVLE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45084</v>
      </c>
      <c r="E493" s="1" t="n">
        <v>46259</v>
      </c>
      <c r="F493" t="inlineStr">
        <is>
          <t>GÄVLEBORGS LÄN</t>
        </is>
      </c>
      <c r="G493" t="inlineStr">
        <is>
          <t>GÄVLE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27182-2022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44741</v>
      </c>
      <c r="E494" s="1" t="n">
        <v>46259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15092-2026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46259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46259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35761-2022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44800</v>
      </c>
      <c r="E497" s="1" t="n">
        <v>46259</v>
      </c>
      <c r="F497" t="inlineStr">
        <is>
          <t>GÄVLEBORGS LÄN</t>
        </is>
      </c>
      <c r="G497" t="inlineStr">
        <is>
          <t>GÄVLE</t>
        </is>
      </c>
      <c r="I497" t="n">
        <v>8.199999999999999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44369-2025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45916</v>
      </c>
      <c r="E498" s="1" t="n">
        <v>46259</v>
      </c>
      <c r="F498" t="inlineStr">
        <is>
          <t>GÄVLEBORGS LÄN</t>
        </is>
      </c>
      <c r="G498" t="inlineStr">
        <is>
          <t>GÄVLE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44922</v>
      </c>
      <c r="E499" s="1" t="n">
        <v>46259</v>
      </c>
      <c r="F499" t="inlineStr">
        <is>
          <t>GÄVLEBORGS LÄN</t>
        </is>
      </c>
      <c r="G499" t="inlineStr">
        <is>
          <t>GÄVLE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42592-2025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45905</v>
      </c>
      <c r="E500" s="1" t="n">
        <v>46259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45089</v>
      </c>
      <c r="E501" s="1" t="n">
        <v>46259</v>
      </c>
      <c r="F501" t="inlineStr">
        <is>
          <t>GÄVLEBORGS LÄN</t>
        </is>
      </c>
      <c r="G501" t="inlineStr">
        <is>
          <t>GÄVLE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59322-2022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46259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49510-2025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45939</v>
      </c>
      <c r="E503" s="1" t="n">
        <v>46259</v>
      </c>
      <c r="F503" t="inlineStr">
        <is>
          <t>GÄVLEBORGS LÄN</t>
        </is>
      </c>
      <c r="G503" t="inlineStr">
        <is>
          <t>GÄVLE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45744</v>
      </c>
      <c r="E504" s="1" t="n">
        <v>46259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46259</v>
      </c>
      <c r="F505" t="inlineStr">
        <is>
          <t>GÄVLEBORGS LÄN</t>
        </is>
      </c>
      <c r="G505" t="inlineStr">
        <is>
          <t>GÄVLE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45940</v>
      </c>
      <c r="E506" s="1" t="n">
        <v>46259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46259</v>
      </c>
      <c r="F507" t="inlineStr">
        <is>
          <t>GÄVLEBORGS LÄN</t>
        </is>
      </c>
      <c r="G507" t="inlineStr">
        <is>
          <t>GÄVLE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46033</v>
      </c>
      <c r="E508" s="1" t="n">
        <v>46259</v>
      </c>
      <c r="F508" t="inlineStr">
        <is>
          <t>GÄVLEBORGS LÄN</t>
        </is>
      </c>
      <c r="G508" t="inlineStr">
        <is>
          <t>GÄVLE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49842-2025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45940</v>
      </c>
      <c r="E509" s="1" t="n">
        <v>46259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45265</v>
      </c>
      <c r="E510" s="1" t="n">
        <v>46259</v>
      </c>
      <c r="F510" t="inlineStr">
        <is>
          <t>GÄVLEBORGS LÄN</t>
        </is>
      </c>
      <c r="G510" t="inlineStr">
        <is>
          <t>GÄVLE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31062-2023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45113</v>
      </c>
      <c r="E511" s="1" t="n">
        <v>46259</v>
      </c>
      <c r="F511" t="inlineStr">
        <is>
          <t>GÄVLEBORGS LÄN</t>
        </is>
      </c>
      <c r="G511" t="inlineStr">
        <is>
          <t>GÄVLE</t>
        </is>
      </c>
      <c r="H511" t="inlineStr">
        <is>
          <t>Kommuner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8568-2026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46065</v>
      </c>
      <c r="E512" s="1" t="n">
        <v>46259</v>
      </c>
      <c r="F512" t="inlineStr">
        <is>
          <t>GÄVLEBORGS LÄN</t>
        </is>
      </c>
      <c r="G512" t="inlineStr">
        <is>
          <t>GÄVLE</t>
        </is>
      </c>
      <c r="I512" t="n">
        <v>9.5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44767</v>
      </c>
      <c r="E513" s="1" t="n">
        <v>46259</v>
      </c>
      <c r="F513" t="inlineStr">
        <is>
          <t>GÄVLEBORGS LÄN</t>
        </is>
      </c>
      <c r="G513" t="inlineStr">
        <is>
          <t>GÄVLE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46259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45630</v>
      </c>
      <c r="E515" s="1" t="n">
        <v>46259</v>
      </c>
      <c r="F515" t="inlineStr">
        <is>
          <t>GÄVLEBORGS LÄN</t>
        </is>
      </c>
      <c r="G515" t="inlineStr">
        <is>
          <t>GÄVLE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45184</v>
      </c>
      <c r="E516" s="1" t="n">
        <v>46259</v>
      </c>
      <c r="F516" t="inlineStr">
        <is>
          <t>GÄVLEBORGS LÄN</t>
        </is>
      </c>
      <c r="G516" t="inlineStr">
        <is>
          <t>GÄVLE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46259</v>
      </c>
      <c r="F517" t="inlineStr">
        <is>
          <t>GÄVLEBORGS LÄN</t>
        </is>
      </c>
      <c r="G517" t="inlineStr">
        <is>
          <t>GÄVLE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20736-2026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46141</v>
      </c>
      <c r="E518" s="1" t="n">
        <v>46259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46259</v>
      </c>
      <c r="F519" t="inlineStr">
        <is>
          <t>GÄVLEBORGS LÄN</t>
        </is>
      </c>
      <c r="G519" t="inlineStr">
        <is>
          <t>GÄVLE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19730-2022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44694</v>
      </c>
      <c r="E520" s="1" t="n">
        <v>46259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46259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46259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46259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60885-2023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46259</v>
      </c>
      <c r="F524" t="inlineStr">
        <is>
          <t>GÄVLEBORGS LÄN</t>
        </is>
      </c>
      <c r="G524" t="inlineStr">
        <is>
          <t>GÄVLE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45312</v>
      </c>
      <c r="E525" s="1" t="n">
        <v>46259</v>
      </c>
      <c r="F525" t="inlineStr">
        <is>
          <t>GÄVLEBORGS LÄN</t>
        </is>
      </c>
      <c r="G525" t="inlineStr">
        <is>
          <t>GÄVLE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58370-2024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45632</v>
      </c>
      <c r="E526" s="1" t="n">
        <v>46259</v>
      </c>
      <c r="F526" t="inlineStr">
        <is>
          <t>GÄVLEBORGS LÄN</t>
        </is>
      </c>
      <c r="G526" t="inlineStr">
        <is>
          <t>GÄVLE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46259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49511-2025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45939</v>
      </c>
      <c r="E528" s="1" t="n">
        <v>46259</v>
      </c>
      <c r="F528" t="inlineStr">
        <is>
          <t>GÄVLEBORGS LÄN</t>
        </is>
      </c>
      <c r="G528" t="inlineStr">
        <is>
          <t>GÄVLE</t>
        </is>
      </c>
      <c r="H528" t="inlineStr">
        <is>
          <t>Kyrkan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20735-2026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46259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45660</v>
      </c>
      <c r="E530" s="1" t="n">
        <v>46259</v>
      </c>
      <c r="F530" t="inlineStr">
        <is>
          <t>GÄVLEBORGS LÄN</t>
        </is>
      </c>
      <c r="G530" t="inlineStr">
        <is>
          <t>GÄVLE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50177-2025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45943</v>
      </c>
      <c r="E531" s="1" t="n">
        <v>46259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46259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50356-2025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46259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29923-2022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44756</v>
      </c>
      <c r="E534" s="1" t="n">
        <v>46259</v>
      </c>
      <c r="F534" t="inlineStr">
        <is>
          <t>GÄVLEBORGS LÄN</t>
        </is>
      </c>
      <c r="G534" t="inlineStr">
        <is>
          <t>GÄVLE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44756</v>
      </c>
      <c r="E535" s="1" t="n">
        <v>46259</v>
      </c>
      <c r="F535" t="inlineStr">
        <is>
          <t>GÄVLEBORGS LÄN</t>
        </is>
      </c>
      <c r="G535" t="inlineStr">
        <is>
          <t>GÄVLE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46259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14801-2023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46259</v>
      </c>
      <c r="F537" t="inlineStr">
        <is>
          <t>GÄVLEBORGS LÄN</t>
        </is>
      </c>
      <c r="G537" t="inlineStr">
        <is>
          <t>GÄVLE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46259</v>
      </c>
      <c r="F538" t="inlineStr">
        <is>
          <t>GÄVLEBORGS LÄN</t>
        </is>
      </c>
      <c r="G538" t="inlineStr">
        <is>
          <t>GÄVLE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61879-2024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45652</v>
      </c>
      <c r="E539" s="1" t="n">
        <v>46259</v>
      </c>
      <c r="F539" t="inlineStr">
        <is>
          <t>GÄVLEBORGS LÄN</t>
        </is>
      </c>
      <c r="G539" t="inlineStr">
        <is>
          <t>GÄVLE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16401-2025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45751</v>
      </c>
      <c r="E540" s="1" t="n">
        <v>46259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64868-2023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45282</v>
      </c>
      <c r="E541" s="1" t="n">
        <v>46259</v>
      </c>
      <c r="F541" t="inlineStr">
        <is>
          <t>GÄVLEBORGS LÄN</t>
        </is>
      </c>
      <c r="G541" t="inlineStr">
        <is>
          <t>GÄVLE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64873-2023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45282</v>
      </c>
      <c r="E542" s="1" t="n">
        <v>46259</v>
      </c>
      <c r="F542" t="inlineStr">
        <is>
          <t>GÄVLEBORGS LÄN</t>
        </is>
      </c>
      <c r="G542" t="inlineStr">
        <is>
          <t>GÄVLE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21033-2026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46146</v>
      </c>
      <c r="E543" s="1" t="n">
        <v>46259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45530</v>
      </c>
      <c r="E544" s="1" t="n">
        <v>46259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16144-2026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46259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21364-2026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46259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46101</v>
      </c>
      <c r="E547" s="1" t="n">
        <v>46259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45817</v>
      </c>
      <c r="E548" s="1" t="n">
        <v>46259</v>
      </c>
      <c r="F548" t="inlineStr">
        <is>
          <t>GÄVLEBORGS LÄN</t>
        </is>
      </c>
      <c r="G548" t="inlineStr">
        <is>
          <t>GÄVLE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46259</v>
      </c>
      <c r="F549" t="inlineStr">
        <is>
          <t>GÄVLEBORGS LÄN</t>
        </is>
      </c>
      <c r="G549" t="inlineStr">
        <is>
          <t>GÄVLE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45401</v>
      </c>
      <c r="E550" s="1" t="n">
        <v>46259</v>
      </c>
      <c r="F550" t="inlineStr">
        <is>
          <t>GÄVLEBORGS LÄN</t>
        </is>
      </c>
      <c r="G550" t="inlineStr">
        <is>
          <t>GÄVLE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46259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46259</v>
      </c>
      <c r="F552" t="inlineStr">
        <is>
          <t>GÄVLEBORGS LÄN</t>
        </is>
      </c>
      <c r="G552" t="inlineStr">
        <is>
          <t>GÄVLE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45089</v>
      </c>
      <c r="E553" s="1" t="n">
        <v>46259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46259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46259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44806-2024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46259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46154</v>
      </c>
      <c r="E557" s="1" t="n">
        <v>46259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45660</v>
      </c>
      <c r="E558" s="1" t="n">
        <v>46259</v>
      </c>
      <c r="F558" t="inlineStr">
        <is>
          <t>GÄVLEBORGS LÄN</t>
        </is>
      </c>
      <c r="G558" t="inlineStr">
        <is>
          <t>GÄVLE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45660</v>
      </c>
      <c r="E559" s="1" t="n">
        <v>46259</v>
      </c>
      <c r="F559" t="inlineStr">
        <is>
          <t>GÄVLEBORGS LÄN</t>
        </is>
      </c>
      <c r="G559" t="inlineStr">
        <is>
          <t>GÄVLE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45176</v>
      </c>
      <c r="E560" s="1" t="n">
        <v>46259</v>
      </c>
      <c r="F560" t="inlineStr">
        <is>
          <t>GÄVLEBORGS LÄN</t>
        </is>
      </c>
      <c r="G560" t="inlineStr">
        <is>
          <t>GÄVLE</t>
        </is>
      </c>
      <c r="I560" t="n">
        <v>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46259</v>
      </c>
      <c r="F561" t="inlineStr">
        <is>
          <t>GÄVLEBORGS LÄN</t>
        </is>
      </c>
      <c r="G561" t="inlineStr">
        <is>
          <t>GÄVLE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47458-2022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44853</v>
      </c>
      <c r="E562" s="1" t="n">
        <v>46259</v>
      </c>
      <c r="F562" t="inlineStr">
        <is>
          <t>GÄVLEBORGS LÄN</t>
        </is>
      </c>
      <c r="G562" t="inlineStr">
        <is>
          <t>GÄVLE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46259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46259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46259</v>
      </c>
      <c r="F565" t="inlineStr">
        <is>
          <t>GÄVLEBORGS LÄN</t>
        </is>
      </c>
      <c r="G565" t="inlineStr">
        <is>
          <t>GÄVLE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44973</v>
      </c>
      <c r="E566" s="1" t="n">
        <v>46259</v>
      </c>
      <c r="F566" t="inlineStr">
        <is>
          <t>GÄVLEBORGS LÄN</t>
        </is>
      </c>
      <c r="G566" t="inlineStr">
        <is>
          <t>GÄVLE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44589</v>
      </c>
      <c r="E567" s="1" t="n">
        <v>46259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46259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33635-2024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45520</v>
      </c>
      <c r="E569" s="1" t="n">
        <v>46259</v>
      </c>
      <c r="F569" t="inlineStr">
        <is>
          <t>GÄVLEBORGS LÄN</t>
        </is>
      </c>
      <c r="G569" t="inlineStr">
        <is>
          <t>GÄVLE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45520</v>
      </c>
      <c r="E570" s="1" t="n">
        <v>46259</v>
      </c>
      <c r="F570" t="inlineStr">
        <is>
          <t>GÄVLEBORGS LÄN</t>
        </is>
      </c>
      <c r="G570" t="inlineStr">
        <is>
          <t>GÄVLE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46259</v>
      </c>
      <c r="F571" t="inlineStr">
        <is>
          <t>GÄVLEBORGS LÄN</t>
        </is>
      </c>
      <c r="G571" t="inlineStr">
        <is>
          <t>GÄVLE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22054-2026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46259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46259</v>
      </c>
      <c r="F573" t="inlineStr">
        <is>
          <t>GÄVLEBORGS LÄN</t>
        </is>
      </c>
      <c r="G573" t="inlineStr">
        <is>
          <t>GÄVLE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46259</v>
      </c>
      <c r="F574" t="inlineStr">
        <is>
          <t>GÄVLEBORGS LÄN</t>
        </is>
      </c>
      <c r="G574" t="inlineStr">
        <is>
          <t>GÄVLE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53138-2024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45611</v>
      </c>
      <c r="E575" s="1" t="n">
        <v>46259</v>
      </c>
      <c r="F575" t="inlineStr">
        <is>
          <t>GÄVLEBORGS LÄN</t>
        </is>
      </c>
      <c r="G575" t="inlineStr">
        <is>
          <t>GÄVLE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46259</v>
      </c>
      <c r="F576" t="inlineStr">
        <is>
          <t>GÄVLEBORGS LÄN</t>
        </is>
      </c>
      <c r="G576" t="inlineStr">
        <is>
          <t>GÄVLE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46259</v>
      </c>
      <c r="F577" t="inlineStr">
        <is>
          <t>GÄVLEBORGS LÄN</t>
        </is>
      </c>
      <c r="G577" t="inlineStr">
        <is>
          <t>GÄVLE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46259</v>
      </c>
      <c r="F578" t="inlineStr">
        <is>
          <t>GÄVLEBORGS LÄN</t>
        </is>
      </c>
      <c r="G578" t="inlineStr">
        <is>
          <t>GÄVLE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46259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46259</v>
      </c>
      <c r="F580" t="inlineStr">
        <is>
          <t>GÄVLEBORGS LÄN</t>
        </is>
      </c>
      <c r="G580" t="inlineStr">
        <is>
          <t>GÄVLE</t>
        </is>
      </c>
      <c r="H580" t="inlineStr">
        <is>
          <t>Kyrkan</t>
        </is>
      </c>
      <c r="I580" t="n">
        <v>10.1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46259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66493-2021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44519</v>
      </c>
      <c r="E582" s="1" t="n">
        <v>46259</v>
      </c>
      <c r="F582" t="inlineStr">
        <is>
          <t>GÄVLEBORGS LÄN</t>
        </is>
      </c>
      <c r="G582" t="inlineStr">
        <is>
          <t>GÄVLE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7060-2022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44603</v>
      </c>
      <c r="E583" s="1" t="n">
        <v>46259</v>
      </c>
      <c r="F583" t="inlineStr">
        <is>
          <t>GÄVLEBORGS LÄN</t>
        </is>
      </c>
      <c r="G583" t="inlineStr">
        <is>
          <t>GÄVLE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44973</v>
      </c>
      <c r="E584" s="1" t="n">
        <v>46259</v>
      </c>
      <c r="F584" t="inlineStr">
        <is>
          <t>GÄVLEBORGS LÄN</t>
        </is>
      </c>
      <c r="G584" t="inlineStr">
        <is>
          <t>GÄVLE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46259</v>
      </c>
      <c r="F585" t="inlineStr">
        <is>
          <t>GÄVLEBORGS LÄN</t>
        </is>
      </c>
      <c r="G585" t="inlineStr">
        <is>
          <t>GÄVLE</t>
        </is>
      </c>
      <c r="H585" t="inlineStr">
        <is>
          <t>Kyrkan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46259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15711-2026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46107</v>
      </c>
      <c r="E587" s="1" t="n">
        <v>46259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46259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46107</v>
      </c>
      <c r="E589" s="1" t="n">
        <v>46259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23117-2026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46259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46259</v>
      </c>
      <c r="F591" t="inlineStr">
        <is>
          <t>GÄVLEBORGS LÄN</t>
        </is>
      </c>
      <c r="G591" t="inlineStr">
        <is>
          <t>GÄVLE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60442-2022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44911</v>
      </c>
      <c r="E592" s="1" t="n">
        <v>46259</v>
      </c>
      <c r="F592" t="inlineStr">
        <is>
          <t>GÄVLEBORGS LÄN</t>
        </is>
      </c>
      <c r="G592" t="inlineStr">
        <is>
          <t>GÄVLE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44735</v>
      </c>
      <c r="E593" s="1" t="n">
        <v>46259</v>
      </c>
      <c r="F593" t="inlineStr">
        <is>
          <t>GÄVLEBORGS LÄN</t>
        </is>
      </c>
      <c r="G593" t="inlineStr">
        <is>
          <t>GÄVLE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44960</v>
      </c>
      <c r="E594" s="1" t="n">
        <v>46259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45312</v>
      </c>
      <c r="E595" s="1" t="n">
        <v>46259</v>
      </c>
      <c r="F595" t="inlineStr">
        <is>
          <t>GÄVLEBORGS LÄN</t>
        </is>
      </c>
      <c r="G595" t="inlineStr">
        <is>
          <t>GÄVLE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51893-2025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45952</v>
      </c>
      <c r="E596" s="1" t="n">
        <v>46259</v>
      </c>
      <c r="F596" t="inlineStr">
        <is>
          <t>GÄVLEBORGS LÄN</t>
        </is>
      </c>
      <c r="G596" t="inlineStr">
        <is>
          <t>GÄVLE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14974-2026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46259</v>
      </c>
      <c r="F597" t="inlineStr">
        <is>
          <t>GÄVLEBORGS LÄN</t>
        </is>
      </c>
      <c r="G597" t="inlineStr">
        <is>
          <t>GÄVLE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46259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44693</v>
      </c>
      <c r="E599" s="1" t="n">
        <v>46259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23591-2026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46163</v>
      </c>
      <c r="E600" s="1" t="n">
        <v>46259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52156-2025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45953</v>
      </c>
      <c r="E601" s="1" t="n">
        <v>46259</v>
      </c>
      <c r="F601" t="inlineStr">
        <is>
          <t>GÄVLEBORGS LÄN</t>
        </is>
      </c>
      <c r="G601" t="inlineStr">
        <is>
          <t>GÄVLE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46259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46259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24090-2026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46259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48247-2025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45933</v>
      </c>
      <c r="E605" s="1" t="n">
        <v>46259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45158</v>
      </c>
      <c r="E606" s="1" t="n">
        <v>46259</v>
      </c>
      <c r="F606" t="inlineStr">
        <is>
          <t>GÄVLEBORGS LÄN</t>
        </is>
      </c>
      <c r="G606" t="inlineStr">
        <is>
          <t>GÄVLE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37538-2023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45158</v>
      </c>
      <c r="E607" s="1" t="n">
        <v>46259</v>
      </c>
      <c r="F607" t="inlineStr">
        <is>
          <t>GÄVLEBORGS LÄN</t>
        </is>
      </c>
      <c r="G607" t="inlineStr">
        <is>
          <t>GÄVLE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14750-2022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44656</v>
      </c>
      <c r="E608" s="1" t="n">
        <v>46259</v>
      </c>
      <c r="F608" t="inlineStr">
        <is>
          <t>GÄVLEBORGS LÄN</t>
        </is>
      </c>
      <c r="G608" t="inlineStr">
        <is>
          <t>GÄVLE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46259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24398-2026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46169</v>
      </c>
      <c r="E610" s="1" t="n">
        <v>46259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46259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53432-2021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44468</v>
      </c>
      <c r="E612" s="1" t="n">
        <v>46259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14735-2024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45397</v>
      </c>
      <c r="E613" s="1" t="n">
        <v>46259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24295-2026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46169</v>
      </c>
      <c r="E614" s="1" t="n">
        <v>46259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24306-2026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46169</v>
      </c>
      <c r="E615" s="1" t="n">
        <v>46259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46169</v>
      </c>
      <c r="E616" s="1" t="n">
        <v>46259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46259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46259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52801-2025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45957</v>
      </c>
      <c r="E619" s="1" t="n">
        <v>46259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19712-2022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44694</v>
      </c>
      <c r="E620" s="1" t="n">
        <v>46259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45957</v>
      </c>
      <c r="E621" s="1" t="n">
        <v>46259</v>
      </c>
      <c r="F621" t="inlineStr">
        <is>
          <t>GÄVLEBORGS LÄN</t>
        </is>
      </c>
      <c r="G621" t="inlineStr">
        <is>
          <t>GÄVLE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14173-2022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44651</v>
      </c>
      <c r="E622" s="1" t="n">
        <v>46259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52970-2025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45957</v>
      </c>
      <c r="E623" s="1" t="n">
        <v>46259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46259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21.4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9307-2022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46259</v>
      </c>
      <c r="F625" t="inlineStr">
        <is>
          <t>GÄVLEBORGS LÄN</t>
        </is>
      </c>
      <c r="G625" t="inlineStr">
        <is>
          <t>GÄVLE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24810-2026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46173</v>
      </c>
      <c r="E626" s="1" t="n">
        <v>46259</v>
      </c>
      <c r="F626" t="inlineStr">
        <is>
          <t>GÄVLEBORGS LÄN</t>
        </is>
      </c>
      <c r="G626" t="inlineStr">
        <is>
          <t>GÄVLE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46170</v>
      </c>
      <c r="E627" s="1" t="n">
        <v>46259</v>
      </c>
      <c r="F627" t="inlineStr">
        <is>
          <t>GÄVLEBORGS LÄN</t>
        </is>
      </c>
      <c r="G627" t="inlineStr">
        <is>
          <t>GÄVLE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53541-2025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45960</v>
      </c>
      <c r="E628" s="1" t="n">
        <v>46259</v>
      </c>
      <c r="F628" t="inlineStr">
        <is>
          <t>GÄVLEBORGS LÄN</t>
        </is>
      </c>
      <c r="G628" t="inlineStr">
        <is>
          <t>GÄVLE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5728-2023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44962</v>
      </c>
      <c r="E629" s="1" t="n">
        <v>46259</v>
      </c>
      <c r="F629" t="inlineStr">
        <is>
          <t>GÄVLEBORGS LÄN</t>
        </is>
      </c>
      <c r="G629" t="inlineStr">
        <is>
          <t>GÄVLE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31234-2026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46217</v>
      </c>
      <c r="E630" s="1" t="n">
        <v>46259</v>
      </c>
      <c r="F630" t="inlineStr">
        <is>
          <t>GÄVLEBORGS LÄN</t>
        </is>
      </c>
      <c r="G630" t="inlineStr">
        <is>
          <t>GÄVLE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10095-2025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45719</v>
      </c>
      <c r="E631" s="1" t="n">
        <v>46259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45422</v>
      </c>
      <c r="E632" s="1" t="n">
        <v>46259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46147</v>
      </c>
      <c r="E633" s="1" t="n">
        <v>46259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54135-2025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45964</v>
      </c>
      <c r="E634" s="1" t="n">
        <v>46259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25500-2026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46259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45719</v>
      </c>
      <c r="E636" s="1" t="n">
        <v>46259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46259</v>
      </c>
      <c r="F637" t="inlineStr">
        <is>
          <t>GÄVLEBORGS LÄN</t>
        </is>
      </c>
      <c r="G637" t="inlineStr">
        <is>
          <t>GÄVLE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54480-2025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45965</v>
      </c>
      <c r="E638" s="1" t="n">
        <v>46259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46177</v>
      </c>
      <c r="E639" s="1" t="n">
        <v>46259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46259</v>
      </c>
      <c r="F640" t="inlineStr">
        <is>
          <t>GÄVLEBORGS LÄN</t>
        </is>
      </c>
      <c r="G640" t="inlineStr">
        <is>
          <t>GÄVLE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46259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44927</v>
      </c>
      <c r="E642" s="1" t="n">
        <v>46259</v>
      </c>
      <c r="F642" t="inlineStr">
        <is>
          <t>GÄVLEBORGS LÄN</t>
        </is>
      </c>
      <c r="G642" t="inlineStr">
        <is>
          <t>GÄVLE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33015-2023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45125</v>
      </c>
      <c r="E643" s="1" t="n">
        <v>46259</v>
      </c>
      <c r="F643" t="inlineStr">
        <is>
          <t>GÄVLEBORGS LÄN</t>
        </is>
      </c>
      <c r="G643" t="inlineStr">
        <is>
          <t>GÄVLE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46259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54768-2025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45966</v>
      </c>
      <c r="E645" s="1" t="n">
        <v>46259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46259</v>
      </c>
      <c r="F646" t="inlineStr">
        <is>
          <t>GÄVLEBORGS LÄN</t>
        </is>
      </c>
      <c r="G646" t="inlineStr">
        <is>
          <t>GÄVLE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64878-2023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45282</v>
      </c>
      <c r="E647" s="1" t="n">
        <v>46259</v>
      </c>
      <c r="F647" t="inlineStr">
        <is>
          <t>GÄVLEBORGS LÄN</t>
        </is>
      </c>
      <c r="G647" t="inlineStr">
        <is>
          <t>GÄVLE</t>
        </is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25384-2026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46176</v>
      </c>
      <c r="E648" s="1" t="n">
        <v>46259</v>
      </c>
      <c r="F648" t="inlineStr">
        <is>
          <t>GÄVLEBORGS LÄN</t>
        </is>
      </c>
      <c r="G648" t="inlineStr">
        <is>
          <t>GÄVLE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54599-2025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45965</v>
      </c>
      <c r="E649" s="1" t="n">
        <v>46259</v>
      </c>
      <c r="F649" t="inlineStr">
        <is>
          <t>GÄVLEBORGS LÄN</t>
        </is>
      </c>
      <c r="G649" t="inlineStr">
        <is>
          <t>GÄVLE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46259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31566-2026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46223</v>
      </c>
      <c r="E651" s="1" t="n">
        <v>46259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10.2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46259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9235-2022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44616</v>
      </c>
      <c r="E653" s="1" t="n">
        <v>46259</v>
      </c>
      <c r="F653" t="inlineStr">
        <is>
          <t>GÄVLEBORGS LÄN</t>
        </is>
      </c>
      <c r="G653" t="inlineStr">
        <is>
          <t>GÄVLE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54958-2025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45967</v>
      </c>
      <c r="E654" s="1" t="n">
        <v>46259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54960-2025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45967</v>
      </c>
      <c r="E655" s="1" t="n">
        <v>46259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54966-2025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45967</v>
      </c>
      <c r="E656" s="1" t="n">
        <v>46259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55221-2025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45968</v>
      </c>
      <c r="E657" s="1" t="n">
        <v>46259</v>
      </c>
      <c r="F657" t="inlineStr">
        <is>
          <t>GÄVLEBORGS LÄN</t>
        </is>
      </c>
      <c r="G657" t="inlineStr">
        <is>
          <t>GÄVLE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54959-2025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45967</v>
      </c>
      <c r="E658" s="1" t="n">
        <v>46259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25829-2026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46178</v>
      </c>
      <c r="E659" s="1" t="n">
        <v>46259</v>
      </c>
      <c r="F659" t="inlineStr">
        <is>
          <t>GÄVLEBORGS LÄN</t>
        </is>
      </c>
      <c r="G659" t="inlineStr">
        <is>
          <t>GÄVLE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35445-2023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45146</v>
      </c>
      <c r="E660" s="1" t="n">
        <v>46259</v>
      </c>
      <c r="F660" t="inlineStr">
        <is>
          <t>GÄVLEBORGS LÄN</t>
        </is>
      </c>
      <c r="G660" t="inlineStr">
        <is>
          <t>GÄVLE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52495-2021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44466</v>
      </c>
      <c r="E661" s="1" t="n">
        <v>46259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46220</v>
      </c>
      <c r="E662" s="1" t="n">
        <v>46259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11.4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17088-2023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45034</v>
      </c>
      <c r="E663" s="1" t="n">
        <v>46259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55432-2025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45971</v>
      </c>
      <c r="E664" s="1" t="n">
        <v>46259</v>
      </c>
      <c r="F664" t="inlineStr">
        <is>
          <t>GÄVLEBORGS LÄN</t>
        </is>
      </c>
      <c r="G664" t="inlineStr">
        <is>
          <t>GÄVLE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26016-2026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46259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46259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46259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46259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46259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32255-2023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45120</v>
      </c>
      <c r="E670" s="1" t="n">
        <v>46259</v>
      </c>
      <c r="F670" t="inlineStr">
        <is>
          <t>GÄVLEBORGS LÄN</t>
        </is>
      </c>
      <c r="G670" t="inlineStr">
        <is>
          <t>GÄVLE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56268-2025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45974</v>
      </c>
      <c r="E671" s="1" t="n">
        <v>46259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46259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45974</v>
      </c>
      <c r="E673" s="1" t="n">
        <v>46259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56123-2025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45973</v>
      </c>
      <c r="E674" s="1" t="n">
        <v>46259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10.5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44942</v>
      </c>
      <c r="E675" s="1" t="n">
        <v>46259</v>
      </c>
      <c r="F675" t="inlineStr">
        <is>
          <t>GÄVLEBORGS LÄN</t>
        </is>
      </c>
      <c r="G675" t="inlineStr">
        <is>
          <t>GÄVLE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45974</v>
      </c>
      <c r="E676" s="1" t="n">
        <v>46259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46183</v>
      </c>
      <c r="E677" s="1" t="n">
        <v>46259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56121-2025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45973</v>
      </c>
      <c r="E678" s="1" t="n">
        <v>46259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56267-2025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45974</v>
      </c>
      <c r="E679" s="1" t="n">
        <v>46259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56272-2025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45974</v>
      </c>
      <c r="E680" s="1" t="n">
        <v>46259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56273-2025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46259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56120-2025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45973</v>
      </c>
      <c r="E682" s="1" t="n">
        <v>46259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56122-2025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45973</v>
      </c>
      <c r="E683" s="1" t="n">
        <v>46259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46259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46259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46259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46259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27053-2026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46259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27060-2026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46259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46259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46259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46259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46259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46259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46259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26658-2026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46259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56774-2025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46259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56776-2025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46259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46259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46259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56773-2025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45978</v>
      </c>
      <c r="E702" s="1" t="n">
        <v>46259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26942-2026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46259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26991-2026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46259</v>
      </c>
      <c r="F704" t="inlineStr">
        <is>
          <t>GÄVLEBORGS LÄN</t>
        </is>
      </c>
      <c r="G704" t="inlineStr">
        <is>
          <t>GÄVLE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27068-2026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46259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46259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46259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46259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46259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45162</v>
      </c>
      <c r="E710" s="1" t="n">
        <v>46259</v>
      </c>
      <c r="F710" t="inlineStr">
        <is>
          <t>GÄVLEBORGS LÄN</t>
        </is>
      </c>
      <c r="G710" t="inlineStr">
        <is>
          <t>GÄVLE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46259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46259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52250-2024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45608</v>
      </c>
      <c r="E713" s="1" t="n">
        <v>46259</v>
      </c>
      <c r="F713" t="inlineStr">
        <is>
          <t>GÄVLEBORGS LÄN</t>
        </is>
      </c>
      <c r="G713" t="inlineStr">
        <is>
          <t>GÄVLE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58542-2025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46259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7748-2025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45706</v>
      </c>
      <c r="E715" s="1" t="n">
        <v>46259</v>
      </c>
      <c r="F715" t="inlineStr">
        <is>
          <t>GÄVLEBORGS LÄN</t>
        </is>
      </c>
      <c r="G715" t="inlineStr">
        <is>
          <t>GÄVLE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44951</v>
      </c>
      <c r="E716" s="1" t="n">
        <v>46259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45448-2025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45922</v>
      </c>
      <c r="E717" s="1" t="n">
        <v>46259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43742-2025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45912</v>
      </c>
      <c r="E718" s="1" t="n">
        <v>46259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43774-2025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45912</v>
      </c>
      <c r="E719" s="1" t="n">
        <v>46259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45469-2025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45922</v>
      </c>
      <c r="E720" s="1" t="n">
        <v>46259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45548-2025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45922</v>
      </c>
      <c r="E721" s="1" t="n">
        <v>46259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46259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45922</v>
      </c>
      <c r="E723" s="1" t="n">
        <v>46259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8.199999999999999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45546-2025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45922</v>
      </c>
      <c r="E724" s="1" t="n">
        <v>46259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43771-2025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45912</v>
      </c>
      <c r="E725" s="1" t="n">
        <v>46259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7.3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43780-2025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45912</v>
      </c>
      <c r="E726" s="1" t="n">
        <v>46259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45415-2025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45922</v>
      </c>
      <c r="E727" s="1" t="n">
        <v>46259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45438-2025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45922</v>
      </c>
      <c r="E728" s="1" t="n">
        <v>46259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19164-2026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46132</v>
      </c>
      <c r="E729" s="1" t="n">
        <v>46259</v>
      </c>
      <c r="F729" t="inlineStr">
        <is>
          <t>GÄVLEBORGS LÄN</t>
        </is>
      </c>
      <c r="G729" t="inlineStr">
        <is>
          <t>GÄVLE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58925-2025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45987</v>
      </c>
      <c r="E730" s="1" t="n">
        <v>46259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45456-2025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45922</v>
      </c>
      <c r="E731" s="1" t="n">
        <v>46259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43764-2025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45912</v>
      </c>
      <c r="E732" s="1" t="n">
        <v>46259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45410-2025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45922</v>
      </c>
      <c r="E733" s="1" t="n">
        <v>46259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45442-2025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45922</v>
      </c>
      <c r="E734" s="1" t="n">
        <v>46259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26129-2024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45468</v>
      </c>
      <c r="E735" s="1" t="n">
        <v>46259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9.9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45992</v>
      </c>
      <c r="E736" s="1" t="n">
        <v>46259</v>
      </c>
      <c r="F736" t="inlineStr">
        <is>
          <t>GÄVLEBORGS LÄN</t>
        </is>
      </c>
      <c r="G736" t="inlineStr">
        <is>
          <t>GÄVLE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46259</v>
      </c>
      <c r="F737" t="inlineStr">
        <is>
          <t>GÄVLEBORGS LÄN</t>
        </is>
      </c>
      <c r="G737" t="inlineStr">
        <is>
          <t>GÄVLE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45278-2022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44840</v>
      </c>
      <c r="E738" s="1" t="n">
        <v>46259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väst AB</t>
        </is>
      </c>
      <c r="I738" t="n">
        <v>8.5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24720-2023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45084</v>
      </c>
      <c r="E739" s="1" t="n">
        <v>46259</v>
      </c>
      <c r="F739" t="inlineStr">
        <is>
          <t>GÄVLEBORGS LÄN</t>
        </is>
      </c>
      <c r="G739" t="inlineStr">
        <is>
          <t>GÄVLE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59627-2025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45992</v>
      </c>
      <c r="E740" s="1" t="n">
        <v>46259</v>
      </c>
      <c r="F740" t="inlineStr">
        <is>
          <t>GÄVLEBORGS LÄN</t>
        </is>
      </c>
      <c r="G740" t="inlineStr">
        <is>
          <t>GÄVLE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46259</v>
      </c>
      <c r="F741" t="inlineStr">
        <is>
          <t>GÄVLEBORGS LÄN</t>
        </is>
      </c>
      <c r="G741" t="inlineStr">
        <is>
          <t>GÄVLE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71215-2021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44539</v>
      </c>
      <c r="E742" s="1" t="n">
        <v>46259</v>
      </c>
      <c r="F742" t="inlineStr">
        <is>
          <t>GÄVLEBORGS LÄN</t>
        </is>
      </c>
      <c r="G742" t="inlineStr">
        <is>
          <t>GÄVLE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60105-2025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45994</v>
      </c>
      <c r="E743" s="1" t="n">
        <v>46259</v>
      </c>
      <c r="F743" t="inlineStr">
        <is>
          <t>GÄVLEBORGS LÄN</t>
        </is>
      </c>
      <c r="G743" t="inlineStr">
        <is>
          <t>GÄVLE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60536-2025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45995</v>
      </c>
      <c r="E744" s="1" t="n">
        <v>46259</v>
      </c>
      <c r="F744" t="inlineStr">
        <is>
          <t>GÄVLEBORGS LÄN</t>
        </is>
      </c>
      <c r="G744" t="inlineStr">
        <is>
          <t>GÄVLE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46031</v>
      </c>
      <c r="E745" s="1" t="n">
        <v>46259</v>
      </c>
      <c r="F745" t="inlineStr">
        <is>
          <t>GÄVLEBORGS LÄN</t>
        </is>
      </c>
      <c r="G745" t="inlineStr">
        <is>
          <t>GÄVLE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60532-2025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45995</v>
      </c>
      <c r="E746" s="1" t="n">
        <v>46259</v>
      </c>
      <c r="F746" t="inlineStr">
        <is>
          <t>GÄVLEBORGS LÄN</t>
        </is>
      </c>
      <c r="G746" t="inlineStr">
        <is>
          <t>GÄVLE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55217-2025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45968</v>
      </c>
      <c r="E747" s="1" t="n">
        <v>46259</v>
      </c>
      <c r="F747" t="inlineStr">
        <is>
          <t>GÄVLEBORGS LÄN</t>
        </is>
      </c>
      <c r="G747" t="inlineStr">
        <is>
          <t>GÄVLE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60364-2025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45995</v>
      </c>
      <c r="E748" s="1" t="n">
        <v>46259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60922-2025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45999</v>
      </c>
      <c r="E749" s="1" t="n">
        <v>46259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61093-2025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46000</v>
      </c>
      <c r="E750" s="1" t="n">
        <v>46259</v>
      </c>
      <c r="F750" t="inlineStr">
        <is>
          <t>GÄVLEBORGS LÄN</t>
        </is>
      </c>
      <c r="G750" t="inlineStr">
        <is>
          <t>GÄVLE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56138-2023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46259</v>
      </c>
      <c r="F751" t="inlineStr">
        <is>
          <t>GÄVLEBORGS LÄN</t>
        </is>
      </c>
      <c r="G751" t="inlineStr">
        <is>
          <t>GÄVLE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25768-2022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44733</v>
      </c>
      <c r="E752" s="1" t="n">
        <v>46259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46259</v>
      </c>
      <c r="F753" t="inlineStr">
        <is>
          <t>GÄVLEBORGS LÄN</t>
        </is>
      </c>
      <c r="G753" t="inlineStr">
        <is>
          <t>GÄVLE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61651-2025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46259</v>
      </c>
      <c r="F754" t="inlineStr">
        <is>
          <t>GÄVLEBORGS LÄN</t>
        </is>
      </c>
      <c r="G754" t="inlineStr">
        <is>
          <t>GÄVLE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50582-2023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45217</v>
      </c>
      <c r="E755" s="1" t="n">
        <v>46259</v>
      </c>
      <c r="F755" t="inlineStr">
        <is>
          <t>GÄVLEBORGS LÄN</t>
        </is>
      </c>
      <c r="G755" t="inlineStr">
        <is>
          <t>GÄVLE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48834-2024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45593</v>
      </c>
      <c r="E756" s="1" t="n">
        <v>46259</v>
      </c>
      <c r="F756" t="inlineStr">
        <is>
          <t>GÄVLEBORGS LÄN</t>
        </is>
      </c>
      <c r="G756" t="inlineStr">
        <is>
          <t>GÄVLE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46195</v>
      </c>
      <c r="E757" s="1" t="n">
        <v>46259</v>
      </c>
      <c r="F757" t="inlineStr">
        <is>
          <t>GÄVLEBORGS LÄN</t>
        </is>
      </c>
      <c r="G757" t="inlineStr">
        <is>
          <t>GÄVLE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58192-2024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45632</v>
      </c>
      <c r="E758" s="1" t="n">
        <v>46259</v>
      </c>
      <c r="F758" t="inlineStr">
        <is>
          <t>GÄVLEBORGS LÄN</t>
        </is>
      </c>
      <c r="G758" t="inlineStr">
        <is>
          <t>GÄVLE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61650-2025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46002</v>
      </c>
      <c r="E759" s="1" t="n">
        <v>46259</v>
      </c>
      <c r="F759" t="inlineStr">
        <is>
          <t>GÄVLEBORGS LÄN</t>
        </is>
      </c>
      <c r="G759" t="inlineStr">
        <is>
          <t>GÄVLE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42876-2023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45182</v>
      </c>
      <c r="E760" s="1" t="n">
        <v>46259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22.7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29494-2026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46198</v>
      </c>
      <c r="E761" s="1" t="n">
        <v>46259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61449-2025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46001</v>
      </c>
      <c r="E762" s="1" t="n">
        <v>46259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9.300000000000001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61880-2025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46003</v>
      </c>
      <c r="E763" s="1" t="n">
        <v>46259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62226-2025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46006</v>
      </c>
      <c r="E764" s="1" t="n">
        <v>46259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29506-2026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46259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52.7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46239</v>
      </c>
      <c r="E766" s="1" t="n">
        <v>46259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61879-2025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46003</v>
      </c>
      <c r="E767" s="1" t="n">
        <v>46259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46259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46197</v>
      </c>
      <c r="E769" s="1" t="n">
        <v>46259</v>
      </c>
      <c r="F769" t="inlineStr">
        <is>
          <t>GÄVLEBORGS LÄN</t>
        </is>
      </c>
      <c r="G769" t="inlineStr">
        <is>
          <t>GÄVLE</t>
        </is>
      </c>
      <c r="H769" t="inlineStr">
        <is>
          <t>BillerudKorsnäs AB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46196</v>
      </c>
      <c r="E770" s="1" t="n">
        <v>46259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46196</v>
      </c>
      <c r="E771" s="1" t="n">
        <v>46259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62742-2025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46008</v>
      </c>
      <c r="E772" s="1" t="n">
        <v>46259</v>
      </c>
      <c r="F772" t="inlineStr">
        <is>
          <t>GÄVLEBORGS LÄN</t>
        </is>
      </c>
      <c r="G772" t="inlineStr">
        <is>
          <t>GÄVLE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46160</v>
      </c>
      <c r="E773" s="1" t="n">
        <v>46259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46196</v>
      </c>
      <c r="E774" s="1" t="n">
        <v>46259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46239</v>
      </c>
      <c r="E775" s="1" t="n">
        <v>46259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61786-2024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45649</v>
      </c>
      <c r="E776" s="1" t="n">
        <v>46259</v>
      </c>
      <c r="F776" t="inlineStr">
        <is>
          <t>GÄVLEBORGS LÄN</t>
        </is>
      </c>
      <c r="G776" t="inlineStr">
        <is>
          <t>GÄVLE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61300-2024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45645</v>
      </c>
      <c r="E777" s="1" t="n">
        <v>46259</v>
      </c>
      <c r="F777" t="inlineStr">
        <is>
          <t>GÄVLEBORGS LÄN</t>
        </is>
      </c>
      <c r="G777" t="inlineStr">
        <is>
          <t>GÄVLE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32888-2026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46259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46259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46259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28657-2026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46198</v>
      </c>
      <c r="E781" s="1" t="n">
        <v>46259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28658-2026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46198</v>
      </c>
      <c r="E782" s="1" t="n">
        <v>46259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39509-2022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44818</v>
      </c>
      <c r="E783" s="1" t="n">
        <v>46259</v>
      </c>
      <c r="F783" t="inlineStr">
        <is>
          <t>GÄVLEBORGS LÄN</t>
        </is>
      </c>
      <c r="G783" t="inlineStr">
        <is>
          <t>GÄVLE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32890-2026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46259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28656-2026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46259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28659-2026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46259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63801-2025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46019</v>
      </c>
      <c r="E787" s="1" t="n">
        <v>46259</v>
      </c>
      <c r="F787" t="inlineStr">
        <is>
          <t>GÄVLEBORGS LÄN</t>
        </is>
      </c>
      <c r="G787" t="inlineStr">
        <is>
          <t>GÄVLE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54953-2025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45967</v>
      </c>
      <c r="E788" s="1" t="n">
        <v>46259</v>
      </c>
      <c r="F788" t="inlineStr">
        <is>
          <t>GÄVLEBORGS LÄN</t>
        </is>
      </c>
      <c r="G788" t="inlineStr">
        <is>
          <t>GÄVLE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47694-2025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45931</v>
      </c>
      <c r="E789" s="1" t="n">
        <v>46259</v>
      </c>
      <c r="F789" t="inlineStr">
        <is>
          <t>GÄVLEBORGS LÄN</t>
        </is>
      </c>
      <c r="G789" t="inlineStr">
        <is>
          <t>GÄVLE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45168</v>
      </c>
      <c r="E790" s="1" t="n">
        <v>46259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32887-2026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46244</v>
      </c>
      <c r="E791" s="1" t="n">
        <v>46259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29333-2026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46202</v>
      </c>
      <c r="E792" s="1" t="n">
        <v>46259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48864-2025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45937</v>
      </c>
      <c r="E793" s="1" t="n">
        <v>46259</v>
      </c>
      <c r="F793" t="inlineStr">
        <is>
          <t>GÄVLEBORGS LÄN</t>
        </is>
      </c>
      <c r="G793" t="inlineStr">
        <is>
          <t>GÄVLE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35450-2025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45855</v>
      </c>
      <c r="E794" s="1" t="n">
        <v>46259</v>
      </c>
      <c r="F794" t="inlineStr">
        <is>
          <t>GÄVLEBORGS LÄN</t>
        </is>
      </c>
      <c r="G794" t="inlineStr">
        <is>
          <t>GÄVLE</t>
        </is>
      </c>
      <c r="I794" t="n">
        <v>8.199999999999999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63800-2025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46019</v>
      </c>
      <c r="E795" s="1" t="n">
        <v>46259</v>
      </c>
      <c r="F795" t="inlineStr">
        <is>
          <t>GÄVLEBORGS LÄN</t>
        </is>
      </c>
      <c r="G795" t="inlineStr">
        <is>
          <t>GÄVLE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42788-2025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46259</v>
      </c>
      <c r="F796" t="inlineStr">
        <is>
          <t>GÄVLEBORGS LÄN</t>
        </is>
      </c>
      <c r="G796" t="inlineStr">
        <is>
          <t>GÄVLE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47942-2025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46259</v>
      </c>
      <c r="F797" t="inlineStr">
        <is>
          <t>GÄVLEBORGS LÄN</t>
        </is>
      </c>
      <c r="G797" t="inlineStr">
        <is>
          <t>GÄVLE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47981-2025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45932</v>
      </c>
      <c r="E798" s="1" t="n">
        <v>46259</v>
      </c>
      <c r="F798" t="inlineStr">
        <is>
          <t>GÄVLEBORGS LÄN</t>
        </is>
      </c>
      <c r="G798" t="inlineStr">
        <is>
          <t>GÄVLE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48928-2025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45937</v>
      </c>
      <c r="E799" s="1" t="n">
        <v>46259</v>
      </c>
      <c r="F799" t="inlineStr">
        <is>
          <t>GÄVLEBORGS LÄN</t>
        </is>
      </c>
      <c r="G799" t="inlineStr">
        <is>
          <t>GÄVLE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42692-2025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45908</v>
      </c>
      <c r="E800" s="1" t="n">
        <v>46259</v>
      </c>
      <c r="F800" t="inlineStr">
        <is>
          <t>GÄVLEBORGS LÄN</t>
        </is>
      </c>
      <c r="G800" t="inlineStr">
        <is>
          <t>GÄVLE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46259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64142-2025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46022</v>
      </c>
      <c r="E802" s="1" t="n">
        <v>46259</v>
      </c>
      <c r="F802" t="inlineStr">
        <is>
          <t>GÄVLEBORGS LÄN</t>
        </is>
      </c>
      <c r="G802" t="inlineStr">
        <is>
          <t>GÄVLE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45699</v>
      </c>
      <c r="E803" s="1" t="n">
        <v>46259</v>
      </c>
      <c r="F803" t="inlineStr">
        <is>
          <t>GÄVLEBORGS LÄN</t>
        </is>
      </c>
      <c r="G803" t="inlineStr">
        <is>
          <t>GÄVLE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47916-2025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45932</v>
      </c>
      <c r="E804" s="1" t="n">
        <v>46259</v>
      </c>
      <c r="F804" t="inlineStr">
        <is>
          <t>GÄVLEBORGS LÄN</t>
        </is>
      </c>
      <c r="G804" t="inlineStr">
        <is>
          <t>GÄVLE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33231-2026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46246</v>
      </c>
      <c r="E805" s="1" t="n">
        <v>46259</v>
      </c>
      <c r="F805" t="inlineStr">
        <is>
          <t>GÄVLEBORGS LÄN</t>
        </is>
      </c>
      <c r="G805" t="inlineStr">
        <is>
          <t>GÄVLE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33350-2026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46246</v>
      </c>
      <c r="E806" s="1" t="n">
        <v>46259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46259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33348-2026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46246</v>
      </c>
      <c r="E808" s="1" t="n">
        <v>46259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15935-2025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45749</v>
      </c>
      <c r="E809" s="1" t="n">
        <v>46259</v>
      </c>
      <c r="F809" t="inlineStr">
        <is>
          <t>GÄVLEBORGS LÄN</t>
        </is>
      </c>
      <c r="G809" t="inlineStr">
        <is>
          <t>GÄVLE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46259</v>
      </c>
      <c r="F810" t="inlineStr">
        <is>
          <t>GÄVLEBORGS LÄN</t>
        </is>
      </c>
      <c r="G810" t="inlineStr">
        <is>
          <t>GÄVLE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46203</v>
      </c>
      <c r="E811" s="1" t="n">
        <v>46259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29929-2022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44756</v>
      </c>
      <c r="E812" s="1" t="n">
        <v>46259</v>
      </c>
      <c r="F812" t="inlineStr">
        <is>
          <t>GÄVLEBORGS LÄN</t>
        </is>
      </c>
      <c r="G812" t="inlineStr">
        <is>
          <t>GÄVLE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33349-2026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46259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33347-2026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46259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46259</v>
      </c>
      <c r="F815" t="inlineStr">
        <is>
          <t>GÄVLEBORGS LÄN</t>
        </is>
      </c>
      <c r="G815" t="inlineStr">
        <is>
          <t>GÄVLE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33662-2026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46248</v>
      </c>
      <c r="E816" s="1" t="n">
        <v>46259</v>
      </c>
      <c r="F816" t="inlineStr">
        <is>
          <t>GÄVLEBORGS LÄN</t>
        </is>
      </c>
      <c r="G816" t="inlineStr">
        <is>
          <t>GÄVLE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33586-2026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46248</v>
      </c>
      <c r="E817" s="1" t="n">
        <v>46259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10352-2025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45720</v>
      </c>
      <c r="E818" s="1" t="n">
        <v>46259</v>
      </c>
      <c r="F818" t="inlineStr">
        <is>
          <t>GÄVLEBORGS LÄN</t>
        </is>
      </c>
      <c r="G818" t="inlineStr">
        <is>
          <t>GÄVLE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46259</v>
      </c>
      <c r="F819" t="inlineStr">
        <is>
          <t>GÄVLEBORGS LÄN</t>
        </is>
      </c>
      <c r="G819" t="inlineStr">
        <is>
          <t>GÄVLE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46034</v>
      </c>
      <c r="E820" s="1" t="n">
        <v>46259</v>
      </c>
      <c r="F820" t="inlineStr">
        <is>
          <t>GÄVLEBORGS LÄN</t>
        </is>
      </c>
      <c r="G820" t="inlineStr">
        <is>
          <t>GÄVLE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61878-2025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46003</v>
      </c>
      <c r="E821" s="1" t="n">
        <v>46259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31019-2026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46206</v>
      </c>
      <c r="E822" s="1" t="n">
        <v>46259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46041</v>
      </c>
      <c r="E823" s="1" t="n">
        <v>46259</v>
      </c>
      <c r="F823" t="inlineStr">
        <is>
          <t>GÄVLEBORGS LÄN</t>
        </is>
      </c>
      <c r="G823" t="inlineStr">
        <is>
          <t>GÄVLE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33585-2026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46248</v>
      </c>
      <c r="E824" s="1" t="n">
        <v>46259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4444-2026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46045</v>
      </c>
      <c r="E825" s="1" t="n">
        <v>46259</v>
      </c>
      <c r="F825" t="inlineStr">
        <is>
          <t>GÄVLEBORGS LÄN</t>
        </is>
      </c>
      <c r="G825" t="inlineStr">
        <is>
          <t>GÄVLE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58445-2021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44488</v>
      </c>
      <c r="E826" s="1" t="n">
        <v>46259</v>
      </c>
      <c r="F826" t="inlineStr">
        <is>
          <t>GÄVLEBORGS LÄN</t>
        </is>
      </c>
      <c r="G826" t="inlineStr">
        <is>
          <t>GÄVLE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46045</v>
      </c>
      <c r="E827" s="1" t="n">
        <v>46259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33664-2026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46248</v>
      </c>
      <c r="E828" s="1" t="n">
        <v>46259</v>
      </c>
      <c r="F828" t="inlineStr">
        <is>
          <t>GÄVLEBORGS LÄN</t>
        </is>
      </c>
      <c r="G828" t="inlineStr">
        <is>
          <t>GÄVLE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35206-2024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45530</v>
      </c>
      <c r="E829" s="1" t="n">
        <v>46259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46045</v>
      </c>
      <c r="E830" s="1" t="n">
        <v>46259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61918-2023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45266</v>
      </c>
      <c r="E831" s="1" t="n">
        <v>46259</v>
      </c>
      <c r="F831" t="inlineStr">
        <is>
          <t>GÄVLEBORGS LÄN</t>
        </is>
      </c>
      <c r="G831" t="inlineStr">
        <is>
          <t>GÄVLE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51758-2025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45950</v>
      </c>
      <c r="E832" s="1" t="n">
        <v>46259</v>
      </c>
      <c r="F832" t="inlineStr">
        <is>
          <t>GÄVLEBORGS LÄN</t>
        </is>
      </c>
      <c r="G832" t="inlineStr">
        <is>
          <t>GÄVLE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45312</v>
      </c>
      <c r="E833" s="1" t="n">
        <v>46259</v>
      </c>
      <c r="F833" t="inlineStr">
        <is>
          <t>GÄVLEBORGS LÄN</t>
        </is>
      </c>
      <c r="G833" t="inlineStr">
        <is>
          <t>GÄVLE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21300-2024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46259</v>
      </c>
      <c r="F834" t="inlineStr">
        <is>
          <t>GÄVLEBORGS LÄN</t>
        </is>
      </c>
      <c r="G834" t="inlineStr">
        <is>
          <t>GÄVLE</t>
        </is>
      </c>
      <c r="I834" t="n">
        <v>8.6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61843-2023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45266</v>
      </c>
      <c r="E835" s="1" t="n">
        <v>46259</v>
      </c>
      <c r="F835" t="inlineStr">
        <is>
          <t>GÄVLEBORGS LÄN</t>
        </is>
      </c>
      <c r="G835" t="inlineStr">
        <is>
          <t>GÄVLE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45660</v>
      </c>
      <c r="E836" s="1" t="n">
        <v>46259</v>
      </c>
      <c r="F836" t="inlineStr">
        <is>
          <t>GÄVLEBORGS LÄN</t>
        </is>
      </c>
      <c r="G836" t="inlineStr">
        <is>
          <t>GÄVLE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15456-2026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46259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49401-2024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45595</v>
      </c>
      <c r="E838" s="1" t="n">
        <v>46259</v>
      </c>
      <c r="F838" t="inlineStr">
        <is>
          <t>GÄVLEBORGS LÄN</t>
        </is>
      </c>
      <c r="G838" t="inlineStr">
        <is>
          <t>GÄVLE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45938-2024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45580</v>
      </c>
      <c r="E839" s="1" t="n">
        <v>46259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24367-2026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46169</v>
      </c>
      <c r="E840" s="1" t="n">
        <v>46259</v>
      </c>
      <c r="F840" t="inlineStr">
        <is>
          <t>GÄVLEBORGS LÄN</t>
        </is>
      </c>
      <c r="G840" t="inlineStr">
        <is>
          <t>GÄVLE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22363-2026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46154</v>
      </c>
      <c r="E841" s="1" t="n">
        <v>46259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33719-2026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46251</v>
      </c>
      <c r="E842" s="1" t="n">
        <v>46259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20621-2025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45776</v>
      </c>
      <c r="E843" s="1" t="n">
        <v>46259</v>
      </c>
      <c r="F843" t="inlineStr">
        <is>
          <t>GÄVLEBORGS LÄN</t>
        </is>
      </c>
      <c r="G843" t="inlineStr">
        <is>
          <t>GÄVLE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46052</v>
      </c>
      <c r="E844" s="1" t="n">
        <v>46259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46207</v>
      </c>
      <c r="E845" s="1" t="n">
        <v>46259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21431-2025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45782</v>
      </c>
      <c r="E846" s="1" t="n">
        <v>46259</v>
      </c>
      <c r="F846" t="inlineStr">
        <is>
          <t>GÄVLEBORGS LÄN</t>
        </is>
      </c>
      <c r="G846" t="inlineStr">
        <is>
          <t>GÄVLE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34033-2026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46252</v>
      </c>
      <c r="E847" s="1" t="n">
        <v>46259</v>
      </c>
      <c r="F847" t="inlineStr">
        <is>
          <t>GÄVLEBORGS LÄN</t>
        </is>
      </c>
      <c r="G847" t="inlineStr">
        <is>
          <t>GÄVLE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6046-2026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46052</v>
      </c>
      <c r="E848" s="1" t="n">
        <v>46259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59044-2023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45252</v>
      </c>
      <c r="E849" s="1" t="n">
        <v>46259</v>
      </c>
      <c r="F849" t="inlineStr">
        <is>
          <t>GÄVLEBORGS LÄN</t>
        </is>
      </c>
      <c r="G849" t="inlineStr">
        <is>
          <t>GÄVLE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30600-2026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46210</v>
      </c>
      <c r="E850" s="1" t="n">
        <v>46259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5722-2026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46051</v>
      </c>
      <c r="E851" s="1" t="n">
        <v>46259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34432-2026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46254</v>
      </c>
      <c r="E852" s="1" t="n">
        <v>46259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7451-2025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45705</v>
      </c>
      <c r="E853" s="1" t="n">
        <v>46259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7202-2025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45702</v>
      </c>
      <c r="E854" s="1" t="n">
        <v>46259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6055-2026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46052</v>
      </c>
      <c r="E855" s="1" t="n">
        <v>46259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30601-2026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46210</v>
      </c>
      <c r="E856" s="1" t="n">
        <v>46259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45322</v>
      </c>
      <c r="E857" s="1" t="n">
        <v>46259</v>
      </c>
      <c r="F857" t="inlineStr">
        <is>
          <t>GÄVLEBORGS LÄN</t>
        </is>
      </c>
      <c r="G857" t="inlineStr">
        <is>
          <t>GÄVLE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46254</v>
      </c>
      <c r="E858" s="1" t="n">
        <v>46259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30951-2026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46213</v>
      </c>
      <c r="E859" s="1" t="n">
        <v>46259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30967-2026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46213</v>
      </c>
      <c r="E860" s="1" t="n">
        <v>46259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30948-2026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46213</v>
      </c>
      <c r="E861" s="1" t="n">
        <v>46259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34590-2026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46255</v>
      </c>
      <c r="E862" s="1" t="n">
        <v>46259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46255</v>
      </c>
      <c r="E863" s="1" t="n">
        <v>46259</v>
      </c>
      <c r="F863" t="inlineStr">
        <is>
          <t>GÄVLEBORGS LÄN</t>
        </is>
      </c>
      <c r="G863" t="inlineStr">
        <is>
          <t>GÄVLE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34591-2026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46255</v>
      </c>
      <c r="E864" s="1" t="n">
        <v>46259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22923-2025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45790</v>
      </c>
      <c r="E865" s="1" t="n">
        <v>46259</v>
      </c>
      <c r="F865" t="inlineStr">
        <is>
          <t>GÄVLEBORGS LÄN</t>
        </is>
      </c>
      <c r="G865" t="inlineStr">
        <is>
          <t>GÄVLE</t>
        </is>
      </c>
      <c r="I865" t="n">
        <v>20.8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6683-2026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46056</v>
      </c>
      <c r="E866" s="1" t="n">
        <v>46259</v>
      </c>
      <c r="F866" t="inlineStr">
        <is>
          <t>GÄVLEBORGS LÄN</t>
        </is>
      </c>
      <c r="G866" t="inlineStr">
        <is>
          <t>GÄVLE</t>
        </is>
      </c>
      <c r="I866" t="n">
        <v>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22879-2025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45790</v>
      </c>
      <c r="E867" s="1" t="n">
        <v>46259</v>
      </c>
      <c r="F867" t="inlineStr">
        <is>
          <t>GÄVLEBORGS LÄN</t>
        </is>
      </c>
      <c r="G867" t="inlineStr">
        <is>
          <t>GÄVLE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45660</v>
      </c>
      <c r="E868" s="1" t="n">
        <v>46259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23324-2025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45791</v>
      </c>
      <c r="E869" s="1" t="n">
        <v>46259</v>
      </c>
      <c r="F869" t="inlineStr">
        <is>
          <t>GÄVLEBORGS LÄN</t>
        </is>
      </c>
      <c r="G869" t="inlineStr">
        <is>
          <t>GÄVLE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30969-2026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46213</v>
      </c>
      <c r="E870" s="1" t="n">
        <v>46259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6681-2026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46259</v>
      </c>
      <c r="F871" t="inlineStr">
        <is>
          <t>GÄVLEBORGS LÄN</t>
        </is>
      </c>
      <c r="G871" t="inlineStr">
        <is>
          <t>GÄVLE</t>
        </is>
      </c>
      <c r="I871" t="n">
        <v>6.6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34822-2026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46258</v>
      </c>
      <c r="E872" s="1" t="n">
        <v>46259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6673-2026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46056</v>
      </c>
      <c r="E873" s="1" t="n">
        <v>46259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23291-2025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45791</v>
      </c>
      <c r="E874" s="1" t="n">
        <v>46259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34686-2026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46258</v>
      </c>
      <c r="E875" s="1" t="n">
        <v>46259</v>
      </c>
      <c r="F875" t="inlineStr">
        <is>
          <t>GÄVLEBORGS LÄN</t>
        </is>
      </c>
      <c r="G875" t="inlineStr">
        <is>
          <t>GÄVLE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34733-2026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46258</v>
      </c>
      <c r="E876" s="1" t="n">
        <v>46259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11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23232-2025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45791</v>
      </c>
      <c r="E877" s="1" t="n">
        <v>46259</v>
      </c>
      <c r="F877" t="inlineStr">
        <is>
          <t>GÄVLEBORGS LÄN</t>
        </is>
      </c>
      <c r="G877" t="inlineStr">
        <is>
          <t>GÄVLE</t>
        </is>
      </c>
      <c r="I877" t="n">
        <v>10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7252-2026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46058</v>
      </c>
      <c r="E878" s="1" t="n">
        <v>46259</v>
      </c>
      <c r="F878" t="inlineStr">
        <is>
          <t>GÄVLEBORGS LÄN</t>
        </is>
      </c>
      <c r="G878" t="inlineStr">
        <is>
          <t>GÄVLE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14553-2026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46100</v>
      </c>
      <c r="E879" s="1" t="n">
        <v>46259</v>
      </c>
      <c r="F879" t="inlineStr">
        <is>
          <t>GÄVLEBORGS LÄN</t>
        </is>
      </c>
      <c r="G879" t="inlineStr">
        <is>
          <t>GÄVLE</t>
        </is>
      </c>
      <c r="H879" t="inlineStr">
        <is>
          <t>Övriga statliga verk och myndigheter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7239-2026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46058</v>
      </c>
      <c r="E880" s="1" t="n">
        <v>46259</v>
      </c>
      <c r="F880" t="inlineStr">
        <is>
          <t>GÄVLEBORGS LÄN</t>
        </is>
      </c>
      <c r="G880" t="inlineStr">
        <is>
          <t>GÄVLE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48913-2024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46259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55878-2024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45623</v>
      </c>
      <c r="E882" s="1" t="n">
        <v>46259</v>
      </c>
      <c r="F882" t="inlineStr">
        <is>
          <t>GÄVLEBORGS LÄN</t>
        </is>
      </c>
      <c r="G882" t="inlineStr">
        <is>
          <t>GÄVLE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7665-2026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46062</v>
      </c>
      <c r="E883" s="1" t="n">
        <v>46259</v>
      </c>
      <c r="F883" t="inlineStr">
        <is>
          <t>GÄVLEBORGS LÄN</t>
        </is>
      </c>
      <c r="G883" t="inlineStr">
        <is>
          <t>GÄVLE</t>
        </is>
      </c>
      <c r="H883" t="inlineStr">
        <is>
          <t>Kyrkan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7673-2026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46062</v>
      </c>
      <c r="E884" s="1" t="n">
        <v>46259</v>
      </c>
      <c r="F884" t="inlineStr">
        <is>
          <t>GÄVLEBORGS LÄN</t>
        </is>
      </c>
      <c r="G884" t="inlineStr">
        <is>
          <t>GÄVLE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8292-2026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46063</v>
      </c>
      <c r="E885" s="1" t="n">
        <v>46259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8303-2026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46063</v>
      </c>
      <c r="E886" s="1" t="n">
        <v>46259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58373-2024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45632</v>
      </c>
      <c r="E887" s="1" t="n">
        <v>46259</v>
      </c>
      <c r="F887" t="inlineStr">
        <is>
          <t>GÄVLEBORGS LÄN</t>
        </is>
      </c>
      <c r="G887" t="inlineStr">
        <is>
          <t>GÄVLE</t>
        </is>
      </c>
      <c r="I887" t="n">
        <v>13.1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8298-2026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46063</v>
      </c>
      <c r="E888" s="1" t="n">
        <v>46259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8301-2026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46063</v>
      </c>
      <c r="E889" s="1" t="n">
        <v>46259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24225-2025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45797</v>
      </c>
      <c r="E890" s="1" t="n">
        <v>46259</v>
      </c>
      <c r="F890" t="inlineStr">
        <is>
          <t>GÄVLEBORGS LÄN</t>
        </is>
      </c>
      <c r="G890" t="inlineStr">
        <is>
          <t>GÄVLE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24614-2025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45798</v>
      </c>
      <c r="E891" s="1" t="n">
        <v>46259</v>
      </c>
      <c r="F891" t="inlineStr">
        <is>
          <t>GÄVLEBORGS LÄN</t>
        </is>
      </c>
      <c r="G891" t="inlineStr">
        <is>
          <t>GÄVLE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24228-2025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45797</v>
      </c>
      <c r="E892" s="1" t="n">
        <v>46259</v>
      </c>
      <c r="F892" t="inlineStr">
        <is>
          <t>GÄVLEBORGS LÄN</t>
        </is>
      </c>
      <c r="G892" t="inlineStr">
        <is>
          <t>GÄVLE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31367-2024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45505</v>
      </c>
      <c r="E893" s="1" t="n">
        <v>46259</v>
      </c>
      <c r="F893" t="inlineStr">
        <is>
          <t>GÄVLEBORGS LÄN</t>
        </is>
      </c>
      <c r="G893" t="inlineStr">
        <is>
          <t>GÄVLE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8558-2026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46065</v>
      </c>
      <c r="E894" s="1" t="n">
        <v>46259</v>
      </c>
      <c r="F894" t="inlineStr">
        <is>
          <t>GÄVLEBORGS LÄN</t>
        </is>
      </c>
      <c r="G894" t="inlineStr">
        <is>
          <t>GÄVLE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8954-2026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46069</v>
      </c>
      <c r="E895" s="1" t="n">
        <v>46259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9129-2026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46069</v>
      </c>
      <c r="E896" s="1" t="n">
        <v>46259</v>
      </c>
      <c r="F896" t="inlineStr">
        <is>
          <t>GÄVLEBORGS LÄN</t>
        </is>
      </c>
      <c r="G896" t="inlineStr">
        <is>
          <t>GÄVLE</t>
        </is>
      </c>
      <c r="I896" t="n">
        <v>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47143-2024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45586</v>
      </c>
      <c r="E897" s="1" t="n">
        <v>46259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9534-2026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46071</v>
      </c>
      <c r="E898" s="1" t="n">
        <v>46259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9779-2026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46072</v>
      </c>
      <c r="E899" s="1" t="n">
        <v>46259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9673-2026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46072</v>
      </c>
      <c r="E900" s="1" t="n">
        <v>46259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10273-2026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46076</v>
      </c>
      <c r="E901" s="1" t="n">
        <v>46259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10257-2026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46076</v>
      </c>
      <c r="E902" s="1" t="n">
        <v>46259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10063-2026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46073</v>
      </c>
      <c r="E903" s="1" t="n">
        <v>46259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10504-2026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46077</v>
      </c>
      <c r="E904" s="1" t="n">
        <v>46259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11114-2026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46079</v>
      </c>
      <c r="E905" s="1" t="n">
        <v>46259</v>
      </c>
      <c r="F905" t="inlineStr">
        <is>
          <t>GÄVLEBORGS LÄN</t>
        </is>
      </c>
      <c r="G905" t="inlineStr">
        <is>
          <t>GÄVLE</t>
        </is>
      </c>
      <c r="H905" t="inlineStr">
        <is>
          <t>Kommuner</t>
        </is>
      </c>
      <c r="I905" t="n">
        <v>3.5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11523-2026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46083</v>
      </c>
      <c r="E906" s="1" t="n">
        <v>46259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11926-2026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46085</v>
      </c>
      <c r="E907" s="1" t="n">
        <v>46259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12015-2026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46085</v>
      </c>
      <c r="E908" s="1" t="n">
        <v>46259</v>
      </c>
      <c r="F908" t="inlineStr">
        <is>
          <t>GÄVLEBORGS LÄN</t>
        </is>
      </c>
      <c r="G908" t="inlineStr">
        <is>
          <t>GÄVLE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13104-2026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46093</v>
      </c>
      <c r="E909" s="1" t="n">
        <v>46259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4.1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12990-2026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46092</v>
      </c>
      <c r="E910" s="1" t="n">
        <v>46259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12948-2026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46092</v>
      </c>
      <c r="E911" s="1" t="n">
        <v>46259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3425-2023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45205</v>
      </c>
      <c r="E912" s="1" t="n">
        <v>46259</v>
      </c>
      <c r="F912" t="inlineStr">
        <is>
          <t>GÄVLEBORGS LÄN</t>
        </is>
      </c>
      <c r="G912" t="inlineStr">
        <is>
          <t>GÄVLE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  <c r="Z912">
        <f>HYPERLINK("https://klasma.github.io/Logging_2180/knärot/S 3425-2023 karta knärot.png", "S 3425-2023")</f>
        <v/>
      </c>
      <c r="AA912">
        <f>HYPERLINK("https://klasma.github.io/Logging_2180/klagomål/S 3425-2023 FSC-klagomål.docx", "S 3425-2023")</f>
        <v/>
      </c>
      <c r="AB912">
        <f>HYPERLINK("https://klasma.github.io/Logging_2180/klagomålsmail/S 3425-2023 FSC-klagomål mail.docx", "S 3425-2023")</f>
        <v/>
      </c>
      <c r="AC912">
        <f>HYPERLINK("https://klasma.github.io/Logging_2180/tillsyn/S 3425-2023 tillsynsbegäran.docx", "S 3425-2023")</f>
        <v/>
      </c>
      <c r="AD912">
        <f>HYPERLINK("https://klasma.github.io/Logging_2180/tillsynsmail/S 3425-2023 tillsynsbegäran mail.docx", "S 3425-2023")</f>
        <v/>
      </c>
    </row>
    <row r="913" ht="15" customHeight="1">
      <c r="A913" t="inlineStr">
        <is>
          <t>S 889-2023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44995</v>
      </c>
      <c r="E913" s="1" t="n">
        <v>46259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886-2024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45376</v>
      </c>
      <c r="E914" s="1" t="n">
        <v>46259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2464-2024</t>
        </is>
      </c>
      <c r="B915" t="inlineStr">
        <is>
          <t>samrådsanmälan</t>
        </is>
      </c>
      <c r="C915" t="inlineStr">
        <is>
          <t>Skogsbilväg</t>
        </is>
      </c>
      <c r="D915" s="1" t="n">
        <v>45470</v>
      </c>
      <c r="E915" s="1" t="n">
        <v>46259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644-2026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46089</v>
      </c>
      <c r="E916" s="1" t="n">
        <v>46259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29.2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2026-08-25T01:54:50Z</dcterms:created>
  <dcterms:modified xmlns:dcterms="http://purl.org/dc/terms/" xmlns:xsi="http://www.w3.org/2001/XMLSchema-instance" xsi:type="dcterms:W3CDTF">2026-08-25T01:54:51Z</dcterms:modified>
</cp:coreProperties>
</file>