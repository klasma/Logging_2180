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46200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46200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46200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46200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46200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46200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46200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Brunpudrad nållav
Tallticka
Tretåig hackspett
Björksplintborre
Bronshjon
Gulnål
Vågbandad barkbock
Spillkråka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46200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s="1" t="n">
        <v>45623</v>
      </c>
      <c r="C10" s="1" t="n">
        <v>46200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1</v>
      </c>
      <c r="I10" t="n">
        <v>1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Gyllenfingersvamp
Bredgentiana
Flattoppad klubbsvamp
Kryddspindling
Rutskinn
Sårläka
Vårärt
Underviol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46200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46200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46200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46200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46200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14564-2025</t>
        </is>
      </c>
      <c r="B16" s="1" t="n">
        <v>45741</v>
      </c>
      <c r="C16" s="1" t="n">
        <v>46200</v>
      </c>
      <c r="D16" t="inlineStr">
        <is>
          <t>GÄVLEBORGS LÄN</t>
        </is>
      </c>
      <c r="E16" t="inlineStr">
        <is>
          <t>GÄVLE</t>
        </is>
      </c>
      <c r="G16" t="n">
        <v>2</v>
      </c>
      <c r="H16" t="n">
        <v>1</v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Garnlav
Knärot
Kattfotslav
Guldlockmossa
Korallblylav</t>
        </is>
      </c>
      <c r="S16">
        <f>HYPERLINK("https://klasma.github.io/Logging_2180/artfynd/A 14564-2025 artfynd.xlsx", "A 14564-2025")</f>
        <v/>
      </c>
      <c r="T16">
        <f>HYPERLINK("https://klasma.github.io/Logging_2180/kartor/A 14564-2025 karta.png", "A 14564-2025")</f>
        <v/>
      </c>
      <c r="U16">
        <f>HYPERLINK("https://klasma.github.io/Logging_2180/knärot/A 14564-2025 karta knärot.png", "A 14564-2025")</f>
        <v/>
      </c>
      <c r="V16">
        <f>HYPERLINK("https://klasma.github.io/Logging_2180/klagomål/A 14564-2025 FSC-klagomål.docx", "A 14564-2025")</f>
        <v/>
      </c>
      <c r="W16">
        <f>HYPERLINK("https://klasma.github.io/Logging_2180/klagomålsmail/A 14564-2025 FSC-klagomål mail.docx", "A 14564-2025")</f>
        <v/>
      </c>
      <c r="X16">
        <f>HYPERLINK("https://klasma.github.io/Logging_2180/tillsyn/A 14564-2025 tillsynsbegäran.docx", "A 14564-2025")</f>
        <v/>
      </c>
      <c r="Y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s="1" t="n">
        <v>45107</v>
      </c>
      <c r="C17" s="1" t="n">
        <v>46200</v>
      </c>
      <c r="D17" t="inlineStr">
        <is>
          <t>GÄVLEBORGS LÄN</t>
        </is>
      </c>
      <c r="E17" t="inlineStr">
        <is>
          <t>GÄVLE</t>
        </is>
      </c>
      <c r="G17" t="n">
        <v>1.4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Brunlångöra
Järnsparv
Nordfladdermus
Kungsfågel
Vattenfladdermus</t>
        </is>
      </c>
      <c r="S17">
        <f>HYPERLINK("https://klasma.github.io/Logging_2180/artfynd/A 29840-2023 artfynd.xlsx", "A 29840-2023")</f>
        <v/>
      </c>
      <c r="T17">
        <f>HYPERLINK("https://klasma.github.io/Logging_2180/kartor/A 29840-2023 karta.png", "A 29840-2023")</f>
        <v/>
      </c>
      <c r="V17">
        <f>HYPERLINK("https://klasma.github.io/Logging_2180/klagomål/A 29840-2023 FSC-klagomål.docx", "A 29840-2023")</f>
        <v/>
      </c>
      <c r="W17">
        <f>HYPERLINK("https://klasma.github.io/Logging_2180/klagomålsmail/A 29840-2023 FSC-klagomål mail.docx", "A 29840-2023")</f>
        <v/>
      </c>
      <c r="X17">
        <f>HYPERLINK("https://klasma.github.io/Logging_2180/tillsyn/A 29840-2023 tillsynsbegäran.docx", "A 29840-2023")</f>
        <v/>
      </c>
      <c r="Y17">
        <f>HYPERLINK("https://klasma.github.io/Logging_2180/tillsynsmail/A 29840-2023 tillsynsbegäran mail.docx", "A 29840-2023")</f>
        <v/>
      </c>
      <c r="Z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s="1" t="n">
        <v>45926</v>
      </c>
      <c r="C18" s="1" t="n">
        <v>46200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46744-2025 artfynd.xlsx", "A 46744-2025")</f>
        <v/>
      </c>
      <c r="T18">
        <f>HYPERLINK("https://klasma.github.io/Logging_2180/kartor/A 46744-2025 karta.png", "A 46744-2025")</f>
        <v/>
      </c>
      <c r="U18">
        <f>HYPERLINK("https://klasma.github.io/Logging_2180/knärot/A 46744-2025 karta knärot.png", "A 46744-2025")</f>
        <v/>
      </c>
      <c r="V18">
        <f>HYPERLINK("https://klasma.github.io/Logging_2180/klagomål/A 46744-2025 FSC-klagomål.docx", "A 46744-2025")</f>
        <v/>
      </c>
      <c r="W18">
        <f>HYPERLINK("https://klasma.github.io/Logging_2180/klagomålsmail/A 46744-2025 FSC-klagomål mail.docx", "A 46744-2025")</f>
        <v/>
      </c>
      <c r="X18">
        <f>HYPERLINK("https://klasma.github.io/Logging_2180/tillsyn/A 46744-2025 tillsynsbegäran.docx", "A 46744-2025")</f>
        <v/>
      </c>
      <c r="Y18">
        <f>HYPERLINK("https://klasma.github.io/Logging_2180/tillsynsmail/A 46744-2025 tillsynsbegäran mail.docx", "A 46744-2025")</f>
        <v/>
      </c>
      <c r="Z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s="1" t="n">
        <v>45926</v>
      </c>
      <c r="C19" s="1" t="n">
        <v>46200</v>
      </c>
      <c r="D19" t="inlineStr">
        <is>
          <t>GÄVLEBORGS LÄN</t>
        </is>
      </c>
      <c r="E19" t="inlineStr">
        <is>
          <t>GÄVLE</t>
        </is>
      </c>
      <c r="G19" t="n">
        <v>4.9</v>
      </c>
      <c r="H19" t="n">
        <v>3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Svavelriska
Blåsippa
Spillkråka</t>
        </is>
      </c>
      <c r="S19">
        <f>HYPERLINK("https://klasma.github.io/Logging_2180/artfynd/A 46755-2025 artfynd.xlsx", "A 46755-2025")</f>
        <v/>
      </c>
      <c r="T19">
        <f>HYPERLINK("https://klasma.github.io/Logging_2180/kartor/A 46755-2025 karta.png", "A 46755-2025")</f>
        <v/>
      </c>
      <c r="U19">
        <f>HYPERLINK("https://klasma.github.io/Logging_2180/knärot/A 46755-2025 karta knärot.png", "A 46755-2025")</f>
        <v/>
      </c>
      <c r="V19">
        <f>HYPERLINK("https://klasma.github.io/Logging_2180/klagomål/A 46755-2025 FSC-klagomål.docx", "A 46755-2025")</f>
        <v/>
      </c>
      <c r="W19">
        <f>HYPERLINK("https://klasma.github.io/Logging_2180/klagomålsmail/A 46755-2025 FSC-klagomål mail.docx", "A 46755-2025")</f>
        <v/>
      </c>
      <c r="X19">
        <f>HYPERLINK("https://klasma.github.io/Logging_2180/tillsyn/A 46755-2025 tillsynsbegäran.docx", "A 46755-2025")</f>
        <v/>
      </c>
      <c r="Y19">
        <f>HYPERLINK("https://klasma.github.io/Logging_2180/tillsynsmail/A 46755-2025 tillsynsbegäran mail.docx", "A 46755-2025")</f>
        <v/>
      </c>
      <c r="Z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s="1" t="n">
        <v>45848</v>
      </c>
      <c r="C20" s="1" t="n">
        <v>46200</v>
      </c>
      <c r="D20" t="inlineStr">
        <is>
          <t>GÄVLEBORGS LÄN</t>
        </is>
      </c>
      <c r="E20" t="inlineStr">
        <is>
          <t>GÄVLE</t>
        </is>
      </c>
      <c r="G20" t="n">
        <v>4.9</v>
      </c>
      <c r="H20" t="n">
        <v>3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Rödgul trumpetsvamp
Svavelriska
Blåsippa
Spillkråka</t>
        </is>
      </c>
      <c r="S20">
        <f>HYPERLINK("https://klasma.github.io/Logging_2180/artfynd/A 34666-2025 artfynd.xlsx", "A 34666-2025")</f>
        <v/>
      </c>
      <c r="T20">
        <f>HYPERLINK("https://klasma.github.io/Logging_2180/kartor/A 34666-2025 karta.png", "A 34666-2025")</f>
        <v/>
      </c>
      <c r="U20">
        <f>HYPERLINK("https://klasma.github.io/Logging_2180/knärot/A 34666-2025 karta knärot.png", "A 34666-2025")</f>
        <v/>
      </c>
      <c r="V20">
        <f>HYPERLINK("https://klasma.github.io/Logging_2180/klagomål/A 34666-2025 FSC-klagomål.docx", "A 34666-2025")</f>
        <v/>
      </c>
      <c r="W20">
        <f>HYPERLINK("https://klasma.github.io/Logging_2180/klagomålsmail/A 34666-2025 FSC-klagomål mail.docx", "A 34666-2025")</f>
        <v/>
      </c>
      <c r="X20">
        <f>HYPERLINK("https://klasma.github.io/Logging_2180/tillsyn/A 34666-2025 tillsynsbegäran.docx", "A 34666-2025")</f>
        <v/>
      </c>
      <c r="Y20">
        <f>HYPERLINK("https://klasma.github.io/Logging_2180/tillsynsmail/A 34666-2025 tillsynsbegäran mail.docx", "A 34666-2025")</f>
        <v/>
      </c>
      <c r="Z20">
        <f>HYPERLINK("https://klasma.github.io/Logging_2180/fåglar/A 34666-2025 prioriterade fågelarter.docx", "A 34666-2025")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46200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46200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Ask
Brunfläckig pärlemorfjäril
Jättesvampmal
Strimspindling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5487-2025</t>
        </is>
      </c>
      <c r="B23" s="1" t="n">
        <v>45693</v>
      </c>
      <c r="C23" s="1" t="n">
        <v>46200</v>
      </c>
      <c r="D23" t="inlineStr">
        <is>
          <t>GÄVLEBORGS LÄN</t>
        </is>
      </c>
      <c r="E23" t="inlineStr">
        <is>
          <t>GÄVLE</t>
        </is>
      </c>
      <c r="F23" t="inlineStr">
        <is>
          <t>Kyrkan</t>
        </is>
      </c>
      <c r="G23" t="n">
        <v>4.7</v>
      </c>
      <c r="H23" t="n">
        <v>4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Pärluggla
Enkelbeckasin
Rödvingetrast
Nattskärra</t>
        </is>
      </c>
      <c r="S23">
        <f>HYPERLINK("https://klasma.github.io/Logging_2180/artfynd/A 5487-2025 artfynd.xlsx", "A 5487-2025")</f>
        <v/>
      </c>
      <c r="T23">
        <f>HYPERLINK("https://klasma.github.io/Logging_2180/kartor/A 5487-2025 karta.png", "A 5487-2025")</f>
        <v/>
      </c>
      <c r="V23">
        <f>HYPERLINK("https://klasma.github.io/Logging_2180/klagomål/A 5487-2025 FSC-klagomål.docx", "A 5487-2025")</f>
        <v/>
      </c>
      <c r="W23">
        <f>HYPERLINK("https://klasma.github.io/Logging_2180/klagomålsmail/A 5487-2025 FSC-klagomål mail.docx", "A 5487-2025")</f>
        <v/>
      </c>
      <c r="X23">
        <f>HYPERLINK("https://klasma.github.io/Logging_2180/tillsyn/A 5487-2025 tillsynsbegäran.docx", "A 5487-2025")</f>
        <v/>
      </c>
      <c r="Y23">
        <f>HYPERLINK("https://klasma.github.io/Logging_2180/tillsynsmail/A 5487-2025 tillsynsbegäran mail.docx", "A 5487-2025")</f>
        <v/>
      </c>
      <c r="Z23">
        <f>HYPERLINK("https://klasma.github.io/Logging_2180/fåglar/A 5487-2025 prioriterade fågelarter.docx", "A 5487-2025")</f>
        <v/>
      </c>
    </row>
    <row r="24" ht="15" customHeight="1">
      <c r="A24" t="inlineStr">
        <is>
          <t>A 41028-2025</t>
        </is>
      </c>
      <c r="B24" s="1" t="n">
        <v>45898</v>
      </c>
      <c r="C24" s="1" t="n">
        <v>46200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Kolflarnlav
Reliktbock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53571-2024</t>
        </is>
      </c>
      <c r="B25" s="1" t="n">
        <v>45614</v>
      </c>
      <c r="C25" s="1" t="n">
        <v>46200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4.9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Skogsbräsma
Svavelriska
Blåsippa
Vanlig padda</t>
        </is>
      </c>
      <c r="S25">
        <f>HYPERLINK("https://klasma.github.io/Logging_2180/artfynd/A 53571-2024 artfynd.xlsx", "A 53571-2024")</f>
        <v/>
      </c>
      <c r="T25">
        <f>HYPERLINK("https://klasma.github.io/Logging_2180/kartor/A 53571-2024 karta.png", "A 53571-2024")</f>
        <v/>
      </c>
      <c r="V25">
        <f>HYPERLINK("https://klasma.github.io/Logging_2180/klagomål/A 53571-2024 FSC-klagomål.docx", "A 53571-2024")</f>
        <v/>
      </c>
      <c r="W25">
        <f>HYPERLINK("https://klasma.github.io/Logging_2180/klagomålsmail/A 53571-2024 FSC-klagomål mail.docx", "A 53571-2024")</f>
        <v/>
      </c>
      <c r="X25">
        <f>HYPERLINK("https://klasma.github.io/Logging_2180/tillsyn/A 53571-2024 tillsynsbegäran.docx", "A 53571-2024")</f>
        <v/>
      </c>
      <c r="Y25">
        <f>HYPERLINK("https://klasma.github.io/Logging_2180/tillsynsmail/A 53571-2024 tillsynsbegäran mail.docx", "A 53571-2024")</f>
        <v/>
      </c>
    </row>
    <row r="26" ht="15" customHeight="1">
      <c r="A26" t="inlineStr">
        <is>
          <t>A 1100-2024</t>
        </is>
      </c>
      <c r="B26" s="1" t="n">
        <v>45302</v>
      </c>
      <c r="C26" s="1" t="n">
        <v>46200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3.9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Dropptaggsvamp
Tallticka
Vedskivlav
Vågbandad barkbock</t>
        </is>
      </c>
      <c r="S26">
        <f>HYPERLINK("https://klasma.github.io/Logging_2180/artfynd/A 1100-2024 artfynd.xlsx", "A 1100-2024")</f>
        <v/>
      </c>
      <c r="T26">
        <f>HYPERLINK("https://klasma.github.io/Logging_2180/kartor/A 1100-2024 karta.png", "A 1100-2024")</f>
        <v/>
      </c>
      <c r="V26">
        <f>HYPERLINK("https://klasma.github.io/Logging_2180/klagomål/A 1100-2024 FSC-klagomål.docx", "A 1100-2024")</f>
        <v/>
      </c>
      <c r="W26">
        <f>HYPERLINK("https://klasma.github.io/Logging_2180/klagomålsmail/A 1100-2024 FSC-klagomål mail.docx", "A 1100-2024")</f>
        <v/>
      </c>
      <c r="X26">
        <f>HYPERLINK("https://klasma.github.io/Logging_2180/tillsyn/A 1100-2024 tillsynsbegäran.docx", "A 1100-2024")</f>
        <v/>
      </c>
      <c r="Y26">
        <f>HYPERLINK("https://klasma.github.io/Logging_2180/tillsynsmail/A 1100-2024 tillsynsbegäran mail.docx", "A 1100-2024")</f>
        <v/>
      </c>
    </row>
    <row r="27" ht="15" customHeight="1">
      <c r="A27" t="inlineStr">
        <is>
          <t>A 9570-2025</t>
        </is>
      </c>
      <c r="B27" s="1" t="n">
        <v>45715</v>
      </c>
      <c r="C27" s="1" t="n">
        <v>46200</v>
      </c>
      <c r="D27" t="inlineStr">
        <is>
          <t>GÄVLEBORGS LÄN</t>
        </is>
      </c>
      <c r="E27" t="inlineStr">
        <is>
          <t>GÄVLE</t>
        </is>
      </c>
      <c r="G27" t="n">
        <v>3.8</v>
      </c>
      <c r="H27" t="n">
        <v>2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Lunglav
Tallticka
Tretåig hackspett</t>
        </is>
      </c>
      <c r="S27">
        <f>HYPERLINK("https://klasma.github.io/Logging_2180/artfynd/A 9570-2025 artfynd.xlsx", "A 9570-2025")</f>
        <v/>
      </c>
      <c r="T27">
        <f>HYPERLINK("https://klasma.github.io/Logging_2180/kartor/A 9570-2025 karta.png", "A 9570-2025")</f>
        <v/>
      </c>
      <c r="U27">
        <f>HYPERLINK("https://klasma.github.io/Logging_2180/knärot/A 9570-2025 karta knärot.png", "A 9570-2025")</f>
        <v/>
      </c>
      <c r="V27">
        <f>HYPERLINK("https://klasma.github.io/Logging_2180/klagomål/A 9570-2025 FSC-klagomål.docx", "A 9570-2025")</f>
        <v/>
      </c>
      <c r="W27">
        <f>HYPERLINK("https://klasma.github.io/Logging_2180/klagomålsmail/A 9570-2025 FSC-klagomål mail.docx", "A 9570-2025")</f>
        <v/>
      </c>
      <c r="X27">
        <f>HYPERLINK("https://klasma.github.io/Logging_2180/tillsyn/A 9570-2025 tillsynsbegäran.docx", "A 9570-2025")</f>
        <v/>
      </c>
      <c r="Y27">
        <f>HYPERLINK("https://klasma.github.io/Logging_2180/tillsynsmail/A 9570-2025 tillsynsbegäran mail.docx", "A 9570-2025")</f>
        <v/>
      </c>
      <c r="Z27">
        <f>HYPERLINK("https://klasma.github.io/Logging_2180/fåglar/A 9570-2025 prioriterade fågelarter.docx", "A 9570-2025")</f>
        <v/>
      </c>
    </row>
    <row r="28" ht="15" customHeight="1">
      <c r="A28" t="inlineStr">
        <is>
          <t>A 3193-2026</t>
        </is>
      </c>
      <c r="B28" s="1" t="n">
        <v>46041</v>
      </c>
      <c r="C28" s="1" t="n">
        <v>46200</v>
      </c>
      <c r="D28" t="inlineStr">
        <is>
          <t>GÄVLEBORGS LÄN</t>
        </is>
      </c>
      <c r="E28" t="inlineStr">
        <is>
          <t>GÄVLE</t>
        </is>
      </c>
      <c r="G28" t="n">
        <v>10.3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Trastsångare
Enkelbeckasin
Buskskvätta
Trana</t>
        </is>
      </c>
      <c r="S28">
        <f>HYPERLINK("https://klasma.github.io/Logging_2180/artfynd/A 3193-2026 artfynd.xlsx", "A 3193-2026")</f>
        <v/>
      </c>
      <c r="T28">
        <f>HYPERLINK("https://klasma.github.io/Logging_2180/kartor/A 3193-2026 karta.png", "A 3193-2026")</f>
        <v/>
      </c>
      <c r="V28">
        <f>HYPERLINK("https://klasma.github.io/Logging_2180/klagomål/A 3193-2026 FSC-klagomål.docx", "A 3193-2026")</f>
        <v/>
      </c>
      <c r="W28">
        <f>HYPERLINK("https://klasma.github.io/Logging_2180/klagomålsmail/A 3193-2026 FSC-klagomål mail.docx", "A 3193-2026")</f>
        <v/>
      </c>
      <c r="X28">
        <f>HYPERLINK("https://klasma.github.io/Logging_2180/tillsyn/A 3193-2026 tillsynsbegäran.docx", "A 3193-2026")</f>
        <v/>
      </c>
      <c r="Y28">
        <f>HYPERLINK("https://klasma.github.io/Logging_2180/tillsynsmail/A 3193-2026 tillsynsbegäran mail.docx", "A 3193-2026")</f>
        <v/>
      </c>
      <c r="Z28">
        <f>HYPERLINK("https://klasma.github.io/Logging_2180/fåglar/A 3193-2026 prioriterade fågelarter.docx", "A 3193-2026")</f>
        <v/>
      </c>
    </row>
    <row r="29" ht="15" customHeight="1">
      <c r="A29" t="inlineStr">
        <is>
          <t>A 6080-2026</t>
        </is>
      </c>
      <c r="B29" s="1" t="n">
        <v>46052</v>
      </c>
      <c r="C29" s="1" t="n">
        <v>46200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</v>
      </c>
      <c r="H29" t="n">
        <v>0</v>
      </c>
      <c r="I29" t="n">
        <v>0</v>
      </c>
      <c r="J29" t="n">
        <v>1</v>
      </c>
      <c r="K29" t="n">
        <v>3</v>
      </c>
      <c r="L29" t="n">
        <v>0</v>
      </c>
      <c r="M29" t="n">
        <v>0</v>
      </c>
      <c r="N29" t="n">
        <v>0</v>
      </c>
      <c r="O29" t="n">
        <v>4</v>
      </c>
      <c r="P29" t="n">
        <v>3</v>
      </c>
      <c r="Q29" t="n">
        <v>4</v>
      </c>
      <c r="R29" s="2" t="inlineStr">
        <is>
          <t>Bredbrämad bastardsvärmare
Mindre bastardsvärmare
Ängsblåvinge
Storfläckig kungsnattslända</t>
        </is>
      </c>
      <c r="S29">
        <f>HYPERLINK("https://klasma.github.io/Logging_2180/artfynd/A 6080-2026 artfynd.xlsx", "A 6080-2026")</f>
        <v/>
      </c>
      <c r="T29">
        <f>HYPERLINK("https://klasma.github.io/Logging_2180/kartor/A 6080-2026 karta.png", "A 6080-2026")</f>
        <v/>
      </c>
      <c r="V29">
        <f>HYPERLINK("https://klasma.github.io/Logging_2180/klagomål/A 6080-2026 FSC-klagomål.docx", "A 6080-2026")</f>
        <v/>
      </c>
      <c r="W29">
        <f>HYPERLINK("https://klasma.github.io/Logging_2180/klagomålsmail/A 6080-2026 FSC-klagomål mail.docx", "A 6080-2026")</f>
        <v/>
      </c>
      <c r="X29">
        <f>HYPERLINK("https://klasma.github.io/Logging_2180/tillsyn/A 6080-2026 tillsynsbegäran.docx", "A 6080-2026")</f>
        <v/>
      </c>
      <c r="Y29">
        <f>HYPERLINK("https://klasma.github.io/Logging_2180/tillsynsmail/A 6080-2026 tillsynsbegäran mail.docx", "A 6080-2026")</f>
        <v/>
      </c>
    </row>
    <row r="30" ht="15" customHeight="1">
      <c r="A30" t="inlineStr">
        <is>
          <t>A 24904-2026</t>
        </is>
      </c>
      <c r="B30" s="1" t="n">
        <v>46174</v>
      </c>
      <c r="C30" s="1" t="n">
        <v>46200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</v>
      </c>
      <c r="H30" t="n">
        <v>3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Topplåsbräken
Höstlåsbräken
Månlåsbräken
Mattlummer</t>
        </is>
      </c>
      <c r="S30">
        <f>HYPERLINK("https://klasma.github.io/Logging_2180/artfynd/A 24904-2026 artfynd.xlsx", "A 24904-2026")</f>
        <v/>
      </c>
      <c r="T30">
        <f>HYPERLINK("https://klasma.github.io/Logging_2180/kartor/A 24904-2026 karta.png", "A 24904-2026")</f>
        <v/>
      </c>
      <c r="V30">
        <f>HYPERLINK("https://klasma.github.io/Logging_2180/klagomål/A 24904-2026 FSC-klagomål.docx", "A 24904-2026")</f>
        <v/>
      </c>
      <c r="W30">
        <f>HYPERLINK("https://klasma.github.io/Logging_2180/klagomålsmail/A 24904-2026 FSC-klagomål mail.docx", "A 24904-2026")</f>
        <v/>
      </c>
      <c r="X30">
        <f>HYPERLINK("https://klasma.github.io/Logging_2180/tillsyn/A 24904-2026 tillsynsbegäran.docx", "A 24904-2026")</f>
        <v/>
      </c>
      <c r="Y30">
        <f>HYPERLINK("https://klasma.github.io/Logging_2180/tillsynsmail/A 24904-2026 tillsynsbegäran mail.docx", "A 24904-2026")</f>
        <v/>
      </c>
    </row>
    <row r="31" ht="15" customHeight="1">
      <c r="A31" t="inlineStr">
        <is>
          <t>A 27044-2026</t>
        </is>
      </c>
      <c r="B31" s="1" t="n">
        <v>46185</v>
      </c>
      <c r="C31" s="1" t="n">
        <v>46200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Topplåsbräken
Höstlåsbräken
Månlåsbräken
Mattlummer</t>
        </is>
      </c>
      <c r="S31">
        <f>HYPERLINK("https://klasma.github.io/Logging_2180/artfynd/A 27044-2026 artfynd.xlsx", "A 27044-2026")</f>
        <v/>
      </c>
      <c r="T31">
        <f>HYPERLINK("https://klasma.github.io/Logging_2180/kartor/A 27044-2026 karta.png", "A 27044-2026")</f>
        <v/>
      </c>
      <c r="V31">
        <f>HYPERLINK("https://klasma.github.io/Logging_2180/klagomål/A 27044-2026 FSC-klagomål.docx", "A 27044-2026")</f>
        <v/>
      </c>
      <c r="W31">
        <f>HYPERLINK("https://klasma.github.io/Logging_2180/klagomålsmail/A 27044-2026 FSC-klagomål mail.docx", "A 27044-2026")</f>
        <v/>
      </c>
      <c r="X31">
        <f>HYPERLINK("https://klasma.github.io/Logging_2180/tillsyn/A 27044-2026 tillsynsbegäran.docx", "A 27044-2026")</f>
        <v/>
      </c>
      <c r="Y31">
        <f>HYPERLINK("https://klasma.github.io/Logging_2180/tillsynsmail/A 27044-2026 tillsynsbegäran mail.docx", "A 27044-2026")</f>
        <v/>
      </c>
    </row>
    <row r="32" ht="15" customHeight="1">
      <c r="A32" t="inlineStr">
        <is>
          <t>A 14891-2024</t>
        </is>
      </c>
      <c r="B32" s="1" t="n">
        <v>45398</v>
      </c>
      <c r="C32" s="1" t="n">
        <v>46200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Kattfotslav
Svavelriska</t>
        </is>
      </c>
      <c r="S32">
        <f>HYPERLINK("https://klasma.github.io/Logging_2180/artfynd/A 14891-2024 artfynd.xlsx", "A 14891-2024")</f>
        <v/>
      </c>
      <c r="T32">
        <f>HYPERLINK("https://klasma.github.io/Logging_2180/kartor/A 14891-2024 karta.png", "A 14891-2024")</f>
        <v/>
      </c>
      <c r="V32">
        <f>HYPERLINK("https://klasma.github.io/Logging_2180/klagomål/A 14891-2024 FSC-klagomål.docx", "A 14891-2024")</f>
        <v/>
      </c>
      <c r="W32">
        <f>HYPERLINK("https://klasma.github.io/Logging_2180/klagomålsmail/A 14891-2024 FSC-klagomål mail.docx", "A 14891-2024")</f>
        <v/>
      </c>
      <c r="X32">
        <f>HYPERLINK("https://klasma.github.io/Logging_2180/tillsyn/A 14891-2024 tillsynsbegäran.docx", "A 14891-2024")</f>
        <v/>
      </c>
      <c r="Y32">
        <f>HYPERLINK("https://klasma.github.io/Logging_2180/tillsynsmail/A 14891-2024 tillsynsbegäran mail.docx", "A 14891-2024")</f>
        <v/>
      </c>
    </row>
    <row r="33" ht="15" customHeight="1">
      <c r="A33" t="inlineStr">
        <is>
          <t>A 18215-2024</t>
        </is>
      </c>
      <c r="B33" s="1" t="n">
        <v>45420</v>
      </c>
      <c r="C33" s="1" t="n">
        <v>46200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68.59999999999999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Brunklöver
Tjäder
Huggorm</t>
        </is>
      </c>
      <c r="S33">
        <f>HYPERLINK("https://klasma.github.io/Logging_2180/artfynd/A 18215-2024 artfynd.xlsx", "A 18215-2024")</f>
        <v/>
      </c>
      <c r="T33">
        <f>HYPERLINK("https://klasma.github.io/Logging_2180/kartor/A 18215-2024 karta.png", "A 18215-2024")</f>
        <v/>
      </c>
      <c r="V33">
        <f>HYPERLINK("https://klasma.github.io/Logging_2180/klagomål/A 18215-2024 FSC-klagomål.docx", "A 18215-2024")</f>
        <v/>
      </c>
      <c r="W33">
        <f>HYPERLINK("https://klasma.github.io/Logging_2180/klagomålsmail/A 18215-2024 FSC-klagomål mail.docx", "A 18215-2024")</f>
        <v/>
      </c>
      <c r="X33">
        <f>HYPERLINK("https://klasma.github.io/Logging_2180/tillsyn/A 18215-2024 tillsynsbegäran.docx", "A 18215-2024")</f>
        <v/>
      </c>
      <c r="Y33">
        <f>HYPERLINK("https://klasma.github.io/Logging_2180/tillsynsmail/A 18215-2024 tillsynsbegäran mail.docx", "A 18215-2024")</f>
        <v/>
      </c>
      <c r="Z33">
        <f>HYPERLINK("https://klasma.github.io/Logging_2180/fåglar/A 18215-2024 prioriterade fågelarter.docx", "A 18215-2024")</f>
        <v/>
      </c>
    </row>
    <row r="34" ht="15" customHeight="1">
      <c r="A34" t="inlineStr">
        <is>
          <t>A 29626-2025</t>
        </is>
      </c>
      <c r="B34" s="1" t="n">
        <v>45825</v>
      </c>
      <c r="C34" s="1" t="n">
        <v>46200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Brunklöver
Höstlåsbräken
Mattlummer</t>
        </is>
      </c>
      <c r="S34">
        <f>HYPERLINK("https://klasma.github.io/Logging_2180/artfynd/A 29626-2025 artfynd.xlsx", "A 29626-2025")</f>
        <v/>
      </c>
      <c r="T34">
        <f>HYPERLINK("https://klasma.github.io/Logging_2180/kartor/A 29626-2025 karta.png", "A 29626-2025")</f>
        <v/>
      </c>
      <c r="V34">
        <f>HYPERLINK("https://klasma.github.io/Logging_2180/klagomål/A 29626-2025 FSC-klagomål.docx", "A 29626-2025")</f>
        <v/>
      </c>
      <c r="W34">
        <f>HYPERLINK("https://klasma.github.io/Logging_2180/klagomålsmail/A 29626-2025 FSC-klagomål mail.docx", "A 29626-2025")</f>
        <v/>
      </c>
      <c r="X34">
        <f>HYPERLINK("https://klasma.github.io/Logging_2180/tillsyn/A 29626-2025 tillsynsbegäran.docx", "A 29626-2025")</f>
        <v/>
      </c>
      <c r="Y34">
        <f>HYPERLINK("https://klasma.github.io/Logging_2180/tillsynsmail/A 29626-2025 tillsynsbegäran mail.docx", "A 29626-2025")</f>
        <v/>
      </c>
    </row>
    <row r="35" ht="15" customHeight="1">
      <c r="A35" t="inlineStr">
        <is>
          <t>A 41242-2025</t>
        </is>
      </c>
      <c r="B35" s="1" t="n">
        <v>45898</v>
      </c>
      <c r="C35" s="1" t="n">
        <v>46200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Skrovlig taggsvamp
Kolflarnlav
Tjäder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  <c r="Z35">
        <f>HYPERLINK("https://klasma.github.io/Logging_2180/fåglar/A 41242-2025 prioriterade fågelarter.docx", "A 41242-2025")</f>
        <v/>
      </c>
    </row>
    <row r="36" ht="15" customHeight="1">
      <c r="A36" t="inlineStr">
        <is>
          <t>A 10169-2026</t>
        </is>
      </c>
      <c r="B36" s="1" t="n">
        <v>46076</v>
      </c>
      <c r="C36" s="1" t="n">
        <v>46200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Blåsippa
Vattenfladdermus</t>
        </is>
      </c>
      <c r="S36">
        <f>HYPERLINK("https://klasma.github.io/Logging_2180/artfynd/A 10169-2026 artfynd.xlsx", "A 10169-2026")</f>
        <v/>
      </c>
      <c r="T36">
        <f>HYPERLINK("https://klasma.github.io/Logging_2180/kartor/A 10169-2026 karta.png", "A 10169-2026")</f>
        <v/>
      </c>
      <c r="V36">
        <f>HYPERLINK("https://klasma.github.io/Logging_2180/klagomål/A 10169-2026 FSC-klagomål.docx", "A 10169-2026")</f>
        <v/>
      </c>
      <c r="W36">
        <f>HYPERLINK("https://klasma.github.io/Logging_2180/klagomålsmail/A 10169-2026 FSC-klagomål mail.docx", "A 10169-2026")</f>
        <v/>
      </c>
      <c r="X36">
        <f>HYPERLINK("https://klasma.github.io/Logging_2180/tillsyn/A 10169-2026 tillsynsbegäran.docx", "A 10169-2026")</f>
        <v/>
      </c>
      <c r="Y36">
        <f>HYPERLINK("https://klasma.github.io/Logging_2180/tillsynsmail/A 10169-2026 tillsynsbegäran mail.docx", "A 10169-2026")</f>
        <v/>
      </c>
    </row>
    <row r="37" ht="15" customHeight="1">
      <c r="A37" t="inlineStr">
        <is>
          <t>A 15093-2026</t>
        </is>
      </c>
      <c r="B37" s="1" t="n">
        <v>46105</v>
      </c>
      <c r="C37" s="1" t="n">
        <v>46200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0.8</v>
      </c>
      <c r="H37" t="n">
        <v>0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Lunglav
Bårdlav</t>
        </is>
      </c>
      <c r="S37">
        <f>HYPERLINK("https://klasma.github.io/Logging_2180/artfynd/A 15093-2026 artfynd.xlsx", "A 15093-2026")</f>
        <v/>
      </c>
      <c r="T37">
        <f>HYPERLINK("https://klasma.github.io/Logging_2180/kartor/A 15093-2026 karta.png", "A 15093-2026")</f>
        <v/>
      </c>
      <c r="V37">
        <f>HYPERLINK("https://klasma.github.io/Logging_2180/klagomål/A 15093-2026 FSC-klagomål.docx", "A 15093-2026")</f>
        <v/>
      </c>
      <c r="W37">
        <f>HYPERLINK("https://klasma.github.io/Logging_2180/klagomålsmail/A 15093-2026 FSC-klagomål mail.docx", "A 15093-2026")</f>
        <v/>
      </c>
      <c r="X37">
        <f>HYPERLINK("https://klasma.github.io/Logging_2180/tillsyn/A 15093-2026 tillsynsbegäran.docx", "A 15093-2026")</f>
        <v/>
      </c>
      <c r="Y37">
        <f>HYPERLINK("https://klasma.github.io/Logging_2180/tillsynsmail/A 15093-2026 tillsynsbegäran mail.docx", "A 15093-2026")</f>
        <v/>
      </c>
    </row>
    <row r="38" ht="15" customHeight="1">
      <c r="A38" t="inlineStr">
        <is>
          <t>A 25357-2026</t>
        </is>
      </c>
      <c r="B38" s="1" t="n">
        <v>46176</v>
      </c>
      <c r="C38" s="1" t="n">
        <v>46200</v>
      </c>
      <c r="D38" t="inlineStr">
        <is>
          <t>GÄVLEBORGS LÄN</t>
        </is>
      </c>
      <c r="E38" t="inlineStr">
        <is>
          <t>GÄVLE</t>
        </is>
      </c>
      <c r="G38" t="n">
        <v>2</v>
      </c>
      <c r="H38" t="n">
        <v>3</v>
      </c>
      <c r="I38" t="n">
        <v>0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Pärluggla
Storspov
Sångsvan</t>
        </is>
      </c>
      <c r="S38">
        <f>HYPERLINK("https://klasma.github.io/Logging_2180/artfynd/A 25357-2026 artfynd.xlsx", "A 25357-2026")</f>
        <v/>
      </c>
      <c r="T38">
        <f>HYPERLINK("https://klasma.github.io/Logging_2180/kartor/A 25357-2026 karta.png", "A 25357-2026")</f>
        <v/>
      </c>
      <c r="V38">
        <f>HYPERLINK("https://klasma.github.io/Logging_2180/klagomål/A 25357-2026 FSC-klagomål.docx", "A 25357-2026")</f>
        <v/>
      </c>
      <c r="W38">
        <f>HYPERLINK("https://klasma.github.io/Logging_2180/klagomålsmail/A 25357-2026 FSC-klagomål mail.docx", "A 25357-2026")</f>
        <v/>
      </c>
      <c r="X38">
        <f>HYPERLINK("https://klasma.github.io/Logging_2180/tillsyn/A 25357-2026 tillsynsbegäran.docx", "A 25357-2026")</f>
        <v/>
      </c>
      <c r="Y38">
        <f>HYPERLINK("https://klasma.github.io/Logging_2180/tillsynsmail/A 25357-2026 tillsynsbegäran mail.docx", "A 25357-2026")</f>
        <v/>
      </c>
      <c r="Z38">
        <f>HYPERLINK("https://klasma.github.io/Logging_2180/fåglar/A 25357-2026 prioriterade fågelarter.docx", "A 25357-2026")</f>
        <v/>
      </c>
    </row>
    <row r="39" ht="15" customHeight="1">
      <c r="A39" t="inlineStr">
        <is>
          <t>A 15757-2026</t>
        </is>
      </c>
      <c r="B39" s="1" t="n">
        <v>46107</v>
      </c>
      <c r="C39" s="1" t="n">
        <v>46200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Älg
Spillkråka
Tjäder</t>
        </is>
      </c>
      <c r="S39">
        <f>HYPERLINK("https://klasma.github.io/Logging_2180/artfynd/A 15757-2026 artfynd.xlsx", "A 15757-2026")</f>
        <v/>
      </c>
      <c r="T39">
        <f>HYPERLINK("https://klasma.github.io/Logging_2180/kartor/A 15757-2026 karta.png", "A 15757-2026")</f>
        <v/>
      </c>
      <c r="V39">
        <f>HYPERLINK("https://klasma.github.io/Logging_2180/klagomål/A 15757-2026 FSC-klagomål.docx", "A 15757-2026")</f>
        <v/>
      </c>
      <c r="W39">
        <f>HYPERLINK("https://klasma.github.io/Logging_2180/klagomålsmail/A 15757-2026 FSC-klagomål mail.docx", "A 15757-2026")</f>
        <v/>
      </c>
      <c r="X39">
        <f>HYPERLINK("https://klasma.github.io/Logging_2180/tillsyn/A 15757-2026 tillsynsbegäran.docx", "A 15757-2026")</f>
        <v/>
      </c>
      <c r="Y39">
        <f>HYPERLINK("https://klasma.github.io/Logging_2180/tillsynsmail/A 15757-2026 tillsynsbegäran mail.docx", "A 15757-2026")</f>
        <v/>
      </c>
      <c r="Z39">
        <f>HYPERLINK("https://klasma.github.io/Logging_2180/fåglar/A 15757-2026 prioriterade fågelarter.docx", "A 15757-2026")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46200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46200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46200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32328-2024</t>
        </is>
      </c>
      <c r="B43" s="1" t="n">
        <v>45512</v>
      </c>
      <c r="C43" s="1" t="n">
        <v>46200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Spillkråka
Orre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46200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Järpe</t>
        </is>
      </c>
      <c r="S44">
        <f>HYPERLINK("https://klasma.github.io/Logging_2180/artfynd/A 13727-2025 artfynd.xlsx", "A 13727-2025")</f>
        <v/>
      </c>
      <c r="T44">
        <f>HYPERLINK("https://klasma.github.io/Logging_2180/kartor/A 13727-2025 karta.png", "A 13727-2025")</f>
        <v/>
      </c>
      <c r="V44">
        <f>HYPERLINK("https://klasma.github.io/Logging_2180/klagomål/A 13727-2025 FSC-klagomål.docx", "A 13727-2025")</f>
        <v/>
      </c>
      <c r="W44">
        <f>HYPERLINK("https://klasma.github.io/Logging_2180/klagomålsmail/A 13727-2025 FSC-klagomål mail.docx", "A 13727-2025")</f>
        <v/>
      </c>
      <c r="X44">
        <f>HYPERLINK("https://klasma.github.io/Logging_2180/tillsyn/A 13727-2025 tillsynsbegäran.docx", "A 13727-2025")</f>
        <v/>
      </c>
      <c r="Y44">
        <f>HYPERLINK("https://klasma.github.io/Logging_2180/tillsynsmail/A 13727-2025 tillsynsbegäran mail.docx", "A 13727-2025")</f>
        <v/>
      </c>
      <c r="Z44">
        <f>HYPERLINK("https://klasma.github.io/Logging_2180/fåglar/A 13727-2025 prioriterade fågelarter.docx", "A 13727-2025")</f>
        <v/>
      </c>
    </row>
    <row r="45" ht="15" customHeight="1">
      <c r="A45" t="inlineStr">
        <is>
          <t>A 56538-2022</t>
        </is>
      </c>
      <c r="B45" s="1" t="n">
        <v>44887</v>
      </c>
      <c r="C45" s="1" t="n">
        <v>46200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Dropptaggsvamp
Blåsippa</t>
        </is>
      </c>
      <c r="S45">
        <f>HYPERLINK("https://klasma.github.io/Logging_2180/artfynd/A 56538-2022 artfynd.xlsx", "A 56538-2022")</f>
        <v/>
      </c>
      <c r="T45">
        <f>HYPERLINK("https://klasma.github.io/Logging_2180/kartor/A 56538-2022 karta.png", "A 56538-2022")</f>
        <v/>
      </c>
      <c r="V45">
        <f>HYPERLINK("https://klasma.github.io/Logging_2180/klagomål/A 56538-2022 FSC-klagomål.docx", "A 56538-2022")</f>
        <v/>
      </c>
      <c r="W45">
        <f>HYPERLINK("https://klasma.github.io/Logging_2180/klagomålsmail/A 56538-2022 FSC-klagomål mail.docx", "A 56538-2022")</f>
        <v/>
      </c>
      <c r="X45">
        <f>HYPERLINK("https://klasma.github.io/Logging_2180/tillsyn/A 56538-2022 tillsynsbegäran.docx", "A 56538-2022")</f>
        <v/>
      </c>
      <c r="Y45">
        <f>HYPERLINK("https://klasma.github.io/Logging_2180/tillsynsmail/A 56538-2022 tillsynsbegäran mail.docx", "A 56538-2022")</f>
        <v/>
      </c>
    </row>
    <row r="46" ht="15" customHeight="1">
      <c r="A46" t="inlineStr">
        <is>
          <t>A 18218-2024</t>
        </is>
      </c>
      <c r="B46" s="1" t="n">
        <v>45420</v>
      </c>
      <c r="C46" s="1" t="n">
        <v>46200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13.1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Havsörn</t>
        </is>
      </c>
      <c r="S46">
        <f>HYPERLINK("https://klasma.github.io/Logging_2180/artfynd/A 18218-2024 artfynd.xlsx", "A 18218-2024")</f>
        <v/>
      </c>
      <c r="T46">
        <f>HYPERLINK("https://klasma.github.io/Logging_2180/kartor/A 18218-2024 karta.png", "A 18218-2024")</f>
        <v/>
      </c>
      <c r="V46">
        <f>HYPERLINK("https://klasma.github.io/Logging_2180/klagomål/A 18218-2024 FSC-klagomål.docx", "A 18218-2024")</f>
        <v/>
      </c>
      <c r="W46">
        <f>HYPERLINK("https://klasma.github.io/Logging_2180/klagomålsmail/A 18218-2024 FSC-klagomål mail.docx", "A 18218-2024")</f>
        <v/>
      </c>
      <c r="X46">
        <f>HYPERLINK("https://klasma.github.io/Logging_2180/tillsyn/A 18218-2024 tillsynsbegäran.docx", "A 18218-2024")</f>
        <v/>
      </c>
      <c r="Y46">
        <f>HYPERLINK("https://klasma.github.io/Logging_2180/tillsynsmail/A 18218-2024 tillsynsbegäran mail.docx", "A 18218-2024")</f>
        <v/>
      </c>
      <c r="Z46">
        <f>HYPERLINK("https://klasma.github.io/Logging_2180/fåglar/A 18218-2024 prioriterade fågelarter.docx", "A 18218-2024")</f>
        <v/>
      </c>
    </row>
    <row r="47" ht="15" customHeight="1">
      <c r="A47" t="inlineStr">
        <is>
          <t>A 64533-2023</t>
        </is>
      </c>
      <c r="B47" s="1" t="n">
        <v>45281</v>
      </c>
      <c r="C47" s="1" t="n">
        <v>46200</v>
      </c>
      <c r="D47" t="inlineStr">
        <is>
          <t>GÄVLEBORGS LÄN</t>
        </is>
      </c>
      <c r="E47" t="inlineStr">
        <is>
          <t>GÄVLE</t>
        </is>
      </c>
      <c r="G47" t="n">
        <v>1.1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Aspvedgnagare
Jättesvampmal</t>
        </is>
      </c>
      <c r="S47">
        <f>HYPERLINK("https://klasma.github.io/Logging_2180/artfynd/A 64533-2023 artfynd.xlsx", "A 64533-2023")</f>
        <v/>
      </c>
      <c r="T47">
        <f>HYPERLINK("https://klasma.github.io/Logging_2180/kartor/A 64533-2023 karta.png", "A 64533-2023")</f>
        <v/>
      </c>
      <c r="V47">
        <f>HYPERLINK("https://klasma.github.io/Logging_2180/klagomål/A 64533-2023 FSC-klagomål.docx", "A 64533-2023")</f>
        <v/>
      </c>
      <c r="W47">
        <f>HYPERLINK("https://klasma.github.io/Logging_2180/klagomålsmail/A 64533-2023 FSC-klagomål mail.docx", "A 64533-2023")</f>
        <v/>
      </c>
      <c r="X47">
        <f>HYPERLINK("https://klasma.github.io/Logging_2180/tillsyn/A 64533-2023 tillsynsbegäran.docx", "A 64533-2023")</f>
        <v/>
      </c>
      <c r="Y47">
        <f>HYPERLINK("https://klasma.github.io/Logging_2180/tillsynsmail/A 64533-2023 tillsynsbegäran mail.docx", "A 64533-2023")</f>
        <v/>
      </c>
    </row>
    <row r="48" ht="15" customHeight="1">
      <c r="A48" t="inlineStr">
        <is>
          <t>A 6473-2024</t>
        </is>
      </c>
      <c r="B48" s="1" t="n">
        <v>45338</v>
      </c>
      <c r="C48" s="1" t="n">
        <v>46200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Tibast
Nattviol</t>
        </is>
      </c>
      <c r="S48">
        <f>HYPERLINK("https://klasma.github.io/Logging_2180/artfynd/A 6473-2024 artfynd.xlsx", "A 6473-2024")</f>
        <v/>
      </c>
      <c r="T48">
        <f>HYPERLINK("https://klasma.github.io/Logging_2180/kartor/A 6473-2024 karta.png", "A 6473-2024")</f>
        <v/>
      </c>
      <c r="V48">
        <f>HYPERLINK("https://klasma.github.io/Logging_2180/klagomål/A 6473-2024 FSC-klagomål.docx", "A 6473-2024")</f>
        <v/>
      </c>
      <c r="W48">
        <f>HYPERLINK("https://klasma.github.io/Logging_2180/klagomålsmail/A 6473-2024 FSC-klagomål mail.docx", "A 6473-2024")</f>
        <v/>
      </c>
      <c r="X48">
        <f>HYPERLINK("https://klasma.github.io/Logging_2180/tillsyn/A 6473-2024 tillsynsbegäran.docx", "A 6473-2024")</f>
        <v/>
      </c>
      <c r="Y48">
        <f>HYPERLINK("https://klasma.github.io/Logging_2180/tillsynsmail/A 6473-2024 tillsynsbegäran mail.docx", "A 6473-2024")</f>
        <v/>
      </c>
    </row>
    <row r="49" ht="15" customHeight="1">
      <c r="A49" t="inlineStr">
        <is>
          <t>A 35989-2024</t>
        </is>
      </c>
      <c r="B49" s="1" t="n">
        <v>45533</v>
      </c>
      <c r="C49" s="1" t="n">
        <v>46200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Jättesvampmal</t>
        </is>
      </c>
      <c r="S49">
        <f>HYPERLINK("https://klasma.github.io/Logging_2180/artfynd/A 35989-2024 artfynd.xlsx", "A 35989-2024")</f>
        <v/>
      </c>
      <c r="T49">
        <f>HYPERLINK("https://klasma.github.io/Logging_2180/kartor/A 35989-2024 karta.png", "A 35989-2024")</f>
        <v/>
      </c>
      <c r="U49">
        <f>HYPERLINK("https://klasma.github.io/Logging_2180/knärot/A 35989-2024 karta knärot.png", "A 35989-2024")</f>
        <v/>
      </c>
      <c r="V49">
        <f>HYPERLINK("https://klasma.github.io/Logging_2180/klagomål/A 35989-2024 FSC-klagomål.docx", "A 35989-2024")</f>
        <v/>
      </c>
      <c r="W49">
        <f>HYPERLINK("https://klasma.github.io/Logging_2180/klagomålsmail/A 35989-2024 FSC-klagomål mail.docx", "A 35989-2024")</f>
        <v/>
      </c>
      <c r="X49">
        <f>HYPERLINK("https://klasma.github.io/Logging_2180/tillsyn/A 35989-2024 tillsynsbegäran.docx", "A 35989-2024")</f>
        <v/>
      </c>
      <c r="Y49">
        <f>HYPERLINK("https://klasma.github.io/Logging_2180/tillsynsmail/A 35989-2024 tillsynsbegäran mail.docx", "A 35989-2024")</f>
        <v/>
      </c>
    </row>
    <row r="50" ht="15" customHeight="1">
      <c r="A50" t="inlineStr">
        <is>
          <t>A 50049-2025</t>
        </is>
      </c>
      <c r="B50" s="1" t="n">
        <v>45943</v>
      </c>
      <c r="C50" s="1" t="n">
        <v>46200</v>
      </c>
      <c r="D50" t="inlineStr">
        <is>
          <t>GÄVLEBORGS LÄN</t>
        </is>
      </c>
      <c r="E50" t="inlineStr">
        <is>
          <t>GÄVLE</t>
        </is>
      </c>
      <c r="F50" t="inlineStr">
        <is>
          <t>Kyrkan</t>
        </is>
      </c>
      <c r="G50" t="n">
        <v>10.3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HYPERLINK("https://klasma.github.io/Logging_2180/artfynd/A 50049-2025 artfynd.xlsx", "A 50049-2025")</f>
        <v/>
      </c>
      <c r="T50">
        <f>HYPERLINK("https://klasma.github.io/Logging_2180/kartor/A 50049-2025 karta.png", "A 50049-2025")</f>
        <v/>
      </c>
      <c r="V50">
        <f>HYPERLINK("https://klasma.github.io/Logging_2180/klagomål/A 50049-2025 FSC-klagomål.docx", "A 50049-2025")</f>
        <v/>
      </c>
      <c r="W50">
        <f>HYPERLINK("https://klasma.github.io/Logging_2180/klagomålsmail/A 50049-2025 FSC-klagomål mail.docx", "A 50049-2025")</f>
        <v/>
      </c>
      <c r="X50">
        <f>HYPERLINK("https://klasma.github.io/Logging_2180/tillsyn/A 50049-2025 tillsynsbegäran.docx", "A 50049-2025")</f>
        <v/>
      </c>
      <c r="Y50">
        <f>HYPERLINK("https://klasma.github.io/Logging_2180/tillsynsmail/A 50049-2025 tillsynsbegäran mail.docx", "A 50049-2025")</f>
        <v/>
      </c>
    </row>
    <row r="51" ht="15" customHeight="1">
      <c r="A51" t="inlineStr">
        <is>
          <t>A 41213-2025</t>
        </is>
      </c>
      <c r="B51" s="1" t="n">
        <v>45898</v>
      </c>
      <c r="C51" s="1" t="n">
        <v>46200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Reliktbock
Vedflamlav</t>
        </is>
      </c>
      <c r="S51">
        <f>HYPERLINK("https://klasma.github.io/Logging_2180/artfynd/A 41213-2025 artfynd.xlsx", "A 41213-2025")</f>
        <v/>
      </c>
      <c r="T51">
        <f>HYPERLINK("https://klasma.github.io/Logging_2180/kartor/A 41213-2025 karta.png", "A 41213-2025")</f>
        <v/>
      </c>
      <c r="V51">
        <f>HYPERLINK("https://klasma.github.io/Logging_2180/klagomål/A 41213-2025 FSC-klagomål.docx", "A 41213-2025")</f>
        <v/>
      </c>
      <c r="W51">
        <f>HYPERLINK("https://klasma.github.io/Logging_2180/klagomålsmail/A 41213-2025 FSC-klagomål mail.docx", "A 41213-2025")</f>
        <v/>
      </c>
      <c r="X51">
        <f>HYPERLINK("https://klasma.github.io/Logging_2180/tillsyn/A 41213-2025 tillsynsbegäran.docx", "A 41213-2025")</f>
        <v/>
      </c>
      <c r="Y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s="1" t="n">
        <v>45903</v>
      </c>
      <c r="C52" s="1" t="n">
        <v>46200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15.6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Svavelriska
Blåsippa</t>
        </is>
      </c>
      <c r="S52">
        <f>HYPERLINK("https://klasma.github.io/Logging_2180/artfynd/A 42261-2025 artfynd.xlsx", "A 42261-2025")</f>
        <v/>
      </c>
      <c r="T52">
        <f>HYPERLINK("https://klasma.github.io/Logging_2180/kartor/A 42261-2025 karta.png", "A 42261-2025")</f>
        <v/>
      </c>
      <c r="V52">
        <f>HYPERLINK("https://klasma.github.io/Logging_2180/klagomål/A 42261-2025 FSC-klagomål.docx", "A 42261-2025")</f>
        <v/>
      </c>
      <c r="W52">
        <f>HYPERLINK("https://klasma.github.io/Logging_2180/klagomålsmail/A 42261-2025 FSC-klagomål mail.docx", "A 42261-2025")</f>
        <v/>
      </c>
      <c r="X52">
        <f>HYPERLINK("https://klasma.github.io/Logging_2180/tillsyn/A 42261-2025 tillsynsbegäran.docx", "A 42261-2025")</f>
        <v/>
      </c>
      <c r="Y52">
        <f>HYPERLINK("https://klasma.github.io/Logging_2180/tillsynsmail/A 42261-2025 tillsynsbegäran mail.docx", "A 42261-2025")</f>
        <v/>
      </c>
    </row>
    <row r="53" ht="15" customHeight="1">
      <c r="A53" t="inlineStr">
        <is>
          <t>A 23447-2025</t>
        </is>
      </c>
      <c r="B53" s="1" t="n">
        <v>45792</v>
      </c>
      <c r="C53" s="1" t="n">
        <v>46200</v>
      </c>
      <c r="D53" t="inlineStr">
        <is>
          <t>GÄVLEBORGS LÄN</t>
        </is>
      </c>
      <c r="E53" t="inlineStr">
        <is>
          <t>GÄVLE</t>
        </is>
      </c>
      <c r="G53" t="n">
        <v>1.1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Kopparödla
Fläcknycklar</t>
        </is>
      </c>
      <c r="S53">
        <f>HYPERLINK("https://klasma.github.io/Logging_2180/artfynd/A 23447-2025 artfynd.xlsx", "A 23447-2025")</f>
        <v/>
      </c>
      <c r="T53">
        <f>HYPERLINK("https://klasma.github.io/Logging_2180/kartor/A 23447-2025 karta.png", "A 23447-2025")</f>
        <v/>
      </c>
      <c r="V53">
        <f>HYPERLINK("https://klasma.github.io/Logging_2180/klagomål/A 23447-2025 FSC-klagomål.docx", "A 23447-2025")</f>
        <v/>
      </c>
      <c r="W53">
        <f>HYPERLINK("https://klasma.github.io/Logging_2180/klagomålsmail/A 23447-2025 FSC-klagomål mail.docx", "A 23447-2025")</f>
        <v/>
      </c>
      <c r="X53">
        <f>HYPERLINK("https://klasma.github.io/Logging_2180/tillsyn/A 23447-2025 tillsynsbegäran.docx", "A 23447-2025")</f>
        <v/>
      </c>
      <c r="Y53">
        <f>HYPERLINK("https://klasma.github.io/Logging_2180/tillsynsmail/A 23447-2025 tillsynsbegäran mail.docx", "A 23447-2025")</f>
        <v/>
      </c>
    </row>
    <row r="54" ht="15" customHeight="1">
      <c r="A54" t="inlineStr">
        <is>
          <t>A 60202-2025</t>
        </is>
      </c>
      <c r="B54" s="1" t="n">
        <v>45994</v>
      </c>
      <c r="C54" s="1" t="n">
        <v>46200</v>
      </c>
      <c r="D54" t="inlineStr">
        <is>
          <t>GÄVLEBORGS LÄN</t>
        </is>
      </c>
      <c r="E54" t="inlineStr">
        <is>
          <t>GÄVLE</t>
        </is>
      </c>
      <c r="G54" t="n">
        <v>4.3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Garnlav
Spillkråka</t>
        </is>
      </c>
      <c r="S54">
        <f>HYPERLINK("https://klasma.github.io/Logging_2180/artfynd/A 60202-2025 artfynd.xlsx", "A 60202-2025")</f>
        <v/>
      </c>
      <c r="T54">
        <f>HYPERLINK("https://klasma.github.io/Logging_2180/kartor/A 60202-2025 karta.png", "A 60202-2025")</f>
        <v/>
      </c>
      <c r="V54">
        <f>HYPERLINK("https://klasma.github.io/Logging_2180/klagomål/A 60202-2025 FSC-klagomål.docx", "A 60202-2025")</f>
        <v/>
      </c>
      <c r="W54">
        <f>HYPERLINK("https://klasma.github.io/Logging_2180/klagomålsmail/A 60202-2025 FSC-klagomål mail.docx", "A 60202-2025")</f>
        <v/>
      </c>
      <c r="X54">
        <f>HYPERLINK("https://klasma.github.io/Logging_2180/tillsyn/A 60202-2025 tillsynsbegäran.docx", "A 60202-2025")</f>
        <v/>
      </c>
      <c r="Y54">
        <f>HYPERLINK("https://klasma.github.io/Logging_2180/tillsynsmail/A 60202-2025 tillsynsbegäran mail.docx", "A 60202-2025")</f>
        <v/>
      </c>
      <c r="Z54">
        <f>HYPERLINK("https://klasma.github.io/Logging_2180/fåglar/A 60202-2025 prioriterade fågelarter.docx", "A 60202-2025")</f>
        <v/>
      </c>
    </row>
    <row r="55" ht="15" customHeight="1">
      <c r="A55" t="inlineStr">
        <is>
          <t>A 14554-2026</t>
        </is>
      </c>
      <c r="B55" s="1" t="n">
        <v>46100</v>
      </c>
      <c r="C55" s="1" t="n">
        <v>46200</v>
      </c>
      <c r="D55" t="inlineStr">
        <is>
          <t>GÄVLEBORGS LÄN</t>
        </is>
      </c>
      <c r="E55" t="inlineStr">
        <is>
          <t>GÄVLE</t>
        </is>
      </c>
      <c r="F55" t="inlineStr">
        <is>
          <t>Övriga statliga verk och myndigheter</t>
        </is>
      </c>
      <c r="G55" t="n">
        <v>6.6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Väddnätfjäril
Sotnätfjäril</t>
        </is>
      </c>
      <c r="S55">
        <f>HYPERLINK("https://klasma.github.io/Logging_2180/artfynd/A 14554-2026 artfynd.xlsx", "A 14554-2026")</f>
        <v/>
      </c>
      <c r="T55">
        <f>HYPERLINK("https://klasma.github.io/Logging_2180/kartor/A 14554-2026 karta.png", "A 14554-2026")</f>
        <v/>
      </c>
      <c r="V55">
        <f>HYPERLINK("https://klasma.github.io/Logging_2180/klagomål/A 14554-2026 FSC-klagomål.docx", "A 14554-2026")</f>
        <v/>
      </c>
      <c r="W55">
        <f>HYPERLINK("https://klasma.github.io/Logging_2180/klagomålsmail/A 14554-2026 FSC-klagomål mail.docx", "A 14554-2026")</f>
        <v/>
      </c>
      <c r="X55">
        <f>HYPERLINK("https://klasma.github.io/Logging_2180/tillsyn/A 14554-2026 tillsynsbegäran.docx", "A 14554-2026")</f>
        <v/>
      </c>
      <c r="Y55">
        <f>HYPERLINK("https://klasma.github.io/Logging_2180/tillsynsmail/A 14554-2026 tillsynsbegäran mail.docx", "A 14554-2026")</f>
        <v/>
      </c>
    </row>
    <row r="56" ht="15" customHeight="1">
      <c r="A56" t="inlineStr">
        <is>
          <t>A 13487-2026</t>
        </is>
      </c>
      <c r="B56" s="1" t="n">
        <v>46094</v>
      </c>
      <c r="C56" s="1" t="n">
        <v>46200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0.6</v>
      </c>
      <c r="H56" t="n">
        <v>2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Pärluggla
Sparvuggla</t>
        </is>
      </c>
      <c r="S56">
        <f>HYPERLINK("https://klasma.github.io/Logging_2180/artfynd/A 13487-2026 artfynd.xlsx", "A 13487-2026")</f>
        <v/>
      </c>
      <c r="T56">
        <f>HYPERLINK("https://klasma.github.io/Logging_2180/kartor/A 13487-2026 karta.png", "A 13487-2026")</f>
        <v/>
      </c>
      <c r="V56">
        <f>HYPERLINK("https://klasma.github.io/Logging_2180/klagomål/A 13487-2026 FSC-klagomål.docx", "A 13487-2026")</f>
        <v/>
      </c>
      <c r="W56">
        <f>HYPERLINK("https://klasma.github.io/Logging_2180/klagomålsmail/A 13487-2026 FSC-klagomål mail.docx", "A 13487-2026")</f>
        <v/>
      </c>
      <c r="X56">
        <f>HYPERLINK("https://klasma.github.io/Logging_2180/tillsyn/A 13487-2026 tillsynsbegäran.docx", "A 13487-2026")</f>
        <v/>
      </c>
      <c r="Y56">
        <f>HYPERLINK("https://klasma.github.io/Logging_2180/tillsynsmail/A 13487-2026 tillsynsbegäran mail.docx", "A 13487-2026")</f>
        <v/>
      </c>
      <c r="Z56">
        <f>HYPERLINK("https://klasma.github.io/Logging_2180/fåglar/A 13487-2026 prioriterade fågelarter.docx", "A 13487-2026")</f>
        <v/>
      </c>
    </row>
    <row r="57" ht="15" customHeight="1">
      <c r="A57" t="inlineStr">
        <is>
          <t>A 23257-2026</t>
        </is>
      </c>
      <c r="B57" s="1" t="n">
        <v>46162</v>
      </c>
      <c r="C57" s="1" t="n">
        <v>46200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Kattfotslav
Havsörn</t>
        </is>
      </c>
      <c r="S57">
        <f>HYPERLINK("https://klasma.github.io/Logging_2180/artfynd/A 23257-2026 artfynd.xlsx", "A 23257-2026")</f>
        <v/>
      </c>
      <c r="T57">
        <f>HYPERLINK("https://klasma.github.io/Logging_2180/kartor/A 23257-2026 karta.png", "A 23257-2026")</f>
        <v/>
      </c>
      <c r="V57">
        <f>HYPERLINK("https://klasma.github.io/Logging_2180/klagomål/A 23257-2026 FSC-klagomål.docx", "A 23257-2026")</f>
        <v/>
      </c>
      <c r="W57">
        <f>HYPERLINK("https://klasma.github.io/Logging_2180/klagomålsmail/A 23257-2026 FSC-klagomål mail.docx", "A 23257-2026")</f>
        <v/>
      </c>
      <c r="X57">
        <f>HYPERLINK("https://klasma.github.io/Logging_2180/tillsyn/A 23257-2026 tillsynsbegäran.docx", "A 23257-2026")</f>
        <v/>
      </c>
      <c r="Y57">
        <f>HYPERLINK("https://klasma.github.io/Logging_2180/tillsynsmail/A 23257-2026 tillsynsbegäran mail.docx", "A 23257-2026")</f>
        <v/>
      </c>
      <c r="Z57">
        <f>HYPERLINK("https://klasma.github.io/Logging_2180/fåglar/A 23257-2026 prioriterade fågelarter.docx", "A 23257-2026")</f>
        <v/>
      </c>
    </row>
    <row r="58" ht="15" customHeight="1">
      <c r="A58" t="inlineStr">
        <is>
          <t>A 24310-2026</t>
        </is>
      </c>
      <c r="B58" s="1" t="n">
        <v>46169</v>
      </c>
      <c r="C58" s="1" t="n">
        <v>46200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2.5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Garnlav
Kattfotslav</t>
        </is>
      </c>
      <c r="S58">
        <f>HYPERLINK("https://klasma.github.io/Logging_2180/artfynd/A 24310-2026 artfynd.xlsx", "A 24310-2026")</f>
        <v/>
      </c>
      <c r="T58">
        <f>HYPERLINK("https://klasma.github.io/Logging_2180/kartor/A 24310-2026 karta.png", "A 24310-2026")</f>
        <v/>
      </c>
      <c r="V58">
        <f>HYPERLINK("https://klasma.github.io/Logging_2180/klagomål/A 24310-2026 FSC-klagomål.docx", "A 24310-2026")</f>
        <v/>
      </c>
      <c r="W58">
        <f>HYPERLINK("https://klasma.github.io/Logging_2180/klagomålsmail/A 24310-2026 FSC-klagomål mail.docx", "A 24310-2026")</f>
        <v/>
      </c>
      <c r="X58">
        <f>HYPERLINK("https://klasma.github.io/Logging_2180/tillsyn/A 24310-2026 tillsynsbegäran.docx", "A 24310-2026")</f>
        <v/>
      </c>
      <c r="Y58">
        <f>HYPERLINK("https://klasma.github.io/Logging_2180/tillsynsmail/A 24310-2026 tillsynsbegäran mail.docx", "A 24310-2026")</f>
        <v/>
      </c>
    </row>
    <row r="59" ht="15" customHeight="1">
      <c r="A59" t="inlineStr">
        <is>
          <t>A 24915-2026</t>
        </is>
      </c>
      <c r="B59" s="1" t="n">
        <v>46174</v>
      </c>
      <c r="C59" s="1" t="n">
        <v>46200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3.1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Höstlåsbräken
Månlåsbräken</t>
        </is>
      </c>
      <c r="S59">
        <f>HYPERLINK("https://klasma.github.io/Logging_2180/artfynd/A 24915-2026 artfynd.xlsx", "A 24915-2026")</f>
        <v/>
      </c>
      <c r="T59">
        <f>HYPERLINK("https://klasma.github.io/Logging_2180/kartor/A 24915-2026 karta.png", "A 24915-2026")</f>
        <v/>
      </c>
      <c r="V59">
        <f>HYPERLINK("https://klasma.github.io/Logging_2180/klagomål/A 24915-2026 FSC-klagomål.docx", "A 24915-2026")</f>
        <v/>
      </c>
      <c r="W59">
        <f>HYPERLINK("https://klasma.github.io/Logging_2180/klagomålsmail/A 24915-2026 FSC-klagomål mail.docx", "A 24915-2026")</f>
        <v/>
      </c>
      <c r="X59">
        <f>HYPERLINK("https://klasma.github.io/Logging_2180/tillsyn/A 24915-2026 tillsynsbegäran.docx", "A 24915-2026")</f>
        <v/>
      </c>
      <c r="Y59">
        <f>HYPERLINK("https://klasma.github.io/Logging_2180/tillsynsmail/A 24915-2026 tillsynsbegäran mail.docx", "A 24915-2026")</f>
        <v/>
      </c>
    </row>
    <row r="60" ht="15" customHeight="1">
      <c r="A60" t="inlineStr">
        <is>
          <t>A 13248-2026</t>
        </is>
      </c>
      <c r="B60" s="1" t="n">
        <v>46093</v>
      </c>
      <c r="C60" s="1" t="n">
        <v>46200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Kattfotslav
Fläcknycklar</t>
        </is>
      </c>
      <c r="S60">
        <f>HYPERLINK("https://klasma.github.io/Logging_2180/artfynd/A 13248-2026 artfynd.xlsx", "A 13248-2026")</f>
        <v/>
      </c>
      <c r="T60">
        <f>HYPERLINK("https://klasma.github.io/Logging_2180/kartor/A 13248-2026 karta.png", "A 13248-2026")</f>
        <v/>
      </c>
      <c r="V60">
        <f>HYPERLINK("https://klasma.github.io/Logging_2180/klagomål/A 13248-2026 FSC-klagomål.docx", "A 13248-2026")</f>
        <v/>
      </c>
      <c r="W60">
        <f>HYPERLINK("https://klasma.github.io/Logging_2180/klagomålsmail/A 13248-2026 FSC-klagomål mail.docx", "A 13248-2026")</f>
        <v/>
      </c>
      <c r="X60">
        <f>HYPERLINK("https://klasma.github.io/Logging_2180/tillsyn/A 13248-2026 tillsynsbegäran.docx", "A 13248-2026")</f>
        <v/>
      </c>
      <c r="Y60">
        <f>HYPERLINK("https://klasma.github.io/Logging_2180/tillsynsmail/A 13248-2026 tillsynsbegäran mail.docx", "A 13248-2026")</f>
        <v/>
      </c>
    </row>
    <row r="61" ht="15" customHeight="1">
      <c r="A61" t="inlineStr">
        <is>
          <t>A 19718-2026</t>
        </is>
      </c>
      <c r="B61" s="1" t="n">
        <v>46134</v>
      </c>
      <c r="C61" s="1" t="n">
        <v>46200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10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Rödvingetrast
Nattskärra</t>
        </is>
      </c>
      <c r="S61">
        <f>HYPERLINK("https://klasma.github.io/Logging_2180/artfynd/A 19718-2026 artfynd.xlsx", "A 19718-2026")</f>
        <v/>
      </c>
      <c r="T61">
        <f>HYPERLINK("https://klasma.github.io/Logging_2180/kartor/A 19718-2026 karta.png", "A 19718-2026")</f>
        <v/>
      </c>
      <c r="V61">
        <f>HYPERLINK("https://klasma.github.io/Logging_2180/klagomål/A 19718-2026 FSC-klagomål.docx", "A 19718-2026")</f>
        <v/>
      </c>
      <c r="W61">
        <f>HYPERLINK("https://klasma.github.io/Logging_2180/klagomålsmail/A 19718-2026 FSC-klagomål mail.docx", "A 19718-2026")</f>
        <v/>
      </c>
      <c r="X61">
        <f>HYPERLINK("https://klasma.github.io/Logging_2180/tillsyn/A 19718-2026 tillsynsbegäran.docx", "A 19718-2026")</f>
        <v/>
      </c>
      <c r="Y61">
        <f>HYPERLINK("https://klasma.github.io/Logging_2180/tillsynsmail/A 19718-2026 tillsynsbegäran mail.docx", "A 19718-2026")</f>
        <v/>
      </c>
      <c r="Z61">
        <f>HYPERLINK("https://klasma.github.io/Logging_2180/fåglar/A 19718-2026 prioriterade fågelarter.docx", "A 19718-2026")</f>
        <v/>
      </c>
    </row>
    <row r="62" ht="15" customHeight="1">
      <c r="A62" t="inlineStr">
        <is>
          <t>A 20323-2026</t>
        </is>
      </c>
      <c r="B62" s="1" t="n">
        <v>46139</v>
      </c>
      <c r="C62" s="1" t="n">
        <v>46200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2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 sköldmossa
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27045-2026</t>
        </is>
      </c>
      <c r="B63" s="1" t="n">
        <v>46185</v>
      </c>
      <c r="C63" s="1" t="n">
        <v>46200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3.1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Höstlåsbräken
Månlåsbräken</t>
        </is>
      </c>
      <c r="S63">
        <f>HYPERLINK("https://klasma.github.io/Logging_2180/artfynd/A 27045-2026 artfynd.xlsx", "A 27045-2026")</f>
        <v/>
      </c>
      <c r="T63">
        <f>HYPERLINK("https://klasma.github.io/Logging_2180/kartor/A 27045-2026 karta.png", "A 27045-2026")</f>
        <v/>
      </c>
      <c r="V63">
        <f>HYPERLINK("https://klasma.github.io/Logging_2180/klagomål/A 27045-2026 FSC-klagomål.docx", "A 27045-2026")</f>
        <v/>
      </c>
      <c r="W63">
        <f>HYPERLINK("https://klasma.github.io/Logging_2180/klagomålsmail/A 27045-2026 FSC-klagomål mail.docx", "A 27045-2026")</f>
        <v/>
      </c>
      <c r="X63">
        <f>HYPERLINK("https://klasma.github.io/Logging_2180/tillsyn/A 27045-2026 tillsynsbegäran.docx", "A 27045-2026")</f>
        <v/>
      </c>
      <c r="Y63">
        <f>HYPERLINK("https://klasma.github.io/Logging_2180/tillsynsmail/A 27045-2026 tillsynsbegäran mail.docx", "A 27045-2026")</f>
        <v/>
      </c>
    </row>
    <row r="64" ht="15" customHeight="1">
      <c r="A64" t="inlineStr">
        <is>
          <t>A 27054-2026</t>
        </is>
      </c>
      <c r="B64" s="1" t="n">
        <v>46185</v>
      </c>
      <c r="C64" s="1" t="n">
        <v>46200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Kattfotslav</t>
        </is>
      </c>
      <c r="S64">
        <f>HYPERLINK("https://klasma.github.io/Logging_2180/artfynd/A 27054-2026 artfynd.xlsx", "A 27054-2026")</f>
        <v/>
      </c>
      <c r="T64">
        <f>HYPERLINK("https://klasma.github.io/Logging_2180/kartor/A 27054-2026 karta.png", "A 27054-2026")</f>
        <v/>
      </c>
      <c r="V64">
        <f>HYPERLINK("https://klasma.github.io/Logging_2180/klagomål/A 27054-2026 FSC-klagomål.docx", "A 27054-2026")</f>
        <v/>
      </c>
      <c r="W64">
        <f>HYPERLINK("https://klasma.github.io/Logging_2180/klagomålsmail/A 27054-2026 FSC-klagomål mail.docx", "A 27054-2026")</f>
        <v/>
      </c>
      <c r="X64">
        <f>HYPERLINK("https://klasma.github.io/Logging_2180/tillsyn/A 27054-2026 tillsynsbegäran.docx", "A 27054-2026")</f>
        <v/>
      </c>
      <c r="Y64">
        <f>HYPERLINK("https://klasma.github.io/Logging_2180/tillsynsmail/A 27054-2026 tillsynsbegäran mail.docx", "A 27054-2026")</f>
        <v/>
      </c>
    </row>
    <row r="65" ht="15" customHeight="1">
      <c r="A65" t="inlineStr">
        <is>
          <t>A 14701-2026</t>
        </is>
      </c>
      <c r="B65" s="1" t="n">
        <v>46101</v>
      </c>
      <c r="C65" s="1" t="n">
        <v>46200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2.8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Tjäder
Fläcknycklar</t>
        </is>
      </c>
      <c r="S65">
        <f>HYPERLINK("https://klasma.github.io/Logging_2180/artfynd/A 14701-2026 artfynd.xlsx", "A 14701-2026")</f>
        <v/>
      </c>
      <c r="T65">
        <f>HYPERLINK("https://klasma.github.io/Logging_2180/kartor/A 14701-2026 karta.png", "A 14701-2026")</f>
        <v/>
      </c>
      <c r="V65">
        <f>HYPERLINK("https://klasma.github.io/Logging_2180/klagomål/A 14701-2026 FSC-klagomål.docx", "A 14701-2026")</f>
        <v/>
      </c>
      <c r="W65">
        <f>HYPERLINK("https://klasma.github.io/Logging_2180/klagomålsmail/A 14701-2026 FSC-klagomål mail.docx", "A 14701-2026")</f>
        <v/>
      </c>
      <c r="X65">
        <f>HYPERLINK("https://klasma.github.io/Logging_2180/tillsyn/A 14701-2026 tillsynsbegäran.docx", "A 14701-2026")</f>
        <v/>
      </c>
      <c r="Y65">
        <f>HYPERLINK("https://klasma.github.io/Logging_2180/tillsynsmail/A 14701-2026 tillsynsbegäran mail.docx", "A 14701-2026")</f>
        <v/>
      </c>
      <c r="Z65">
        <f>HYPERLINK("https://klasma.github.io/Logging_2180/fåglar/A 14701-2026 prioriterade fågelarter.docx", "A 14701-2026")</f>
        <v/>
      </c>
    </row>
    <row r="66" ht="15" customHeight="1">
      <c r="A66" t="inlineStr">
        <is>
          <t>A 17297-2026</t>
        </is>
      </c>
      <c r="B66" s="1" t="n">
        <v>46119</v>
      </c>
      <c r="C66" s="1" t="n">
        <v>46200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Slåtterfibbla
Blåsippa</t>
        </is>
      </c>
      <c r="S66">
        <f>HYPERLINK("https://klasma.github.io/Logging_2180/artfynd/A 17297-2026 artfynd.xlsx", "A 17297-2026")</f>
        <v/>
      </c>
      <c r="T66">
        <f>HYPERLINK("https://klasma.github.io/Logging_2180/kartor/A 17297-2026 karta.png", "A 17297-2026")</f>
        <v/>
      </c>
      <c r="V66">
        <f>HYPERLINK("https://klasma.github.io/Logging_2180/klagomål/A 17297-2026 FSC-klagomål.docx", "A 17297-2026")</f>
        <v/>
      </c>
      <c r="W66">
        <f>HYPERLINK("https://klasma.github.io/Logging_2180/klagomålsmail/A 17297-2026 FSC-klagomål mail.docx", "A 17297-2026")</f>
        <v/>
      </c>
      <c r="X66">
        <f>HYPERLINK("https://klasma.github.io/Logging_2180/tillsyn/A 17297-2026 tillsynsbegäran.docx", "A 17297-2026")</f>
        <v/>
      </c>
      <c r="Y66">
        <f>HYPERLINK("https://klasma.github.io/Logging_2180/tillsynsmail/A 17297-2026 tillsynsbegäran mail.docx", "A 17297-2026")</f>
        <v/>
      </c>
    </row>
    <row r="67" ht="15" customHeight="1">
      <c r="A67" t="inlineStr">
        <is>
          <t>A 22149-2026</t>
        </is>
      </c>
      <c r="B67" s="1" t="n">
        <v>46153</v>
      </c>
      <c r="C67" s="1" t="n">
        <v>46200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Vedtrappmossa
Rödgul trumpetsvamp</t>
        </is>
      </c>
      <c r="S67">
        <f>HYPERLINK("https://klasma.github.io/Logging_2180/artfynd/A 22149-2026 artfynd.xlsx", "A 22149-2026")</f>
        <v/>
      </c>
      <c r="T67">
        <f>HYPERLINK("https://klasma.github.io/Logging_2180/kartor/A 22149-2026 karta.png", "A 22149-2026")</f>
        <v/>
      </c>
      <c r="V67">
        <f>HYPERLINK("https://klasma.github.io/Logging_2180/klagomål/A 22149-2026 FSC-klagomål.docx", "A 22149-2026")</f>
        <v/>
      </c>
      <c r="W67">
        <f>HYPERLINK("https://klasma.github.io/Logging_2180/klagomålsmail/A 22149-2026 FSC-klagomål mail.docx", "A 22149-2026")</f>
        <v/>
      </c>
      <c r="X67">
        <f>HYPERLINK("https://klasma.github.io/Logging_2180/tillsyn/A 22149-2026 tillsynsbegäran.docx", "A 22149-2026")</f>
        <v/>
      </c>
      <c r="Y67">
        <f>HYPERLINK("https://klasma.github.io/Logging_2180/tillsynsmail/A 22149-2026 tillsynsbegäran mail.docx", "A 22149-2026")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46200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46200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46200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45241-2022</t>
        </is>
      </c>
      <c r="B71" s="1" t="n">
        <v>44840</v>
      </c>
      <c r="C71" s="1" t="n">
        <v>46200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22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45241-2022 artfynd.xlsx", "A 45241-2022")</f>
        <v/>
      </c>
      <c r="T71">
        <f>HYPERLINK("https://klasma.github.io/Logging_2180/kartor/A 45241-2022 karta.png", "A 45241-2022")</f>
        <v/>
      </c>
      <c r="V71">
        <f>HYPERLINK("https://klasma.github.io/Logging_2180/klagomål/A 45241-2022 FSC-klagomål.docx", "A 45241-2022")</f>
        <v/>
      </c>
      <c r="W71">
        <f>HYPERLINK("https://klasma.github.io/Logging_2180/klagomålsmail/A 45241-2022 FSC-klagomål mail.docx", "A 45241-2022")</f>
        <v/>
      </c>
      <c r="X71">
        <f>HYPERLINK("https://klasma.github.io/Logging_2180/tillsyn/A 45241-2022 tillsynsbegäran.docx", "A 45241-2022")</f>
        <v/>
      </c>
      <c r="Y71">
        <f>HYPERLINK("https://klasma.github.io/Logging_2180/tillsynsmail/A 45241-2022 tillsynsbegäran mail.docx", "A 45241-2022")</f>
        <v/>
      </c>
    </row>
    <row r="72" ht="15" customHeight="1">
      <c r="A72" t="inlineStr">
        <is>
          <t>A 35225-2024</t>
        </is>
      </c>
      <c r="B72" s="1" t="n">
        <v>45530</v>
      </c>
      <c r="C72" s="1" t="n">
        <v>46200</v>
      </c>
      <c r="D72" t="inlineStr">
        <is>
          <t>GÄVLEBORGS LÄN</t>
        </is>
      </c>
      <c r="E72" t="inlineStr">
        <is>
          <t>GÄVLE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HYPERLINK("https://klasma.github.io/Logging_2180/artfynd/A 35225-2024 artfynd.xlsx", "A 35225-2024")</f>
        <v/>
      </c>
      <c r="T72">
        <f>HYPERLINK("https://klasma.github.io/Logging_2180/kartor/A 35225-2024 karta.png", "A 35225-2024")</f>
        <v/>
      </c>
      <c r="V72">
        <f>HYPERLINK("https://klasma.github.io/Logging_2180/klagomål/A 35225-2024 FSC-klagomål.docx", "A 35225-2024")</f>
        <v/>
      </c>
      <c r="W72">
        <f>HYPERLINK("https://klasma.github.io/Logging_2180/klagomålsmail/A 35225-2024 FSC-klagomål mail.docx", "A 35225-2024")</f>
        <v/>
      </c>
      <c r="X72">
        <f>HYPERLINK("https://klasma.github.io/Logging_2180/tillsyn/A 35225-2024 tillsynsbegäran.docx", "A 35225-2024")</f>
        <v/>
      </c>
      <c r="Y72">
        <f>HYPERLINK("https://klasma.github.io/Logging_2180/tillsynsmail/A 35225-2024 tillsynsbegäran mail.docx", "A 35225-2024")</f>
        <v/>
      </c>
    </row>
    <row r="73" ht="15" customHeight="1">
      <c r="A73" t="inlineStr">
        <is>
          <t>A 15001-2023</t>
        </is>
      </c>
      <c r="B73" s="1" t="n">
        <v>45015</v>
      </c>
      <c r="C73" s="1" t="n">
        <v>46200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Ängsblåvinge</t>
        </is>
      </c>
      <c r="S73">
        <f>HYPERLINK("https://klasma.github.io/Logging_2180/artfynd/A 15001-2023 artfynd.xlsx", "A 15001-2023")</f>
        <v/>
      </c>
      <c r="T73">
        <f>HYPERLINK("https://klasma.github.io/Logging_2180/kartor/A 15001-2023 karta.png", "A 15001-2023")</f>
        <v/>
      </c>
      <c r="V73">
        <f>HYPERLINK("https://klasma.github.io/Logging_2180/klagomål/A 15001-2023 FSC-klagomål.docx", "A 15001-2023")</f>
        <v/>
      </c>
      <c r="W73">
        <f>HYPERLINK("https://klasma.github.io/Logging_2180/klagomålsmail/A 15001-2023 FSC-klagomål mail.docx", "A 15001-2023")</f>
        <v/>
      </c>
      <c r="X73">
        <f>HYPERLINK("https://klasma.github.io/Logging_2180/tillsyn/A 15001-2023 tillsynsbegäran.docx", "A 15001-2023")</f>
        <v/>
      </c>
      <c r="Y73">
        <f>HYPERLINK("https://klasma.github.io/Logging_2180/tillsynsmail/A 15001-2023 tillsynsbegäran mail.docx", "A 15001-2023")</f>
        <v/>
      </c>
    </row>
    <row r="74" ht="15" customHeight="1">
      <c r="A74" t="inlineStr">
        <is>
          <t>A 33812-2022</t>
        </is>
      </c>
      <c r="B74" s="1" t="n">
        <v>44790</v>
      </c>
      <c r="C74" s="1" t="n">
        <v>46200</v>
      </c>
      <c r="D74" t="inlineStr">
        <is>
          <t>GÄVLEBORGS LÄN</t>
        </is>
      </c>
      <c r="E74" t="inlineStr">
        <is>
          <t>GÄVLE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Myskmadra</t>
        </is>
      </c>
      <c r="S74">
        <f>HYPERLINK("https://klasma.github.io/Logging_2180/artfynd/A 33812-2022 artfynd.xlsx", "A 33812-2022")</f>
        <v/>
      </c>
      <c r="T74">
        <f>HYPERLINK("https://klasma.github.io/Logging_2180/kartor/A 33812-2022 karta.png", "A 33812-2022")</f>
        <v/>
      </c>
      <c r="V74">
        <f>HYPERLINK("https://klasma.github.io/Logging_2180/klagomål/A 33812-2022 FSC-klagomål.docx", "A 33812-2022")</f>
        <v/>
      </c>
      <c r="W74">
        <f>HYPERLINK("https://klasma.github.io/Logging_2180/klagomålsmail/A 33812-2022 FSC-klagomål mail.docx", "A 33812-2022")</f>
        <v/>
      </c>
      <c r="X74">
        <f>HYPERLINK("https://klasma.github.io/Logging_2180/tillsyn/A 33812-2022 tillsynsbegäran.docx", "A 33812-2022")</f>
        <v/>
      </c>
      <c r="Y74">
        <f>HYPERLINK("https://klasma.github.io/Logging_2180/tillsynsmail/A 33812-2022 tillsynsbegäran mail.docx", "A 33812-2022")</f>
        <v/>
      </c>
    </row>
    <row r="75" ht="15" customHeight="1">
      <c r="A75" t="inlineStr">
        <is>
          <t>A 32254-2023</t>
        </is>
      </c>
      <c r="B75" s="1" t="n">
        <v>45120</v>
      </c>
      <c r="C75" s="1" t="n">
        <v>46200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HYPERLINK("https://klasma.github.io/Logging_2180/artfynd/A 32254-2023 artfynd.xlsx", "A 32254-2023")</f>
        <v/>
      </c>
      <c r="T75">
        <f>HYPERLINK("https://klasma.github.io/Logging_2180/kartor/A 32254-2023 karta.png", "A 32254-2023")</f>
        <v/>
      </c>
      <c r="V75">
        <f>HYPERLINK("https://klasma.github.io/Logging_2180/klagomål/A 32254-2023 FSC-klagomål.docx", "A 32254-2023")</f>
        <v/>
      </c>
      <c r="W75">
        <f>HYPERLINK("https://klasma.github.io/Logging_2180/klagomålsmail/A 32254-2023 FSC-klagomål mail.docx", "A 32254-2023")</f>
        <v/>
      </c>
      <c r="X75">
        <f>HYPERLINK("https://klasma.github.io/Logging_2180/tillsyn/A 32254-2023 tillsynsbegäran.docx", "A 32254-2023")</f>
        <v/>
      </c>
      <c r="Y75">
        <f>HYPERLINK("https://klasma.github.io/Logging_2180/tillsynsmail/A 32254-2023 tillsynsbegäran mail.docx", "A 32254-2023")</f>
        <v/>
      </c>
    </row>
    <row r="76" ht="15" customHeight="1">
      <c r="A76" t="inlineStr">
        <is>
          <t>A 61056-2024</t>
        </is>
      </c>
      <c r="B76" s="1" t="n">
        <v>45645</v>
      </c>
      <c r="C76" s="1" t="n">
        <v>46200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5.3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Myggblomster</t>
        </is>
      </c>
      <c r="S76">
        <f>HYPERLINK("https://klasma.github.io/Logging_2180/artfynd/A 61056-2024 artfynd.xlsx", "A 61056-2024")</f>
        <v/>
      </c>
      <c r="T76">
        <f>HYPERLINK("https://klasma.github.io/Logging_2180/kartor/A 61056-2024 karta.png", "A 61056-2024")</f>
        <v/>
      </c>
      <c r="V76">
        <f>HYPERLINK("https://klasma.github.io/Logging_2180/klagomål/A 61056-2024 FSC-klagomål.docx", "A 61056-2024")</f>
        <v/>
      </c>
      <c r="W76">
        <f>HYPERLINK("https://klasma.github.io/Logging_2180/klagomålsmail/A 61056-2024 FSC-klagomål mail.docx", "A 61056-2024")</f>
        <v/>
      </c>
      <c r="X76">
        <f>HYPERLINK("https://klasma.github.io/Logging_2180/tillsyn/A 61056-2024 tillsynsbegäran.docx", "A 61056-2024")</f>
        <v/>
      </c>
      <c r="Y76">
        <f>HYPERLINK("https://klasma.github.io/Logging_2180/tillsynsmail/A 61056-2024 tillsynsbegäran mail.docx", "A 61056-2024")</f>
        <v/>
      </c>
    </row>
    <row r="77" ht="15" customHeight="1">
      <c r="A77" t="inlineStr">
        <is>
          <t>A 26157-2022</t>
        </is>
      </c>
      <c r="B77" s="1" t="n">
        <v>44735</v>
      </c>
      <c r="C77" s="1" t="n">
        <v>46200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HYPERLINK("https://klasma.github.io/Logging_2180/artfynd/A 26157-2022 artfynd.xlsx", "A 26157-2022")</f>
        <v/>
      </c>
      <c r="T77">
        <f>HYPERLINK("https://klasma.github.io/Logging_2180/kartor/A 26157-2022 karta.png", "A 26157-2022")</f>
        <v/>
      </c>
      <c r="V77">
        <f>HYPERLINK("https://klasma.github.io/Logging_2180/klagomål/A 26157-2022 FSC-klagomål.docx", "A 26157-2022")</f>
        <v/>
      </c>
      <c r="W77">
        <f>HYPERLINK("https://klasma.github.io/Logging_2180/klagomålsmail/A 26157-2022 FSC-klagomål mail.docx", "A 26157-2022")</f>
        <v/>
      </c>
      <c r="X77">
        <f>HYPERLINK("https://klasma.github.io/Logging_2180/tillsyn/A 26157-2022 tillsynsbegäran.docx", "A 26157-2022")</f>
        <v/>
      </c>
      <c r="Y77">
        <f>HYPERLINK("https://klasma.github.io/Logging_2180/tillsynsmail/A 26157-2022 tillsynsbegäran mail.docx", "A 26157-2022")</f>
        <v/>
      </c>
    </row>
    <row r="78" ht="15" customHeight="1">
      <c r="A78" t="inlineStr">
        <is>
          <t>A 12381-2023</t>
        </is>
      </c>
      <c r="B78" s="1" t="n">
        <v>44999</v>
      </c>
      <c r="C78" s="1" t="n">
        <v>46200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Brunlångöra</t>
        </is>
      </c>
      <c r="S78">
        <f>HYPERLINK("https://klasma.github.io/Logging_2180/artfynd/A 12381-2023 artfynd.xlsx", "A 12381-2023")</f>
        <v/>
      </c>
      <c r="T78">
        <f>HYPERLINK("https://klasma.github.io/Logging_2180/kartor/A 12381-2023 karta.png", "A 12381-2023")</f>
        <v/>
      </c>
      <c r="V78">
        <f>HYPERLINK("https://klasma.github.io/Logging_2180/klagomål/A 12381-2023 FSC-klagomål.docx", "A 12381-2023")</f>
        <v/>
      </c>
      <c r="W78">
        <f>HYPERLINK("https://klasma.github.io/Logging_2180/klagomålsmail/A 12381-2023 FSC-klagomål mail.docx", "A 12381-2023")</f>
        <v/>
      </c>
      <c r="X78">
        <f>HYPERLINK("https://klasma.github.io/Logging_2180/tillsyn/A 12381-2023 tillsynsbegäran.docx", "A 12381-2023")</f>
        <v/>
      </c>
      <c r="Y78">
        <f>HYPERLINK("https://klasma.github.io/Logging_2180/tillsynsmail/A 12381-2023 tillsynsbegäran mail.docx", "A 12381-2023")</f>
        <v/>
      </c>
    </row>
    <row r="79" ht="15" customHeight="1">
      <c r="A79" t="inlineStr">
        <is>
          <t>A 21282-2024</t>
        </is>
      </c>
      <c r="B79" s="1" t="n">
        <v>45440</v>
      </c>
      <c r="C79" s="1" t="n">
        <v>46200</v>
      </c>
      <c r="D79" t="inlineStr">
        <is>
          <t>GÄVLEBORGS LÄN</t>
        </is>
      </c>
      <c r="E79" t="inlineStr">
        <is>
          <t>GÄVLE</t>
        </is>
      </c>
      <c r="G79" t="n">
        <v>7.4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HYPERLINK("https://klasma.github.io/Logging_2180/artfynd/A 21282-2024 artfynd.xlsx", "A 21282-2024")</f>
        <v/>
      </c>
      <c r="T79">
        <f>HYPERLINK("https://klasma.github.io/Logging_2180/kartor/A 21282-2024 karta.png", "A 21282-2024")</f>
        <v/>
      </c>
      <c r="V79">
        <f>HYPERLINK("https://klasma.github.io/Logging_2180/klagomål/A 21282-2024 FSC-klagomål.docx", "A 21282-2024")</f>
        <v/>
      </c>
      <c r="W79">
        <f>HYPERLINK("https://klasma.github.io/Logging_2180/klagomålsmail/A 21282-2024 FSC-klagomål mail.docx", "A 21282-2024")</f>
        <v/>
      </c>
      <c r="X79">
        <f>HYPERLINK("https://klasma.github.io/Logging_2180/tillsyn/A 21282-2024 tillsynsbegäran.docx", "A 21282-2024")</f>
        <v/>
      </c>
      <c r="Y79">
        <f>HYPERLINK("https://klasma.github.io/Logging_2180/tillsynsmail/A 21282-2024 tillsynsbegäran mail.docx", "A 21282-2024")</f>
        <v/>
      </c>
    </row>
    <row r="80" ht="15" customHeight="1">
      <c r="A80" t="inlineStr">
        <is>
          <t>A 57932-2024</t>
        </is>
      </c>
      <c r="B80" s="1" t="n">
        <v>45631</v>
      </c>
      <c r="C80" s="1" t="n">
        <v>46200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48.7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57932-2024 artfynd.xlsx", "A 57932-2024")</f>
        <v/>
      </c>
      <c r="T80">
        <f>HYPERLINK("https://klasma.github.io/Logging_2180/kartor/A 57932-2024 karta.png", "A 57932-2024")</f>
        <v/>
      </c>
      <c r="V80">
        <f>HYPERLINK("https://klasma.github.io/Logging_2180/klagomål/A 57932-2024 FSC-klagomål.docx", "A 57932-2024")</f>
        <v/>
      </c>
      <c r="W80">
        <f>HYPERLINK("https://klasma.github.io/Logging_2180/klagomålsmail/A 57932-2024 FSC-klagomål mail.docx", "A 57932-2024")</f>
        <v/>
      </c>
      <c r="X80">
        <f>HYPERLINK("https://klasma.github.io/Logging_2180/tillsyn/A 57932-2024 tillsynsbegäran.docx", "A 57932-2024")</f>
        <v/>
      </c>
      <c r="Y80">
        <f>HYPERLINK("https://klasma.github.io/Logging_2180/tillsynsmail/A 57932-2024 tillsynsbegäran mail.docx", "A 57932-2024")</f>
        <v/>
      </c>
      <c r="Z80">
        <f>HYPERLINK("https://klasma.github.io/Logging_2180/fåglar/A 57932-2024 prioriterade fågelarter.docx", "A 57932-2024")</f>
        <v/>
      </c>
    </row>
    <row r="81" ht="15" customHeight="1">
      <c r="A81" t="inlineStr">
        <is>
          <t>A 37927-2022</t>
        </is>
      </c>
      <c r="B81" s="1" t="n">
        <v>44811</v>
      </c>
      <c r="C81" s="1" t="n">
        <v>46200</v>
      </c>
      <c r="D81" t="inlineStr">
        <is>
          <t>GÄVLEBORGS LÄN</t>
        </is>
      </c>
      <c r="E81" t="inlineStr">
        <is>
          <t>GÄVLE</t>
        </is>
      </c>
      <c r="G81" t="n">
        <v>1.6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HYPERLINK("https://klasma.github.io/Logging_2180/artfynd/A 37927-2022 artfynd.xlsx", "A 37927-2022")</f>
        <v/>
      </c>
      <c r="T81">
        <f>HYPERLINK("https://klasma.github.io/Logging_2180/kartor/A 37927-2022 karta.png", "A 37927-2022")</f>
        <v/>
      </c>
      <c r="U81">
        <f>HYPERLINK("https://klasma.github.io/Logging_2180/knärot/A 37927-2022 karta knärot.png", "A 37927-2022")</f>
        <v/>
      </c>
      <c r="V81">
        <f>HYPERLINK("https://klasma.github.io/Logging_2180/klagomål/A 37927-2022 FSC-klagomål.docx", "A 37927-2022")</f>
        <v/>
      </c>
      <c r="W81">
        <f>HYPERLINK("https://klasma.github.io/Logging_2180/klagomålsmail/A 37927-2022 FSC-klagomål mail.docx", "A 37927-2022")</f>
        <v/>
      </c>
      <c r="X81">
        <f>HYPERLINK("https://klasma.github.io/Logging_2180/tillsyn/A 37927-2022 tillsynsbegäran.docx", "A 37927-2022")</f>
        <v/>
      </c>
      <c r="Y81">
        <f>HYPERLINK("https://klasma.github.io/Logging_2180/tillsynsmail/A 37927-2022 tillsynsbegäran mail.docx", "A 37927-2022")</f>
        <v/>
      </c>
    </row>
    <row r="82" ht="15" customHeight="1">
      <c r="A82" t="inlineStr">
        <is>
          <t>A 12338-2025</t>
        </is>
      </c>
      <c r="B82" s="1" t="n">
        <v>45730</v>
      </c>
      <c r="C82" s="1" t="n">
        <v>46200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HYPERLINK("https://klasma.github.io/Logging_2180/artfynd/A 12338-2025 artfynd.xlsx", "A 12338-2025")</f>
        <v/>
      </c>
      <c r="T82">
        <f>HYPERLINK("https://klasma.github.io/Logging_2180/kartor/A 12338-2025 karta.png", "A 12338-2025")</f>
        <v/>
      </c>
      <c r="V82">
        <f>HYPERLINK("https://klasma.github.io/Logging_2180/klagomål/A 12338-2025 FSC-klagomål.docx", "A 12338-2025")</f>
        <v/>
      </c>
      <c r="W82">
        <f>HYPERLINK("https://klasma.github.io/Logging_2180/klagomålsmail/A 12338-2025 FSC-klagomål mail.docx", "A 12338-2025")</f>
        <v/>
      </c>
      <c r="X82">
        <f>HYPERLINK("https://klasma.github.io/Logging_2180/tillsyn/A 12338-2025 tillsynsbegäran.docx", "A 12338-2025")</f>
        <v/>
      </c>
      <c r="Y82">
        <f>HYPERLINK("https://klasma.github.io/Logging_2180/tillsynsmail/A 12338-2025 tillsynsbegäran mail.docx", "A 12338-2025")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46200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30302-2025</t>
        </is>
      </c>
      <c r="B84" s="1" t="n">
        <v>45827</v>
      </c>
      <c r="C84" s="1" t="n">
        <v>46200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30302-2025 artfynd.xlsx", "A 30302-2025")</f>
        <v/>
      </c>
      <c r="T84">
        <f>HYPERLINK("https://klasma.github.io/Logging_2180/kartor/A 30302-2025 karta.png", "A 30302-2025")</f>
        <v/>
      </c>
      <c r="V84">
        <f>HYPERLINK("https://klasma.github.io/Logging_2180/klagomål/A 30302-2025 FSC-klagomål.docx", "A 30302-2025")</f>
        <v/>
      </c>
      <c r="W84">
        <f>HYPERLINK("https://klasma.github.io/Logging_2180/klagomålsmail/A 30302-2025 FSC-klagomål mail.docx", "A 30302-2025")</f>
        <v/>
      </c>
      <c r="X84">
        <f>HYPERLINK("https://klasma.github.io/Logging_2180/tillsyn/A 30302-2025 tillsynsbegäran.docx", "A 30302-2025")</f>
        <v/>
      </c>
      <c r="Y84">
        <f>HYPERLINK("https://klasma.github.io/Logging_2180/tillsynsmail/A 30302-2025 tillsynsbegäran mail.docx", "A 30302-2025")</f>
        <v/>
      </c>
    </row>
    <row r="85" ht="15" customHeight="1">
      <c r="A85" t="inlineStr">
        <is>
          <t>A 12437-2024</t>
        </is>
      </c>
      <c r="B85" s="1" t="n">
        <v>45379</v>
      </c>
      <c r="C85" s="1" t="n">
        <v>46200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7.4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Mindre bastardsvärmare</t>
        </is>
      </c>
      <c r="S85">
        <f>HYPERLINK("https://klasma.github.io/Logging_2180/artfynd/A 12437-2024 artfynd.xlsx", "A 12437-2024")</f>
        <v/>
      </c>
      <c r="T85">
        <f>HYPERLINK("https://klasma.github.io/Logging_2180/kartor/A 12437-2024 karta.png", "A 12437-2024")</f>
        <v/>
      </c>
      <c r="V85">
        <f>HYPERLINK("https://klasma.github.io/Logging_2180/klagomål/A 12437-2024 FSC-klagomål.docx", "A 12437-2024")</f>
        <v/>
      </c>
      <c r="W85">
        <f>HYPERLINK("https://klasma.github.io/Logging_2180/klagomålsmail/A 12437-2024 FSC-klagomål mail.docx", "A 12437-2024")</f>
        <v/>
      </c>
      <c r="X85">
        <f>HYPERLINK("https://klasma.github.io/Logging_2180/tillsyn/A 12437-2024 tillsynsbegäran.docx", "A 12437-2024")</f>
        <v/>
      </c>
      <c r="Y85">
        <f>HYPERLINK("https://klasma.github.io/Logging_2180/tillsynsmail/A 12437-2024 tillsynsbegäran mail.docx", "A 12437-2024")</f>
        <v/>
      </c>
    </row>
    <row r="86" ht="15" customHeight="1">
      <c r="A86" t="inlineStr">
        <is>
          <t>A 11407-2025</t>
        </is>
      </c>
      <c r="B86" s="1" t="n">
        <v>45726</v>
      </c>
      <c r="C86" s="1" t="n">
        <v>46200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Myskmadra</t>
        </is>
      </c>
      <c r="S86">
        <f>HYPERLINK("https://klasma.github.io/Logging_2180/artfynd/A 11407-2025 artfynd.xlsx", "A 11407-2025")</f>
        <v/>
      </c>
      <c r="T86">
        <f>HYPERLINK("https://klasma.github.io/Logging_2180/kartor/A 11407-2025 karta.png", "A 11407-2025")</f>
        <v/>
      </c>
      <c r="V86">
        <f>HYPERLINK("https://klasma.github.io/Logging_2180/klagomål/A 11407-2025 FSC-klagomål.docx", "A 11407-2025")</f>
        <v/>
      </c>
      <c r="W86">
        <f>HYPERLINK("https://klasma.github.io/Logging_2180/klagomålsmail/A 11407-2025 FSC-klagomål mail.docx", "A 11407-2025")</f>
        <v/>
      </c>
      <c r="X86">
        <f>HYPERLINK("https://klasma.github.io/Logging_2180/tillsyn/A 11407-2025 tillsynsbegäran.docx", "A 11407-2025")</f>
        <v/>
      </c>
      <c r="Y86">
        <f>HYPERLINK("https://klasma.github.io/Logging_2180/tillsynsmail/A 11407-2025 tillsynsbegäran mail.docx", "A 11407-2025")</f>
        <v/>
      </c>
    </row>
    <row r="87" ht="15" customHeight="1">
      <c r="A87" t="inlineStr">
        <is>
          <t>A 12083-2025</t>
        </is>
      </c>
      <c r="B87" s="1" t="n">
        <v>45728</v>
      </c>
      <c r="C87" s="1" t="n">
        <v>46200</v>
      </c>
      <c r="D87" t="inlineStr">
        <is>
          <t>GÄVLEBORGS LÄN</t>
        </is>
      </c>
      <c r="E87" t="inlineStr">
        <is>
          <t>GÄVLE</t>
        </is>
      </c>
      <c r="G87" t="n">
        <v>6.3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Grönsiska</t>
        </is>
      </c>
      <c r="S87">
        <f>HYPERLINK("https://klasma.github.io/Logging_2180/artfynd/A 12083-2025 artfynd.xlsx", "A 12083-2025")</f>
        <v/>
      </c>
      <c r="T87">
        <f>HYPERLINK("https://klasma.github.io/Logging_2180/kartor/A 12083-2025 karta.png", "A 12083-2025")</f>
        <v/>
      </c>
      <c r="V87">
        <f>HYPERLINK("https://klasma.github.io/Logging_2180/klagomål/A 12083-2025 FSC-klagomål.docx", "A 12083-2025")</f>
        <v/>
      </c>
      <c r="W87">
        <f>HYPERLINK("https://klasma.github.io/Logging_2180/klagomålsmail/A 12083-2025 FSC-klagomål mail.docx", "A 12083-2025")</f>
        <v/>
      </c>
      <c r="X87">
        <f>HYPERLINK("https://klasma.github.io/Logging_2180/tillsyn/A 12083-2025 tillsynsbegäran.docx", "A 12083-2025")</f>
        <v/>
      </c>
      <c r="Y87">
        <f>HYPERLINK("https://klasma.github.io/Logging_2180/tillsynsmail/A 12083-2025 tillsynsbegäran mail.docx", "A 12083-2025")</f>
        <v/>
      </c>
    </row>
    <row r="88" ht="15" customHeight="1">
      <c r="A88" t="inlineStr">
        <is>
          <t>A 10333-2025</t>
        </is>
      </c>
      <c r="B88" s="1" t="n">
        <v>45720</v>
      </c>
      <c r="C88" s="1" t="n">
        <v>46200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HYPERLINK("https://klasma.github.io/Logging_2180/artfynd/A 10333-2025 artfynd.xlsx", "A 10333-2025")</f>
        <v/>
      </c>
      <c r="T88">
        <f>HYPERLINK("https://klasma.github.io/Logging_2180/kartor/A 10333-2025 karta.png", "A 10333-2025")</f>
        <v/>
      </c>
      <c r="V88">
        <f>HYPERLINK("https://klasma.github.io/Logging_2180/klagomål/A 10333-2025 FSC-klagomål.docx", "A 10333-2025")</f>
        <v/>
      </c>
      <c r="W88">
        <f>HYPERLINK("https://klasma.github.io/Logging_2180/klagomålsmail/A 10333-2025 FSC-klagomål mail.docx", "A 10333-2025")</f>
        <v/>
      </c>
      <c r="X88">
        <f>HYPERLINK("https://klasma.github.io/Logging_2180/tillsyn/A 10333-2025 tillsynsbegäran.docx", "A 10333-2025")</f>
        <v/>
      </c>
      <c r="Y88">
        <f>HYPERLINK("https://klasma.github.io/Logging_2180/tillsynsmail/A 10333-2025 tillsynsbegäran mail.docx", "A 10333-2025")</f>
        <v/>
      </c>
      <c r="Z88">
        <f>HYPERLINK("https://klasma.github.io/Logging_2180/fåglar/A 10333-2025 prioriterade fågelarter.docx", "A 10333-2025")</f>
        <v/>
      </c>
    </row>
    <row r="89" ht="15" customHeight="1">
      <c r="A89" t="inlineStr">
        <is>
          <t>A 13227-2024</t>
        </is>
      </c>
      <c r="B89" s="1" t="n">
        <v>45386</v>
      </c>
      <c r="C89" s="1" t="n">
        <v>46200</v>
      </c>
      <c r="D89" t="inlineStr">
        <is>
          <t>GÄVLEBORGS LÄN</t>
        </is>
      </c>
      <c r="E89" t="inlineStr">
        <is>
          <t>GÄVLE</t>
        </is>
      </c>
      <c r="F89" t="inlineStr">
        <is>
          <t>Övriga statliga verk och myndigheter</t>
        </is>
      </c>
      <c r="G89" t="n">
        <v>5.9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HYPERLINK("https://klasma.github.io/Logging_2180/artfynd/A 13227-2024 artfynd.xlsx", "A 13227-2024")</f>
        <v/>
      </c>
      <c r="T89">
        <f>HYPERLINK("https://klasma.github.io/Logging_2180/kartor/A 13227-2024 karta.png", "A 13227-2024")</f>
        <v/>
      </c>
      <c r="V89">
        <f>HYPERLINK("https://klasma.github.io/Logging_2180/klagomål/A 13227-2024 FSC-klagomål.docx", "A 13227-2024")</f>
        <v/>
      </c>
      <c r="W89">
        <f>HYPERLINK("https://klasma.github.io/Logging_2180/klagomålsmail/A 13227-2024 FSC-klagomål mail.docx", "A 13227-2024")</f>
        <v/>
      </c>
      <c r="X89">
        <f>HYPERLINK("https://klasma.github.io/Logging_2180/tillsyn/A 13227-2024 tillsynsbegäran.docx", "A 13227-2024")</f>
        <v/>
      </c>
      <c r="Y89">
        <f>HYPERLINK("https://klasma.github.io/Logging_2180/tillsynsmail/A 13227-2024 tillsynsbegäran mail.docx", "A 13227-2024")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46200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HYPERLINK("https://klasma.github.io/Logging_2180/artfynd/A 11411-2025 artfynd.xlsx", "A 11411-2025")</f>
        <v/>
      </c>
      <c r="T90">
        <f>HYPERLINK("https://klasma.github.io/Logging_2180/kartor/A 11411-2025 karta.png", "A 11411-2025")</f>
        <v/>
      </c>
      <c r="V90">
        <f>HYPERLINK("https://klasma.github.io/Logging_2180/klagomål/A 11411-2025 FSC-klagomål.docx", "A 11411-2025")</f>
        <v/>
      </c>
      <c r="W90">
        <f>HYPERLINK("https://klasma.github.io/Logging_2180/klagomålsmail/A 11411-2025 FSC-klagomål mail.docx", "A 11411-2025")</f>
        <v/>
      </c>
      <c r="X90">
        <f>HYPERLINK("https://klasma.github.io/Logging_2180/tillsyn/A 11411-2025 tillsynsbegäran.docx", "A 11411-2025")</f>
        <v/>
      </c>
      <c r="Y90">
        <f>HYPERLINK("https://klasma.github.io/Logging_2180/tillsynsmail/A 11411-2025 tillsynsbegäran mail.docx", "A 11411-2025")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46200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HYPERLINK("https://klasma.github.io/Logging_2180/artfynd/A 28875-2025 artfynd.xlsx", "A 28875-2025")</f>
        <v/>
      </c>
      <c r="T91">
        <f>HYPERLINK("https://klasma.github.io/Logging_2180/kartor/A 28875-2025 karta.png", "A 28875-2025")</f>
        <v/>
      </c>
      <c r="V91">
        <f>HYPERLINK("https://klasma.github.io/Logging_2180/klagomål/A 28875-2025 FSC-klagomål.docx", "A 28875-2025")</f>
        <v/>
      </c>
      <c r="W91">
        <f>HYPERLINK("https://klasma.github.io/Logging_2180/klagomålsmail/A 28875-2025 FSC-klagomål mail.docx", "A 28875-2025")</f>
        <v/>
      </c>
      <c r="X91">
        <f>HYPERLINK("https://klasma.github.io/Logging_2180/tillsyn/A 28875-2025 tillsynsbegäran.docx", "A 28875-2025")</f>
        <v/>
      </c>
      <c r="Y91">
        <f>HYPERLINK("https://klasma.github.io/Logging_2180/tillsynsmail/A 28875-2025 tillsynsbegäran mail.docx", "A 28875-2025")</f>
        <v/>
      </c>
    </row>
    <row r="92" ht="15" customHeight="1">
      <c r="A92" t="inlineStr">
        <is>
          <t>A 38550-2025</t>
        </is>
      </c>
      <c r="B92" s="1" t="n">
        <v>45884</v>
      </c>
      <c r="C92" s="1" t="n">
        <v>46200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HYPERLINK("https://klasma.github.io/Logging_2180/artfynd/A 38550-2025 artfynd.xlsx", "A 38550-2025")</f>
        <v/>
      </c>
      <c r="T92">
        <f>HYPERLINK("https://klasma.github.io/Logging_2180/kartor/A 38550-2025 karta.png", "A 38550-2025")</f>
        <v/>
      </c>
      <c r="V92">
        <f>HYPERLINK("https://klasma.github.io/Logging_2180/klagomål/A 38550-2025 FSC-klagomål.docx", "A 38550-2025")</f>
        <v/>
      </c>
      <c r="W92">
        <f>HYPERLINK("https://klasma.github.io/Logging_2180/klagomålsmail/A 38550-2025 FSC-klagomål mail.docx", "A 38550-2025")</f>
        <v/>
      </c>
      <c r="X92">
        <f>HYPERLINK("https://klasma.github.io/Logging_2180/tillsyn/A 38550-2025 tillsynsbegäran.docx", "A 38550-2025")</f>
        <v/>
      </c>
      <c r="Y92">
        <f>HYPERLINK("https://klasma.github.io/Logging_2180/tillsynsmail/A 38550-2025 tillsynsbegäran mail.docx", "A 38550-2025")</f>
        <v/>
      </c>
    </row>
    <row r="93" ht="15" customHeight="1">
      <c r="A93" t="inlineStr">
        <is>
          <t>A 49393-2025</t>
        </is>
      </c>
      <c r="B93" s="1" t="n">
        <v>45938</v>
      </c>
      <c r="C93" s="1" t="n">
        <v>46200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HYPERLINK("https://klasma.github.io/Logging_2180/artfynd/A 49393-2025 artfynd.xlsx", "A 49393-2025")</f>
        <v/>
      </c>
      <c r="T93">
        <f>HYPERLINK("https://klasma.github.io/Logging_2180/kartor/A 49393-2025 karta.png", "A 49393-2025")</f>
        <v/>
      </c>
      <c r="V93">
        <f>HYPERLINK("https://klasma.github.io/Logging_2180/klagomål/A 49393-2025 FSC-klagomål.docx", "A 49393-2025")</f>
        <v/>
      </c>
      <c r="W93">
        <f>HYPERLINK("https://klasma.github.io/Logging_2180/klagomålsmail/A 49393-2025 FSC-klagomål mail.docx", "A 49393-2025")</f>
        <v/>
      </c>
      <c r="X93">
        <f>HYPERLINK("https://klasma.github.io/Logging_2180/tillsyn/A 49393-2025 tillsynsbegäran.docx", "A 49393-2025")</f>
        <v/>
      </c>
      <c r="Y93">
        <f>HYPERLINK("https://klasma.github.io/Logging_2180/tillsynsmail/A 49393-2025 tillsynsbegäran mail.docx", "A 49393-2025")</f>
        <v/>
      </c>
    </row>
    <row r="94" ht="15" customHeight="1">
      <c r="A94" t="inlineStr">
        <is>
          <t>A 63036-2023</t>
        </is>
      </c>
      <c r="B94" s="1" t="n">
        <v>45272</v>
      </c>
      <c r="C94" s="1" t="n">
        <v>46200</v>
      </c>
      <c r="D94" t="inlineStr">
        <is>
          <t>GÄVLEBORGS LÄN</t>
        </is>
      </c>
      <c r="E94" t="inlineStr">
        <is>
          <t>GÄVLE</t>
        </is>
      </c>
      <c r="G94" t="n">
        <v>12.7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Kattfotslav</t>
        </is>
      </c>
      <c r="S94">
        <f>HYPERLINK("https://klasma.github.io/Logging_2180/artfynd/A 63036-2023 artfynd.xlsx", "A 63036-2023")</f>
        <v/>
      </c>
      <c r="T94">
        <f>HYPERLINK("https://klasma.github.io/Logging_2180/kartor/A 63036-2023 karta.png", "A 63036-2023")</f>
        <v/>
      </c>
      <c r="V94">
        <f>HYPERLINK("https://klasma.github.io/Logging_2180/klagomål/A 63036-2023 FSC-klagomål.docx", "A 63036-2023")</f>
        <v/>
      </c>
      <c r="W94">
        <f>HYPERLINK("https://klasma.github.io/Logging_2180/klagomålsmail/A 63036-2023 FSC-klagomål mail.docx", "A 63036-2023")</f>
        <v/>
      </c>
      <c r="X94">
        <f>HYPERLINK("https://klasma.github.io/Logging_2180/tillsyn/A 63036-2023 tillsynsbegäran.docx", "A 63036-2023")</f>
        <v/>
      </c>
      <c r="Y94">
        <f>HYPERLINK("https://klasma.github.io/Logging_2180/tillsynsmail/A 63036-2023 tillsynsbegäran mail.docx", "A 63036-2023")</f>
        <v/>
      </c>
    </row>
    <row r="95" ht="15" customHeight="1">
      <c r="A95" t="inlineStr">
        <is>
          <t>A 18216-2024</t>
        </is>
      </c>
      <c r="B95" s="1" t="n">
        <v>45420</v>
      </c>
      <c r="C95" s="1" t="n">
        <v>46200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Dofttaggsvamp</t>
        </is>
      </c>
      <c r="S95">
        <f>HYPERLINK("https://klasma.github.io/Logging_2180/artfynd/A 18216-2024 artfynd.xlsx", "A 18216-2024")</f>
        <v/>
      </c>
      <c r="T95">
        <f>HYPERLINK("https://klasma.github.io/Logging_2180/kartor/A 18216-2024 karta.png", "A 18216-2024")</f>
        <v/>
      </c>
      <c r="V95">
        <f>HYPERLINK("https://klasma.github.io/Logging_2180/klagomål/A 18216-2024 FSC-klagomål.docx", "A 18216-2024")</f>
        <v/>
      </c>
      <c r="W95">
        <f>HYPERLINK("https://klasma.github.io/Logging_2180/klagomålsmail/A 18216-2024 FSC-klagomål mail.docx", "A 18216-2024")</f>
        <v/>
      </c>
      <c r="X95">
        <f>HYPERLINK("https://klasma.github.io/Logging_2180/tillsyn/A 18216-2024 tillsynsbegäran.docx", "A 18216-2024")</f>
        <v/>
      </c>
      <c r="Y95">
        <f>HYPERLINK("https://klasma.github.io/Logging_2180/tillsynsmail/A 18216-2024 tillsynsbegäran mail.docx", "A 18216-2024")</f>
        <v/>
      </c>
    </row>
    <row r="96" ht="15" customHeight="1">
      <c r="A96" t="inlineStr">
        <is>
          <t>A 54252-2025</t>
        </is>
      </c>
      <c r="B96" s="1" t="n">
        <v>45964</v>
      </c>
      <c r="C96" s="1" t="n">
        <v>46200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HYPERLINK("https://klasma.github.io/Logging_2180/artfynd/A 54252-2025 artfynd.xlsx", "A 54252-2025")</f>
        <v/>
      </c>
      <c r="T96">
        <f>HYPERLINK("https://klasma.github.io/Logging_2180/kartor/A 54252-2025 karta.png", "A 54252-2025")</f>
        <v/>
      </c>
      <c r="V96">
        <f>HYPERLINK("https://klasma.github.io/Logging_2180/klagomål/A 54252-2025 FSC-klagomål.docx", "A 54252-2025")</f>
        <v/>
      </c>
      <c r="W96">
        <f>HYPERLINK("https://klasma.github.io/Logging_2180/klagomålsmail/A 54252-2025 FSC-klagomål mail.docx", "A 54252-2025")</f>
        <v/>
      </c>
      <c r="X96">
        <f>HYPERLINK("https://klasma.github.io/Logging_2180/tillsyn/A 54252-2025 tillsynsbegäran.docx", "A 54252-2025")</f>
        <v/>
      </c>
      <c r="Y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s="1" t="n">
        <v>45967</v>
      </c>
      <c r="C97" s="1" t="n">
        <v>46200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HYPERLINK("https://klasma.github.io/Logging_2180/artfynd/A 54963-2025 artfynd.xlsx", "A 54963-2025")</f>
        <v/>
      </c>
      <c r="T97">
        <f>HYPERLINK("https://klasma.github.io/Logging_2180/kartor/A 54963-2025 karta.png", "A 54963-2025")</f>
        <v/>
      </c>
      <c r="V97">
        <f>HYPERLINK("https://klasma.github.io/Logging_2180/klagomål/A 54963-2025 FSC-klagomål.docx", "A 54963-2025")</f>
        <v/>
      </c>
      <c r="W97">
        <f>HYPERLINK("https://klasma.github.io/Logging_2180/klagomålsmail/A 54963-2025 FSC-klagomål mail.docx", "A 54963-2025")</f>
        <v/>
      </c>
      <c r="X97">
        <f>HYPERLINK("https://klasma.github.io/Logging_2180/tillsyn/A 54963-2025 tillsynsbegäran.docx", "A 54963-2025")</f>
        <v/>
      </c>
      <c r="Y97">
        <f>HYPERLINK("https://klasma.github.io/Logging_2180/tillsynsmail/A 54963-2025 tillsynsbegäran mail.docx", "A 54963-2025")</f>
        <v/>
      </c>
    </row>
    <row r="98" ht="15" customHeight="1">
      <c r="A98" t="inlineStr">
        <is>
          <t>A 47642-2024</t>
        </is>
      </c>
      <c r="B98" s="1" t="n">
        <v>45588</v>
      </c>
      <c r="C98" s="1" t="n">
        <v>46200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väst AB</t>
        </is>
      </c>
      <c r="G98" t="n">
        <v>8.199999999999999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HYPERLINK("https://klasma.github.io/Logging_2180/artfynd/A 47642-2024 artfynd.xlsx", "A 47642-2024")</f>
        <v/>
      </c>
      <c r="T98">
        <f>HYPERLINK("https://klasma.github.io/Logging_2180/kartor/A 47642-2024 karta.png", "A 47642-2024")</f>
        <v/>
      </c>
      <c r="V98">
        <f>HYPERLINK("https://klasma.github.io/Logging_2180/klagomål/A 47642-2024 FSC-klagomål.docx", "A 47642-2024")</f>
        <v/>
      </c>
      <c r="W98">
        <f>HYPERLINK("https://klasma.github.io/Logging_2180/klagomålsmail/A 47642-2024 FSC-klagomål mail.docx", "A 47642-2024")</f>
        <v/>
      </c>
      <c r="X98">
        <f>HYPERLINK("https://klasma.github.io/Logging_2180/tillsyn/A 47642-2024 tillsynsbegäran.docx", "A 47642-2024")</f>
        <v/>
      </c>
      <c r="Y98">
        <f>HYPERLINK("https://klasma.github.io/Logging_2180/tillsynsmail/A 47642-2024 tillsynsbegäran mail.docx", "A 47642-2024")</f>
        <v/>
      </c>
      <c r="Z98">
        <f>HYPERLINK("https://klasma.github.io/Logging_2180/fåglar/A 47642-2024 prioriterade fågelarter.docx", "A 47642-2024")</f>
        <v/>
      </c>
    </row>
    <row r="99" ht="15" customHeight="1">
      <c r="A99" t="inlineStr">
        <is>
          <t>A 58204-2025</t>
        </is>
      </c>
      <c r="B99" s="1" t="n">
        <v>45984</v>
      </c>
      <c r="C99" s="1" t="n">
        <v>46200</v>
      </c>
      <c r="D99" t="inlineStr">
        <is>
          <t>GÄVLEBORGS LÄN</t>
        </is>
      </c>
      <c r="E99" t="inlineStr">
        <is>
          <t>GÄVLE</t>
        </is>
      </c>
      <c r="G99" t="n">
        <v>4.4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HYPERLINK("https://klasma.github.io/Logging_2180/artfynd/A 58204-2025 artfynd.xlsx", "A 58204-2025")</f>
        <v/>
      </c>
      <c r="T99">
        <f>HYPERLINK("https://klasma.github.io/Logging_2180/kartor/A 58204-2025 karta.png", "A 58204-2025")</f>
        <v/>
      </c>
      <c r="V99">
        <f>HYPERLINK("https://klasma.github.io/Logging_2180/klagomål/A 58204-2025 FSC-klagomål.docx", "A 58204-2025")</f>
        <v/>
      </c>
      <c r="W99">
        <f>HYPERLINK("https://klasma.github.io/Logging_2180/klagomålsmail/A 58204-2025 FSC-klagomål mail.docx", "A 58204-2025")</f>
        <v/>
      </c>
      <c r="X99">
        <f>HYPERLINK("https://klasma.github.io/Logging_2180/tillsyn/A 58204-2025 tillsynsbegäran.docx", "A 58204-2025")</f>
        <v/>
      </c>
      <c r="Y99">
        <f>HYPERLINK("https://klasma.github.io/Logging_2180/tillsynsmail/A 58204-2025 tillsynsbegäran mail.docx", "A 58204-2025")</f>
        <v/>
      </c>
      <c r="Z99">
        <f>HYPERLINK("https://klasma.github.io/Logging_2180/fåglar/A 58204-2025 prioriterade fågelarter.docx", "A 58204-2025")</f>
        <v/>
      </c>
    </row>
    <row r="100" ht="15" customHeight="1">
      <c r="A100" t="inlineStr">
        <is>
          <t>A 63288-2025</t>
        </is>
      </c>
      <c r="B100" s="1" t="n">
        <v>46010</v>
      </c>
      <c r="C100" s="1" t="n">
        <v>46200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Scharlakansskål</t>
        </is>
      </c>
      <c r="S100">
        <f>HYPERLINK("https://klasma.github.io/Logging_2180/artfynd/A 63288-2025 artfynd.xlsx", "A 63288-2025")</f>
        <v/>
      </c>
      <c r="T100">
        <f>HYPERLINK("https://klasma.github.io/Logging_2180/kartor/A 63288-2025 karta.png", "A 63288-2025")</f>
        <v/>
      </c>
      <c r="V100">
        <f>HYPERLINK("https://klasma.github.io/Logging_2180/klagomål/A 63288-2025 FSC-klagomål.docx", "A 63288-2025")</f>
        <v/>
      </c>
      <c r="W100">
        <f>HYPERLINK("https://klasma.github.io/Logging_2180/klagomålsmail/A 63288-2025 FSC-klagomål mail.docx", "A 63288-2025")</f>
        <v/>
      </c>
      <c r="X100">
        <f>HYPERLINK("https://klasma.github.io/Logging_2180/tillsyn/A 63288-2025 tillsynsbegäran.docx", "A 63288-2025")</f>
        <v/>
      </c>
      <c r="Y100">
        <f>HYPERLINK("https://klasma.github.io/Logging_2180/tillsynsmail/A 63288-2025 tillsynsbegäran mail.docx", "A 63288-2025")</f>
        <v/>
      </c>
    </row>
    <row r="101" ht="15" customHeight="1">
      <c r="A101" t="inlineStr">
        <is>
          <t>A 50052-2025</t>
        </is>
      </c>
      <c r="B101" s="1" t="n">
        <v>45943</v>
      </c>
      <c r="C101" s="1" t="n">
        <v>46200</v>
      </c>
      <c r="D101" t="inlineStr">
        <is>
          <t>GÄVLEBORGS LÄN</t>
        </is>
      </c>
      <c r="E101" t="inlineStr">
        <is>
          <t>GÄVLE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Mosippa</t>
        </is>
      </c>
      <c r="S101">
        <f>HYPERLINK("https://klasma.github.io/Logging_2180/artfynd/A 50052-2025 artfynd.xlsx", "A 50052-2025")</f>
        <v/>
      </c>
      <c r="T101">
        <f>HYPERLINK("https://klasma.github.io/Logging_2180/kartor/A 50052-2025 karta.png", "A 50052-2025")</f>
        <v/>
      </c>
      <c r="V101">
        <f>HYPERLINK("https://klasma.github.io/Logging_2180/klagomål/A 50052-2025 FSC-klagomål.docx", "A 50052-2025")</f>
        <v/>
      </c>
      <c r="W101">
        <f>HYPERLINK("https://klasma.github.io/Logging_2180/klagomålsmail/A 50052-2025 FSC-klagomål mail.docx", "A 50052-2025")</f>
        <v/>
      </c>
      <c r="X101">
        <f>HYPERLINK("https://klasma.github.io/Logging_2180/tillsyn/A 50052-2025 tillsynsbegäran.docx", "A 50052-2025")</f>
        <v/>
      </c>
      <c r="Y101">
        <f>HYPERLINK("https://klasma.github.io/Logging_2180/tillsynsmail/A 50052-2025 tillsynsbegäran mail.docx", "A 50052-2025")</f>
        <v/>
      </c>
    </row>
    <row r="102" ht="15" customHeight="1">
      <c r="A102" t="inlineStr">
        <is>
          <t>A 13684-2026</t>
        </is>
      </c>
      <c r="B102" s="1" t="n">
        <v>46097</v>
      </c>
      <c r="C102" s="1" t="n">
        <v>46200</v>
      </c>
      <c r="D102" t="inlineStr">
        <is>
          <t>GÄVLEBORGS LÄN</t>
        </is>
      </c>
      <c r="E102" t="inlineStr">
        <is>
          <t>GÄVLE</t>
        </is>
      </c>
      <c r="G102" t="n">
        <v>21.3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Igelkott</t>
        </is>
      </c>
      <c r="S102">
        <f>HYPERLINK("https://klasma.github.io/Logging_2180/artfynd/A 13684-2026 artfynd.xlsx", "A 13684-2026")</f>
        <v/>
      </c>
      <c r="T102">
        <f>HYPERLINK("https://klasma.github.io/Logging_2180/kartor/A 13684-2026 karta.png", "A 13684-2026")</f>
        <v/>
      </c>
      <c r="V102">
        <f>HYPERLINK("https://klasma.github.io/Logging_2180/klagomål/A 13684-2026 FSC-klagomål.docx", "A 13684-2026")</f>
        <v/>
      </c>
      <c r="W102">
        <f>HYPERLINK("https://klasma.github.io/Logging_2180/klagomålsmail/A 13684-2026 FSC-klagomål mail.docx", "A 13684-2026")</f>
        <v/>
      </c>
      <c r="X102">
        <f>HYPERLINK("https://klasma.github.io/Logging_2180/tillsyn/A 13684-2026 tillsynsbegäran.docx", "A 13684-2026")</f>
        <v/>
      </c>
      <c r="Y102">
        <f>HYPERLINK("https://klasma.github.io/Logging_2180/tillsynsmail/A 13684-2026 tillsynsbegäran mail.docx", "A 13684-2026")</f>
        <v/>
      </c>
    </row>
    <row r="103" ht="15" customHeight="1">
      <c r="A103" t="inlineStr">
        <is>
          <t>A 23003-2026</t>
        </is>
      </c>
      <c r="B103" s="1" t="n">
        <v>46160</v>
      </c>
      <c r="C103" s="1" t="n">
        <v>46200</v>
      </c>
      <c r="D103" t="inlineStr">
        <is>
          <t>GÄVLEBORGS LÄN</t>
        </is>
      </c>
      <c r="E103" t="inlineStr">
        <is>
          <t>GÄVLE</t>
        </is>
      </c>
      <c r="G103" t="n">
        <v>12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HYPERLINK("https://klasma.github.io/Logging_2180/artfynd/A 23003-2026 artfynd.xlsx", "A 23003-2026")</f>
        <v/>
      </c>
      <c r="T103">
        <f>HYPERLINK("https://klasma.github.io/Logging_2180/kartor/A 23003-2026 karta.png", "A 23003-2026")</f>
        <v/>
      </c>
      <c r="V103">
        <f>HYPERLINK("https://klasma.github.io/Logging_2180/klagomål/A 23003-2026 FSC-klagomål.docx", "A 23003-2026")</f>
        <v/>
      </c>
      <c r="W103">
        <f>HYPERLINK("https://klasma.github.io/Logging_2180/klagomålsmail/A 23003-2026 FSC-klagomål mail.docx", "A 23003-2026")</f>
        <v/>
      </c>
      <c r="X103">
        <f>HYPERLINK("https://klasma.github.io/Logging_2180/tillsyn/A 23003-2026 tillsynsbegäran.docx", "A 23003-2026")</f>
        <v/>
      </c>
      <c r="Y103">
        <f>HYPERLINK("https://klasma.github.io/Logging_2180/tillsynsmail/A 23003-2026 tillsynsbegäran mail.docx", "A 23003-2026")</f>
        <v/>
      </c>
      <c r="Z103">
        <f>HYPERLINK("https://klasma.github.io/Logging_2180/fåglar/A 23003-2026 prioriterade fågelarter.docx", "A 23003-2026")</f>
        <v/>
      </c>
    </row>
    <row r="104" ht="15" customHeight="1">
      <c r="A104" t="inlineStr">
        <is>
          <t>A 17251-2026</t>
        </is>
      </c>
      <c r="B104" s="1" t="n">
        <v>46119</v>
      </c>
      <c r="C104" s="1" t="n">
        <v>46200</v>
      </c>
      <c r="D104" t="inlineStr">
        <is>
          <t>GÄVLEBORGS LÄN</t>
        </is>
      </c>
      <c r="E104" t="inlineStr">
        <is>
          <t>GÄVLE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HYPERLINK("https://klasma.github.io/Logging_2180/artfynd/A 17251-2026 artfynd.xlsx", "A 17251-2026")</f>
        <v/>
      </c>
      <c r="T104">
        <f>HYPERLINK("https://klasma.github.io/Logging_2180/kartor/A 17251-2026 karta.png", "A 17251-2026")</f>
        <v/>
      </c>
      <c r="V104">
        <f>HYPERLINK("https://klasma.github.io/Logging_2180/klagomål/A 17251-2026 FSC-klagomål.docx", "A 17251-2026")</f>
        <v/>
      </c>
      <c r="W104">
        <f>HYPERLINK("https://klasma.github.io/Logging_2180/klagomålsmail/A 17251-2026 FSC-klagomål mail.docx", "A 17251-2026")</f>
        <v/>
      </c>
      <c r="X104">
        <f>HYPERLINK("https://klasma.github.io/Logging_2180/tillsyn/A 17251-2026 tillsynsbegäran.docx", "A 17251-2026")</f>
        <v/>
      </c>
      <c r="Y104">
        <f>HYPERLINK("https://klasma.github.io/Logging_2180/tillsynsmail/A 17251-2026 tillsynsbegäran mail.docx", "A 17251-2026")</f>
        <v/>
      </c>
    </row>
    <row r="105" ht="15" customHeight="1">
      <c r="A105" t="inlineStr">
        <is>
          <t>A 18060-2026</t>
        </is>
      </c>
      <c r="B105" s="1" t="n">
        <v>46125</v>
      </c>
      <c r="C105" s="1" t="n">
        <v>46200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24.4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HYPERLINK("https://klasma.github.io/Logging_2180/artfynd/A 18060-2026 artfynd.xlsx", "A 18060-2026")</f>
        <v/>
      </c>
      <c r="T105">
        <f>HYPERLINK("https://klasma.github.io/Logging_2180/kartor/A 18060-2026 karta.png", "A 18060-2026")</f>
        <v/>
      </c>
      <c r="V105">
        <f>HYPERLINK("https://klasma.github.io/Logging_2180/klagomål/A 18060-2026 FSC-klagomål.docx", "A 18060-2026")</f>
        <v/>
      </c>
      <c r="W105">
        <f>HYPERLINK("https://klasma.github.io/Logging_2180/klagomålsmail/A 18060-2026 FSC-klagomål mail.docx", "A 18060-2026")</f>
        <v/>
      </c>
      <c r="X105">
        <f>HYPERLINK("https://klasma.github.io/Logging_2180/tillsyn/A 18060-2026 tillsynsbegäran.docx", "A 18060-2026")</f>
        <v/>
      </c>
      <c r="Y105">
        <f>HYPERLINK("https://klasma.github.io/Logging_2180/tillsynsmail/A 18060-2026 tillsynsbegäran mail.docx", "A 18060-2026")</f>
        <v/>
      </c>
    </row>
    <row r="106" ht="15" customHeight="1">
      <c r="A106" t="inlineStr">
        <is>
          <t>A 19635-2026</t>
        </is>
      </c>
      <c r="B106" s="1" t="n">
        <v>46133</v>
      </c>
      <c r="C106" s="1" t="n">
        <v>46200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Skinnlav</t>
        </is>
      </c>
      <c r="S106">
        <f>HYPERLINK("https://klasma.github.io/Logging_2180/artfynd/A 19635-2026 artfynd.xlsx", "A 19635-2026")</f>
        <v/>
      </c>
      <c r="T106">
        <f>HYPERLINK("https://klasma.github.io/Logging_2180/kartor/A 19635-2026 karta.png", "A 19635-2026")</f>
        <v/>
      </c>
      <c r="V106">
        <f>HYPERLINK("https://klasma.github.io/Logging_2180/klagomål/A 19635-2026 FSC-klagomål.docx", "A 19635-2026")</f>
        <v/>
      </c>
      <c r="W106">
        <f>HYPERLINK("https://klasma.github.io/Logging_2180/klagomålsmail/A 19635-2026 FSC-klagomål mail.docx", "A 19635-2026")</f>
        <v/>
      </c>
      <c r="X106">
        <f>HYPERLINK("https://klasma.github.io/Logging_2180/tillsyn/A 19635-2026 tillsynsbegäran.docx", "A 19635-2026")</f>
        <v/>
      </c>
      <c r="Y106">
        <f>HYPERLINK("https://klasma.github.io/Logging_2180/tillsynsmail/A 19635-2026 tillsynsbegäran mail.docx", "A 19635-2026")</f>
        <v/>
      </c>
    </row>
    <row r="107" ht="15" customHeight="1">
      <c r="A107" t="inlineStr">
        <is>
          <t>A 13396-2026</t>
        </is>
      </c>
      <c r="B107" s="1" t="n">
        <v>46094</v>
      </c>
      <c r="C107" s="1" t="n">
        <v>46200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HYPERLINK("https://klasma.github.io/Logging_2180/artfynd/A 13396-2026 artfynd.xlsx", "A 13396-2026")</f>
        <v/>
      </c>
      <c r="T107">
        <f>HYPERLINK("https://klasma.github.io/Logging_2180/kartor/A 13396-2026 karta.png", "A 13396-2026")</f>
        <v/>
      </c>
      <c r="V107">
        <f>HYPERLINK("https://klasma.github.io/Logging_2180/klagomål/A 13396-2026 FSC-klagomål.docx", "A 13396-2026")</f>
        <v/>
      </c>
      <c r="W107">
        <f>HYPERLINK("https://klasma.github.io/Logging_2180/klagomålsmail/A 13396-2026 FSC-klagomål mail.docx", "A 13396-2026")</f>
        <v/>
      </c>
      <c r="X107">
        <f>HYPERLINK("https://klasma.github.io/Logging_2180/tillsyn/A 13396-2026 tillsynsbegäran.docx", "A 13396-2026")</f>
        <v/>
      </c>
      <c r="Y107">
        <f>HYPERLINK("https://klasma.github.io/Logging_2180/tillsynsmail/A 13396-2026 tillsynsbegäran mail.docx", "A 13396-2026")</f>
        <v/>
      </c>
    </row>
    <row r="108" ht="15" customHeight="1">
      <c r="A108" t="inlineStr">
        <is>
          <t>A 14730-2026</t>
        </is>
      </c>
      <c r="B108" s="1" t="n">
        <v>46101</v>
      </c>
      <c r="C108" s="1" t="n">
        <v>46200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8.199999999999999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HYPERLINK("https://klasma.github.io/Logging_2180/artfynd/A 14730-2026 artfynd.xlsx", "A 14730-2026")</f>
        <v/>
      </c>
      <c r="T108">
        <f>HYPERLINK("https://klasma.github.io/Logging_2180/kartor/A 14730-2026 karta.png", "A 14730-2026")</f>
        <v/>
      </c>
      <c r="V108">
        <f>HYPERLINK("https://klasma.github.io/Logging_2180/klagomål/A 14730-2026 FSC-klagomål.docx", "A 14730-2026")</f>
        <v/>
      </c>
      <c r="W108">
        <f>HYPERLINK("https://klasma.github.io/Logging_2180/klagomålsmail/A 14730-2026 FSC-klagomål mail.docx", "A 14730-2026")</f>
        <v/>
      </c>
      <c r="X108">
        <f>HYPERLINK("https://klasma.github.io/Logging_2180/tillsyn/A 14730-2026 tillsynsbegäran.docx", "A 14730-2026")</f>
        <v/>
      </c>
      <c r="Y108">
        <f>HYPERLINK("https://klasma.github.io/Logging_2180/tillsynsmail/A 14730-2026 tillsynsbegäran mail.docx", "A 14730-2026")</f>
        <v/>
      </c>
      <c r="Z108">
        <f>HYPERLINK("https://klasma.github.io/Logging_2180/fåglar/A 14730-2026 prioriterade fågelarter.docx", "A 14730-2026")</f>
        <v/>
      </c>
    </row>
    <row r="109" ht="15" customHeight="1">
      <c r="A109" t="inlineStr">
        <is>
          <t>A 14714-2026</t>
        </is>
      </c>
      <c r="B109" s="1" t="n">
        <v>46101</v>
      </c>
      <c r="C109" s="1" t="n">
        <v>46200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HYPERLINK("https://klasma.github.io/Logging_2180/artfynd/A 14714-2026 artfynd.xlsx", "A 14714-2026")</f>
        <v/>
      </c>
      <c r="T109">
        <f>HYPERLINK("https://klasma.github.io/Logging_2180/kartor/A 14714-2026 karta.png", "A 14714-2026")</f>
        <v/>
      </c>
      <c r="V109">
        <f>HYPERLINK("https://klasma.github.io/Logging_2180/klagomål/A 14714-2026 FSC-klagomål.docx", "A 14714-2026")</f>
        <v/>
      </c>
      <c r="W109">
        <f>HYPERLINK("https://klasma.github.io/Logging_2180/klagomålsmail/A 14714-2026 FSC-klagomål mail.docx", "A 14714-2026")</f>
        <v/>
      </c>
      <c r="X109">
        <f>HYPERLINK("https://klasma.github.io/Logging_2180/tillsyn/A 14714-2026 tillsynsbegäran.docx", "A 14714-2026")</f>
        <v/>
      </c>
      <c r="Y109">
        <f>HYPERLINK("https://klasma.github.io/Logging_2180/tillsynsmail/A 14714-2026 tillsynsbegäran mail.docx", "A 14714-2026")</f>
        <v/>
      </c>
      <c r="Z109">
        <f>HYPERLINK("https://klasma.github.io/Logging_2180/fåglar/A 14714-2026 prioriterade fågelarter.docx", "A 14714-2026")</f>
        <v/>
      </c>
    </row>
    <row r="110" ht="15" customHeight="1">
      <c r="A110" t="inlineStr">
        <is>
          <t>A 14711-2026</t>
        </is>
      </c>
      <c r="B110" s="1" t="n">
        <v>46101</v>
      </c>
      <c r="C110" s="1" t="n">
        <v>46200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Blanksvart spiklav</t>
        </is>
      </c>
      <c r="S110">
        <f>HYPERLINK("https://klasma.github.io/Logging_2180/artfynd/A 14711-2026 artfynd.xlsx", "A 14711-2026")</f>
        <v/>
      </c>
      <c r="T110">
        <f>HYPERLINK("https://klasma.github.io/Logging_2180/kartor/A 14711-2026 karta.png", "A 14711-2026")</f>
        <v/>
      </c>
      <c r="V110">
        <f>HYPERLINK("https://klasma.github.io/Logging_2180/klagomål/A 14711-2026 FSC-klagomål.docx", "A 14711-2026")</f>
        <v/>
      </c>
      <c r="W110">
        <f>HYPERLINK("https://klasma.github.io/Logging_2180/klagomålsmail/A 14711-2026 FSC-klagomål mail.docx", "A 14711-2026")</f>
        <v/>
      </c>
      <c r="X110">
        <f>HYPERLINK("https://klasma.github.io/Logging_2180/tillsyn/A 14711-2026 tillsynsbegäran.docx", "A 14711-2026")</f>
        <v/>
      </c>
      <c r="Y110">
        <f>HYPERLINK("https://klasma.github.io/Logging_2180/tillsynsmail/A 14711-2026 tillsynsbegäran mail.docx", "A 14711-2026")</f>
        <v/>
      </c>
    </row>
    <row r="111" ht="15" customHeight="1">
      <c r="A111" t="inlineStr">
        <is>
          <t>A 10064-2025</t>
        </is>
      </c>
      <c r="B111" s="1" t="n">
        <v>45719</v>
      </c>
      <c r="C111" s="1" t="n">
        <v>46200</v>
      </c>
      <c r="D111" t="inlineStr">
        <is>
          <t>GÄVLEBORGS LÄN</t>
        </is>
      </c>
      <c r="E111" t="inlineStr">
        <is>
          <t>GÄVLE</t>
        </is>
      </c>
      <c r="G111" t="n">
        <v>4.6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HYPERLINK("https://klasma.github.io/Logging_2180/artfynd/A 10064-2025 artfynd.xlsx", "A 10064-2025")</f>
        <v/>
      </c>
      <c r="T111">
        <f>HYPERLINK("https://klasma.github.io/Logging_2180/kartor/A 10064-2025 karta.png", "A 10064-2025")</f>
        <v/>
      </c>
      <c r="V111">
        <f>HYPERLINK("https://klasma.github.io/Logging_2180/klagomål/A 10064-2025 FSC-klagomål.docx", "A 10064-2025")</f>
        <v/>
      </c>
      <c r="W111">
        <f>HYPERLINK("https://klasma.github.io/Logging_2180/klagomålsmail/A 10064-2025 FSC-klagomål mail.docx", "A 10064-2025")</f>
        <v/>
      </c>
      <c r="X111">
        <f>HYPERLINK("https://klasma.github.io/Logging_2180/tillsyn/A 10064-2025 tillsynsbegäran.docx", "A 10064-2025")</f>
        <v/>
      </c>
      <c r="Y111">
        <f>HYPERLINK("https://klasma.github.io/Logging_2180/tillsynsmail/A 10064-2025 tillsynsbegäran mail.docx", "A 10064-2025")</f>
        <v/>
      </c>
    </row>
    <row r="112" ht="15" customHeight="1">
      <c r="A112" t="inlineStr">
        <is>
          <t>A 20734-2026</t>
        </is>
      </c>
      <c r="B112" s="1" t="n">
        <v>46141</v>
      </c>
      <c r="C112" s="1" t="n">
        <v>46200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HYPERLINK("https://klasma.github.io/Logging_2180/artfynd/A 20734-2026 artfynd.xlsx", "A 20734-2026")</f>
        <v/>
      </c>
      <c r="T112">
        <f>HYPERLINK("https://klasma.github.io/Logging_2180/kartor/A 20734-2026 karta.png", "A 20734-2026")</f>
        <v/>
      </c>
      <c r="V112">
        <f>HYPERLINK("https://klasma.github.io/Logging_2180/klagomål/A 20734-2026 FSC-klagomål.docx", "A 20734-2026")</f>
        <v/>
      </c>
      <c r="W112">
        <f>HYPERLINK("https://klasma.github.io/Logging_2180/klagomålsmail/A 20734-2026 FSC-klagomål mail.docx", "A 20734-2026")</f>
        <v/>
      </c>
      <c r="X112">
        <f>HYPERLINK("https://klasma.github.io/Logging_2180/tillsyn/A 20734-2026 tillsynsbegäran.docx", "A 20734-2026")</f>
        <v/>
      </c>
      <c r="Y112">
        <f>HYPERLINK("https://klasma.github.io/Logging_2180/tillsynsmail/A 20734-2026 tillsynsbegäran mail.docx", "A 20734-2026")</f>
        <v/>
      </c>
    </row>
    <row r="113" ht="15" customHeight="1">
      <c r="A113" t="inlineStr">
        <is>
          <t>A 26871-2026</t>
        </is>
      </c>
      <c r="B113" s="1" t="n">
        <v>46185</v>
      </c>
      <c r="C113" s="1" t="n">
        <v>46200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4.2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HYPERLINK("https://klasma.github.io/Logging_2180/artfynd/A 26871-2026 artfynd.xlsx", "A 26871-2026")</f>
        <v/>
      </c>
      <c r="T113">
        <f>HYPERLINK("https://klasma.github.io/Logging_2180/kartor/A 26871-2026 karta.png", "A 26871-2026")</f>
        <v/>
      </c>
      <c r="V113">
        <f>HYPERLINK("https://klasma.github.io/Logging_2180/klagomål/A 26871-2026 FSC-klagomål.docx", "A 26871-2026")</f>
        <v/>
      </c>
      <c r="W113">
        <f>HYPERLINK("https://klasma.github.io/Logging_2180/klagomålsmail/A 26871-2026 FSC-klagomål mail.docx", "A 26871-2026")</f>
        <v/>
      </c>
      <c r="X113">
        <f>HYPERLINK("https://klasma.github.io/Logging_2180/tillsyn/A 26871-2026 tillsynsbegäran.docx", "A 26871-2026")</f>
        <v/>
      </c>
      <c r="Y113">
        <f>HYPERLINK("https://klasma.github.io/Logging_2180/tillsynsmail/A 26871-2026 tillsynsbegäran mail.docx", "A 26871-2026")</f>
        <v/>
      </c>
    </row>
    <row r="114" ht="15" customHeight="1">
      <c r="A114" t="inlineStr">
        <is>
          <t>A 27063-2026</t>
        </is>
      </c>
      <c r="B114" s="1" t="n">
        <v>46185</v>
      </c>
      <c r="C114" s="1" t="n">
        <v>46200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HYPERLINK("https://klasma.github.io/Logging_2180/artfynd/A 27063-2026 artfynd.xlsx", "A 27063-2026")</f>
        <v/>
      </c>
      <c r="T114">
        <f>HYPERLINK("https://klasma.github.io/Logging_2180/kartor/A 27063-2026 karta.png", "A 27063-2026")</f>
        <v/>
      </c>
      <c r="V114">
        <f>HYPERLINK("https://klasma.github.io/Logging_2180/klagomål/A 27063-2026 FSC-klagomål.docx", "A 27063-2026")</f>
        <v/>
      </c>
      <c r="W114">
        <f>HYPERLINK("https://klasma.github.io/Logging_2180/klagomålsmail/A 27063-2026 FSC-klagomål mail.docx", "A 27063-2026")</f>
        <v/>
      </c>
      <c r="X114">
        <f>HYPERLINK("https://klasma.github.io/Logging_2180/tillsyn/A 27063-2026 tillsynsbegäran.docx", "A 27063-2026")</f>
        <v/>
      </c>
      <c r="Y114">
        <f>HYPERLINK("https://klasma.github.io/Logging_2180/tillsynsmail/A 27063-2026 tillsynsbegäran mail.docx", "A 27063-2026")</f>
        <v/>
      </c>
    </row>
    <row r="115" ht="15" customHeight="1">
      <c r="A115" t="inlineStr">
        <is>
          <t>A 27058-2026</t>
        </is>
      </c>
      <c r="B115" s="1" t="n">
        <v>46185</v>
      </c>
      <c r="C115" s="1" t="n">
        <v>46200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Gullpudra</t>
        </is>
      </c>
      <c r="S115">
        <f>HYPERLINK("https://klasma.github.io/Logging_2180/artfynd/A 27058-2026 artfynd.xlsx", "A 27058-2026")</f>
        <v/>
      </c>
      <c r="T115">
        <f>HYPERLINK("https://klasma.github.io/Logging_2180/kartor/A 27058-2026 karta.png", "A 27058-2026")</f>
        <v/>
      </c>
      <c r="V115">
        <f>HYPERLINK("https://klasma.github.io/Logging_2180/klagomål/A 27058-2026 FSC-klagomål.docx", "A 27058-2026")</f>
        <v/>
      </c>
      <c r="W115">
        <f>HYPERLINK("https://klasma.github.io/Logging_2180/klagomålsmail/A 27058-2026 FSC-klagomål mail.docx", "A 27058-2026")</f>
        <v/>
      </c>
      <c r="X115">
        <f>HYPERLINK("https://klasma.github.io/Logging_2180/tillsyn/A 27058-2026 tillsynsbegäran.docx", "A 27058-2026")</f>
        <v/>
      </c>
      <c r="Y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27043-2026</t>
        </is>
      </c>
      <c r="B116" s="1" t="n">
        <v>46185</v>
      </c>
      <c r="C116" s="1" t="n">
        <v>46200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HYPERLINK("https://klasma.github.io/Logging_2180/artfynd/A 27043-2026 artfynd.xlsx", "A 27043-2026")</f>
        <v/>
      </c>
      <c r="T116">
        <f>HYPERLINK("https://klasma.github.io/Logging_2180/kartor/A 27043-2026 karta.png", "A 27043-2026")</f>
        <v/>
      </c>
      <c r="V116">
        <f>HYPERLINK("https://klasma.github.io/Logging_2180/klagomål/A 27043-2026 FSC-klagomål.docx", "A 27043-2026")</f>
        <v/>
      </c>
      <c r="W116">
        <f>HYPERLINK("https://klasma.github.io/Logging_2180/klagomålsmail/A 27043-2026 FSC-klagomål mail.docx", "A 27043-2026")</f>
        <v/>
      </c>
      <c r="X116">
        <f>HYPERLINK("https://klasma.github.io/Logging_2180/tillsyn/A 27043-2026 tillsynsbegäran.docx", "A 27043-2026")</f>
        <v/>
      </c>
      <c r="Y116">
        <f>HYPERLINK("https://klasma.github.io/Logging_2180/tillsynsmail/A 27043-2026 tillsynsbegäran mail.docx", "A 27043-2026")</f>
        <v/>
      </c>
    </row>
    <row r="117" ht="15" customHeight="1">
      <c r="A117" t="inlineStr">
        <is>
          <t>A 14703-2026</t>
        </is>
      </c>
      <c r="B117" s="1" t="n">
        <v>46101</v>
      </c>
      <c r="C117" s="1" t="n">
        <v>46200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HYPERLINK("https://klasma.github.io/Logging_2180/artfynd/A 14703-2026 artfynd.xlsx", "A 14703-2026")</f>
        <v/>
      </c>
      <c r="T117">
        <f>HYPERLINK("https://klasma.github.io/Logging_2180/kartor/A 14703-2026 karta.png", "A 14703-2026")</f>
        <v/>
      </c>
      <c r="V117">
        <f>HYPERLINK("https://klasma.github.io/Logging_2180/klagomål/A 14703-2026 FSC-klagomål.docx", "A 14703-2026")</f>
        <v/>
      </c>
      <c r="W117">
        <f>HYPERLINK("https://klasma.github.io/Logging_2180/klagomålsmail/A 14703-2026 FSC-klagomål mail.docx", "A 14703-2026")</f>
        <v/>
      </c>
      <c r="X117">
        <f>HYPERLINK("https://klasma.github.io/Logging_2180/tillsyn/A 14703-2026 tillsynsbegäran.docx", "A 14703-2026")</f>
        <v/>
      </c>
      <c r="Y117">
        <f>HYPERLINK("https://klasma.github.io/Logging_2180/tillsynsmail/A 14703-2026 tillsynsbegäran mail.docx", "A 14703-2026")</f>
        <v/>
      </c>
      <c r="Z117">
        <f>HYPERLINK("https://klasma.github.io/Logging_2180/fåglar/A 14703-2026 prioriterade fågelarter.docx", "A 14703-2026")</f>
        <v/>
      </c>
    </row>
    <row r="118" ht="15" customHeight="1">
      <c r="A118" t="inlineStr">
        <is>
          <t>A 13269-2026</t>
        </is>
      </c>
      <c r="B118" s="1" t="n">
        <v>46093</v>
      </c>
      <c r="C118" s="1" t="n">
        <v>46200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HYPERLINK("https://klasma.github.io/Logging_2180/artfynd/A 13269-2026 artfynd.xlsx", "A 13269-2026")</f>
        <v/>
      </c>
      <c r="T118">
        <f>HYPERLINK("https://klasma.github.io/Logging_2180/kartor/A 13269-2026 karta.png", "A 13269-2026")</f>
        <v/>
      </c>
      <c r="V118">
        <f>HYPERLINK("https://klasma.github.io/Logging_2180/klagomål/A 13269-2026 FSC-klagomål.docx", "A 13269-2026")</f>
        <v/>
      </c>
      <c r="W118">
        <f>HYPERLINK("https://klasma.github.io/Logging_2180/klagomålsmail/A 13269-2026 FSC-klagomål mail.docx", "A 13269-2026")</f>
        <v/>
      </c>
      <c r="X118">
        <f>HYPERLINK("https://klasma.github.io/Logging_2180/tillsyn/A 13269-2026 tillsynsbegäran.docx", "A 13269-2026")</f>
        <v/>
      </c>
      <c r="Y118">
        <f>HYPERLINK("https://klasma.github.io/Logging_2180/tillsynsmail/A 13269-2026 tillsynsbegäran mail.docx", "A 13269-2026")</f>
        <v/>
      </c>
      <c r="Z118">
        <f>HYPERLINK("https://klasma.github.io/Logging_2180/fåglar/A 13269-2026 prioriterade fågelarter.docx", "A 13269-2026")</f>
        <v/>
      </c>
    </row>
    <row r="119" ht="15" customHeight="1">
      <c r="A119" t="inlineStr">
        <is>
          <t>A 22052-2026</t>
        </is>
      </c>
      <c r="B119" s="1" t="n">
        <v>46153</v>
      </c>
      <c r="C119" s="1" t="n">
        <v>46200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Gullpudra</t>
        </is>
      </c>
      <c r="S119">
        <f>HYPERLINK("https://klasma.github.io/Logging_2180/artfynd/A 22052-2026 artfynd.xlsx", "A 22052-2026")</f>
        <v/>
      </c>
      <c r="T119">
        <f>HYPERLINK("https://klasma.github.io/Logging_2180/kartor/A 22052-2026 karta.png", "A 22052-2026")</f>
        <v/>
      </c>
      <c r="V119">
        <f>HYPERLINK("https://klasma.github.io/Logging_2180/klagomål/A 22052-2026 FSC-klagomål.docx", "A 22052-2026")</f>
        <v/>
      </c>
      <c r="W119">
        <f>HYPERLINK("https://klasma.github.io/Logging_2180/klagomålsmail/A 22052-2026 FSC-klagomål mail.docx", "A 22052-2026")</f>
        <v/>
      </c>
      <c r="X119">
        <f>HYPERLINK("https://klasma.github.io/Logging_2180/tillsyn/A 22052-2026 tillsynsbegäran.docx", "A 22052-2026")</f>
        <v/>
      </c>
      <c r="Y119">
        <f>HYPERLINK("https://klasma.github.io/Logging_2180/tillsynsmail/A 22052-2026 tillsynsbegäran mail.docx", "A 22052-2026")</f>
        <v/>
      </c>
    </row>
    <row r="120" ht="15" customHeight="1">
      <c r="A120" t="inlineStr">
        <is>
          <t>A 28546-2026</t>
        </is>
      </c>
      <c r="B120" s="1" t="n">
        <v>46197</v>
      </c>
      <c r="C120" s="1" t="n">
        <v>46200</v>
      </c>
      <c r="D120" t="inlineStr">
        <is>
          <t>GÄVLEBORGS LÄN</t>
        </is>
      </c>
      <c r="E120" t="inlineStr">
        <is>
          <t>GÄVLE</t>
        </is>
      </c>
      <c r="F120" t="inlineStr">
        <is>
          <t>BillerudKorsnäs AB</t>
        </is>
      </c>
      <c r="G120" t="n">
        <v>2.6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Fiskgjuse</t>
        </is>
      </c>
      <c r="S120">
        <f>HYPERLINK("https://klasma.github.io/Logging_2180/artfynd/A 28546-2026 artfynd.xlsx", "A 28546-2026")</f>
        <v/>
      </c>
      <c r="T120">
        <f>HYPERLINK("https://klasma.github.io/Logging_2180/kartor/A 28546-2026 karta.png", "A 28546-2026")</f>
        <v/>
      </c>
      <c r="V120">
        <f>HYPERLINK("https://klasma.github.io/Logging_2180/klagomål/A 28546-2026 FSC-klagomål.docx", "A 28546-2026")</f>
        <v/>
      </c>
      <c r="W120">
        <f>HYPERLINK("https://klasma.github.io/Logging_2180/klagomålsmail/A 28546-2026 FSC-klagomål mail.docx", "A 28546-2026")</f>
        <v/>
      </c>
      <c r="X120">
        <f>HYPERLINK("https://klasma.github.io/Logging_2180/tillsyn/A 28546-2026 tillsynsbegäran.docx", "A 28546-2026")</f>
        <v/>
      </c>
      <c r="Y120">
        <f>HYPERLINK("https://klasma.github.io/Logging_2180/tillsynsmail/A 28546-2026 tillsynsbegäran mail.docx", "A 28546-2026")</f>
        <v/>
      </c>
      <c r="Z120">
        <f>HYPERLINK("https://klasma.github.io/Logging_2180/fåglar/A 28546-2026 prioriterade fågelarter.docx", "A 28546-2026")</f>
        <v/>
      </c>
    </row>
    <row r="121" ht="15" customHeight="1">
      <c r="A121" t="inlineStr">
        <is>
          <t>A 22892-2026</t>
        </is>
      </c>
      <c r="B121" s="1" t="n">
        <v>46157</v>
      </c>
      <c r="C121" s="1" t="n">
        <v>46200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HYPERLINK("https://klasma.github.io/Logging_2180/artfynd/A 22892-2026 artfynd.xlsx", "A 22892-2026")</f>
        <v/>
      </c>
      <c r="T121">
        <f>HYPERLINK("https://klasma.github.io/Logging_2180/kartor/A 22892-2026 karta.png", "A 22892-2026")</f>
        <v/>
      </c>
      <c r="V121">
        <f>HYPERLINK("https://klasma.github.io/Logging_2180/klagomål/A 22892-2026 FSC-klagomål.docx", "A 22892-2026")</f>
        <v/>
      </c>
      <c r="W121">
        <f>HYPERLINK("https://klasma.github.io/Logging_2180/klagomålsmail/A 22892-2026 FSC-klagomål mail.docx", "A 22892-2026")</f>
        <v/>
      </c>
      <c r="X121">
        <f>HYPERLINK("https://klasma.github.io/Logging_2180/tillsyn/A 22892-2026 tillsynsbegäran.docx", "A 22892-2026")</f>
        <v/>
      </c>
      <c r="Y121">
        <f>HYPERLINK("https://klasma.github.io/Logging_2180/tillsynsmail/A 22892-2026 tillsynsbegäran mail.docx", "A 22892-2026")</f>
        <v/>
      </c>
      <c r="Z121">
        <f>HYPERLINK("https://klasma.github.io/Logging_2180/fåglar/A 22892-2026 prioriterade fågelarter.docx", "A 22892-2026")</f>
        <v/>
      </c>
    </row>
    <row r="122" ht="15" customHeight="1">
      <c r="A122" t="inlineStr">
        <is>
          <t>A 66494-2021</t>
        </is>
      </c>
      <c r="B122" s="1" t="n">
        <v>44519</v>
      </c>
      <c r="C122" s="1" t="n">
        <v>46200</v>
      </c>
      <c r="D122" t="inlineStr">
        <is>
          <t>GÄVLEBORGS LÄN</t>
        </is>
      </c>
      <c r="E122" t="inlineStr">
        <is>
          <t>GÄVLE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46200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31531-2022</t>
        </is>
      </c>
      <c r="B124" s="1" t="n">
        <v>44775</v>
      </c>
      <c r="C124" s="1" t="n">
        <v>46200</v>
      </c>
      <c r="D124" t="inlineStr">
        <is>
          <t>GÄVLEBORGS LÄN</t>
        </is>
      </c>
      <c r="E124" t="inlineStr">
        <is>
          <t>GÄVLE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55189-2022</t>
        </is>
      </c>
      <c r="B125" s="1" t="n">
        <v>44886</v>
      </c>
      <c r="C125" s="1" t="n">
        <v>46200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46200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46200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46200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46200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46200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46200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46200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46200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46200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15101-2022</t>
        </is>
      </c>
      <c r="B135" s="1" t="n">
        <v>44658</v>
      </c>
      <c r="C135" s="1" t="n">
        <v>46200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31773-2022</t>
        </is>
      </c>
      <c r="B136" s="1" t="n">
        <v>44776</v>
      </c>
      <c r="C136" s="1" t="n">
        <v>46200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1031-2022</t>
        </is>
      </c>
      <c r="B137" s="1" t="n">
        <v>44571</v>
      </c>
      <c r="C137" s="1" t="n">
        <v>46200</v>
      </c>
      <c r="D137" t="inlineStr">
        <is>
          <t>GÄVLEBORGS LÄN</t>
        </is>
      </c>
      <c r="E137" t="inlineStr">
        <is>
          <t>GÄVLE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</v>
      </c>
      <c r="C138" s="1" t="n">
        <v>46200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46200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29933-2022</t>
        </is>
      </c>
      <c r="B140" s="1" t="n">
        <v>44756</v>
      </c>
      <c r="C140" s="1" t="n">
        <v>46200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16459-2022</t>
        </is>
      </c>
      <c r="B141" s="1" t="n">
        <v>44671</v>
      </c>
      <c r="C141" s="1" t="n">
        <v>46200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16469-2022</t>
        </is>
      </c>
      <c r="B142" s="1" t="n">
        <v>44671</v>
      </c>
      <c r="C142" s="1" t="n">
        <v>46200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38447-2022</t>
        </is>
      </c>
      <c r="B143" s="1" t="n">
        <v>44813</v>
      </c>
      <c r="C143" s="1" t="n">
        <v>46200</v>
      </c>
      <c r="D143" t="inlineStr">
        <is>
          <t>GÄVLEBORGS LÄN</t>
        </is>
      </c>
      <c r="E143" t="inlineStr">
        <is>
          <t>GÄVLE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50389-2021</t>
        </is>
      </c>
      <c r="B144" s="1" t="n">
        <v>44459</v>
      </c>
      <c r="C144" s="1" t="n">
        <v>46200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4349-2022</t>
        </is>
      </c>
      <c r="B145" s="1" t="n">
        <v>44589</v>
      </c>
      <c r="C145" s="1" t="n">
        <v>46200</v>
      </c>
      <c r="D145" t="inlineStr">
        <is>
          <t>GÄVLEBORGS LÄN</t>
        </is>
      </c>
      <c r="E145" t="inlineStr">
        <is>
          <t>GÄVLE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44654-2021</t>
        </is>
      </c>
      <c r="B146" s="1" t="n">
        <v>44437</v>
      </c>
      <c r="C146" s="1" t="n">
        <v>46200</v>
      </c>
      <c r="D146" t="inlineStr">
        <is>
          <t>GÄVLEBORGS LÄN</t>
        </is>
      </c>
      <c r="E146" t="inlineStr">
        <is>
          <t>GÄVLE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33178-2022</t>
        </is>
      </c>
      <c r="B147" s="1" t="n">
        <v>44785</v>
      </c>
      <c r="C147" s="1" t="n">
        <v>46200</v>
      </c>
      <c r="D147" t="inlineStr">
        <is>
          <t>GÄVLEBORGS LÄN</t>
        </is>
      </c>
      <c r="E147" t="inlineStr">
        <is>
          <t>GÄVLE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6025-2022</t>
        </is>
      </c>
      <c r="B148" s="1" t="n">
        <v>44599</v>
      </c>
      <c r="C148" s="1" t="n">
        <v>46200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61352-2021</t>
        </is>
      </c>
      <c r="B149" s="1" t="n">
        <v>44498</v>
      </c>
      <c r="C149" s="1" t="n">
        <v>46200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6001-2022</t>
        </is>
      </c>
      <c r="B150" s="1" t="n">
        <v>44599</v>
      </c>
      <c r="C150" s="1" t="n">
        <v>46200</v>
      </c>
      <c r="D150" t="inlineStr">
        <is>
          <t>GÄVLEBORGS LÄN</t>
        </is>
      </c>
      <c r="E150" t="inlineStr">
        <is>
          <t>GÄVLE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26336-2022</t>
        </is>
      </c>
      <c r="B151" s="1" t="n">
        <v>44735</v>
      </c>
      <c r="C151" s="1" t="n">
        <v>46200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45592-2022</t>
        </is>
      </c>
      <c r="B152" s="1" t="n">
        <v>44845</v>
      </c>
      <c r="C152" s="1" t="n">
        <v>46200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34871-2022</t>
        </is>
      </c>
      <c r="B153" s="1" t="n">
        <v>44796</v>
      </c>
      <c r="C153" s="1" t="n">
        <v>46200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45134-2021</t>
        </is>
      </c>
      <c r="B154" s="1" t="n">
        <v>44439</v>
      </c>
      <c r="C154" s="1" t="n">
        <v>46200</v>
      </c>
      <c r="D154" t="inlineStr">
        <is>
          <t>GÄVLEBORGS LÄN</t>
        </is>
      </c>
      <c r="E154" t="inlineStr">
        <is>
          <t>GÄVLE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47739-2021</t>
        </is>
      </c>
      <c r="B155" s="1" t="n">
        <v>44448</v>
      </c>
      <c r="C155" s="1" t="n">
        <v>46200</v>
      </c>
      <c r="D155" t="inlineStr">
        <is>
          <t>GÄVLEBORGS LÄN</t>
        </is>
      </c>
      <c r="E155" t="inlineStr">
        <is>
          <t>GÄVLE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18181-2022</t>
        </is>
      </c>
      <c r="B156" s="1" t="n">
        <v>44684</v>
      </c>
      <c r="C156" s="1" t="n">
        <v>46200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34706-2022</t>
        </is>
      </c>
      <c r="B157" s="1" t="n">
        <v>44795</v>
      </c>
      <c r="C157" s="1" t="n">
        <v>46200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59515-2021</t>
        </is>
      </c>
      <c r="B158" s="1" t="n">
        <v>44491</v>
      </c>
      <c r="C158" s="1" t="n">
        <v>46200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45280-2022</t>
        </is>
      </c>
      <c r="B159" s="1" t="n">
        <v>44840</v>
      </c>
      <c r="C159" s="1" t="n">
        <v>46200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51249-2021</t>
        </is>
      </c>
      <c r="B160" s="1" t="n">
        <v>44461</v>
      </c>
      <c r="C160" s="1" t="n">
        <v>46200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23587-2024</t>
        </is>
      </c>
      <c r="B161" s="1" t="n">
        <v>45454</v>
      </c>
      <c r="C161" s="1" t="n">
        <v>46200</v>
      </c>
      <c r="D161" t="inlineStr">
        <is>
          <t>GÄVLEBORGS LÄN</t>
        </is>
      </c>
      <c r="E161" t="inlineStr">
        <is>
          <t>GÄVLE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7743-2025</t>
        </is>
      </c>
      <c r="B162" s="1" t="n">
        <v>45706</v>
      </c>
      <c r="C162" s="1" t="n">
        <v>46200</v>
      </c>
      <c r="D162" t="inlineStr">
        <is>
          <t>GÄVLEBORGS LÄN</t>
        </is>
      </c>
      <c r="E162" t="inlineStr">
        <is>
          <t>GÄVLE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55976-2022</t>
        </is>
      </c>
      <c r="B163" s="1" t="n">
        <v>44889</v>
      </c>
      <c r="C163" s="1" t="n">
        <v>46200</v>
      </c>
      <c r="D163" t="inlineStr">
        <is>
          <t>GÄVLEBORGS LÄN</t>
        </is>
      </c>
      <c r="E163" t="inlineStr">
        <is>
          <t>GÄVLE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33175-2022</t>
        </is>
      </c>
      <c r="B164" s="1" t="n">
        <v>44785</v>
      </c>
      <c r="C164" s="1" t="n">
        <v>46200</v>
      </c>
      <c r="D164" t="inlineStr">
        <is>
          <t>GÄVLEBORGS LÄN</t>
        </is>
      </c>
      <c r="E164" t="inlineStr">
        <is>
          <t>GÄVLE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3472-2022</t>
        </is>
      </c>
      <c r="B165" s="1" t="n">
        <v>44585</v>
      </c>
      <c r="C165" s="1" t="n">
        <v>46200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17062-2023</t>
        </is>
      </c>
      <c r="B166" s="1" t="n">
        <v>45034</v>
      </c>
      <c r="C166" s="1" t="n">
        <v>46200</v>
      </c>
      <c r="D166" t="inlineStr">
        <is>
          <t>GÄVLEBORGS LÄN</t>
        </is>
      </c>
      <c r="E166" t="inlineStr">
        <is>
          <t>GÄVLE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</v>
      </c>
      <c r="C167" s="1" t="n">
        <v>46200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25593-2024</t>
        </is>
      </c>
      <c r="B168" s="1" t="n">
        <v>45463</v>
      </c>
      <c r="C168" s="1" t="n">
        <v>46200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</v>
      </c>
      <c r="C169" s="1" t="n">
        <v>46200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3712-2023</t>
        </is>
      </c>
      <c r="B170" s="1" t="n">
        <v>44951</v>
      </c>
      <c r="C170" s="1" t="n">
        <v>46200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6367-2025</t>
        </is>
      </c>
      <c r="B171" s="1" t="n">
        <v>45699</v>
      </c>
      <c r="C171" s="1" t="n">
        <v>46200</v>
      </c>
      <c r="D171" t="inlineStr">
        <is>
          <t>GÄVLEBORGS LÄN</t>
        </is>
      </c>
      <c r="E171" t="inlineStr">
        <is>
          <t>GÄVLE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53138-2024</t>
        </is>
      </c>
      <c r="B172" s="1" t="n">
        <v>45611</v>
      </c>
      <c r="C172" s="1" t="n">
        <v>46200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18217-2024</t>
        </is>
      </c>
      <c r="B173" s="1" t="n">
        <v>45420</v>
      </c>
      <c r="C173" s="1" t="n">
        <v>46200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18017-2023</t>
        </is>
      </c>
      <c r="B174" s="1" t="n">
        <v>45040</v>
      </c>
      <c r="C174" s="1" t="n">
        <v>46200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257-2025</t>
        </is>
      </c>
      <c r="B175" s="1" t="n">
        <v>45660</v>
      </c>
      <c r="C175" s="1" t="n">
        <v>46200</v>
      </c>
      <c r="D175" t="inlineStr">
        <is>
          <t>GÄVLEBORGS LÄN</t>
        </is>
      </c>
      <c r="E175" t="inlineStr">
        <is>
          <t>GÄVLE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2373-2025</t>
        </is>
      </c>
      <c r="B176" s="1" t="n">
        <v>45673</v>
      </c>
      <c r="C176" s="1" t="n">
        <v>46200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2374-2025</t>
        </is>
      </c>
      <c r="B177" s="1" t="n">
        <v>45673</v>
      </c>
      <c r="C177" s="1" t="n">
        <v>46200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989-2023</t>
        </is>
      </c>
      <c r="B178" s="1" t="n">
        <v>44935</v>
      </c>
      <c r="C178" s="1" t="n">
        <v>46200</v>
      </c>
      <c r="D178" t="inlineStr">
        <is>
          <t>GÄVLEBORGS LÄN</t>
        </is>
      </c>
      <c r="E178" t="inlineStr">
        <is>
          <t>GÄVLE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12228-2022</t>
        </is>
      </c>
      <c r="B179" s="1" t="n">
        <v>44637</v>
      </c>
      <c r="C179" s="1" t="n">
        <v>46200</v>
      </c>
      <c r="D179" t="inlineStr">
        <is>
          <t>GÄVLEBORGS LÄN</t>
        </is>
      </c>
      <c r="E179" t="inlineStr">
        <is>
          <t>GÄVLE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11410-2025</t>
        </is>
      </c>
      <c r="B180" s="1" t="n">
        <v>45726</v>
      </c>
      <c r="C180" s="1" t="n">
        <v>46200</v>
      </c>
      <c r="D180" t="inlineStr">
        <is>
          <t>GÄVLEBORGS LÄN</t>
        </is>
      </c>
      <c r="E180" t="inlineStr">
        <is>
          <t>GÄVLE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14750-2022</t>
        </is>
      </c>
      <c r="B181" s="1" t="n">
        <v>44656</v>
      </c>
      <c r="C181" s="1" t="n">
        <v>46200</v>
      </c>
      <c r="D181" t="inlineStr">
        <is>
          <t>GÄVLEBORGS LÄN</t>
        </is>
      </c>
      <c r="E181" t="inlineStr">
        <is>
          <t>GÄVLE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1066-2025</t>
        </is>
      </c>
      <c r="B182" s="1" t="n">
        <v>45666</v>
      </c>
      <c r="C182" s="1" t="n">
        <v>46200</v>
      </c>
      <c r="D182" t="inlineStr">
        <is>
          <t>GÄVLEBORGS LÄN</t>
        </is>
      </c>
      <c r="E182" t="inlineStr">
        <is>
          <t>GÄVLE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38793-2024</t>
        </is>
      </c>
      <c r="B183" s="1" t="n">
        <v>45547</v>
      </c>
      <c r="C183" s="1" t="n">
        <v>46200</v>
      </c>
      <c r="D183" t="inlineStr">
        <is>
          <t>GÄVLEBORGS LÄN</t>
        </is>
      </c>
      <c r="E183" t="inlineStr">
        <is>
          <t>GÄVLE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10352-2025</t>
        </is>
      </c>
      <c r="B184" s="1" t="n">
        <v>45720</v>
      </c>
      <c r="C184" s="1" t="n">
        <v>46200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61492-2024</t>
        </is>
      </c>
      <c r="B185" s="1" t="n">
        <v>45646</v>
      </c>
      <c r="C185" s="1" t="n">
        <v>46200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7748-2025</t>
        </is>
      </c>
      <c r="B186" s="1" t="n">
        <v>45706</v>
      </c>
      <c r="C186" s="1" t="n">
        <v>46200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61501-2024</t>
        </is>
      </c>
      <c r="B187" s="1" t="n">
        <v>45646</v>
      </c>
      <c r="C187" s="1" t="n">
        <v>46200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5462-2023</t>
        </is>
      </c>
      <c r="B188" s="1" t="n">
        <v>44960</v>
      </c>
      <c r="C188" s="1" t="n">
        <v>46200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47458-2022</t>
        </is>
      </c>
      <c r="B189" s="1" t="n">
        <v>44853</v>
      </c>
      <c r="C189" s="1" t="n">
        <v>46200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24720-2023</t>
        </is>
      </c>
      <c r="B190" s="1" t="n">
        <v>45084</v>
      </c>
      <c r="C190" s="1" t="n">
        <v>46200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25532-2023</t>
        </is>
      </c>
      <c r="B191" s="1" t="n">
        <v>45089</v>
      </c>
      <c r="C191" s="1" t="n">
        <v>46200</v>
      </c>
      <c r="D191" t="inlineStr">
        <is>
          <t>GÄVLEBORGS LÄN</t>
        </is>
      </c>
      <c r="E191" t="inlineStr">
        <is>
          <t>GÄVLE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37534-2023</t>
        </is>
      </c>
      <c r="B192" s="1" t="n">
        <v>45158</v>
      </c>
      <c r="C192" s="1" t="n">
        <v>46200</v>
      </c>
      <c r="D192" t="inlineStr">
        <is>
          <t>GÄVLEBORGS LÄN</t>
        </is>
      </c>
      <c r="E192" t="inlineStr">
        <is>
          <t>GÄVLE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37538-2023</t>
        </is>
      </c>
      <c r="B193" s="1" t="n">
        <v>45158</v>
      </c>
      <c r="C193" s="1" t="n">
        <v>46200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61672-2023</t>
        </is>
      </c>
      <c r="B194" s="1" t="n">
        <v>45265</v>
      </c>
      <c r="C194" s="1" t="n">
        <v>46200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44938-2022</t>
        </is>
      </c>
      <c r="B195" s="1" t="n">
        <v>44841</v>
      </c>
      <c r="C195" s="1" t="n">
        <v>46200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8693-2024</t>
        </is>
      </c>
      <c r="B196" s="1" t="n">
        <v>45356</v>
      </c>
      <c r="C196" s="1" t="n">
        <v>46200</v>
      </c>
      <c r="D196" t="inlineStr">
        <is>
          <t>GÄVLEBORGS LÄN</t>
        </is>
      </c>
      <c r="E196" t="inlineStr">
        <is>
          <t>GÄVLE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65879-2021</t>
        </is>
      </c>
      <c r="B197" s="1" t="n">
        <v>44517</v>
      </c>
      <c r="C197" s="1" t="n">
        <v>46200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21795-2022</t>
        </is>
      </c>
      <c r="B198" s="1" t="n">
        <v>44708</v>
      </c>
      <c r="C198" s="1" t="n">
        <v>46200</v>
      </c>
      <c r="D198" t="inlineStr">
        <is>
          <t>GÄVLEBORGS LÄN</t>
        </is>
      </c>
      <c r="E198" t="inlineStr">
        <is>
          <t>GÄVLE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25938-2022</t>
        </is>
      </c>
      <c r="B199" s="1" t="n">
        <v>44734</v>
      </c>
      <c r="C199" s="1" t="n">
        <v>46200</v>
      </c>
      <c r="D199" t="inlineStr">
        <is>
          <t>GÄVLEBORGS LÄN</t>
        </is>
      </c>
      <c r="E199" t="inlineStr">
        <is>
          <t>GÄVLE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70043-2021</t>
        </is>
      </c>
      <c r="B200" s="1" t="n">
        <v>44533</v>
      </c>
      <c r="C200" s="1" t="n">
        <v>46200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5241-2024</t>
        </is>
      </c>
      <c r="B201" s="1" t="n">
        <v>45330</v>
      </c>
      <c r="C201" s="1" t="n">
        <v>46200</v>
      </c>
      <c r="D201" t="inlineStr">
        <is>
          <t>GÄVLEBORGS LÄN</t>
        </is>
      </c>
      <c r="E201" t="inlineStr">
        <is>
          <t>GÄVLE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3718-2025</t>
        </is>
      </c>
      <c r="B202" s="1" t="n">
        <v>45681</v>
      </c>
      <c r="C202" s="1" t="n">
        <v>46200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34600-2024</t>
        </is>
      </c>
      <c r="B203" s="1" t="n">
        <v>45526</v>
      </c>
      <c r="C203" s="1" t="n">
        <v>46200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48834-2024</t>
        </is>
      </c>
      <c r="B204" s="1" t="n">
        <v>45593</v>
      </c>
      <c r="C204" s="1" t="n">
        <v>46200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26131-2024</t>
        </is>
      </c>
      <c r="B205" s="1" t="n">
        <v>45468</v>
      </c>
      <c r="C205" s="1" t="n">
        <v>46200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57341-2023</t>
        </is>
      </c>
      <c r="B206" s="1" t="n">
        <v>45245</v>
      </c>
      <c r="C206" s="1" t="n">
        <v>46200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9426-2025</t>
        </is>
      </c>
      <c r="B207" s="1" t="n">
        <v>45715</v>
      </c>
      <c r="C207" s="1" t="n">
        <v>46200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45278-2022</t>
        </is>
      </c>
      <c r="B208" s="1" t="n">
        <v>44840</v>
      </c>
      <c r="C208" s="1" t="n">
        <v>46200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18162-2022</t>
        </is>
      </c>
      <c r="B209" s="1" t="n">
        <v>44684</v>
      </c>
      <c r="C209" s="1" t="n">
        <v>46200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28905-2023</t>
        </is>
      </c>
      <c r="B210" s="1" t="n">
        <v>45104</v>
      </c>
      <c r="C210" s="1" t="n">
        <v>46200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49771-2022</t>
        </is>
      </c>
      <c r="B211" s="1" t="n">
        <v>44862</v>
      </c>
      <c r="C211" s="1" t="n">
        <v>46200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50582-2023</t>
        </is>
      </c>
      <c r="B212" s="1" t="n">
        <v>45217</v>
      </c>
      <c r="C212" s="1" t="n">
        <v>46200</v>
      </c>
      <c r="D212" t="inlineStr">
        <is>
          <t>GÄVLEBORGS LÄN</t>
        </is>
      </c>
      <c r="E212" t="inlineStr">
        <is>
          <t>GÄVLE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9235-2022</t>
        </is>
      </c>
      <c r="B213" s="1" t="n">
        <v>44616</v>
      </c>
      <c r="C213" s="1" t="n">
        <v>46200</v>
      </c>
      <c r="D213" t="inlineStr">
        <is>
          <t>GÄVLEBORGS LÄN</t>
        </is>
      </c>
      <c r="E213" t="inlineStr">
        <is>
          <t>GÄVLE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46200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53082-2022</t>
        </is>
      </c>
      <c r="B215" s="1" t="n">
        <v>44876</v>
      </c>
      <c r="C215" s="1" t="n">
        <v>46200</v>
      </c>
      <c r="D215" t="inlineStr">
        <is>
          <t>GÄVLEBORGS LÄN</t>
        </is>
      </c>
      <c r="E215" t="inlineStr">
        <is>
          <t>GÄVLE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38255-2023</t>
        </is>
      </c>
      <c r="B216" s="1" t="n">
        <v>45161</v>
      </c>
      <c r="C216" s="1" t="n">
        <v>46200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72734-2021</t>
        </is>
      </c>
      <c r="B217" s="1" t="n">
        <v>44546</v>
      </c>
      <c r="C217" s="1" t="n">
        <v>46200</v>
      </c>
      <c r="D217" t="inlineStr">
        <is>
          <t>GÄVLEBORGS LÄN</t>
        </is>
      </c>
      <c r="E217" t="inlineStr">
        <is>
          <t>GÄVLE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31062-2023</t>
        </is>
      </c>
      <c r="B218" s="1" t="n">
        <v>45113</v>
      </c>
      <c r="C218" s="1" t="n">
        <v>46200</v>
      </c>
      <c r="D218" t="inlineStr">
        <is>
          <t>GÄVLEBORGS LÄN</t>
        </is>
      </c>
      <c r="E218" t="inlineStr">
        <is>
          <t>GÄVLE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33449-2024</t>
        </is>
      </c>
      <c r="B219" s="1" t="n">
        <v>45519</v>
      </c>
      <c r="C219" s="1" t="n">
        <v>46200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53432-2021</t>
        </is>
      </c>
      <c r="B220" s="1" t="n">
        <v>44468</v>
      </c>
      <c r="C220" s="1" t="n">
        <v>46200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35440-2023</t>
        </is>
      </c>
      <c r="B221" s="1" t="n">
        <v>45146</v>
      </c>
      <c r="C221" s="1" t="n">
        <v>46200</v>
      </c>
      <c r="D221" t="inlineStr">
        <is>
          <t>GÄVLEBORGS LÄN</t>
        </is>
      </c>
      <c r="E221" t="inlineStr">
        <is>
          <t>GÄVLE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26249-2022</t>
        </is>
      </c>
      <c r="B222" s="1" t="n">
        <v>44735</v>
      </c>
      <c r="C222" s="1" t="n">
        <v>46200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51876-2023</t>
        </is>
      </c>
      <c r="B223" s="1" t="n">
        <v>45223</v>
      </c>
      <c r="C223" s="1" t="n">
        <v>46200</v>
      </c>
      <c r="D223" t="inlineStr">
        <is>
          <t>GÄVLEBORGS LÄN</t>
        </is>
      </c>
      <c r="E223" t="inlineStr">
        <is>
          <t>GÄVLE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9419-2025</t>
        </is>
      </c>
      <c r="B224" s="1" t="n">
        <v>45715</v>
      </c>
      <c r="C224" s="1" t="n">
        <v>46200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3662-2022</t>
        </is>
      </c>
      <c r="B225" s="1" t="n">
        <v>44586</v>
      </c>
      <c r="C225" s="1" t="n">
        <v>46200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7410-2025</t>
        </is>
      </c>
      <c r="B226" s="1" t="n">
        <v>45705</v>
      </c>
      <c r="C226" s="1" t="n">
        <v>46200</v>
      </c>
      <c r="D226" t="inlineStr">
        <is>
          <t>GÄVLEBORGS LÄN</t>
        </is>
      </c>
      <c r="E226" t="inlineStr">
        <is>
          <t>GÄVLE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35331-2024</t>
        </is>
      </c>
      <c r="B227" s="1" t="n">
        <v>45530</v>
      </c>
      <c r="C227" s="1" t="n">
        <v>46200</v>
      </c>
      <c r="D227" t="inlineStr">
        <is>
          <t>GÄVLEBORGS LÄN</t>
        </is>
      </c>
      <c r="E227" t="inlineStr">
        <is>
          <t>GÄVLE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11-2023</t>
        </is>
      </c>
      <c r="B228" s="1" t="n">
        <v>44927</v>
      </c>
      <c r="C228" s="1" t="n">
        <v>46200</v>
      </c>
      <c r="D228" t="inlineStr">
        <is>
          <t>GÄVLEBORGS LÄN</t>
        </is>
      </c>
      <c r="E228" t="inlineStr">
        <is>
          <t>GÄVLE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44806-2024</t>
        </is>
      </c>
      <c r="B229" s="1" t="n">
        <v>45574</v>
      </c>
      <c r="C229" s="1" t="n">
        <v>46200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19555-2022</t>
        </is>
      </c>
      <c r="B230" s="1" t="n">
        <v>44693</v>
      </c>
      <c r="C230" s="1" t="n">
        <v>46200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19095-2022</t>
        </is>
      </c>
      <c r="B231" s="1" t="n">
        <v>44691</v>
      </c>
      <c r="C231" s="1" t="n">
        <v>46200</v>
      </c>
      <c r="D231" t="inlineStr">
        <is>
          <t>GÄVLEBORGS LÄN</t>
        </is>
      </c>
      <c r="E231" t="inlineStr">
        <is>
          <t>GÄVLE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58445-2021</t>
        </is>
      </c>
      <c r="B232" s="1" t="n">
        <v>44488</v>
      </c>
      <c r="C232" s="1" t="n">
        <v>46200</v>
      </c>
      <c r="D232" t="inlineStr">
        <is>
          <t>GÄVLEBORGS LÄN</t>
        </is>
      </c>
      <c r="E232" t="inlineStr">
        <is>
          <t>GÄVLE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15444-2024</t>
        </is>
      </c>
      <c r="B233" s="1" t="n">
        <v>45401</v>
      </c>
      <c r="C233" s="1" t="n">
        <v>46200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66493-2021</t>
        </is>
      </c>
      <c r="B234" s="1" t="n">
        <v>44519</v>
      </c>
      <c r="C234" s="1" t="n">
        <v>46200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23638-2024</t>
        </is>
      </c>
      <c r="B235" s="1" t="n">
        <v>45454</v>
      </c>
      <c r="C235" s="1" t="n">
        <v>46200</v>
      </c>
      <c r="D235" t="inlineStr">
        <is>
          <t>GÄVLEBORGS LÄN</t>
        </is>
      </c>
      <c r="E235" t="inlineStr">
        <is>
          <t>GÄVLE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49380-2024</t>
        </is>
      </c>
      <c r="B236" s="1" t="n">
        <v>45595</v>
      </c>
      <c r="C236" s="1" t="n">
        <v>46200</v>
      </c>
      <c r="D236" t="inlineStr">
        <is>
          <t>GÄVLEBORGS LÄN</t>
        </is>
      </c>
      <c r="E236" t="inlineStr">
        <is>
          <t>GÄVLE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14606-2025</t>
        </is>
      </c>
      <c r="B237" s="1" t="n">
        <v>45742</v>
      </c>
      <c r="C237" s="1" t="n">
        <v>46200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52250-2024</t>
        </is>
      </c>
      <c r="B238" s="1" t="n">
        <v>45608</v>
      </c>
      <c r="C238" s="1" t="n">
        <v>46200</v>
      </c>
      <c r="D238" t="inlineStr">
        <is>
          <t>GÄVLEBORGS LÄN</t>
        </is>
      </c>
      <c r="E238" t="inlineStr">
        <is>
          <t>GÄVLE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4294-2024</t>
        </is>
      </c>
      <c r="B239" s="1" t="n">
        <v>45324</v>
      </c>
      <c r="C239" s="1" t="n">
        <v>46200</v>
      </c>
      <c r="D239" t="inlineStr">
        <is>
          <t>GÄVLEBORGS LÄN</t>
        </is>
      </c>
      <c r="E239" t="inlineStr">
        <is>
          <t>GÄVLE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46549-2021</t>
        </is>
      </c>
      <c r="B240" s="1" t="n">
        <v>44445</v>
      </c>
      <c r="C240" s="1" t="n">
        <v>46200</v>
      </c>
      <c r="D240" t="inlineStr">
        <is>
          <t>GÄVLEBORGS LÄN</t>
        </is>
      </c>
      <c r="E240" t="inlineStr">
        <is>
          <t>GÄVLE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43556-2023</t>
        </is>
      </c>
      <c r="B241" s="1" t="n">
        <v>45184</v>
      </c>
      <c r="C241" s="1" t="n">
        <v>46200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3334-2022</t>
        </is>
      </c>
      <c r="B242" s="1" t="n">
        <v>44585</v>
      </c>
      <c r="C242" s="1" t="n">
        <v>46200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25812-2023</t>
        </is>
      </c>
      <c r="B243" s="1" t="n">
        <v>45090</v>
      </c>
      <c r="C243" s="1" t="n">
        <v>46200</v>
      </c>
      <c r="D243" t="inlineStr">
        <is>
          <t>GÄVLEBORGS LÄN</t>
        </is>
      </c>
      <c r="E243" t="inlineStr">
        <is>
          <t>GÄVLE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31544-2023</t>
        </is>
      </c>
      <c r="B244" s="1" t="n">
        <v>45117</v>
      </c>
      <c r="C244" s="1" t="n">
        <v>46200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26334-2022</t>
        </is>
      </c>
      <c r="B245" s="1" t="n">
        <v>44735</v>
      </c>
      <c r="C245" s="1" t="n">
        <v>46200</v>
      </c>
      <c r="D245" t="inlineStr">
        <is>
          <t>GÄVLEBORGS LÄN</t>
        </is>
      </c>
      <c r="E245" t="inlineStr">
        <is>
          <t>GÄVLE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29923-2022</t>
        </is>
      </c>
      <c r="B246" s="1" t="n">
        <v>44756</v>
      </c>
      <c r="C246" s="1" t="n">
        <v>46200</v>
      </c>
      <c r="D246" t="inlineStr">
        <is>
          <t>GÄVLEBORGS LÄN</t>
        </is>
      </c>
      <c r="E246" t="inlineStr">
        <is>
          <t>GÄVLE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29927-2022</t>
        </is>
      </c>
      <c r="B247" s="1" t="n">
        <v>44756</v>
      </c>
      <c r="C247" s="1" t="n">
        <v>46200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24618-2023</t>
        </is>
      </c>
      <c r="B248" s="1" t="n">
        <v>45084</v>
      </c>
      <c r="C248" s="1" t="n">
        <v>46200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20999-2022</t>
        </is>
      </c>
      <c r="B249" s="1" t="n">
        <v>44701</v>
      </c>
      <c r="C249" s="1" t="n">
        <v>46200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32143-2024</t>
        </is>
      </c>
      <c r="B250" s="1" t="n">
        <v>45511</v>
      </c>
      <c r="C250" s="1" t="n">
        <v>46200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1238-2023</t>
        </is>
      </c>
      <c r="B251" s="1" t="n">
        <v>44936</v>
      </c>
      <c r="C251" s="1" t="n">
        <v>46200</v>
      </c>
      <c r="D251" t="inlineStr">
        <is>
          <t>GÄVLEBORGS LÄN</t>
        </is>
      </c>
      <c r="E251" t="inlineStr">
        <is>
          <t>GÄVLE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57570-2024</t>
        </is>
      </c>
      <c r="B252" s="1" t="n">
        <v>45630</v>
      </c>
      <c r="C252" s="1" t="n">
        <v>46200</v>
      </c>
      <c r="D252" t="inlineStr">
        <is>
          <t>GÄVLEBORGS LÄN</t>
        </is>
      </c>
      <c r="E252" t="inlineStr">
        <is>
          <t>GÄVLE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33015-2023</t>
        </is>
      </c>
      <c r="B253" s="1" t="n">
        <v>45125</v>
      </c>
      <c r="C253" s="1" t="n">
        <v>46200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30875-2022</t>
        </is>
      </c>
      <c r="B254" s="1" t="n">
        <v>44767</v>
      </c>
      <c r="C254" s="1" t="n">
        <v>46200</v>
      </c>
      <c r="D254" t="inlineStr">
        <is>
          <t>GÄVLEBORGS LÄN</t>
        </is>
      </c>
      <c r="E254" t="inlineStr">
        <is>
          <t>GÄVLE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2457-2024</t>
        </is>
      </c>
      <c r="B255" s="1" t="n">
        <v>45312</v>
      </c>
      <c r="C255" s="1" t="n">
        <v>46200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51071-2023</t>
        </is>
      </c>
      <c r="B256" s="1" t="n">
        <v>45218</v>
      </c>
      <c r="C256" s="1" t="n">
        <v>46200</v>
      </c>
      <c r="D256" t="inlineStr">
        <is>
          <t>GÄVLEBORGS LÄN</t>
        </is>
      </c>
      <c r="E256" t="inlineStr">
        <is>
          <t>GÄVLE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71249-2021</t>
        </is>
      </c>
      <c r="B257" s="1" t="n">
        <v>44539</v>
      </c>
      <c r="C257" s="1" t="n">
        <v>46200</v>
      </c>
      <c r="D257" t="inlineStr">
        <is>
          <t>GÄVLEBORGS LÄN</t>
        </is>
      </c>
      <c r="E257" t="inlineStr">
        <is>
          <t>GÄVLE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60349-2022</t>
        </is>
      </c>
      <c r="B258" s="1" t="n">
        <v>44910</v>
      </c>
      <c r="C258" s="1" t="n">
        <v>46200</v>
      </c>
      <c r="D258" t="inlineStr">
        <is>
          <t>GÄVLEBORGS LÄN</t>
        </is>
      </c>
      <c r="E258" t="inlineStr">
        <is>
          <t>GÄVLE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41100-2024</t>
        </is>
      </c>
      <c r="B259" s="1" t="n">
        <v>45559</v>
      </c>
      <c r="C259" s="1" t="n">
        <v>46200</v>
      </c>
      <c r="D259" t="inlineStr">
        <is>
          <t>GÄVLEBORGS LÄN</t>
        </is>
      </c>
      <c r="E259" t="inlineStr">
        <is>
          <t>GÄVLE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17113-2024</t>
        </is>
      </c>
      <c r="B260" s="1" t="n">
        <v>45412</v>
      </c>
      <c r="C260" s="1" t="n">
        <v>46200</v>
      </c>
      <c r="D260" t="inlineStr">
        <is>
          <t>GÄVLEBORGS LÄN</t>
        </is>
      </c>
      <c r="E260" t="inlineStr">
        <is>
          <t>GÄVLE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18168-2022</t>
        </is>
      </c>
      <c r="B261" s="1" t="n">
        <v>44684</v>
      </c>
      <c r="C261" s="1" t="n">
        <v>46200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50871-2022</t>
        </is>
      </c>
      <c r="B262" s="1" t="n">
        <v>44867</v>
      </c>
      <c r="C262" s="1" t="n">
        <v>46200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19424-2022</t>
        </is>
      </c>
      <c r="B263" s="1" t="n">
        <v>44693</v>
      </c>
      <c r="C263" s="1" t="n">
        <v>46200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49401-2024</t>
        </is>
      </c>
      <c r="B264" s="1" t="n">
        <v>45595</v>
      </c>
      <c r="C264" s="1" t="n">
        <v>46200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46539-2021</t>
        </is>
      </c>
      <c r="B265" s="1" t="n">
        <v>44445</v>
      </c>
      <c r="C265" s="1" t="n">
        <v>46200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64871-2023</t>
        </is>
      </c>
      <c r="B266" s="1" t="n">
        <v>45282</v>
      </c>
      <c r="C266" s="1" t="n">
        <v>46200</v>
      </c>
      <c r="D266" t="inlineStr">
        <is>
          <t>GÄVLEBORGS LÄN</t>
        </is>
      </c>
      <c r="E266" t="inlineStr">
        <is>
          <t>GÄVLE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64875-2023</t>
        </is>
      </c>
      <c r="B267" s="1" t="n">
        <v>45282</v>
      </c>
      <c r="C267" s="1" t="n">
        <v>46200</v>
      </c>
      <c r="D267" t="inlineStr">
        <is>
          <t>GÄVLEBORGS LÄN</t>
        </is>
      </c>
      <c r="E267" t="inlineStr">
        <is>
          <t>GÄVLE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64878-2023</t>
        </is>
      </c>
      <c r="B268" s="1" t="n">
        <v>45282</v>
      </c>
      <c r="C268" s="1" t="n">
        <v>46200</v>
      </c>
      <c r="D268" t="inlineStr">
        <is>
          <t>GÄVLEBORGS LÄN</t>
        </is>
      </c>
      <c r="E268" t="inlineStr">
        <is>
          <t>GÄVLE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19730-2022</t>
        </is>
      </c>
      <c r="B269" s="1" t="n">
        <v>44694</v>
      </c>
      <c r="C269" s="1" t="n">
        <v>46200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58370-2024</t>
        </is>
      </c>
      <c r="B270" s="1" t="n">
        <v>45632</v>
      </c>
      <c r="C270" s="1" t="n">
        <v>46200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34233-2023</t>
        </is>
      </c>
      <c r="B271" s="1" t="n">
        <v>45138</v>
      </c>
      <c r="C271" s="1" t="n">
        <v>46200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38558-2023</t>
        </is>
      </c>
      <c r="B272" s="1" t="n">
        <v>45162</v>
      </c>
      <c r="C272" s="1" t="n">
        <v>46200</v>
      </c>
      <c r="D272" t="inlineStr">
        <is>
          <t>GÄVLEBORGS LÄN</t>
        </is>
      </c>
      <c r="E272" t="inlineStr">
        <is>
          <t>GÄVLE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10001-2025</t>
        </is>
      </c>
      <c r="B273" s="1" t="n">
        <v>45719</v>
      </c>
      <c r="C273" s="1" t="n">
        <v>46200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40091-2023</t>
        </is>
      </c>
      <c r="B274" s="1" t="n">
        <v>45168</v>
      </c>
      <c r="C274" s="1" t="n">
        <v>46200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3714-2023</t>
        </is>
      </c>
      <c r="B275" s="1" t="n">
        <v>44951</v>
      </c>
      <c r="C275" s="1" t="n">
        <v>46200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3715-2023</t>
        </is>
      </c>
      <c r="B276" s="1" t="n">
        <v>44951</v>
      </c>
      <c r="C276" s="1" t="n">
        <v>46200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42934-2023</t>
        </is>
      </c>
      <c r="B277" s="1" t="n">
        <v>45182</v>
      </c>
      <c r="C277" s="1" t="n">
        <v>46200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36638-2022</t>
        </is>
      </c>
      <c r="B278" s="1" t="n">
        <v>44804</v>
      </c>
      <c r="C278" s="1" t="n">
        <v>46200</v>
      </c>
      <c r="D278" t="inlineStr">
        <is>
          <t>GÄVLEBORGS LÄN</t>
        </is>
      </c>
      <c r="E278" t="inlineStr">
        <is>
          <t>GÄVLE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45628-2022</t>
        </is>
      </c>
      <c r="B279" s="1" t="n">
        <v>44845</v>
      </c>
      <c r="C279" s="1" t="n">
        <v>46200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37258-2024</t>
        </is>
      </c>
      <c r="B280" s="1" t="n">
        <v>45540</v>
      </c>
      <c r="C280" s="1" t="n">
        <v>46200</v>
      </c>
      <c r="D280" t="inlineStr">
        <is>
          <t>GÄVLEBORGS LÄN</t>
        </is>
      </c>
      <c r="E280" t="inlineStr">
        <is>
          <t>GÄVLE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59322-2022</t>
        </is>
      </c>
      <c r="B281" s="1" t="n">
        <v>44904</v>
      </c>
      <c r="C281" s="1" t="n">
        <v>46200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5728-2023</t>
        </is>
      </c>
      <c r="B282" s="1" t="n">
        <v>44962</v>
      </c>
      <c r="C282" s="1" t="n">
        <v>46200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247-2025</t>
        </is>
      </c>
      <c r="B283" s="1" t="n">
        <v>45660</v>
      </c>
      <c r="C283" s="1" t="n">
        <v>46200</v>
      </c>
      <c r="D283" t="inlineStr">
        <is>
          <t>GÄVLEBORGS LÄN</t>
        </is>
      </c>
      <c r="E283" t="inlineStr">
        <is>
          <t>GÄVLE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25768-2022</t>
        </is>
      </c>
      <c r="B284" s="1" t="n">
        <v>44733</v>
      </c>
      <c r="C284" s="1" t="n">
        <v>46200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61300-2024</t>
        </is>
      </c>
      <c r="B285" s="1" t="n">
        <v>45645</v>
      </c>
      <c r="C285" s="1" t="n">
        <v>46200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2247-2023</t>
        </is>
      </c>
      <c r="B286" s="1" t="n">
        <v>44942</v>
      </c>
      <c r="C286" s="1" t="n">
        <v>46200</v>
      </c>
      <c r="D286" t="inlineStr">
        <is>
          <t>GÄVLEBORGS LÄN</t>
        </is>
      </c>
      <c r="E286" t="inlineStr">
        <is>
          <t>GÄVLE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61880-2024</t>
        </is>
      </c>
      <c r="B287" s="1" t="n">
        <v>45652</v>
      </c>
      <c r="C287" s="1" t="n">
        <v>46200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27787-2024</t>
        </is>
      </c>
      <c r="B288" s="1" t="n">
        <v>45475</v>
      </c>
      <c r="C288" s="1" t="n">
        <v>46200</v>
      </c>
      <c r="D288" t="inlineStr">
        <is>
          <t>GÄVLEBORGS LÄN</t>
        </is>
      </c>
      <c r="E288" t="inlineStr">
        <is>
          <t>GÄVLE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35205-2024</t>
        </is>
      </c>
      <c r="B289" s="1" t="n">
        <v>45530</v>
      </c>
      <c r="C289" s="1" t="n">
        <v>46200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47108-2024</t>
        </is>
      </c>
      <c r="B290" s="1" t="n">
        <v>45586</v>
      </c>
      <c r="C290" s="1" t="n">
        <v>46200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40498-2022</t>
        </is>
      </c>
      <c r="B291" s="1" t="n">
        <v>44823</v>
      </c>
      <c r="C291" s="1" t="n">
        <v>46200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21300-2024</t>
        </is>
      </c>
      <c r="B292" s="1" t="n">
        <v>45440</v>
      </c>
      <c r="C292" s="1" t="n">
        <v>46200</v>
      </c>
      <c r="D292" t="inlineStr">
        <is>
          <t>GÄVLEBORGS LÄN</t>
        </is>
      </c>
      <c r="E292" t="inlineStr">
        <is>
          <t>GÄVLE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47746-2023</t>
        </is>
      </c>
      <c r="B293" s="1" t="n">
        <v>45203</v>
      </c>
      <c r="C293" s="1" t="n">
        <v>46200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10577-2023</t>
        </is>
      </c>
      <c r="B294" s="1" t="n">
        <v>44988</v>
      </c>
      <c r="C294" s="1" t="n">
        <v>46200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58192-2024</t>
        </is>
      </c>
      <c r="B295" s="1" t="n">
        <v>45632</v>
      </c>
      <c r="C295" s="1" t="n">
        <v>46200</v>
      </c>
      <c r="D295" t="inlineStr">
        <is>
          <t>GÄVLEBORGS LÄN</t>
        </is>
      </c>
      <c r="E295" t="inlineStr">
        <is>
          <t>GÄVLE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2461-2024</t>
        </is>
      </c>
      <c r="B296" s="1" t="n">
        <v>45312</v>
      </c>
      <c r="C296" s="1" t="n">
        <v>46200</v>
      </c>
      <c r="D296" t="inlineStr">
        <is>
          <t>GÄVLEBORGS LÄN</t>
        </is>
      </c>
      <c r="E296" t="inlineStr">
        <is>
          <t>GÄVLE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52495-2021</t>
        </is>
      </c>
      <c r="B297" s="1" t="n">
        <v>44466</v>
      </c>
      <c r="C297" s="1" t="n">
        <v>46200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16624-2023</t>
        </is>
      </c>
      <c r="B298" s="1" t="n">
        <v>45030</v>
      </c>
      <c r="C298" s="1" t="n">
        <v>46200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34668-2024</t>
        </is>
      </c>
      <c r="B299" s="1" t="n">
        <v>45526</v>
      </c>
      <c r="C299" s="1" t="n">
        <v>46200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1062-2025</t>
        </is>
      </c>
      <c r="B300" s="1" t="n">
        <v>45666</v>
      </c>
      <c r="C300" s="1" t="n">
        <v>46200</v>
      </c>
      <c r="D300" t="inlineStr">
        <is>
          <t>GÄVLEBORGS LÄN</t>
        </is>
      </c>
      <c r="E300" t="inlineStr">
        <is>
          <t>GÄVLE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20689-2024</t>
        </is>
      </c>
      <c r="B301" s="1" t="n">
        <v>45436</v>
      </c>
      <c r="C301" s="1" t="n">
        <v>46200</v>
      </c>
      <c r="D301" t="inlineStr">
        <is>
          <t>GÄVLEBORGS LÄN</t>
        </is>
      </c>
      <c r="E301" t="inlineStr">
        <is>
          <t>GÄVLE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60792-2024</t>
        </is>
      </c>
      <c r="B302" s="1" t="n">
        <v>45644</v>
      </c>
      <c r="C302" s="1" t="n">
        <v>46200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60801-2024</t>
        </is>
      </c>
      <c r="B303" s="1" t="n">
        <v>45644</v>
      </c>
      <c r="C303" s="1" t="n">
        <v>46200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11429-2025</t>
        </is>
      </c>
      <c r="B304" s="1" t="n">
        <v>45726</v>
      </c>
      <c r="C304" s="1" t="n">
        <v>46200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32353-2023</t>
        </is>
      </c>
      <c r="B305" s="1" t="n">
        <v>45120</v>
      </c>
      <c r="C305" s="1" t="n">
        <v>46200</v>
      </c>
      <c r="D305" t="inlineStr">
        <is>
          <t>GÄVLEBORGS LÄN</t>
        </is>
      </c>
      <c r="E305" t="inlineStr">
        <is>
          <t>GÄVLE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4482-2022</t>
        </is>
      </c>
      <c r="B306" s="1" t="n">
        <v>44589</v>
      </c>
      <c r="C306" s="1" t="n">
        <v>46200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35445-2023</t>
        </is>
      </c>
      <c r="B307" s="1" t="n">
        <v>45146</v>
      </c>
      <c r="C307" s="1" t="n">
        <v>46200</v>
      </c>
      <c r="D307" t="inlineStr">
        <is>
          <t>GÄVLEBORGS LÄN</t>
        </is>
      </c>
      <c r="E307" t="inlineStr">
        <is>
          <t>GÄVLE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22577-2022</t>
        </is>
      </c>
      <c r="B308" s="1" t="n">
        <v>44713</v>
      </c>
      <c r="C308" s="1" t="n">
        <v>46200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57168-2023</t>
        </is>
      </c>
      <c r="B309" s="1" t="n">
        <v>45245</v>
      </c>
      <c r="C309" s="1" t="n">
        <v>46200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26129-2024</t>
        </is>
      </c>
      <c r="B310" s="1" t="n">
        <v>45468</v>
      </c>
      <c r="C310" s="1" t="n">
        <v>46200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35206-2024</t>
        </is>
      </c>
      <c r="B311" s="1" t="n">
        <v>45530</v>
      </c>
      <c r="C311" s="1" t="n">
        <v>46200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61301-2024</t>
        </is>
      </c>
      <c r="B312" s="1" t="n">
        <v>45645</v>
      </c>
      <c r="C312" s="1" t="n">
        <v>46200</v>
      </c>
      <c r="D312" t="inlineStr">
        <is>
          <t>GÄVLEBORGS LÄN</t>
        </is>
      </c>
      <c r="E312" t="inlineStr">
        <is>
          <t>GÄVLE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16401-2025</t>
        </is>
      </c>
      <c r="B313" s="1" t="n">
        <v>45751</v>
      </c>
      <c r="C313" s="1" t="n">
        <v>46200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15207-2024</t>
        </is>
      </c>
      <c r="B314" s="1" t="n">
        <v>45400</v>
      </c>
      <c r="C314" s="1" t="n">
        <v>46200</v>
      </c>
      <c r="D314" t="inlineStr">
        <is>
          <t>GÄVLEBORGS LÄN</t>
        </is>
      </c>
      <c r="E314" t="inlineStr">
        <is>
          <t>GÄVLE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32970-2021</t>
        </is>
      </c>
      <c r="B315" s="1" t="n">
        <v>44376</v>
      </c>
      <c r="C315" s="1" t="n">
        <v>46200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29016-2023</t>
        </is>
      </c>
      <c r="B316" s="1" t="n">
        <v>45104</v>
      </c>
      <c r="C316" s="1" t="n">
        <v>46200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60396-2022</t>
        </is>
      </c>
      <c r="B317" s="1" t="n">
        <v>44910</v>
      </c>
      <c r="C317" s="1" t="n">
        <v>46200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64868-2023</t>
        </is>
      </c>
      <c r="B318" s="1" t="n">
        <v>45282</v>
      </c>
      <c r="C318" s="1" t="n">
        <v>46200</v>
      </c>
      <c r="D318" t="inlineStr">
        <is>
          <t>GÄVLEBORGS LÄN</t>
        </is>
      </c>
      <c r="E318" t="inlineStr">
        <is>
          <t>GÄVLE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5633-2024</t>
        </is>
      </c>
      <c r="B319" s="1" t="n">
        <v>45334</v>
      </c>
      <c r="C319" s="1" t="n">
        <v>46200</v>
      </c>
      <c r="D319" t="inlineStr">
        <is>
          <t>GÄVLEBORGS LÄN</t>
        </is>
      </c>
      <c r="E319" t="inlineStr">
        <is>
          <t>GÄVLE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13961-2024</t>
        </is>
      </c>
      <c r="B320" s="1" t="n">
        <v>45392</v>
      </c>
      <c r="C320" s="1" t="n">
        <v>46200</v>
      </c>
      <c r="D320" t="inlineStr">
        <is>
          <t>GÄVLEBORGS LÄN</t>
        </is>
      </c>
      <c r="E320" t="inlineStr">
        <is>
          <t>GÄVLE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1974-2025</t>
        </is>
      </c>
      <c r="B321" s="1" t="n">
        <v>45672</v>
      </c>
      <c r="C321" s="1" t="n">
        <v>46200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4290-2024</t>
        </is>
      </c>
      <c r="B322" s="1" t="n">
        <v>45324</v>
      </c>
      <c r="C322" s="1" t="n">
        <v>46200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1969-2025</t>
        </is>
      </c>
      <c r="B323" s="1" t="n">
        <v>45672</v>
      </c>
      <c r="C323" s="1" t="n">
        <v>46200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61016-2024</t>
        </is>
      </c>
      <c r="B324" s="1" t="n">
        <v>45645</v>
      </c>
      <c r="C324" s="1" t="n">
        <v>46200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18361-2024</t>
        </is>
      </c>
      <c r="B325" s="1" t="n">
        <v>45422</v>
      </c>
      <c r="C325" s="1" t="n">
        <v>46200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25276-2024</t>
        </is>
      </c>
      <c r="B326" s="1" t="n">
        <v>45462</v>
      </c>
      <c r="C326" s="1" t="n">
        <v>46200</v>
      </c>
      <c r="D326" t="inlineStr">
        <is>
          <t>GÄVLEBORGS LÄN</t>
        </is>
      </c>
      <c r="E326" t="inlineStr">
        <is>
          <t>GÄVLE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60885-2023</t>
        </is>
      </c>
      <c r="B327" s="1" t="n">
        <v>45261</v>
      </c>
      <c r="C327" s="1" t="n">
        <v>46200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38495-2023</t>
        </is>
      </c>
      <c r="B328" s="1" t="n">
        <v>45162</v>
      </c>
      <c r="C328" s="1" t="n">
        <v>46200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225-2025</t>
        </is>
      </c>
      <c r="B329" s="1" t="n">
        <v>45660</v>
      </c>
      <c r="C329" s="1" t="n">
        <v>46200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232-2025</t>
        </is>
      </c>
      <c r="B330" s="1" t="n">
        <v>45660</v>
      </c>
      <c r="C330" s="1" t="n">
        <v>46200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20682-2023</t>
        </is>
      </c>
      <c r="B331" s="1" t="n">
        <v>45058</v>
      </c>
      <c r="C331" s="1" t="n">
        <v>46200</v>
      </c>
      <c r="D331" t="inlineStr">
        <is>
          <t>GÄVLEBORGS LÄN</t>
        </is>
      </c>
      <c r="E331" t="inlineStr">
        <is>
          <t>GÄVLE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27182-2022</t>
        </is>
      </c>
      <c r="B332" s="1" t="n">
        <v>44741</v>
      </c>
      <c r="C332" s="1" t="n">
        <v>46200</v>
      </c>
      <c r="D332" t="inlineStr">
        <is>
          <t>GÄVLEBORGS LÄN</t>
        </is>
      </c>
      <c r="E332" t="inlineStr">
        <is>
          <t>GÄVLE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3639-2022</t>
        </is>
      </c>
      <c r="B333" s="1" t="n">
        <v>44586</v>
      </c>
      <c r="C333" s="1" t="n">
        <v>46200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25466-2023</t>
        </is>
      </c>
      <c r="B334" s="1" t="n">
        <v>45089</v>
      </c>
      <c r="C334" s="1" t="n">
        <v>46200</v>
      </c>
      <c r="D334" t="inlineStr">
        <is>
          <t>GÄVLEBORGS LÄN</t>
        </is>
      </c>
      <c r="E334" t="inlineStr">
        <is>
          <t>GÄVLE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27666-2025</t>
        </is>
      </c>
      <c r="B335" s="1" t="n">
        <v>45813</v>
      </c>
      <c r="C335" s="1" t="n">
        <v>46200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27611-2025</t>
        </is>
      </c>
      <c r="B336" s="1" t="n">
        <v>45813</v>
      </c>
      <c r="C336" s="1" t="n">
        <v>46200</v>
      </c>
      <c r="D336" t="inlineStr">
        <is>
          <t>GÄVLEBORGS LÄN</t>
        </is>
      </c>
      <c r="E336" t="inlineStr">
        <is>
          <t>GÄVLE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7060-2022</t>
        </is>
      </c>
      <c r="B337" s="1" t="n">
        <v>44603</v>
      </c>
      <c r="C337" s="1" t="n">
        <v>46200</v>
      </c>
      <c r="D337" t="inlineStr">
        <is>
          <t>GÄVLEBORGS LÄN</t>
        </is>
      </c>
      <c r="E337" t="inlineStr">
        <is>
          <t>GÄVLE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41708-2023</t>
        </is>
      </c>
      <c r="B338" s="1" t="n">
        <v>45176</v>
      </c>
      <c r="C338" s="1" t="n">
        <v>46200</v>
      </c>
      <c r="D338" t="inlineStr">
        <is>
          <t>GÄVLEBORGS LÄN</t>
        </is>
      </c>
      <c r="E338" t="inlineStr">
        <is>
          <t>GÄVLE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41712-2023</t>
        </is>
      </c>
      <c r="B339" s="1" t="n">
        <v>45176</v>
      </c>
      <c r="C339" s="1" t="n">
        <v>46200</v>
      </c>
      <c r="D339" t="inlineStr">
        <is>
          <t>GÄVLEBORGS LÄN</t>
        </is>
      </c>
      <c r="E339" t="inlineStr">
        <is>
          <t>GÄVLE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8031-2024</t>
        </is>
      </c>
      <c r="B340" s="1" t="n">
        <v>45350</v>
      </c>
      <c r="C340" s="1" t="n">
        <v>46200</v>
      </c>
      <c r="D340" t="inlineStr">
        <is>
          <t>GÄVLEBORGS LÄN</t>
        </is>
      </c>
      <c r="E340" t="inlineStr">
        <is>
          <t>GÄVLE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5413-2023</t>
        </is>
      </c>
      <c r="B341" s="1" t="n">
        <v>44959</v>
      </c>
      <c r="C341" s="1" t="n">
        <v>46200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61351-2021</t>
        </is>
      </c>
      <c r="B342" s="1" t="n">
        <v>44498</v>
      </c>
      <c r="C342" s="1" t="n">
        <v>46200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24-2025</t>
        </is>
      </c>
      <c r="B343" s="1" t="n">
        <v>45658</v>
      </c>
      <c r="C343" s="1" t="n">
        <v>46200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46200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28009-2025</t>
        </is>
      </c>
      <c r="B345" s="1" t="n">
        <v>45817</v>
      </c>
      <c r="C345" s="1" t="n">
        <v>46200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24724-2023</t>
        </is>
      </c>
      <c r="B346" s="1" t="n">
        <v>45084</v>
      </c>
      <c r="C346" s="1" t="n">
        <v>46200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4235-2025</t>
        </is>
      </c>
      <c r="B347" s="1" t="n">
        <v>45685</v>
      </c>
      <c r="C347" s="1" t="n">
        <v>46200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28481-2025</t>
        </is>
      </c>
      <c r="B348" s="1" t="n">
        <v>45819</v>
      </c>
      <c r="C348" s="1" t="n">
        <v>46200</v>
      </c>
      <c r="D348" t="inlineStr">
        <is>
          <t>GÄVLEBORGS LÄN</t>
        </is>
      </c>
      <c r="E348" t="inlineStr">
        <is>
          <t>GÄVLE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53281-2024</t>
        </is>
      </c>
      <c r="B349" s="1" t="n">
        <v>45614</v>
      </c>
      <c r="C349" s="1" t="n">
        <v>46200</v>
      </c>
      <c r="D349" t="inlineStr">
        <is>
          <t>GÄVLEBORGS LÄN</t>
        </is>
      </c>
      <c r="E349" t="inlineStr">
        <is>
          <t>GÄVLE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28624-2025</t>
        </is>
      </c>
      <c r="B350" s="1" t="n">
        <v>45819</v>
      </c>
      <c r="C350" s="1" t="n">
        <v>46200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60879-2023</t>
        </is>
      </c>
      <c r="B351" s="1" t="n">
        <v>45261</v>
      </c>
      <c r="C351" s="1" t="n">
        <v>46200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29929-2022</t>
        </is>
      </c>
      <c r="B352" s="1" t="n">
        <v>44756</v>
      </c>
      <c r="C352" s="1" t="n">
        <v>46200</v>
      </c>
      <c r="D352" t="inlineStr">
        <is>
          <t>GÄVLEBORGS LÄN</t>
        </is>
      </c>
      <c r="E352" t="inlineStr">
        <is>
          <t>GÄVLE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38673-2024</t>
        </is>
      </c>
      <c r="B353" s="1" t="n">
        <v>45547</v>
      </c>
      <c r="C353" s="1" t="n">
        <v>46200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250-2025</t>
        </is>
      </c>
      <c r="B354" s="1" t="n">
        <v>45660</v>
      </c>
      <c r="C354" s="1" t="n">
        <v>46200</v>
      </c>
      <c r="D354" t="inlineStr">
        <is>
          <t>GÄVLEBORGS LÄN</t>
        </is>
      </c>
      <c r="E354" t="inlineStr">
        <is>
          <t>GÄVLE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56138-2023</t>
        </is>
      </c>
      <c r="B355" s="1" t="n">
        <v>45240</v>
      </c>
      <c r="C355" s="1" t="n">
        <v>46200</v>
      </c>
      <c r="D355" t="inlineStr">
        <is>
          <t>GÄVLEBORGS LÄN</t>
        </is>
      </c>
      <c r="E355" t="inlineStr">
        <is>
          <t>GÄVLE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1244-2023</t>
        </is>
      </c>
      <c r="B356" s="1" t="n">
        <v>44936</v>
      </c>
      <c r="C356" s="1" t="n">
        <v>46200</v>
      </c>
      <c r="D356" t="inlineStr">
        <is>
          <t>GÄVLEBORGS LÄN</t>
        </is>
      </c>
      <c r="E356" t="inlineStr">
        <is>
          <t>GÄVLE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15312-2023</t>
        </is>
      </c>
      <c r="B357" s="1" t="n">
        <v>45019</v>
      </c>
      <c r="C357" s="1" t="n">
        <v>46200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60442-2022</t>
        </is>
      </c>
      <c r="B358" s="1" t="n">
        <v>44911</v>
      </c>
      <c r="C358" s="1" t="n">
        <v>46200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50314-2024</t>
        </is>
      </c>
      <c r="B359" s="1" t="n">
        <v>45600</v>
      </c>
      <c r="C359" s="1" t="n">
        <v>46200</v>
      </c>
      <c r="D359" t="inlineStr">
        <is>
          <t>GÄVLEBORGS LÄN</t>
        </is>
      </c>
      <c r="E359" t="inlineStr">
        <is>
          <t>GÄVLE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30301-2025</t>
        </is>
      </c>
      <c r="B360" s="1" t="n">
        <v>45827</v>
      </c>
      <c r="C360" s="1" t="n">
        <v>46200</v>
      </c>
      <c r="D360" t="inlineStr">
        <is>
          <t>GÄVLEBORGS LÄN</t>
        </is>
      </c>
      <c r="E360" t="inlineStr">
        <is>
          <t>GÄVLE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30202-2025</t>
        </is>
      </c>
      <c r="B361" s="1" t="n">
        <v>45827</v>
      </c>
      <c r="C361" s="1" t="n">
        <v>46200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14563-2025</t>
        </is>
      </c>
      <c r="B362" s="1" t="n">
        <v>45741</v>
      </c>
      <c r="C362" s="1" t="n">
        <v>46200</v>
      </c>
      <c r="D362" t="inlineStr">
        <is>
          <t>GÄVLEBORGS LÄN</t>
        </is>
      </c>
      <c r="E362" t="inlineStr">
        <is>
          <t>GÄVLE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61786-2024</t>
        </is>
      </c>
      <c r="B363" s="1" t="n">
        <v>45649</v>
      </c>
      <c r="C363" s="1" t="n">
        <v>46200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33635-2024</t>
        </is>
      </c>
      <c r="B364" s="1" t="n">
        <v>45520</v>
      </c>
      <c r="C364" s="1" t="n">
        <v>46200</v>
      </c>
      <c r="D364" t="inlineStr">
        <is>
          <t>GÄVLEBORGS LÄN</t>
        </is>
      </c>
      <c r="E364" t="inlineStr">
        <is>
          <t>GÄVLE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33637-2024</t>
        </is>
      </c>
      <c r="B365" s="1" t="n">
        <v>45520</v>
      </c>
      <c r="C365" s="1" t="n">
        <v>46200</v>
      </c>
      <c r="D365" t="inlineStr">
        <is>
          <t>GÄVLEBORGS LÄN</t>
        </is>
      </c>
      <c r="E365" t="inlineStr">
        <is>
          <t>GÄVLE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30300-2025</t>
        </is>
      </c>
      <c r="B366" s="1" t="n">
        <v>45827</v>
      </c>
      <c r="C366" s="1" t="n">
        <v>46200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30304-2025</t>
        </is>
      </c>
      <c r="B367" s="1" t="n">
        <v>45827</v>
      </c>
      <c r="C367" s="1" t="n">
        <v>46200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25645-2023</t>
        </is>
      </c>
      <c r="B368" s="1" t="n">
        <v>45089</v>
      </c>
      <c r="C368" s="1" t="n">
        <v>46200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7998-2023</t>
        </is>
      </c>
      <c r="B369" s="1" t="n">
        <v>44973</v>
      </c>
      <c r="C369" s="1" t="n">
        <v>46200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52387-2022</t>
        </is>
      </c>
      <c r="B370" s="1" t="n">
        <v>44874</v>
      </c>
      <c r="C370" s="1" t="n">
        <v>46200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31011-2023</t>
        </is>
      </c>
      <c r="B371" s="1" t="n">
        <v>45113</v>
      </c>
      <c r="C371" s="1" t="n">
        <v>46200</v>
      </c>
      <c r="D371" t="inlineStr">
        <is>
          <t>GÄVLEBORGS LÄN</t>
        </is>
      </c>
      <c r="E371" t="inlineStr">
        <is>
          <t>GÄVLE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3615-2024</t>
        </is>
      </c>
      <c r="B372" s="1" t="n">
        <v>45320</v>
      </c>
      <c r="C372" s="1" t="n">
        <v>46200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22466-2023</t>
        </is>
      </c>
      <c r="B373" s="1" t="n">
        <v>45070</v>
      </c>
      <c r="C373" s="1" t="n">
        <v>46200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30915-2025</t>
        </is>
      </c>
      <c r="B374" s="1" t="n">
        <v>45832</v>
      </c>
      <c r="C374" s="1" t="n">
        <v>46200</v>
      </c>
      <c r="D374" t="inlineStr">
        <is>
          <t>GÄVLEBORGS LÄN</t>
        </is>
      </c>
      <c r="E374" t="inlineStr">
        <is>
          <t>GÄVLE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16023-2023</t>
        </is>
      </c>
      <c r="B375" s="1" t="n">
        <v>45026</v>
      </c>
      <c r="C375" s="1" t="n">
        <v>46200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31920-2025</t>
        </is>
      </c>
      <c r="B376" s="1" t="n">
        <v>45834</v>
      </c>
      <c r="C376" s="1" t="n">
        <v>46200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54207-2023</t>
        </is>
      </c>
      <c r="B377" s="1" t="n">
        <v>45232</v>
      </c>
      <c r="C377" s="1" t="n">
        <v>46200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15935-2025</t>
        </is>
      </c>
      <c r="B378" s="1" t="n">
        <v>45749</v>
      </c>
      <c r="C378" s="1" t="n">
        <v>46200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25829-2024</t>
        </is>
      </c>
      <c r="B379" s="1" t="n">
        <v>45467</v>
      </c>
      <c r="C379" s="1" t="n">
        <v>46200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32022-2025</t>
        </is>
      </c>
      <c r="B380" s="1" t="n">
        <v>45835</v>
      </c>
      <c r="C380" s="1" t="n">
        <v>46200</v>
      </c>
      <c r="D380" t="inlineStr">
        <is>
          <t>GÄVLEBORGS LÄN</t>
        </is>
      </c>
      <c r="E380" t="inlineStr">
        <is>
          <t>GÄVLE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7235-2025</t>
        </is>
      </c>
      <c r="B381" s="1" t="n">
        <v>45702</v>
      </c>
      <c r="C381" s="1" t="n">
        <v>46200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25814-2023</t>
        </is>
      </c>
      <c r="B382" s="1" t="n">
        <v>45090</v>
      </c>
      <c r="C382" s="1" t="n">
        <v>46200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46200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32255-2023</t>
        </is>
      </c>
      <c r="B384" s="1" t="n">
        <v>45120</v>
      </c>
      <c r="C384" s="1" t="n">
        <v>46200</v>
      </c>
      <c r="D384" t="inlineStr">
        <is>
          <t>GÄVLEBORGS LÄN</t>
        </is>
      </c>
      <c r="E384" t="inlineStr">
        <is>
          <t>GÄVLE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14792-2023</t>
        </is>
      </c>
      <c r="B385" s="1" t="n">
        <v>45014</v>
      </c>
      <c r="C385" s="1" t="n">
        <v>46200</v>
      </c>
      <c r="D385" t="inlineStr">
        <is>
          <t>GÄVLEBORGS LÄN</t>
        </is>
      </c>
      <c r="E385" t="inlineStr">
        <is>
          <t>GÄVLE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44800-2024</t>
        </is>
      </c>
      <c r="B386" s="1" t="n">
        <v>45574</v>
      </c>
      <c r="C386" s="1" t="n">
        <v>46200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21978-2025</t>
        </is>
      </c>
      <c r="B387" s="1" t="n">
        <v>45784</v>
      </c>
      <c r="C387" s="1" t="n">
        <v>46200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61879-2024</t>
        </is>
      </c>
      <c r="B388" s="1" t="n">
        <v>45652</v>
      </c>
      <c r="C388" s="1" t="n">
        <v>46200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2458-2024</t>
        </is>
      </c>
      <c r="B389" s="1" t="n">
        <v>45312</v>
      </c>
      <c r="C389" s="1" t="n">
        <v>46200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12079-2025</t>
        </is>
      </c>
      <c r="B390" s="1" t="n">
        <v>45728</v>
      </c>
      <c r="C390" s="1" t="n">
        <v>46200</v>
      </c>
      <c r="D390" t="inlineStr">
        <is>
          <t>GÄVLEBORGS LÄN</t>
        </is>
      </c>
      <c r="E390" t="inlineStr">
        <is>
          <t>GÄVLE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34116-2025</t>
        </is>
      </c>
      <c r="B391" s="1" t="n">
        <v>45845</v>
      </c>
      <c r="C391" s="1" t="n">
        <v>46200</v>
      </c>
      <c r="D391" t="inlineStr">
        <is>
          <t>GÄVLEBORGS LÄN</t>
        </is>
      </c>
      <c r="E391" t="inlineStr">
        <is>
          <t>GÄVLE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1594-2024</t>
        </is>
      </c>
      <c r="B392" s="1" t="n">
        <v>45306</v>
      </c>
      <c r="C392" s="1" t="n">
        <v>46200</v>
      </c>
      <c r="D392" t="inlineStr">
        <is>
          <t>GÄVLEBORGS LÄN</t>
        </is>
      </c>
      <c r="E392" t="inlineStr">
        <is>
          <t>GÄVLE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34113-2025</t>
        </is>
      </c>
      <c r="B393" s="1" t="n">
        <v>45845</v>
      </c>
      <c r="C393" s="1" t="n">
        <v>46200</v>
      </c>
      <c r="D393" t="inlineStr">
        <is>
          <t>GÄVLEBORGS LÄN</t>
        </is>
      </c>
      <c r="E393" t="inlineStr">
        <is>
          <t>GÄVLE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19712-2022</t>
        </is>
      </c>
      <c r="B394" s="1" t="n">
        <v>44694</v>
      </c>
      <c r="C394" s="1" t="n">
        <v>46200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39509-2022</t>
        </is>
      </c>
      <c r="B395" s="1" t="n">
        <v>44818</v>
      </c>
      <c r="C395" s="1" t="n">
        <v>46200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59817-2023</t>
        </is>
      </c>
      <c r="B396" s="1" t="n">
        <v>45257</v>
      </c>
      <c r="C396" s="1" t="n">
        <v>46200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34725-2025</t>
        </is>
      </c>
      <c r="B397" s="1" t="n">
        <v>45848</v>
      </c>
      <c r="C397" s="1" t="n">
        <v>46200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30662-2022</t>
        </is>
      </c>
      <c r="B398" s="1" t="n">
        <v>44763</v>
      </c>
      <c r="C398" s="1" t="n">
        <v>46200</v>
      </c>
      <c r="D398" t="inlineStr">
        <is>
          <t>GÄVLEBORGS LÄN</t>
        </is>
      </c>
      <c r="E398" t="inlineStr">
        <is>
          <t>GÄVLE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34722-2025</t>
        </is>
      </c>
      <c r="B399" s="1" t="n">
        <v>45848</v>
      </c>
      <c r="C399" s="1" t="n">
        <v>46200</v>
      </c>
      <c r="D399" t="inlineStr">
        <is>
          <t>GÄVLEBORGS LÄN</t>
        </is>
      </c>
      <c r="E399" t="inlineStr">
        <is>
          <t>GÄVLE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37253-2024</t>
        </is>
      </c>
      <c r="B400" s="1" t="n">
        <v>45540</v>
      </c>
      <c r="C400" s="1" t="n">
        <v>46200</v>
      </c>
      <c r="D400" t="inlineStr">
        <is>
          <t>GÄVLEBORGS LÄN</t>
        </is>
      </c>
      <c r="E400" t="inlineStr">
        <is>
          <t>GÄVLE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14173-2022</t>
        </is>
      </c>
      <c r="B401" s="1" t="n">
        <v>44651</v>
      </c>
      <c r="C401" s="1" t="n">
        <v>46200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61004-2024</t>
        </is>
      </c>
      <c r="B402" s="1" t="n">
        <v>45645</v>
      </c>
      <c r="C402" s="1" t="n">
        <v>46200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62983-2023</t>
        </is>
      </c>
      <c r="B403" s="1" t="n">
        <v>45272</v>
      </c>
      <c r="C403" s="1" t="n">
        <v>46200</v>
      </c>
      <c r="D403" t="inlineStr">
        <is>
          <t>GÄVLEBORGS LÄN</t>
        </is>
      </c>
      <c r="E403" t="inlineStr">
        <is>
          <t>GÄVLE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42876-2023</t>
        </is>
      </c>
      <c r="B404" s="1" t="n">
        <v>45182</v>
      </c>
      <c r="C404" s="1" t="n">
        <v>46200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22.7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35337-2025</t>
        </is>
      </c>
      <c r="B405" s="1" t="n">
        <v>45854</v>
      </c>
      <c r="C405" s="1" t="n">
        <v>46200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37352-2024</t>
        </is>
      </c>
      <c r="B406" s="1" t="n">
        <v>45540</v>
      </c>
      <c r="C406" s="1" t="n">
        <v>46200</v>
      </c>
      <c r="D406" t="inlineStr">
        <is>
          <t>GÄVLEBORGS LÄN</t>
        </is>
      </c>
      <c r="E406" t="inlineStr">
        <is>
          <t>GÄVLE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17605-2025</t>
        </is>
      </c>
      <c r="B407" s="1" t="n">
        <v>45757</v>
      </c>
      <c r="C407" s="1" t="n">
        <v>46200</v>
      </c>
      <c r="D407" t="inlineStr">
        <is>
          <t>GÄVLEBORGS LÄN</t>
        </is>
      </c>
      <c r="E407" t="inlineStr">
        <is>
          <t>GÄVLE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17607-2025</t>
        </is>
      </c>
      <c r="B408" s="1" t="n">
        <v>45757</v>
      </c>
      <c r="C408" s="1" t="n">
        <v>46200</v>
      </c>
      <c r="D408" t="inlineStr">
        <is>
          <t>GÄVLEBORGS LÄN</t>
        </is>
      </c>
      <c r="E408" t="inlineStr">
        <is>
          <t>GÄVLE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33901-2024</t>
        </is>
      </c>
      <c r="B409" s="1" t="n">
        <v>45523</v>
      </c>
      <c r="C409" s="1" t="n">
        <v>46200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35650-2025</t>
        </is>
      </c>
      <c r="B410" s="1" t="n">
        <v>45859</v>
      </c>
      <c r="C410" s="1" t="n">
        <v>46200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17404-2025</t>
        </is>
      </c>
      <c r="B411" s="1" t="n">
        <v>45757</v>
      </c>
      <c r="C411" s="1" t="n">
        <v>46200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35878-2025</t>
        </is>
      </c>
      <c r="B412" s="1" t="n">
        <v>45862</v>
      </c>
      <c r="C412" s="1" t="n">
        <v>46200</v>
      </c>
      <c r="D412" t="inlineStr">
        <is>
          <t>GÄVLEBORGS LÄN</t>
        </is>
      </c>
      <c r="E412" t="inlineStr">
        <is>
          <t>GÄVLE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35938-2025</t>
        </is>
      </c>
      <c r="B413" s="1" t="n">
        <v>45862</v>
      </c>
      <c r="C413" s="1" t="n">
        <v>46200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35919-2025</t>
        </is>
      </c>
      <c r="B414" s="1" t="n">
        <v>45862</v>
      </c>
      <c r="C414" s="1" t="n">
        <v>46200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36106-2025</t>
        </is>
      </c>
      <c r="B415" s="1" t="n">
        <v>45866</v>
      </c>
      <c r="C415" s="1" t="n">
        <v>46200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36255-2025</t>
        </is>
      </c>
      <c r="B416" s="1" t="n">
        <v>45867</v>
      </c>
      <c r="C416" s="1" t="n">
        <v>46200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37146-2024</t>
        </is>
      </c>
      <c r="B417" s="1" t="n">
        <v>45539</v>
      </c>
      <c r="C417" s="1" t="n">
        <v>46200</v>
      </c>
      <c r="D417" t="inlineStr">
        <is>
          <t>GÄVLEBORGS LÄN</t>
        </is>
      </c>
      <c r="E417" t="inlineStr">
        <is>
          <t>GÄVLE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259-2025</t>
        </is>
      </c>
      <c r="B418" s="1" t="n">
        <v>45660</v>
      </c>
      <c r="C418" s="1" t="n">
        <v>46200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36493-2025</t>
        </is>
      </c>
      <c r="B419" s="1" t="n">
        <v>45869</v>
      </c>
      <c r="C419" s="1" t="n">
        <v>46200</v>
      </c>
      <c r="D419" t="inlineStr">
        <is>
          <t>GÄVLEBORGS LÄN</t>
        </is>
      </c>
      <c r="E419" t="inlineStr">
        <is>
          <t>GÄVLE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36516-2025</t>
        </is>
      </c>
      <c r="B420" s="1" t="n">
        <v>45869</v>
      </c>
      <c r="C420" s="1" t="n">
        <v>46200</v>
      </c>
      <c r="D420" t="inlineStr">
        <is>
          <t>GÄVLEBORGS LÄN</t>
        </is>
      </c>
      <c r="E420" t="inlineStr">
        <is>
          <t>GÄVLE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56487-2023</t>
        </is>
      </c>
      <c r="B421" s="1" t="n">
        <v>45243</v>
      </c>
      <c r="C421" s="1" t="n">
        <v>46200</v>
      </c>
      <c r="D421" t="inlineStr">
        <is>
          <t>GÄVLEBORGS LÄN</t>
        </is>
      </c>
      <c r="E421" t="inlineStr">
        <is>
          <t>GÄVLE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46200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36680-2025</t>
        </is>
      </c>
      <c r="B423" s="1" t="n">
        <v>45873</v>
      </c>
      <c r="C423" s="1" t="n">
        <v>46200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13193-2025</t>
        </is>
      </c>
      <c r="B424" s="1" t="n">
        <v>45735</v>
      </c>
      <c r="C424" s="1" t="n">
        <v>46200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31866-2023</t>
        </is>
      </c>
      <c r="B425" s="1" t="n">
        <v>45106</v>
      </c>
      <c r="C425" s="1" t="n">
        <v>46200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20621-2025</t>
        </is>
      </c>
      <c r="B426" s="1" t="n">
        <v>45776</v>
      </c>
      <c r="C426" s="1" t="n">
        <v>46200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14807-2023</t>
        </is>
      </c>
      <c r="B427" s="1" t="n">
        <v>45014</v>
      </c>
      <c r="C427" s="1" t="n">
        <v>46200</v>
      </c>
      <c r="D427" t="inlineStr">
        <is>
          <t>GÄVLEBORGS LÄN</t>
        </is>
      </c>
      <c r="E427" t="inlineStr">
        <is>
          <t>GÄVLE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38240-2024</t>
        </is>
      </c>
      <c r="B428" s="1" t="n">
        <v>45545</v>
      </c>
      <c r="C428" s="1" t="n">
        <v>46200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11768-2025</t>
        </is>
      </c>
      <c r="B429" s="1" t="n">
        <v>45727</v>
      </c>
      <c r="C429" s="1" t="n">
        <v>46200</v>
      </c>
      <c r="D429" t="inlineStr">
        <is>
          <t>GÄVLEBORGS LÄN</t>
        </is>
      </c>
      <c r="E429" t="inlineStr">
        <is>
          <t>GÄVLE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45938-2024</t>
        </is>
      </c>
      <c r="B430" s="1" t="n">
        <v>45580</v>
      </c>
      <c r="C430" s="1" t="n">
        <v>46200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21431-2025</t>
        </is>
      </c>
      <c r="B431" s="1" t="n">
        <v>45782</v>
      </c>
      <c r="C431" s="1" t="n">
        <v>46200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</v>
      </c>
      <c r="C432" s="1" t="n">
        <v>46200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6370-2025</t>
        </is>
      </c>
      <c r="B433" s="1" t="n">
        <v>45699</v>
      </c>
      <c r="C433" s="1" t="n">
        <v>46200</v>
      </c>
      <c r="D433" t="inlineStr">
        <is>
          <t>GÄVLEBORGS LÄN</t>
        </is>
      </c>
      <c r="E433" t="inlineStr">
        <is>
          <t>GÄVLE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14093-2025</t>
        </is>
      </c>
      <c r="B434" s="1" t="n">
        <v>45740</v>
      </c>
      <c r="C434" s="1" t="n">
        <v>46200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38627-2025</t>
        </is>
      </c>
      <c r="B435" s="1" t="n">
        <v>45884</v>
      </c>
      <c r="C435" s="1" t="n">
        <v>46200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7202-2025</t>
        </is>
      </c>
      <c r="B436" s="1" t="n">
        <v>45702</v>
      </c>
      <c r="C436" s="1" t="n">
        <v>46200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59044-2023</t>
        </is>
      </c>
      <c r="B437" s="1" t="n">
        <v>45252</v>
      </c>
      <c r="C437" s="1" t="n">
        <v>46200</v>
      </c>
      <c r="D437" t="inlineStr">
        <is>
          <t>GÄVLEBORGS LÄN</t>
        </is>
      </c>
      <c r="E437" t="inlineStr">
        <is>
          <t>GÄVLE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48004-2025</t>
        </is>
      </c>
      <c r="B438" s="1" t="n">
        <v>45932</v>
      </c>
      <c r="C438" s="1" t="n">
        <v>46200</v>
      </c>
      <c r="D438" t="inlineStr">
        <is>
          <t>GÄVLEBORGS LÄN</t>
        </is>
      </c>
      <c r="E438" t="inlineStr">
        <is>
          <t>GÄVLE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46800-2021</t>
        </is>
      </c>
      <c r="B439" s="1" t="n">
        <v>44446</v>
      </c>
      <c r="C439" s="1" t="n">
        <v>46200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48117-2025</t>
        </is>
      </c>
      <c r="B440" s="1" t="n">
        <v>45933</v>
      </c>
      <c r="C440" s="1" t="n">
        <v>46200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11691-2024</t>
        </is>
      </c>
      <c r="B441" s="1" t="n">
        <v>45373</v>
      </c>
      <c r="C441" s="1" t="n">
        <v>46200</v>
      </c>
      <c r="D441" t="inlineStr">
        <is>
          <t>GÄVLEBORGS LÄN</t>
        </is>
      </c>
      <c r="E441" t="inlineStr">
        <is>
          <t>GÄVLE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62766-2022</t>
        </is>
      </c>
      <c r="B442" s="1" t="n">
        <v>44885</v>
      </c>
      <c r="C442" s="1" t="n">
        <v>46200</v>
      </c>
      <c r="D442" t="inlineStr">
        <is>
          <t>GÄVLEBORGS LÄN</t>
        </is>
      </c>
      <c r="E442" t="inlineStr">
        <is>
          <t>GÄVLE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3862-2024</t>
        </is>
      </c>
      <c r="B443" s="1" t="n">
        <v>45322</v>
      </c>
      <c r="C443" s="1" t="n">
        <v>46200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48246-2025</t>
        </is>
      </c>
      <c r="B444" s="1" t="n">
        <v>45933</v>
      </c>
      <c r="C444" s="1" t="n">
        <v>46200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48251-2025</t>
        </is>
      </c>
      <c r="B445" s="1" t="n">
        <v>45933</v>
      </c>
      <c r="C445" s="1" t="n">
        <v>46200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48002-2025</t>
        </is>
      </c>
      <c r="B446" s="1" t="n">
        <v>45932</v>
      </c>
      <c r="C446" s="1" t="n">
        <v>46200</v>
      </c>
      <c r="D446" t="inlineStr">
        <is>
          <t>GÄVLEBORGS LÄN</t>
        </is>
      </c>
      <c r="E446" t="inlineStr">
        <is>
          <t>GÄVLE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47994-2025</t>
        </is>
      </c>
      <c r="B447" s="1" t="n">
        <v>45932</v>
      </c>
      <c r="C447" s="1" t="n">
        <v>46200</v>
      </c>
      <c r="D447" t="inlineStr">
        <is>
          <t>GÄVLEBORGS LÄN</t>
        </is>
      </c>
      <c r="E447" t="inlineStr">
        <is>
          <t>GÄVLE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11643-2025</t>
        </is>
      </c>
      <c r="B448" s="1" t="n">
        <v>45727</v>
      </c>
      <c r="C448" s="1" t="n">
        <v>46200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48249-2025</t>
        </is>
      </c>
      <c r="B449" s="1" t="n">
        <v>45933</v>
      </c>
      <c r="C449" s="1" t="n">
        <v>46200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64873-2023</t>
        </is>
      </c>
      <c r="B450" s="1" t="n">
        <v>45282</v>
      </c>
      <c r="C450" s="1" t="n">
        <v>46200</v>
      </c>
      <c r="D450" t="inlineStr">
        <is>
          <t>GÄVLEBORGS LÄN</t>
        </is>
      </c>
      <c r="E450" t="inlineStr">
        <is>
          <t>GÄVLE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38516-2025</t>
        </is>
      </c>
      <c r="B451" s="1" t="n">
        <v>45884</v>
      </c>
      <c r="C451" s="1" t="n">
        <v>46200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48986-2025</t>
        </is>
      </c>
      <c r="B452" s="1" t="n">
        <v>45937</v>
      </c>
      <c r="C452" s="1" t="n">
        <v>46200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49384-2025</t>
        </is>
      </c>
      <c r="B453" s="1" t="n">
        <v>45938</v>
      </c>
      <c r="C453" s="1" t="n">
        <v>46200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49511-2025</t>
        </is>
      </c>
      <c r="B454" s="1" t="n">
        <v>45939</v>
      </c>
      <c r="C454" s="1" t="n">
        <v>46200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44369-2025</t>
        </is>
      </c>
      <c r="B455" s="1" t="n">
        <v>45916</v>
      </c>
      <c r="C455" s="1" t="n">
        <v>46200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49510-2025</t>
        </is>
      </c>
      <c r="B456" s="1" t="n">
        <v>45939</v>
      </c>
      <c r="C456" s="1" t="n">
        <v>46200</v>
      </c>
      <c r="D456" t="inlineStr">
        <is>
          <t>GÄVLEBORGS LÄN</t>
        </is>
      </c>
      <c r="E456" t="inlineStr">
        <is>
          <t>GÄVLE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29862-2023</t>
        </is>
      </c>
      <c r="B457" s="1" t="n">
        <v>45107</v>
      </c>
      <c r="C457" s="1" t="n">
        <v>46200</v>
      </c>
      <c r="D457" t="inlineStr">
        <is>
          <t>GÄVLEBORGS LÄN</t>
        </is>
      </c>
      <c r="E457" t="inlineStr">
        <is>
          <t>GÄVLE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39878-2025</t>
        </is>
      </c>
      <c r="B458" s="1" t="n">
        <v>45891</v>
      </c>
      <c r="C458" s="1" t="n">
        <v>46200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49934-2025</t>
        </is>
      </c>
      <c r="B459" s="1" t="n">
        <v>45940</v>
      </c>
      <c r="C459" s="1" t="n">
        <v>46200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49842-2025</t>
        </is>
      </c>
      <c r="B460" s="1" t="n">
        <v>45940</v>
      </c>
      <c r="C460" s="1" t="n">
        <v>46200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50177-2025</t>
        </is>
      </c>
      <c r="B461" s="1" t="n">
        <v>45943</v>
      </c>
      <c r="C461" s="1" t="n">
        <v>46200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50345-2025</t>
        </is>
      </c>
      <c r="B462" s="1" t="n">
        <v>45944</v>
      </c>
      <c r="C462" s="1" t="n">
        <v>46200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40316-2025</t>
        </is>
      </c>
      <c r="B463" s="1" t="n">
        <v>45895</v>
      </c>
      <c r="C463" s="1" t="n">
        <v>46200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40297-2025</t>
        </is>
      </c>
      <c r="B464" s="1" t="n">
        <v>45895</v>
      </c>
      <c r="C464" s="1" t="n">
        <v>46200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50356-2025</t>
        </is>
      </c>
      <c r="B465" s="1" t="n">
        <v>45944</v>
      </c>
      <c r="C465" s="1" t="n">
        <v>46200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701-2025</t>
        </is>
      </c>
      <c r="B466" s="1" t="n">
        <v>45665</v>
      </c>
      <c r="C466" s="1" t="n">
        <v>46200</v>
      </c>
      <c r="D466" t="inlineStr">
        <is>
          <t>GÄVLEBORGS LÄN</t>
        </is>
      </c>
      <c r="E466" t="inlineStr">
        <is>
          <t>GÄVLE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28005-2025</t>
        </is>
      </c>
      <c r="B467" s="1" t="n">
        <v>45817</v>
      </c>
      <c r="C467" s="1" t="n">
        <v>46200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40549-2025</t>
        </is>
      </c>
      <c r="B468" s="1" t="n">
        <v>45896</v>
      </c>
      <c r="C468" s="1" t="n">
        <v>46200</v>
      </c>
      <c r="D468" t="inlineStr">
        <is>
          <t>GÄVLEBORGS LÄN</t>
        </is>
      </c>
      <c r="E468" t="inlineStr">
        <is>
          <t>GÄVLE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38132-2025</t>
        </is>
      </c>
      <c r="B469" s="1" t="n">
        <v>45882</v>
      </c>
      <c r="C469" s="1" t="n">
        <v>46200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40882-2025</t>
        </is>
      </c>
      <c r="B470" s="1" t="n">
        <v>45897</v>
      </c>
      <c r="C470" s="1" t="n">
        <v>46200</v>
      </c>
      <c r="D470" t="inlineStr">
        <is>
          <t>GÄVLEBORGS LÄN</t>
        </is>
      </c>
      <c r="E470" t="inlineStr">
        <is>
          <t>GÄVLE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7451-2025</t>
        </is>
      </c>
      <c r="B471" s="1" t="n">
        <v>45705</v>
      </c>
      <c r="C471" s="1" t="n">
        <v>46200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24478-2023</t>
        </is>
      </c>
      <c r="B472" s="1" t="n">
        <v>45082</v>
      </c>
      <c r="C472" s="1" t="n">
        <v>46200</v>
      </c>
      <c r="D472" t="inlineStr">
        <is>
          <t>GÄVLEBORGS LÄN</t>
        </is>
      </c>
      <c r="E472" t="inlineStr">
        <is>
          <t>GÄVLE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41302-2025</t>
        </is>
      </c>
      <c r="B473" s="1" t="n">
        <v>45898</v>
      </c>
      <c r="C473" s="1" t="n">
        <v>46200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9.699999999999999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41046-2025</t>
        </is>
      </c>
      <c r="B474" s="1" t="n">
        <v>45898</v>
      </c>
      <c r="C474" s="1" t="n">
        <v>46200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15939-2025</t>
        </is>
      </c>
      <c r="B475" s="1" t="n">
        <v>45749</v>
      </c>
      <c r="C475" s="1" t="n">
        <v>46200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41083-2025</t>
        </is>
      </c>
      <c r="B476" s="1" t="n">
        <v>45898</v>
      </c>
      <c r="C476" s="1" t="n">
        <v>46200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41093-2025</t>
        </is>
      </c>
      <c r="B477" s="1" t="n">
        <v>45898</v>
      </c>
      <c r="C477" s="1" t="n">
        <v>46200</v>
      </c>
      <c r="D477" t="inlineStr">
        <is>
          <t>GÄVLEBORGS LÄN</t>
        </is>
      </c>
      <c r="E477" t="inlineStr">
        <is>
          <t>GÄVLE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40992-2025</t>
        </is>
      </c>
      <c r="B478" s="1" t="n">
        <v>45898</v>
      </c>
      <c r="C478" s="1" t="n">
        <v>46200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40993-2025</t>
        </is>
      </c>
      <c r="B479" s="1" t="n">
        <v>45898</v>
      </c>
      <c r="C479" s="1" t="n">
        <v>46200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17088-2023</t>
        </is>
      </c>
      <c r="B480" s="1" t="n">
        <v>45034</v>
      </c>
      <c r="C480" s="1" t="n">
        <v>46200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51758-2025</t>
        </is>
      </c>
      <c r="B481" s="1" t="n">
        <v>45950</v>
      </c>
      <c r="C481" s="1" t="n">
        <v>46200</v>
      </c>
      <c r="D481" t="inlineStr">
        <is>
          <t>GÄVLEBORGS LÄN</t>
        </is>
      </c>
      <c r="E481" t="inlineStr">
        <is>
          <t>GÄVLE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41047-2025</t>
        </is>
      </c>
      <c r="B482" s="1" t="n">
        <v>45898</v>
      </c>
      <c r="C482" s="1" t="n">
        <v>46200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7792-2023</t>
        </is>
      </c>
      <c r="B483" s="1" t="n">
        <v>44973</v>
      </c>
      <c r="C483" s="1" t="n">
        <v>46200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30104-2024</t>
        </is>
      </c>
      <c r="B484" s="1" t="n">
        <v>45485</v>
      </c>
      <c r="C484" s="1" t="n">
        <v>46200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48247-2025</t>
        </is>
      </c>
      <c r="B485" s="1" t="n">
        <v>45933</v>
      </c>
      <c r="C485" s="1" t="n">
        <v>46200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14735-2024</t>
        </is>
      </c>
      <c r="B486" s="1" t="n">
        <v>45397</v>
      </c>
      <c r="C486" s="1" t="n">
        <v>46200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51893-2025</t>
        </is>
      </c>
      <c r="B487" s="1" t="n">
        <v>45952</v>
      </c>
      <c r="C487" s="1" t="n">
        <v>46200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52156-2025</t>
        </is>
      </c>
      <c r="B488" s="1" t="n">
        <v>45953</v>
      </c>
      <c r="C488" s="1" t="n">
        <v>46200</v>
      </c>
      <c r="D488" t="inlineStr">
        <is>
          <t>GÄVLEBORGS LÄN</t>
        </is>
      </c>
      <c r="E488" t="inlineStr">
        <is>
          <t>GÄVLE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41683-2025</t>
        </is>
      </c>
      <c r="B489" s="1" t="n">
        <v>45902</v>
      </c>
      <c r="C489" s="1" t="n">
        <v>46200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35761-2022</t>
        </is>
      </c>
      <c r="B490" s="1" t="n">
        <v>44800</v>
      </c>
      <c r="C490" s="1" t="n">
        <v>46200</v>
      </c>
      <c r="D490" t="inlineStr">
        <is>
          <t>GÄVLEBORGS LÄN</t>
        </is>
      </c>
      <c r="E490" t="inlineStr">
        <is>
          <t>GÄVLE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42557-2025</t>
        </is>
      </c>
      <c r="B491" s="1" t="n">
        <v>45905</v>
      </c>
      <c r="C491" s="1" t="n">
        <v>46200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52970-2025</t>
        </is>
      </c>
      <c r="B492" s="1" t="n">
        <v>45957</v>
      </c>
      <c r="C492" s="1" t="n">
        <v>46200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52801-2025</t>
        </is>
      </c>
      <c r="B493" s="1" t="n">
        <v>45957</v>
      </c>
      <c r="C493" s="1" t="n">
        <v>46200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52897-2025</t>
        </is>
      </c>
      <c r="B494" s="1" t="n">
        <v>45957</v>
      </c>
      <c r="C494" s="1" t="n">
        <v>46200</v>
      </c>
      <c r="D494" t="inlineStr">
        <is>
          <t>GÄVLEBORGS LÄN</t>
        </is>
      </c>
      <c r="E494" t="inlineStr">
        <is>
          <t>GÄVLE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43085-2025</t>
        </is>
      </c>
      <c r="B495" s="1" t="n">
        <v>45909</v>
      </c>
      <c r="C495" s="1" t="n">
        <v>46200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43089-2025</t>
        </is>
      </c>
      <c r="B496" s="1" t="n">
        <v>45909</v>
      </c>
      <c r="C496" s="1" t="n">
        <v>46200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23291-2025</t>
        </is>
      </c>
      <c r="B497" s="1" t="n">
        <v>45791</v>
      </c>
      <c r="C497" s="1" t="n">
        <v>46200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43097-2025</t>
        </is>
      </c>
      <c r="B498" s="1" t="n">
        <v>45909</v>
      </c>
      <c r="C498" s="1" t="n">
        <v>46200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43087-2025</t>
        </is>
      </c>
      <c r="B499" s="1" t="n">
        <v>45909</v>
      </c>
      <c r="C499" s="1" t="n">
        <v>46200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23232-2025</t>
        </is>
      </c>
      <c r="B500" s="1" t="n">
        <v>45791</v>
      </c>
      <c r="C500" s="1" t="n">
        <v>46200</v>
      </c>
      <c r="D500" t="inlineStr">
        <is>
          <t>GÄVLEBORGS LÄN</t>
        </is>
      </c>
      <c r="E500" t="inlineStr">
        <is>
          <t>GÄVLE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22879-2025</t>
        </is>
      </c>
      <c r="B501" s="1" t="n">
        <v>45790</v>
      </c>
      <c r="C501" s="1" t="n">
        <v>46200</v>
      </c>
      <c r="D501" t="inlineStr">
        <is>
          <t>GÄVLEBORGS LÄN</t>
        </is>
      </c>
      <c r="E501" t="inlineStr">
        <is>
          <t>GÄVLE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43356-2025</t>
        </is>
      </c>
      <c r="B502" s="1" t="n">
        <v>45911</v>
      </c>
      <c r="C502" s="1" t="n">
        <v>46200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42907-2025</t>
        </is>
      </c>
      <c r="B503" s="1" t="n">
        <v>45908</v>
      </c>
      <c r="C503" s="1" t="n">
        <v>46200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23324-2025</t>
        </is>
      </c>
      <c r="B504" s="1" t="n">
        <v>45791</v>
      </c>
      <c r="C504" s="1" t="n">
        <v>46200</v>
      </c>
      <c r="D504" t="inlineStr">
        <is>
          <t>GÄVLEBORGS LÄN</t>
        </is>
      </c>
      <c r="E504" t="inlineStr">
        <is>
          <t>GÄVLE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22923-2025</t>
        </is>
      </c>
      <c r="B505" s="1" t="n">
        <v>45790</v>
      </c>
      <c r="C505" s="1" t="n">
        <v>46200</v>
      </c>
      <c r="D505" t="inlineStr">
        <is>
          <t>GÄVLEBORGS LÄN</t>
        </is>
      </c>
      <c r="E505" t="inlineStr">
        <is>
          <t>GÄVLE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44060-2025</t>
        </is>
      </c>
      <c r="B506" s="1" t="n">
        <v>45915</v>
      </c>
      <c r="C506" s="1" t="n">
        <v>46200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53541-2025</t>
        </is>
      </c>
      <c r="B507" s="1" t="n">
        <v>45960</v>
      </c>
      <c r="C507" s="1" t="n">
        <v>46200</v>
      </c>
      <c r="D507" t="inlineStr">
        <is>
          <t>GÄVLEBORGS LÄN</t>
        </is>
      </c>
      <c r="E507" t="inlineStr">
        <is>
          <t>GÄVLE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61918-2023</t>
        </is>
      </c>
      <c r="B508" s="1" t="n">
        <v>45266</v>
      </c>
      <c r="C508" s="1" t="n">
        <v>46200</v>
      </c>
      <c r="D508" t="inlineStr">
        <is>
          <t>GÄVLEBORGS LÄN</t>
        </is>
      </c>
      <c r="E508" t="inlineStr">
        <is>
          <t>GÄVLE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17245-2024</t>
        </is>
      </c>
      <c r="B509" s="1" t="n">
        <v>45414</v>
      </c>
      <c r="C509" s="1" t="n">
        <v>46200</v>
      </c>
      <c r="D509" t="inlineStr">
        <is>
          <t>GÄVLEBORGS LÄN</t>
        </is>
      </c>
      <c r="E509" t="inlineStr">
        <is>
          <t>GÄVLE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255-2025</t>
        </is>
      </c>
      <c r="B510" s="1" t="n">
        <v>45660</v>
      </c>
      <c r="C510" s="1" t="n">
        <v>46200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54135-2025</t>
        </is>
      </c>
      <c r="B511" s="1" t="n">
        <v>45964</v>
      </c>
      <c r="C511" s="1" t="n">
        <v>46200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10118-2025</t>
        </is>
      </c>
      <c r="B512" s="1" t="n">
        <v>45719</v>
      </c>
      <c r="C512" s="1" t="n">
        <v>46200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54480-2025</t>
        </is>
      </c>
      <c r="B513" s="1" t="n">
        <v>45965</v>
      </c>
      <c r="C513" s="1" t="n">
        <v>46200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10095-2025</t>
        </is>
      </c>
      <c r="B514" s="1" t="n">
        <v>45719</v>
      </c>
      <c r="C514" s="1" t="n">
        <v>46200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62255-2022</t>
        </is>
      </c>
      <c r="B515" s="1" t="n">
        <v>44922</v>
      </c>
      <c r="C515" s="1" t="n">
        <v>46200</v>
      </c>
      <c r="D515" t="inlineStr">
        <is>
          <t>GÄVLEBORGS LÄN</t>
        </is>
      </c>
      <c r="E515" t="inlineStr">
        <is>
          <t>GÄVLE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57928-2024</t>
        </is>
      </c>
      <c r="B516" s="1" t="n">
        <v>45631</v>
      </c>
      <c r="C516" s="1" t="n">
        <v>46200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39022-2025</t>
        </is>
      </c>
      <c r="B517" s="1" t="n">
        <v>45888</v>
      </c>
      <c r="C517" s="1" t="n">
        <v>46200</v>
      </c>
      <c r="D517" t="inlineStr">
        <is>
          <t>GÄVLEBORGS LÄN</t>
        </is>
      </c>
      <c r="E517" t="inlineStr">
        <is>
          <t>GÄVLE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54958-2025</t>
        </is>
      </c>
      <c r="B518" s="1" t="n">
        <v>45967</v>
      </c>
      <c r="C518" s="1" t="n">
        <v>46200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54960-2025</t>
        </is>
      </c>
      <c r="B519" s="1" t="n">
        <v>45967</v>
      </c>
      <c r="C519" s="1" t="n">
        <v>46200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54966-2025</t>
        </is>
      </c>
      <c r="B520" s="1" t="n">
        <v>45967</v>
      </c>
      <c r="C520" s="1" t="n">
        <v>46200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9422-2025</t>
        </is>
      </c>
      <c r="B521" s="1" t="n">
        <v>45715</v>
      </c>
      <c r="C521" s="1" t="n">
        <v>46200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54768-2025</t>
        </is>
      </c>
      <c r="B522" s="1" t="n">
        <v>45966</v>
      </c>
      <c r="C522" s="1" t="n">
        <v>46200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24228-2025</t>
        </is>
      </c>
      <c r="B523" s="1" t="n">
        <v>45797</v>
      </c>
      <c r="C523" s="1" t="n">
        <v>46200</v>
      </c>
      <c r="D523" t="inlineStr">
        <is>
          <t>GÄVLEBORGS LÄN</t>
        </is>
      </c>
      <c r="E523" t="inlineStr">
        <is>
          <t>GÄVLE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45850-2025</t>
        </is>
      </c>
      <c r="B524" s="1" t="n">
        <v>45923</v>
      </c>
      <c r="C524" s="1" t="n">
        <v>46200</v>
      </c>
      <c r="D524" t="inlineStr">
        <is>
          <t>GÄVLEBORGS LÄN</t>
        </is>
      </c>
      <c r="E524" t="inlineStr">
        <is>
          <t>GÄVLE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40530-2025</t>
        </is>
      </c>
      <c r="B525" s="1" t="n">
        <v>45896</v>
      </c>
      <c r="C525" s="1" t="n">
        <v>46200</v>
      </c>
      <c r="D525" t="inlineStr">
        <is>
          <t>GÄVLEBORGS LÄN</t>
        </is>
      </c>
      <c r="E525" t="inlineStr">
        <is>
          <t>GÄVLE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54959-2025</t>
        </is>
      </c>
      <c r="B526" s="1" t="n">
        <v>45967</v>
      </c>
      <c r="C526" s="1" t="n">
        <v>46200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55878-2024</t>
        </is>
      </c>
      <c r="B527" s="1" t="n">
        <v>45623</v>
      </c>
      <c r="C527" s="1" t="n">
        <v>46200</v>
      </c>
      <c r="D527" t="inlineStr">
        <is>
          <t>GÄVLEBORGS LÄN</t>
        </is>
      </c>
      <c r="E527" t="inlineStr">
        <is>
          <t>GÄVLE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54599-2025</t>
        </is>
      </c>
      <c r="B528" s="1" t="n">
        <v>45965</v>
      </c>
      <c r="C528" s="1" t="n">
        <v>46200</v>
      </c>
      <c r="D528" t="inlineStr">
        <is>
          <t>GÄVLEBORGS LÄN</t>
        </is>
      </c>
      <c r="E528" t="inlineStr">
        <is>
          <t>GÄVLE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61843-2023</t>
        </is>
      </c>
      <c r="B529" s="1" t="n">
        <v>45266</v>
      </c>
      <c r="C529" s="1" t="n">
        <v>46200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214-2025</t>
        </is>
      </c>
      <c r="B530" s="1" t="n">
        <v>45660</v>
      </c>
      <c r="C530" s="1" t="n">
        <v>46200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55432-2025</t>
        </is>
      </c>
      <c r="B531" s="1" t="n">
        <v>45971</v>
      </c>
      <c r="C531" s="1" t="n">
        <v>46200</v>
      </c>
      <c r="D531" t="inlineStr">
        <is>
          <t>GÄVLEBORGS LÄN</t>
        </is>
      </c>
      <c r="E531" t="inlineStr">
        <is>
          <t>GÄVLE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46133-2025</t>
        </is>
      </c>
      <c r="B532" s="1" t="n">
        <v>45924</v>
      </c>
      <c r="C532" s="1" t="n">
        <v>46200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55221-2025</t>
        </is>
      </c>
      <c r="B533" s="1" t="n">
        <v>45968</v>
      </c>
      <c r="C533" s="1" t="n">
        <v>46200</v>
      </c>
      <c r="D533" t="inlineStr">
        <is>
          <t>GÄVLEBORGS LÄN</t>
        </is>
      </c>
      <c r="E533" t="inlineStr">
        <is>
          <t>GÄVLE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46011-2025</t>
        </is>
      </c>
      <c r="B534" s="1" t="n">
        <v>45924</v>
      </c>
      <c r="C534" s="1" t="n">
        <v>46200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56121-2025</t>
        </is>
      </c>
      <c r="B535" s="1" t="n">
        <v>45973</v>
      </c>
      <c r="C535" s="1" t="n">
        <v>46200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46783-2025</t>
        </is>
      </c>
      <c r="B536" s="1" t="n">
        <v>45926</v>
      </c>
      <c r="C536" s="1" t="n">
        <v>46200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46724-2025</t>
        </is>
      </c>
      <c r="B537" s="1" t="n">
        <v>45926</v>
      </c>
      <c r="C537" s="1" t="n">
        <v>46200</v>
      </c>
      <c r="D537" t="inlineStr">
        <is>
          <t>GÄVLEBORGS LÄN</t>
        </is>
      </c>
      <c r="E537" t="inlineStr">
        <is>
          <t>GÄVLE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46200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56122-2025</t>
        </is>
      </c>
      <c r="B539" s="1" t="n">
        <v>45973</v>
      </c>
      <c r="C539" s="1" t="n">
        <v>46200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46552-2025</t>
        </is>
      </c>
      <c r="B540" s="1" t="n">
        <v>45926</v>
      </c>
      <c r="C540" s="1" t="n">
        <v>46200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56123-2025</t>
        </is>
      </c>
      <c r="B541" s="1" t="n">
        <v>45973</v>
      </c>
      <c r="C541" s="1" t="n">
        <v>46200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56271-2025</t>
        </is>
      </c>
      <c r="B542" s="1" t="n">
        <v>45974</v>
      </c>
      <c r="C542" s="1" t="n">
        <v>46200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56277-2025</t>
        </is>
      </c>
      <c r="B543" s="1" t="n">
        <v>45974</v>
      </c>
      <c r="C543" s="1" t="n">
        <v>46200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46790-2025</t>
        </is>
      </c>
      <c r="B544" s="1" t="n">
        <v>45926</v>
      </c>
      <c r="C544" s="1" t="n">
        <v>46200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56267-2025</t>
        </is>
      </c>
      <c r="B545" s="1" t="n">
        <v>45974</v>
      </c>
      <c r="C545" s="1" t="n">
        <v>46200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56272-2025</t>
        </is>
      </c>
      <c r="B546" s="1" t="n">
        <v>45974</v>
      </c>
      <c r="C546" s="1" t="n">
        <v>46200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56273-2025</t>
        </is>
      </c>
      <c r="B547" s="1" t="n">
        <v>45974</v>
      </c>
      <c r="C547" s="1" t="n">
        <v>46200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56275-2025</t>
        </is>
      </c>
      <c r="B548" s="1" t="n">
        <v>45974</v>
      </c>
      <c r="C548" s="1" t="n">
        <v>46200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56268-2025</t>
        </is>
      </c>
      <c r="B549" s="1" t="n">
        <v>45974</v>
      </c>
      <c r="C549" s="1" t="n">
        <v>46200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56269-2025</t>
        </is>
      </c>
      <c r="B550" s="1" t="n">
        <v>45974</v>
      </c>
      <c r="C550" s="1" t="n">
        <v>46200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56270-2025</t>
        </is>
      </c>
      <c r="B551" s="1" t="n">
        <v>45974</v>
      </c>
      <c r="C551" s="1" t="n">
        <v>46200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56774-2025</t>
        </is>
      </c>
      <c r="B552" s="1" t="n">
        <v>45978</v>
      </c>
      <c r="C552" s="1" t="n">
        <v>46200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56776-2025</t>
        </is>
      </c>
      <c r="B553" s="1" t="n">
        <v>45978</v>
      </c>
      <c r="C553" s="1" t="n">
        <v>46200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47602-2025</t>
        </is>
      </c>
      <c r="B554" s="1" t="n">
        <v>45931</v>
      </c>
      <c r="C554" s="1" t="n">
        <v>46200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47612-2025</t>
        </is>
      </c>
      <c r="B555" s="1" t="n">
        <v>45931</v>
      </c>
      <c r="C555" s="1" t="n">
        <v>46200</v>
      </c>
      <c r="D555" t="inlineStr">
        <is>
          <t>GÄVLEBORGS LÄN</t>
        </is>
      </c>
      <c r="E555" t="inlineStr">
        <is>
          <t>GÄVLE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48913-2024</t>
        </is>
      </c>
      <c r="B556" s="1" t="n">
        <v>45594</v>
      </c>
      <c r="C556" s="1" t="n">
        <v>46200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24225-2025</t>
        </is>
      </c>
      <c r="B557" s="1" t="n">
        <v>45797</v>
      </c>
      <c r="C557" s="1" t="n">
        <v>46200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56773-2025</t>
        </is>
      </c>
      <c r="B558" s="1" t="n">
        <v>45978</v>
      </c>
      <c r="C558" s="1" t="n">
        <v>46200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47171-2025</t>
        </is>
      </c>
      <c r="B559" s="1" t="n">
        <v>45930</v>
      </c>
      <c r="C559" s="1" t="n">
        <v>46200</v>
      </c>
      <c r="D559" t="inlineStr">
        <is>
          <t>GÄVLEBORGS LÄN</t>
        </is>
      </c>
      <c r="E559" t="inlineStr">
        <is>
          <t>GÄVLE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47172-2025</t>
        </is>
      </c>
      <c r="B560" s="1" t="n">
        <v>45930</v>
      </c>
      <c r="C560" s="1" t="n">
        <v>46200</v>
      </c>
      <c r="D560" t="inlineStr">
        <is>
          <t>GÄVLEBORGS LÄN</t>
        </is>
      </c>
      <c r="E560" t="inlineStr">
        <is>
          <t>GÄVLE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58373-2024</t>
        </is>
      </c>
      <c r="B561" s="1" t="n">
        <v>45632</v>
      </c>
      <c r="C561" s="1" t="n">
        <v>46200</v>
      </c>
      <c r="D561" t="inlineStr">
        <is>
          <t>GÄVLEBORGS LÄN</t>
        </is>
      </c>
      <c r="E561" t="inlineStr">
        <is>
          <t>GÄVLE</t>
        </is>
      </c>
      <c r="G561" t="n">
        <v>13.1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31367-2024</t>
        </is>
      </c>
      <c r="B562" s="1" t="n">
        <v>45505</v>
      </c>
      <c r="C562" s="1" t="n">
        <v>46200</v>
      </c>
      <c r="D562" t="inlineStr">
        <is>
          <t>GÄVLEBORGS LÄN</t>
        </is>
      </c>
      <c r="E562" t="inlineStr">
        <is>
          <t>GÄVLE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24614-2025</t>
        </is>
      </c>
      <c r="B563" s="1" t="n">
        <v>45798</v>
      </c>
      <c r="C563" s="1" t="n">
        <v>46200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43771-2025</t>
        </is>
      </c>
      <c r="B564" s="1" t="n">
        <v>45912</v>
      </c>
      <c r="C564" s="1" t="n">
        <v>46200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43780-2025</t>
        </is>
      </c>
      <c r="B565" s="1" t="n">
        <v>45912</v>
      </c>
      <c r="C565" s="1" t="n">
        <v>46200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45448-2025</t>
        </is>
      </c>
      <c r="B566" s="1" t="n">
        <v>45922</v>
      </c>
      <c r="C566" s="1" t="n">
        <v>46200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45469-2025</t>
        </is>
      </c>
      <c r="B567" s="1" t="n">
        <v>45922</v>
      </c>
      <c r="C567" s="1" t="n">
        <v>46200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45548-2025</t>
        </is>
      </c>
      <c r="B568" s="1" t="n">
        <v>45922</v>
      </c>
      <c r="C568" s="1" t="n">
        <v>46200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45410-2025</t>
        </is>
      </c>
      <c r="B569" s="1" t="n">
        <v>45922</v>
      </c>
      <c r="C569" s="1" t="n">
        <v>46200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45442-2025</t>
        </is>
      </c>
      <c r="B570" s="1" t="n">
        <v>45922</v>
      </c>
      <c r="C570" s="1" t="n">
        <v>46200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43742-2025</t>
        </is>
      </c>
      <c r="B571" s="1" t="n">
        <v>45912</v>
      </c>
      <c r="C571" s="1" t="n">
        <v>46200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58542-2025</t>
        </is>
      </c>
      <c r="B572" s="1" t="n">
        <v>45985</v>
      </c>
      <c r="C572" s="1" t="n">
        <v>46200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43774-2025</t>
        </is>
      </c>
      <c r="B573" s="1" t="n">
        <v>45912</v>
      </c>
      <c r="C573" s="1" t="n">
        <v>46200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45426-2025</t>
        </is>
      </c>
      <c r="B574" s="1" t="n">
        <v>45922</v>
      </c>
      <c r="C574" s="1" t="n">
        <v>46200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45546-2025</t>
        </is>
      </c>
      <c r="B575" s="1" t="n">
        <v>45922</v>
      </c>
      <c r="C575" s="1" t="n">
        <v>46200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45415-2025</t>
        </is>
      </c>
      <c r="B576" s="1" t="n">
        <v>45922</v>
      </c>
      <c r="C576" s="1" t="n">
        <v>46200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45438-2025</t>
        </is>
      </c>
      <c r="B577" s="1" t="n">
        <v>45922</v>
      </c>
      <c r="C577" s="1" t="n">
        <v>46200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45456-2025</t>
        </is>
      </c>
      <c r="B578" s="1" t="n">
        <v>45922</v>
      </c>
      <c r="C578" s="1" t="n">
        <v>46200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58925-2025</t>
        </is>
      </c>
      <c r="B579" s="1" t="n">
        <v>45987</v>
      </c>
      <c r="C579" s="1" t="n">
        <v>46200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43764-2025</t>
        </is>
      </c>
      <c r="B580" s="1" t="n">
        <v>45912</v>
      </c>
      <c r="C580" s="1" t="n">
        <v>46200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59624-2025</t>
        </is>
      </c>
      <c r="B581" s="1" t="n">
        <v>45992</v>
      </c>
      <c r="C581" s="1" t="n">
        <v>46200</v>
      </c>
      <c r="D581" t="inlineStr">
        <is>
          <t>GÄVLEBORGS LÄN</t>
        </is>
      </c>
      <c r="E581" t="inlineStr">
        <is>
          <t>GÄVLE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60038-2025</t>
        </is>
      </c>
      <c r="B582" s="1" t="n">
        <v>45993</v>
      </c>
      <c r="C582" s="1" t="n">
        <v>46200</v>
      </c>
      <c r="D582" t="inlineStr">
        <is>
          <t>GÄVLEBORGS LÄN</t>
        </is>
      </c>
      <c r="E582" t="inlineStr">
        <is>
          <t>GÄVLE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59627-2025</t>
        </is>
      </c>
      <c r="B583" s="1" t="n">
        <v>45992</v>
      </c>
      <c r="C583" s="1" t="n">
        <v>46200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60105-2025</t>
        </is>
      </c>
      <c r="B584" s="1" t="n">
        <v>45994</v>
      </c>
      <c r="C584" s="1" t="n">
        <v>46200</v>
      </c>
      <c r="D584" t="inlineStr">
        <is>
          <t>GÄVLEBORGS LÄN</t>
        </is>
      </c>
      <c r="E584" t="inlineStr">
        <is>
          <t>GÄVLE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60364-2025</t>
        </is>
      </c>
      <c r="B585" s="1" t="n">
        <v>45995</v>
      </c>
      <c r="C585" s="1" t="n">
        <v>46200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60532-2025</t>
        </is>
      </c>
      <c r="B586" s="1" t="n">
        <v>45995</v>
      </c>
      <c r="C586" s="1" t="n">
        <v>46200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55217-2025</t>
        </is>
      </c>
      <c r="B587" s="1" t="n">
        <v>45968</v>
      </c>
      <c r="C587" s="1" t="n">
        <v>46200</v>
      </c>
      <c r="D587" t="inlineStr">
        <is>
          <t>GÄVLEBORGS LÄN</t>
        </is>
      </c>
      <c r="E587" t="inlineStr">
        <is>
          <t>GÄVLE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26564-2022</t>
        </is>
      </c>
      <c r="B588" s="1" t="n">
        <v>44739</v>
      </c>
      <c r="C588" s="1" t="n">
        <v>46200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60536-2025</t>
        </is>
      </c>
      <c r="B589" s="1" t="n">
        <v>45995</v>
      </c>
      <c r="C589" s="1" t="n">
        <v>46200</v>
      </c>
      <c r="D589" t="inlineStr">
        <is>
          <t>GÄVLEBORGS LÄN</t>
        </is>
      </c>
      <c r="E589" t="inlineStr">
        <is>
          <t>GÄVLE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25878-2025</t>
        </is>
      </c>
      <c r="B590" s="1" t="n">
        <v>45804</v>
      </c>
      <c r="C590" s="1" t="n">
        <v>46200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60922-2025</t>
        </is>
      </c>
      <c r="B591" s="1" t="n">
        <v>45999</v>
      </c>
      <c r="C591" s="1" t="n">
        <v>46200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1252-2026</t>
        </is>
      </c>
      <c r="B592" s="1" t="n">
        <v>46031</v>
      </c>
      <c r="C592" s="1" t="n">
        <v>46200</v>
      </c>
      <c r="D592" t="inlineStr">
        <is>
          <t>GÄVLEBORGS LÄN</t>
        </is>
      </c>
      <c r="E592" t="inlineStr">
        <is>
          <t>GÄVLE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61093-2025</t>
        </is>
      </c>
      <c r="B593" s="1" t="n">
        <v>46000</v>
      </c>
      <c r="C593" s="1" t="n">
        <v>46200</v>
      </c>
      <c r="D593" t="inlineStr">
        <is>
          <t>GÄVLEBORGS LÄN</t>
        </is>
      </c>
      <c r="E593" t="inlineStr">
        <is>
          <t>GÄVLE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61449-2025</t>
        </is>
      </c>
      <c r="B594" s="1" t="n">
        <v>46001</v>
      </c>
      <c r="C594" s="1" t="n">
        <v>46200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61880-2025</t>
        </is>
      </c>
      <c r="B595" s="1" t="n">
        <v>46003</v>
      </c>
      <c r="C595" s="1" t="n">
        <v>46200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61650-2025</t>
        </is>
      </c>
      <c r="B596" s="1" t="n">
        <v>46002</v>
      </c>
      <c r="C596" s="1" t="n">
        <v>46200</v>
      </c>
      <c r="D596" t="inlineStr">
        <is>
          <t>GÄVLEBORGS LÄN</t>
        </is>
      </c>
      <c r="E596" t="inlineStr">
        <is>
          <t>GÄVLE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61648-2025</t>
        </is>
      </c>
      <c r="B597" s="1" t="n">
        <v>46002</v>
      </c>
      <c r="C597" s="1" t="n">
        <v>46200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61651-2025</t>
        </is>
      </c>
      <c r="B598" s="1" t="n">
        <v>46002</v>
      </c>
      <c r="C598" s="1" t="n">
        <v>46200</v>
      </c>
      <c r="D598" t="inlineStr">
        <is>
          <t>GÄVLEBORGS LÄN</t>
        </is>
      </c>
      <c r="E598" t="inlineStr">
        <is>
          <t>GÄVLE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61879-2025</t>
        </is>
      </c>
      <c r="B599" s="1" t="n">
        <v>46003</v>
      </c>
      <c r="C599" s="1" t="n">
        <v>46200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62226-2025</t>
        </is>
      </c>
      <c r="B600" s="1" t="n">
        <v>46006</v>
      </c>
      <c r="C600" s="1" t="n">
        <v>46200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62742-2025</t>
        </is>
      </c>
      <c r="B601" s="1" t="n">
        <v>46008</v>
      </c>
      <c r="C601" s="1" t="n">
        <v>46200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35450-2025</t>
        </is>
      </c>
      <c r="B602" s="1" t="n">
        <v>45855</v>
      </c>
      <c r="C602" s="1" t="n">
        <v>46200</v>
      </c>
      <c r="D602" t="inlineStr">
        <is>
          <t>GÄVLEBORGS LÄN</t>
        </is>
      </c>
      <c r="E602" t="inlineStr">
        <is>
          <t>GÄVLE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63801-2025</t>
        </is>
      </c>
      <c r="B603" s="1" t="n">
        <v>46019</v>
      </c>
      <c r="C603" s="1" t="n">
        <v>46200</v>
      </c>
      <c r="D603" t="inlineStr">
        <is>
          <t>GÄVLEBORGS LÄN</t>
        </is>
      </c>
      <c r="E603" t="inlineStr">
        <is>
          <t>GÄVLE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54953-2025</t>
        </is>
      </c>
      <c r="B604" s="1" t="n">
        <v>45967</v>
      </c>
      <c r="C604" s="1" t="n">
        <v>46200</v>
      </c>
      <c r="D604" t="inlineStr">
        <is>
          <t>GÄVLEBORGS LÄN</t>
        </is>
      </c>
      <c r="E604" t="inlineStr">
        <is>
          <t>GÄVLE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47942-2025</t>
        </is>
      </c>
      <c r="B605" s="1" t="n">
        <v>45932</v>
      </c>
      <c r="C605" s="1" t="n">
        <v>46200</v>
      </c>
      <c r="D605" t="inlineStr">
        <is>
          <t>GÄVLEBORGS LÄN</t>
        </is>
      </c>
      <c r="E605" t="inlineStr">
        <is>
          <t>GÄVLE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47981-2025</t>
        </is>
      </c>
      <c r="B606" s="1" t="n">
        <v>45932</v>
      </c>
      <c r="C606" s="1" t="n">
        <v>46200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63800-2025</t>
        </is>
      </c>
      <c r="B607" s="1" t="n">
        <v>46019</v>
      </c>
      <c r="C607" s="1" t="n">
        <v>46200</v>
      </c>
      <c r="D607" t="inlineStr">
        <is>
          <t>GÄVLEBORGS LÄN</t>
        </is>
      </c>
      <c r="E607" t="inlineStr">
        <is>
          <t>GÄVLE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42788-2025</t>
        </is>
      </c>
      <c r="B608" s="1" t="n">
        <v>45908</v>
      </c>
      <c r="C608" s="1" t="n">
        <v>46200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48928-2025</t>
        </is>
      </c>
      <c r="B609" s="1" t="n">
        <v>45937</v>
      </c>
      <c r="C609" s="1" t="n">
        <v>46200</v>
      </c>
      <c r="D609" t="inlineStr">
        <is>
          <t>GÄVLEBORGS LÄN</t>
        </is>
      </c>
      <c r="E609" t="inlineStr">
        <is>
          <t>GÄVLE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48864-2025</t>
        </is>
      </c>
      <c r="B610" s="1" t="n">
        <v>45937</v>
      </c>
      <c r="C610" s="1" t="n">
        <v>46200</v>
      </c>
      <c r="D610" t="inlineStr">
        <is>
          <t>GÄVLEBORGS LÄN</t>
        </is>
      </c>
      <c r="E610" t="inlineStr">
        <is>
          <t>GÄVLE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42692-2025</t>
        </is>
      </c>
      <c r="B611" s="1" t="n">
        <v>45908</v>
      </c>
      <c r="C611" s="1" t="n">
        <v>46200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47694-2025</t>
        </is>
      </c>
      <c r="B612" s="1" t="n">
        <v>45931</v>
      </c>
      <c r="C612" s="1" t="n">
        <v>46200</v>
      </c>
      <c r="D612" t="inlineStr">
        <is>
          <t>GÄVLEBORGS LÄN</t>
        </is>
      </c>
      <c r="E612" t="inlineStr">
        <is>
          <t>GÄVLE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47916-2025</t>
        </is>
      </c>
      <c r="B613" s="1" t="n">
        <v>45932</v>
      </c>
      <c r="C613" s="1" t="n">
        <v>46200</v>
      </c>
      <c r="D613" t="inlineStr">
        <is>
          <t>GÄVLEBORGS LÄN</t>
        </is>
      </c>
      <c r="E613" t="inlineStr">
        <is>
          <t>GÄVLE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64142-2025</t>
        </is>
      </c>
      <c r="B614" s="1" t="n">
        <v>46022</v>
      </c>
      <c r="C614" s="1" t="n">
        <v>46200</v>
      </c>
      <c r="D614" t="inlineStr">
        <is>
          <t>GÄVLEBORGS LÄN</t>
        </is>
      </c>
      <c r="E614" t="inlineStr">
        <is>
          <t>GÄVLE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872-2026</t>
        </is>
      </c>
      <c r="B615" s="1" t="n">
        <v>46030</v>
      </c>
      <c r="C615" s="1" t="n">
        <v>46200</v>
      </c>
      <c r="D615" t="inlineStr">
        <is>
          <t>GÄVLEBORGS LÄN</t>
        </is>
      </c>
      <c r="E615" t="inlineStr">
        <is>
          <t>GÄVLE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61878-2025</t>
        </is>
      </c>
      <c r="B616" s="1" t="n">
        <v>46003</v>
      </c>
      <c r="C616" s="1" t="n">
        <v>46200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876-2026</t>
        </is>
      </c>
      <c r="B617" s="1" t="n">
        <v>46030</v>
      </c>
      <c r="C617" s="1" t="n">
        <v>46200</v>
      </c>
      <c r="D617" t="inlineStr">
        <is>
          <t>GÄVLEBORGS LÄN</t>
        </is>
      </c>
      <c r="E617" t="inlineStr">
        <is>
          <t>GÄVLE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1606-2026</t>
        </is>
      </c>
      <c r="B618" s="1" t="n">
        <v>46034</v>
      </c>
      <c r="C618" s="1" t="n">
        <v>46200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3156-2026</t>
        </is>
      </c>
      <c r="B619" s="1" t="n">
        <v>46041</v>
      </c>
      <c r="C619" s="1" t="n">
        <v>46200</v>
      </c>
      <c r="D619" t="inlineStr">
        <is>
          <t>GÄVLEBORGS LÄN</t>
        </is>
      </c>
      <c r="E619" t="inlineStr">
        <is>
          <t>GÄVLE</t>
        </is>
      </c>
      <c r="G619" t="n">
        <v>9.699999999999999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4308-2026</t>
        </is>
      </c>
      <c r="B620" s="1" t="n">
        <v>46045</v>
      </c>
      <c r="C620" s="1" t="n">
        <v>46200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4307-2026</t>
        </is>
      </c>
      <c r="B621" s="1" t="n">
        <v>46045</v>
      </c>
      <c r="C621" s="1" t="n">
        <v>46200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4444-2026</t>
        </is>
      </c>
      <c r="B622" s="1" t="n">
        <v>46045</v>
      </c>
      <c r="C622" s="1" t="n">
        <v>46200</v>
      </c>
      <c r="D622" t="inlineStr">
        <is>
          <t>GÄVLEBORGS LÄN</t>
        </is>
      </c>
      <c r="E622" t="inlineStr">
        <is>
          <t>GÄVLE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5722-2026</t>
        </is>
      </c>
      <c r="B623" s="1" t="n">
        <v>46051</v>
      </c>
      <c r="C623" s="1" t="n">
        <v>46200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5700-2026</t>
        </is>
      </c>
      <c r="B624" s="1" t="n">
        <v>46051</v>
      </c>
      <c r="C624" s="1" t="n">
        <v>46200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6065-2026</t>
        </is>
      </c>
      <c r="B625" s="1" t="n">
        <v>46052</v>
      </c>
      <c r="C625" s="1" t="n">
        <v>46200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6055-2026</t>
        </is>
      </c>
      <c r="B626" s="1" t="n">
        <v>46052</v>
      </c>
      <c r="C626" s="1" t="n">
        <v>46200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6046-2026</t>
        </is>
      </c>
      <c r="B627" s="1" t="n">
        <v>46052</v>
      </c>
      <c r="C627" s="1" t="n">
        <v>46200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6673-2026</t>
        </is>
      </c>
      <c r="B628" s="1" t="n">
        <v>46056</v>
      </c>
      <c r="C628" s="1" t="n">
        <v>46200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6681-2026</t>
        </is>
      </c>
      <c r="B629" s="1" t="n">
        <v>46056</v>
      </c>
      <c r="C629" s="1" t="n">
        <v>46200</v>
      </c>
      <c r="D629" t="inlineStr">
        <is>
          <t>GÄVLEBORGS LÄN</t>
        </is>
      </c>
      <c r="E629" t="inlineStr">
        <is>
          <t>GÄVLE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6683-2026</t>
        </is>
      </c>
      <c r="B630" s="1" t="n">
        <v>46056</v>
      </c>
      <c r="C630" s="1" t="n">
        <v>46200</v>
      </c>
      <c r="D630" t="inlineStr">
        <is>
          <t>GÄVLEBORGS LÄN</t>
        </is>
      </c>
      <c r="E630" t="inlineStr">
        <is>
          <t>GÄVLE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7239-2026</t>
        </is>
      </c>
      <c r="B631" s="1" t="n">
        <v>46058</v>
      </c>
      <c r="C631" s="1" t="n">
        <v>46200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7252-2026</t>
        </is>
      </c>
      <c r="B632" s="1" t="n">
        <v>46058</v>
      </c>
      <c r="C632" s="1" t="n">
        <v>46200</v>
      </c>
      <c r="D632" t="inlineStr">
        <is>
          <t>GÄVLEBORGS LÄN</t>
        </is>
      </c>
      <c r="E632" t="inlineStr">
        <is>
          <t>GÄVLE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14553-2026</t>
        </is>
      </c>
      <c r="B633" s="1" t="n">
        <v>46100</v>
      </c>
      <c r="C633" s="1" t="n">
        <v>46200</v>
      </c>
      <c r="D633" t="inlineStr">
        <is>
          <t>GÄVLEBORGS LÄN</t>
        </is>
      </c>
      <c r="E633" t="inlineStr">
        <is>
          <t>GÄVLE</t>
        </is>
      </c>
      <c r="F633" t="inlineStr">
        <is>
          <t>Övriga statliga verk och myndigheter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8292-2026</t>
        </is>
      </c>
      <c r="B634" s="1" t="n">
        <v>46063</v>
      </c>
      <c r="C634" s="1" t="n">
        <v>46200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8303-2026</t>
        </is>
      </c>
      <c r="B635" s="1" t="n">
        <v>46063</v>
      </c>
      <c r="C635" s="1" t="n">
        <v>46200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8298-2026</t>
        </is>
      </c>
      <c r="B636" s="1" t="n">
        <v>46063</v>
      </c>
      <c r="C636" s="1" t="n">
        <v>46200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7665-2026</t>
        </is>
      </c>
      <c r="B637" s="1" t="n">
        <v>46062</v>
      </c>
      <c r="C637" s="1" t="n">
        <v>46200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7673-2026</t>
        </is>
      </c>
      <c r="B638" s="1" t="n">
        <v>46062</v>
      </c>
      <c r="C638" s="1" t="n">
        <v>46200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8301-2026</t>
        </is>
      </c>
      <c r="B639" s="1" t="n">
        <v>46063</v>
      </c>
      <c r="C639" s="1" t="n">
        <v>46200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8558-2026</t>
        </is>
      </c>
      <c r="B640" s="1" t="n">
        <v>46065</v>
      </c>
      <c r="C640" s="1" t="n">
        <v>46200</v>
      </c>
      <c r="D640" t="inlineStr">
        <is>
          <t>GÄVLEBORGS LÄN</t>
        </is>
      </c>
      <c r="E640" t="inlineStr">
        <is>
          <t>GÄVLE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9129-2026</t>
        </is>
      </c>
      <c r="B641" s="1" t="n">
        <v>46069</v>
      </c>
      <c r="C641" s="1" t="n">
        <v>46200</v>
      </c>
      <c r="D641" t="inlineStr">
        <is>
          <t>GÄVLEBORGS LÄN</t>
        </is>
      </c>
      <c r="E641" t="inlineStr">
        <is>
          <t>GÄVLE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8954-2026</t>
        </is>
      </c>
      <c r="B642" s="1" t="n">
        <v>46069</v>
      </c>
      <c r="C642" s="1" t="n">
        <v>46200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47143-2024</t>
        </is>
      </c>
      <c r="B643" s="1" t="n">
        <v>45586</v>
      </c>
      <c r="C643" s="1" t="n">
        <v>46200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9534-2026</t>
        </is>
      </c>
      <c r="B644" s="1" t="n">
        <v>46071</v>
      </c>
      <c r="C644" s="1" t="n">
        <v>46200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10063-2026</t>
        </is>
      </c>
      <c r="B645" s="1" t="n">
        <v>46073</v>
      </c>
      <c r="C645" s="1" t="n">
        <v>46200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9779-2026</t>
        </is>
      </c>
      <c r="B646" s="1" t="n">
        <v>46072</v>
      </c>
      <c r="C646" s="1" t="n">
        <v>46200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9673-2026</t>
        </is>
      </c>
      <c r="B647" s="1" t="n">
        <v>46072</v>
      </c>
      <c r="C647" s="1" t="n">
        <v>46200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10257-2026</t>
        </is>
      </c>
      <c r="B648" s="1" t="n">
        <v>46076</v>
      </c>
      <c r="C648" s="1" t="n">
        <v>46200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10273-2026</t>
        </is>
      </c>
      <c r="B649" s="1" t="n">
        <v>46076</v>
      </c>
      <c r="C649" s="1" t="n">
        <v>46200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10504-2026</t>
        </is>
      </c>
      <c r="B650" s="1" t="n">
        <v>46077</v>
      </c>
      <c r="C650" s="1" t="n">
        <v>46200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11114-2026</t>
        </is>
      </c>
      <c r="B651" s="1" t="n">
        <v>46079</v>
      </c>
      <c r="C651" s="1" t="n">
        <v>46200</v>
      </c>
      <c r="D651" t="inlineStr">
        <is>
          <t>GÄVLEBORGS LÄN</t>
        </is>
      </c>
      <c r="E651" t="inlineStr">
        <is>
          <t>GÄVLE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11523-2026</t>
        </is>
      </c>
      <c r="B652" s="1" t="n">
        <v>46083</v>
      </c>
      <c r="C652" s="1" t="n">
        <v>46200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11926-2026</t>
        </is>
      </c>
      <c r="B653" s="1" t="n">
        <v>46085</v>
      </c>
      <c r="C653" s="1" t="n">
        <v>46200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12015-2026</t>
        </is>
      </c>
      <c r="B654" s="1" t="n">
        <v>46085</v>
      </c>
      <c r="C654" s="1" t="n">
        <v>46200</v>
      </c>
      <c r="D654" t="inlineStr">
        <is>
          <t>GÄVLEBORGS LÄN</t>
        </is>
      </c>
      <c r="E654" t="inlineStr">
        <is>
          <t>GÄVLE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12948-2026</t>
        </is>
      </c>
      <c r="B655" s="1" t="n">
        <v>46092</v>
      </c>
      <c r="C655" s="1" t="n">
        <v>46200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12738-2026</t>
        </is>
      </c>
      <c r="B656" s="1" t="n">
        <v>46091</v>
      </c>
      <c r="C656" s="1" t="n">
        <v>46200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12952-2026</t>
        </is>
      </c>
      <c r="B657" s="1" t="n">
        <v>46092</v>
      </c>
      <c r="C657" s="1" t="n">
        <v>46200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12990-2026</t>
        </is>
      </c>
      <c r="B658" s="1" t="n">
        <v>46092</v>
      </c>
      <c r="C658" s="1" t="n">
        <v>46200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13475-2026</t>
        </is>
      </c>
      <c r="B659" s="1" t="n">
        <v>46094</v>
      </c>
      <c r="C659" s="1" t="n">
        <v>46200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13498-2026</t>
        </is>
      </c>
      <c r="B660" s="1" t="n">
        <v>46094</v>
      </c>
      <c r="C660" s="1" t="n">
        <v>46200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13317-2026</t>
        </is>
      </c>
      <c r="B661" s="1" t="n">
        <v>46094</v>
      </c>
      <c r="C661" s="1" t="n">
        <v>46200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13489-2026</t>
        </is>
      </c>
      <c r="B662" s="1" t="n">
        <v>46094</v>
      </c>
      <c r="C662" s="1" t="n">
        <v>46200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13500-2026</t>
        </is>
      </c>
      <c r="B663" s="1" t="n">
        <v>46094</v>
      </c>
      <c r="C663" s="1" t="n">
        <v>46200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13521-2026</t>
        </is>
      </c>
      <c r="B664" s="1" t="n">
        <v>46094</v>
      </c>
      <c r="C664" s="1" t="n">
        <v>46200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13329-2026</t>
        </is>
      </c>
      <c r="B665" s="1" t="n">
        <v>46094</v>
      </c>
      <c r="C665" s="1" t="n">
        <v>46200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13432-2026</t>
        </is>
      </c>
      <c r="B666" s="1" t="n">
        <v>46094</v>
      </c>
      <c r="C666" s="1" t="n">
        <v>46200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13389-2026</t>
        </is>
      </c>
      <c r="B667" s="1" t="n">
        <v>46094</v>
      </c>
      <c r="C667" s="1" t="n">
        <v>46200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13503-2026</t>
        </is>
      </c>
      <c r="B668" s="1" t="n">
        <v>46094</v>
      </c>
      <c r="C668" s="1" t="n">
        <v>46200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13104-2026</t>
        </is>
      </c>
      <c r="B669" s="1" t="n">
        <v>46093</v>
      </c>
      <c r="C669" s="1" t="n">
        <v>46200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13527-2026</t>
        </is>
      </c>
      <c r="B670" s="1" t="n">
        <v>46094</v>
      </c>
      <c r="C670" s="1" t="n">
        <v>46200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13574-2026</t>
        </is>
      </c>
      <c r="B671" s="1" t="n">
        <v>46095</v>
      </c>
      <c r="C671" s="1" t="n">
        <v>46200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13893-2026</t>
        </is>
      </c>
      <c r="B672" s="1" t="n">
        <v>46098</v>
      </c>
      <c r="C672" s="1" t="n">
        <v>46200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14280-2026</t>
        </is>
      </c>
      <c r="B673" s="1" t="n">
        <v>46099</v>
      </c>
      <c r="C673" s="1" t="n">
        <v>46200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14401-2026</t>
        </is>
      </c>
      <c r="B674" s="1" t="n">
        <v>46100</v>
      </c>
      <c r="C674" s="1" t="n">
        <v>46200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14459-2026</t>
        </is>
      </c>
      <c r="B675" s="1" t="n">
        <v>46100</v>
      </c>
      <c r="C675" s="1" t="n">
        <v>46200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14963-2026</t>
        </is>
      </c>
      <c r="B676" s="1" t="n">
        <v>46104</v>
      </c>
      <c r="C676" s="1" t="n">
        <v>46200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14583-2026</t>
        </is>
      </c>
      <c r="B677" s="1" t="n">
        <v>46101</v>
      </c>
      <c r="C677" s="1" t="n">
        <v>46200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15046-2026</t>
        </is>
      </c>
      <c r="B678" s="1" t="n">
        <v>46104</v>
      </c>
      <c r="C678" s="1" t="n">
        <v>46200</v>
      </c>
      <c r="D678" t="inlineStr">
        <is>
          <t>GÄVLEBORGS LÄN</t>
        </is>
      </c>
      <c r="E678" t="inlineStr">
        <is>
          <t>GÄVLE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15669-2026</t>
        </is>
      </c>
      <c r="B679" s="1" t="n">
        <v>46106</v>
      </c>
      <c r="C679" s="1" t="n">
        <v>46200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15535-2026</t>
        </is>
      </c>
      <c r="B680" s="1" t="n">
        <v>46106</v>
      </c>
      <c r="C680" s="1" t="n">
        <v>46200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15097-2026</t>
        </is>
      </c>
      <c r="B681" s="1" t="n">
        <v>46105</v>
      </c>
      <c r="C681" s="1" t="n">
        <v>46200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15843-2026</t>
        </is>
      </c>
      <c r="B682" s="1" t="n">
        <v>46107</v>
      </c>
      <c r="C682" s="1" t="n">
        <v>46200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15985-2026</t>
        </is>
      </c>
      <c r="B683" s="1" t="n">
        <v>46108</v>
      </c>
      <c r="C683" s="1" t="n">
        <v>46200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16430-2026</t>
        </is>
      </c>
      <c r="B684" s="1" t="n">
        <v>46111</v>
      </c>
      <c r="C684" s="1" t="n">
        <v>46200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22968-2026</t>
        </is>
      </c>
      <c r="B685" s="1" t="n">
        <v>46160</v>
      </c>
      <c r="C685" s="1" t="n">
        <v>46200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17471-2026</t>
        </is>
      </c>
      <c r="B686" s="1" t="n">
        <v>46120</v>
      </c>
      <c r="C686" s="1" t="n">
        <v>46200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17830-2026</t>
        </is>
      </c>
      <c r="B687" s="1" t="n">
        <v>46122</v>
      </c>
      <c r="C687" s="1" t="n">
        <v>46200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23591-2026</t>
        </is>
      </c>
      <c r="B688" s="1" t="n">
        <v>46163</v>
      </c>
      <c r="C688" s="1" t="n">
        <v>46200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17695-2026</t>
        </is>
      </c>
      <c r="B689" s="1" t="n">
        <v>46121</v>
      </c>
      <c r="C689" s="1" t="n">
        <v>46200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10488-2026</t>
        </is>
      </c>
      <c r="B690" s="1" t="n">
        <v>46077</v>
      </c>
      <c r="C690" s="1" t="n">
        <v>46200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17863-2026</t>
        </is>
      </c>
      <c r="B691" s="1" t="n">
        <v>46122</v>
      </c>
      <c r="C691" s="1" t="n">
        <v>46200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17954-2026</t>
        </is>
      </c>
      <c r="B692" s="1" t="n">
        <v>46122</v>
      </c>
      <c r="C692" s="1" t="n">
        <v>46200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18173-2026</t>
        </is>
      </c>
      <c r="B693" s="1" t="n">
        <v>46125</v>
      </c>
      <c r="C693" s="1" t="n">
        <v>46200</v>
      </c>
      <c r="D693" t="inlineStr">
        <is>
          <t>GÄVLEBORGS LÄN</t>
        </is>
      </c>
      <c r="E693" t="inlineStr">
        <is>
          <t>GÄVLE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11572-2026</t>
        </is>
      </c>
      <c r="B694" s="1" t="n">
        <v>46084</v>
      </c>
      <c r="C694" s="1" t="n">
        <v>46200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18175-2026</t>
        </is>
      </c>
      <c r="B695" s="1" t="n">
        <v>46125</v>
      </c>
      <c r="C695" s="1" t="n">
        <v>46200</v>
      </c>
      <c r="D695" t="inlineStr">
        <is>
          <t>GÄVLEBORGS LÄN</t>
        </is>
      </c>
      <c r="E695" t="inlineStr">
        <is>
          <t>GÄVLE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23956-2026</t>
        </is>
      </c>
      <c r="B696" s="1" t="n">
        <v>46167</v>
      </c>
      <c r="C696" s="1" t="n">
        <v>46200</v>
      </c>
      <c r="D696" t="inlineStr">
        <is>
          <t>GÄVLEBORGS LÄN</t>
        </is>
      </c>
      <c r="E696" t="inlineStr">
        <is>
          <t>GÄVLE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17976-2026</t>
        </is>
      </c>
      <c r="B697" s="1" t="n">
        <v>46124</v>
      </c>
      <c r="C697" s="1" t="n">
        <v>46200</v>
      </c>
      <c r="D697" t="inlineStr">
        <is>
          <t>GÄVLEBORGS LÄN</t>
        </is>
      </c>
      <c r="E697" t="inlineStr">
        <is>
          <t>GÄVLE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17977-2026</t>
        </is>
      </c>
      <c r="B698" s="1" t="n">
        <v>46124</v>
      </c>
      <c r="C698" s="1" t="n">
        <v>46200</v>
      </c>
      <c r="D698" t="inlineStr">
        <is>
          <t>GÄVLEBORGS LÄN</t>
        </is>
      </c>
      <c r="E698" t="inlineStr">
        <is>
          <t>GÄVLE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17974-2026</t>
        </is>
      </c>
      <c r="B699" s="1" t="n">
        <v>46124</v>
      </c>
      <c r="C699" s="1" t="n">
        <v>46200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17975-2026</t>
        </is>
      </c>
      <c r="B700" s="1" t="n">
        <v>46124</v>
      </c>
      <c r="C700" s="1" t="n">
        <v>46200</v>
      </c>
      <c r="D700" t="inlineStr">
        <is>
          <t>GÄVLEBORGS LÄN</t>
        </is>
      </c>
      <c r="E700" t="inlineStr">
        <is>
          <t>GÄVLE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24090-2026</t>
        </is>
      </c>
      <c r="B701" s="1" t="n">
        <v>46168</v>
      </c>
      <c r="C701" s="1" t="n">
        <v>46200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24089-2026</t>
        </is>
      </c>
      <c r="B702" s="1" t="n">
        <v>46168</v>
      </c>
      <c r="C702" s="1" t="n">
        <v>46200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24099-2026</t>
        </is>
      </c>
      <c r="B703" s="1" t="n">
        <v>46168</v>
      </c>
      <c r="C703" s="1" t="n">
        <v>46200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13046-2026</t>
        </is>
      </c>
      <c r="B704" s="1" t="n">
        <v>46093</v>
      </c>
      <c r="C704" s="1" t="n">
        <v>46200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18657-2026</t>
        </is>
      </c>
      <c r="B705" s="1" t="n">
        <v>46128</v>
      </c>
      <c r="C705" s="1" t="n">
        <v>46200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18660-2026</t>
        </is>
      </c>
      <c r="B706" s="1" t="n">
        <v>46128</v>
      </c>
      <c r="C706" s="1" t="n">
        <v>46200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24398-2026</t>
        </is>
      </c>
      <c r="B707" s="1" t="n">
        <v>46169</v>
      </c>
      <c r="C707" s="1" t="n">
        <v>46200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15635-2026</t>
        </is>
      </c>
      <c r="B708" s="1" t="n">
        <v>46106</v>
      </c>
      <c r="C708" s="1" t="n">
        <v>46200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24325-2026</t>
        </is>
      </c>
      <c r="B709" s="1" t="n">
        <v>46169</v>
      </c>
      <c r="C709" s="1" t="n">
        <v>46200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14966-2026</t>
        </is>
      </c>
      <c r="B710" s="1" t="n">
        <v>46104</v>
      </c>
      <c r="C710" s="1" t="n">
        <v>46200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24295-2026</t>
        </is>
      </c>
      <c r="B711" s="1" t="n">
        <v>46169</v>
      </c>
      <c r="C711" s="1" t="n">
        <v>46200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24306-2026</t>
        </is>
      </c>
      <c r="B712" s="1" t="n">
        <v>46169</v>
      </c>
      <c r="C712" s="1" t="n">
        <v>46200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24400-2026</t>
        </is>
      </c>
      <c r="B713" s="1" t="n">
        <v>46169</v>
      </c>
      <c r="C713" s="1" t="n">
        <v>46200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18817-2026</t>
        </is>
      </c>
      <c r="B714" s="1" t="n">
        <v>46128</v>
      </c>
      <c r="C714" s="1" t="n">
        <v>46200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18659-2026</t>
        </is>
      </c>
      <c r="B715" s="1" t="n">
        <v>46128</v>
      </c>
      <c r="C715" s="1" t="n">
        <v>46200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13492-2026</t>
        </is>
      </c>
      <c r="B716" s="1" t="n">
        <v>46094</v>
      </c>
      <c r="C716" s="1" t="n">
        <v>46200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15558-2026</t>
        </is>
      </c>
      <c r="B717" s="1" t="n">
        <v>46106</v>
      </c>
      <c r="C717" s="1" t="n">
        <v>46200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15568-2026</t>
        </is>
      </c>
      <c r="B718" s="1" t="n">
        <v>46106</v>
      </c>
      <c r="C718" s="1" t="n">
        <v>46200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24367-2026</t>
        </is>
      </c>
      <c r="B719" s="1" t="n">
        <v>46169</v>
      </c>
      <c r="C719" s="1" t="n">
        <v>46200</v>
      </c>
      <c r="D719" t="inlineStr">
        <is>
          <t>GÄVLEBORGS LÄN</t>
        </is>
      </c>
      <c r="E719" t="inlineStr">
        <is>
          <t>GÄVLE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15634-2026</t>
        </is>
      </c>
      <c r="B720" s="1" t="n">
        <v>46106</v>
      </c>
      <c r="C720" s="1" t="n">
        <v>46200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36.3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24294-2026</t>
        </is>
      </c>
      <c r="B721" s="1" t="n">
        <v>46169</v>
      </c>
      <c r="C721" s="1" t="n">
        <v>46200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24373-2026</t>
        </is>
      </c>
      <c r="B722" s="1" t="n">
        <v>46169</v>
      </c>
      <c r="C722" s="1" t="n">
        <v>46200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19087-2026</t>
        </is>
      </c>
      <c r="B723" s="1" t="n">
        <v>46132</v>
      </c>
      <c r="C723" s="1" t="n">
        <v>46200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24810-2026</t>
        </is>
      </c>
      <c r="B724" s="1" t="n">
        <v>46173</v>
      </c>
      <c r="C724" s="1" t="n">
        <v>46200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19088-2026</t>
        </is>
      </c>
      <c r="B725" s="1" t="n">
        <v>46132</v>
      </c>
      <c r="C725" s="1" t="n">
        <v>46200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19164-2026</t>
        </is>
      </c>
      <c r="B726" s="1" t="n">
        <v>46132</v>
      </c>
      <c r="C726" s="1" t="n">
        <v>46200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19085-2026</t>
        </is>
      </c>
      <c r="B727" s="1" t="n">
        <v>46132</v>
      </c>
      <c r="C727" s="1" t="n">
        <v>46200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19185-2026</t>
        </is>
      </c>
      <c r="B728" s="1" t="n">
        <v>46132</v>
      </c>
      <c r="C728" s="1" t="n">
        <v>46200</v>
      </c>
      <c r="D728" t="inlineStr">
        <is>
          <t>GÄVLEBORGS LÄN</t>
        </is>
      </c>
      <c r="E728" t="inlineStr">
        <is>
          <t>GÄVLE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19371-2026</t>
        </is>
      </c>
      <c r="B729" s="1" t="n">
        <v>46133</v>
      </c>
      <c r="C729" s="1" t="n">
        <v>46200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19370-2026</t>
        </is>
      </c>
      <c r="B730" s="1" t="n">
        <v>46133</v>
      </c>
      <c r="C730" s="1" t="n">
        <v>46200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19122-2026</t>
        </is>
      </c>
      <c r="B731" s="1" t="n">
        <v>46132</v>
      </c>
      <c r="C731" s="1" t="n">
        <v>46200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19714-2026</t>
        </is>
      </c>
      <c r="B732" s="1" t="n">
        <v>46134</v>
      </c>
      <c r="C732" s="1" t="n">
        <v>46200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19715-2026</t>
        </is>
      </c>
      <c r="B733" s="1" t="n">
        <v>46134</v>
      </c>
      <c r="C733" s="1" t="n">
        <v>46200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12386-2026</t>
        </is>
      </c>
      <c r="B734" s="1" t="n">
        <v>46090</v>
      </c>
      <c r="C734" s="1" t="n">
        <v>46200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25623-2026</t>
        </is>
      </c>
      <c r="B735" s="1" t="n">
        <v>46177</v>
      </c>
      <c r="C735" s="1" t="n">
        <v>46200</v>
      </c>
      <c r="D735" t="inlineStr">
        <is>
          <t>GÄVLEBORGS LÄN</t>
        </is>
      </c>
      <c r="E735" t="inlineStr">
        <is>
          <t>GÄVLE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19713-2026</t>
        </is>
      </c>
      <c r="B736" s="1" t="n">
        <v>46134</v>
      </c>
      <c r="C736" s="1" t="n">
        <v>46200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19716-2026</t>
        </is>
      </c>
      <c r="B737" s="1" t="n">
        <v>46134</v>
      </c>
      <c r="C737" s="1" t="n">
        <v>46200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15176-2026</t>
        </is>
      </c>
      <c r="B738" s="1" t="n">
        <v>46105</v>
      </c>
      <c r="C738" s="1" t="n">
        <v>46200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25582-2026</t>
        </is>
      </c>
      <c r="B739" s="1" t="n">
        <v>46177</v>
      </c>
      <c r="C739" s="1" t="n">
        <v>46200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25513-2026</t>
        </is>
      </c>
      <c r="B740" s="1" t="n">
        <v>46177</v>
      </c>
      <c r="C740" s="1" t="n">
        <v>46200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25367-2026</t>
        </is>
      </c>
      <c r="B741" s="1" t="n">
        <v>46176</v>
      </c>
      <c r="C741" s="1" t="n">
        <v>46200</v>
      </c>
      <c r="D741" t="inlineStr">
        <is>
          <t>GÄVLEBORGS LÄN</t>
        </is>
      </c>
      <c r="E741" t="inlineStr">
        <is>
          <t>GÄVLE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25384-2026</t>
        </is>
      </c>
      <c r="B742" s="1" t="n">
        <v>46176</v>
      </c>
      <c r="C742" s="1" t="n">
        <v>46200</v>
      </c>
      <c r="D742" t="inlineStr">
        <is>
          <t>GÄVLEBORGS LÄN</t>
        </is>
      </c>
      <c r="E742" t="inlineStr">
        <is>
          <t>GÄVLE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19712-2026</t>
        </is>
      </c>
      <c r="B743" s="1" t="n">
        <v>46134</v>
      </c>
      <c r="C743" s="1" t="n">
        <v>46200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14365-2026</t>
        </is>
      </c>
      <c r="B744" s="1" t="n">
        <v>46100</v>
      </c>
      <c r="C744" s="1" t="n">
        <v>46200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19372-2026</t>
        </is>
      </c>
      <c r="B745" s="1" t="n">
        <v>46133</v>
      </c>
      <c r="C745" s="1" t="n">
        <v>46200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25500-2026</t>
        </is>
      </c>
      <c r="B746" s="1" t="n">
        <v>46177</v>
      </c>
      <c r="C746" s="1" t="n">
        <v>46200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19711-2026</t>
        </is>
      </c>
      <c r="B747" s="1" t="n">
        <v>46134</v>
      </c>
      <c r="C747" s="1" t="n">
        <v>46200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44000-2025</t>
        </is>
      </c>
      <c r="B748" s="1" t="n">
        <v>45915</v>
      </c>
      <c r="C748" s="1" t="n">
        <v>46200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15324-2026</t>
        </is>
      </c>
      <c r="B749" s="1" t="n">
        <v>46105</v>
      </c>
      <c r="C749" s="1" t="n">
        <v>46200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497-2026</t>
        </is>
      </c>
      <c r="B750" s="1" t="n">
        <v>46029</v>
      </c>
      <c r="C750" s="1" t="n">
        <v>46200</v>
      </c>
      <c r="D750" t="inlineStr">
        <is>
          <t>GÄVLEBORGS LÄN</t>
        </is>
      </c>
      <c r="E750" t="inlineStr">
        <is>
          <t>GÄVLE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15835-2026</t>
        </is>
      </c>
      <c r="B751" s="1" t="n">
        <v>46107</v>
      </c>
      <c r="C751" s="1" t="n">
        <v>46200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26016-2026</t>
        </is>
      </c>
      <c r="B752" s="1" t="n">
        <v>46181</v>
      </c>
      <c r="C752" s="1" t="n">
        <v>46200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4402-2025</t>
        </is>
      </c>
      <c r="B753" s="1" t="n">
        <v>45686</v>
      </c>
      <c r="C753" s="1" t="n">
        <v>46200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50537-2025</t>
        </is>
      </c>
      <c r="B754" s="1" t="n">
        <v>45945</v>
      </c>
      <c r="C754" s="1" t="n">
        <v>46200</v>
      </c>
      <c r="D754" t="inlineStr">
        <is>
          <t>GÄVLEBORGS LÄN</t>
        </is>
      </c>
      <c r="E754" t="inlineStr">
        <is>
          <t>GÄVLE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25808-2026</t>
        </is>
      </c>
      <c r="B755" s="1" t="n">
        <v>46178</v>
      </c>
      <c r="C755" s="1" t="n">
        <v>46200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15801-2026</t>
        </is>
      </c>
      <c r="B756" s="1" t="n">
        <v>46107</v>
      </c>
      <c r="C756" s="1" t="n">
        <v>46200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26094-2025</t>
        </is>
      </c>
      <c r="B757" s="1" t="n">
        <v>45805</v>
      </c>
      <c r="C757" s="1" t="n">
        <v>46200</v>
      </c>
      <c r="D757" t="inlineStr">
        <is>
          <t>GÄVLEBORGS LÄN</t>
        </is>
      </c>
      <c r="E757" t="inlineStr">
        <is>
          <t>GÄVLE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13499-2026</t>
        </is>
      </c>
      <c r="B758" s="1" t="n">
        <v>46094</v>
      </c>
      <c r="C758" s="1" t="n">
        <v>46200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35916-2025</t>
        </is>
      </c>
      <c r="B759" s="1" t="n">
        <v>45862</v>
      </c>
      <c r="C759" s="1" t="n">
        <v>46200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1328-2026</t>
        </is>
      </c>
      <c r="B760" s="1" t="n">
        <v>46031</v>
      </c>
      <c r="C760" s="1" t="n">
        <v>46200</v>
      </c>
      <c r="D760" t="inlineStr">
        <is>
          <t>GÄVLEBORGS LÄN</t>
        </is>
      </c>
      <c r="E760" t="inlineStr">
        <is>
          <t>GÄVLE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15101-2025</t>
        </is>
      </c>
      <c r="B761" s="1" t="n">
        <v>45744</v>
      </c>
      <c r="C761" s="1" t="n">
        <v>46200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42592-2025</t>
        </is>
      </c>
      <c r="B762" s="1" t="n">
        <v>45905</v>
      </c>
      <c r="C762" s="1" t="n">
        <v>46200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9378-2025</t>
        </is>
      </c>
      <c r="B763" s="1" t="n">
        <v>45715</v>
      </c>
      <c r="C763" s="1" t="n">
        <v>46200</v>
      </c>
      <c r="D763" t="inlineStr">
        <is>
          <t>GÄVLEBORGS LÄN</t>
        </is>
      </c>
      <c r="E763" t="inlineStr">
        <is>
          <t>GÄVLE</t>
        </is>
      </c>
      <c r="F763" t="inlineStr">
        <is>
          <t>Kyrkan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15536-2026</t>
        </is>
      </c>
      <c r="B764" s="1" t="n">
        <v>46106</v>
      </c>
      <c r="C764" s="1" t="n">
        <v>46200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10521-2026</t>
        </is>
      </c>
      <c r="B765" s="1" t="n">
        <v>46077</v>
      </c>
      <c r="C765" s="1" t="n">
        <v>46200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15799-2026</t>
        </is>
      </c>
      <c r="B766" s="1" t="n">
        <v>46107</v>
      </c>
      <c r="C766" s="1" t="n">
        <v>46200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15092-2026</t>
        </is>
      </c>
      <c r="B767" s="1" t="n">
        <v>46105</v>
      </c>
      <c r="C767" s="1" t="n">
        <v>46200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15105-2025</t>
        </is>
      </c>
      <c r="B768" s="1" t="n">
        <v>45744</v>
      </c>
      <c r="C768" s="1" t="n">
        <v>46200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9331-2026</t>
        </is>
      </c>
      <c r="B769" s="1" t="n">
        <v>46070</v>
      </c>
      <c r="C769" s="1" t="n">
        <v>46200</v>
      </c>
      <c r="D769" t="inlineStr">
        <is>
          <t>GÄVLEBORGS LÄN</t>
        </is>
      </c>
      <c r="E769" t="inlineStr">
        <is>
          <t>GÄVLE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8568-2026</t>
        </is>
      </c>
      <c r="B770" s="1" t="n">
        <v>46065</v>
      </c>
      <c r="C770" s="1" t="n">
        <v>46200</v>
      </c>
      <c r="D770" t="inlineStr">
        <is>
          <t>GÄVLEBORGS LÄN</t>
        </is>
      </c>
      <c r="E770" t="inlineStr">
        <is>
          <t>GÄVLE</t>
        </is>
      </c>
      <c r="G770" t="n">
        <v>9.5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15689-2026</t>
        </is>
      </c>
      <c r="B771" s="1" t="n">
        <v>46107</v>
      </c>
      <c r="C771" s="1" t="n">
        <v>46200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15275-2026</t>
        </is>
      </c>
      <c r="B772" s="1" t="n">
        <v>46105</v>
      </c>
      <c r="C772" s="1" t="n">
        <v>46200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28375-2025</t>
        </is>
      </c>
      <c r="B773" s="1" t="n">
        <v>45818</v>
      </c>
      <c r="C773" s="1" t="n">
        <v>46200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9025-2026</t>
        </is>
      </c>
      <c r="B774" s="1" t="n">
        <v>46069</v>
      </c>
      <c r="C774" s="1" t="n">
        <v>46200</v>
      </c>
      <c r="D774" t="inlineStr">
        <is>
          <t>GÄVLEBORGS LÄN</t>
        </is>
      </c>
      <c r="E774" t="inlineStr">
        <is>
          <t>GÄVLE</t>
        </is>
      </c>
      <c r="G774" t="n">
        <v>12.7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36512-2025</t>
        </is>
      </c>
      <c r="B775" s="1" t="n">
        <v>45869</v>
      </c>
      <c r="C775" s="1" t="n">
        <v>46200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14355-2026</t>
        </is>
      </c>
      <c r="B776" s="1" t="n">
        <v>46100</v>
      </c>
      <c r="C776" s="1" t="n">
        <v>46200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25829-2026</t>
        </is>
      </c>
      <c r="B777" s="1" t="n">
        <v>46178</v>
      </c>
      <c r="C777" s="1" t="n">
        <v>46200</v>
      </c>
      <c r="D777" t="inlineStr">
        <is>
          <t>GÄVLEBORGS LÄN</t>
        </is>
      </c>
      <c r="E777" t="inlineStr">
        <is>
          <t>GÄVLE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6331-2022</t>
        </is>
      </c>
      <c r="B778" s="1" t="n">
        <v>44600</v>
      </c>
      <c r="C778" s="1" t="n">
        <v>46200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15647-2026</t>
        </is>
      </c>
      <c r="B779" s="1" t="n">
        <v>46106</v>
      </c>
      <c r="C779" s="1" t="n">
        <v>46200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20589-2026</t>
        </is>
      </c>
      <c r="B780" s="1" t="n">
        <v>46140</v>
      </c>
      <c r="C780" s="1" t="n">
        <v>46200</v>
      </c>
      <c r="D780" t="inlineStr">
        <is>
          <t>GÄVLEBORGS LÄN</t>
        </is>
      </c>
      <c r="E780" t="inlineStr">
        <is>
          <t>GÄVLE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1096-2026</t>
        </is>
      </c>
      <c r="B781" s="1" t="n">
        <v>46030</v>
      </c>
      <c r="C781" s="1" t="n">
        <v>46200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20676-2026</t>
        </is>
      </c>
      <c r="B782" s="1" t="n">
        <v>46141</v>
      </c>
      <c r="C782" s="1" t="n">
        <v>46200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10487-2026</t>
        </is>
      </c>
      <c r="B783" s="1" t="n">
        <v>46077</v>
      </c>
      <c r="C783" s="1" t="n">
        <v>46200</v>
      </c>
      <c r="D783" t="inlineStr">
        <is>
          <t>GÄVLEBORGS LÄN</t>
        </is>
      </c>
      <c r="E783" t="inlineStr">
        <is>
          <t>GÄVLE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16190-2026</t>
        </is>
      </c>
      <c r="B784" s="1" t="n">
        <v>46111</v>
      </c>
      <c r="C784" s="1" t="n">
        <v>46200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26281-2026</t>
        </is>
      </c>
      <c r="B785" s="1" t="n">
        <v>46182</v>
      </c>
      <c r="C785" s="1" t="n">
        <v>46200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16263-2026</t>
        </is>
      </c>
      <c r="B786" s="1" t="n">
        <v>46111</v>
      </c>
      <c r="C786" s="1" t="n">
        <v>46200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16076-2026</t>
        </is>
      </c>
      <c r="B787" s="1" t="n">
        <v>46108</v>
      </c>
      <c r="C787" s="1" t="n">
        <v>46200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20736-2026</t>
        </is>
      </c>
      <c r="B788" s="1" t="n">
        <v>46141</v>
      </c>
      <c r="C788" s="1" t="n">
        <v>46200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23117-2026</t>
        </is>
      </c>
      <c r="B789" s="1" t="n">
        <v>46161</v>
      </c>
      <c r="C789" s="1" t="n">
        <v>46200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1475-2026</t>
        </is>
      </c>
      <c r="B790" s="1" t="n">
        <v>46033</v>
      </c>
      <c r="C790" s="1" t="n">
        <v>46200</v>
      </c>
      <c r="D790" t="inlineStr">
        <is>
          <t>GÄVLEBORGS LÄN</t>
        </is>
      </c>
      <c r="E790" t="inlineStr">
        <is>
          <t>GÄVLE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20785-2026</t>
        </is>
      </c>
      <c r="B791" s="1" t="n">
        <v>46141</v>
      </c>
      <c r="C791" s="1" t="n">
        <v>46200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7441-2025</t>
        </is>
      </c>
      <c r="B792" s="1" t="n">
        <v>45705</v>
      </c>
      <c r="C792" s="1" t="n">
        <v>46200</v>
      </c>
      <c r="D792" t="inlineStr">
        <is>
          <t>GÄVLEBORGS LÄN</t>
        </is>
      </c>
      <c r="E792" t="inlineStr">
        <is>
          <t>GÄVLE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21966-2025</t>
        </is>
      </c>
      <c r="B793" s="1" t="n">
        <v>45784</v>
      </c>
      <c r="C793" s="1" t="n">
        <v>46200</v>
      </c>
      <c r="D793" t="inlineStr">
        <is>
          <t>GÄVLEBORGS LÄN</t>
        </is>
      </c>
      <c r="E793" t="inlineStr">
        <is>
          <t>GÄVLE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14974-2026</t>
        </is>
      </c>
      <c r="B794" s="1" t="n">
        <v>46104</v>
      </c>
      <c r="C794" s="1" t="n">
        <v>46200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20685-2026</t>
        </is>
      </c>
      <c r="B795" s="1" t="n">
        <v>46141</v>
      </c>
      <c r="C795" s="1" t="n">
        <v>46200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20735-2026</t>
        </is>
      </c>
      <c r="B796" s="1" t="n">
        <v>46141</v>
      </c>
      <c r="C796" s="1" t="n">
        <v>46200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26885-2026</t>
        </is>
      </c>
      <c r="B797" s="1" t="n">
        <v>46185</v>
      </c>
      <c r="C797" s="1" t="n">
        <v>46200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27040-2026</t>
        </is>
      </c>
      <c r="B798" s="1" t="n">
        <v>46185</v>
      </c>
      <c r="C798" s="1" t="n">
        <v>46200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15456-2026</t>
        </is>
      </c>
      <c r="B799" s="1" t="n">
        <v>46106</v>
      </c>
      <c r="C799" s="1" t="n">
        <v>46200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27069-2026</t>
        </is>
      </c>
      <c r="B800" s="1" t="n">
        <v>46185</v>
      </c>
      <c r="C800" s="1" t="n">
        <v>46200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20906-2026</t>
        </is>
      </c>
      <c r="B801" s="1" t="n">
        <v>46142</v>
      </c>
      <c r="C801" s="1" t="n">
        <v>46200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27048-2026</t>
        </is>
      </c>
      <c r="B802" s="1" t="n">
        <v>46185</v>
      </c>
      <c r="C802" s="1" t="n">
        <v>46200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27052-2026</t>
        </is>
      </c>
      <c r="B803" s="1" t="n">
        <v>46185</v>
      </c>
      <c r="C803" s="1" t="n">
        <v>46200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27053-2026</t>
        </is>
      </c>
      <c r="B804" s="1" t="n">
        <v>46185</v>
      </c>
      <c r="C804" s="1" t="n">
        <v>46200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27060-2026</t>
        </is>
      </c>
      <c r="B805" s="1" t="n">
        <v>46185</v>
      </c>
      <c r="C805" s="1" t="n">
        <v>46200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27065-2026</t>
        </is>
      </c>
      <c r="B806" s="1" t="n">
        <v>46185</v>
      </c>
      <c r="C806" s="1" t="n">
        <v>46200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20905-2026</t>
        </is>
      </c>
      <c r="B807" s="1" t="n">
        <v>46142</v>
      </c>
      <c r="C807" s="1" t="n">
        <v>46200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26599-2026</t>
        </is>
      </c>
      <c r="B808" s="1" t="n">
        <v>46183</v>
      </c>
      <c r="C808" s="1" t="n">
        <v>46200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27057-2026</t>
        </is>
      </c>
      <c r="B809" s="1" t="n">
        <v>46185</v>
      </c>
      <c r="C809" s="1" t="n">
        <v>46200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26600-2026</t>
        </is>
      </c>
      <c r="B810" s="1" t="n">
        <v>46183</v>
      </c>
      <c r="C810" s="1" t="n">
        <v>46200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26942-2026</t>
        </is>
      </c>
      <c r="B811" s="1" t="n">
        <v>46185</v>
      </c>
      <c r="C811" s="1" t="n">
        <v>46200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26658-2026</t>
        </is>
      </c>
      <c r="B812" s="1" t="n">
        <v>46184</v>
      </c>
      <c r="C812" s="1" t="n">
        <v>46200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26991-2026</t>
        </is>
      </c>
      <c r="B813" s="1" t="n">
        <v>46185</v>
      </c>
      <c r="C813" s="1" t="n">
        <v>46200</v>
      </c>
      <c r="D813" t="inlineStr">
        <is>
          <t>GÄVLEBORGS LÄN</t>
        </is>
      </c>
      <c r="E813" t="inlineStr">
        <is>
          <t>GÄVLE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27041-2026</t>
        </is>
      </c>
      <c r="B814" s="1" t="n">
        <v>46185</v>
      </c>
      <c r="C814" s="1" t="n">
        <v>46200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27046-2026</t>
        </is>
      </c>
      <c r="B815" s="1" t="n">
        <v>46185</v>
      </c>
      <c r="C815" s="1" t="n">
        <v>46200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27051-2026</t>
        </is>
      </c>
      <c r="B816" s="1" t="n">
        <v>46185</v>
      </c>
      <c r="C816" s="1" t="n">
        <v>46200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27055-2026</t>
        </is>
      </c>
      <c r="B817" s="1" t="n">
        <v>46185</v>
      </c>
      <c r="C817" s="1" t="n">
        <v>46200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27059-2026</t>
        </is>
      </c>
      <c r="B818" s="1" t="n">
        <v>46185</v>
      </c>
      <c r="C818" s="1" t="n">
        <v>46200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27061-2026</t>
        </is>
      </c>
      <c r="B819" s="1" t="n">
        <v>46185</v>
      </c>
      <c r="C819" s="1" t="n">
        <v>46200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27068-2026</t>
        </is>
      </c>
      <c r="B820" s="1" t="n">
        <v>46185</v>
      </c>
      <c r="C820" s="1" t="n">
        <v>46200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27042-2026</t>
        </is>
      </c>
      <c r="B821" s="1" t="n">
        <v>46185</v>
      </c>
      <c r="C821" s="1" t="n">
        <v>46200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27056-2026</t>
        </is>
      </c>
      <c r="B822" s="1" t="n">
        <v>46185</v>
      </c>
      <c r="C822" s="1" t="n">
        <v>46200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27066-2026</t>
        </is>
      </c>
      <c r="B823" s="1" t="n">
        <v>46185</v>
      </c>
      <c r="C823" s="1" t="n">
        <v>46200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27067-2026</t>
        </is>
      </c>
      <c r="B824" s="1" t="n">
        <v>46185</v>
      </c>
      <c r="C824" s="1" t="n">
        <v>46200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27359-2026</t>
        </is>
      </c>
      <c r="B825" s="1" t="n">
        <v>46188</v>
      </c>
      <c r="C825" s="1" t="n">
        <v>46200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4463-2026</t>
        </is>
      </c>
      <c r="B826" s="1" t="n">
        <v>46045</v>
      </c>
      <c r="C826" s="1" t="n">
        <v>46200</v>
      </c>
      <c r="D826" t="inlineStr">
        <is>
          <t>GÄVLEBORGS LÄN</t>
        </is>
      </c>
      <c r="E826" t="inlineStr">
        <is>
          <t>GÄVLE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27360-2026</t>
        </is>
      </c>
      <c r="B827" s="1" t="n">
        <v>46188</v>
      </c>
      <c r="C827" s="1" t="n">
        <v>46200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21364-2026</t>
        </is>
      </c>
      <c r="B828" s="1" t="n">
        <v>46147</v>
      </c>
      <c r="C828" s="1" t="n">
        <v>46200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21367-2026</t>
        </is>
      </c>
      <c r="B829" s="1" t="n">
        <v>46147</v>
      </c>
      <c r="C829" s="1" t="n">
        <v>46200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12.8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27361-2026</t>
        </is>
      </c>
      <c r="B830" s="1" t="n">
        <v>46188</v>
      </c>
      <c r="C830" s="1" t="n">
        <v>46200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21033-2026</t>
        </is>
      </c>
      <c r="B831" s="1" t="n">
        <v>46146</v>
      </c>
      <c r="C831" s="1" t="n">
        <v>46200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21365-2026</t>
        </is>
      </c>
      <c r="B832" s="1" t="n">
        <v>46147</v>
      </c>
      <c r="C832" s="1" t="n">
        <v>46200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14707-2026</t>
        </is>
      </c>
      <c r="B833" s="1" t="n">
        <v>46101</v>
      </c>
      <c r="C833" s="1" t="n">
        <v>46200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16144-2026</t>
        </is>
      </c>
      <c r="B834" s="1" t="n">
        <v>46108</v>
      </c>
      <c r="C834" s="1" t="n">
        <v>46200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24669-2026</t>
        </is>
      </c>
      <c r="B835" s="1" t="n">
        <v>46171</v>
      </c>
      <c r="C835" s="1" t="n">
        <v>46200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15765-2026</t>
        </is>
      </c>
      <c r="B836" s="1" t="n">
        <v>46107</v>
      </c>
      <c r="C836" s="1" t="n">
        <v>46200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15711-2026</t>
        </is>
      </c>
      <c r="B837" s="1" t="n">
        <v>46107</v>
      </c>
      <c r="C837" s="1" t="n">
        <v>46200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24172-2026</t>
        </is>
      </c>
      <c r="B838" s="1" t="n">
        <v>46168</v>
      </c>
      <c r="C838" s="1" t="n">
        <v>46200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15469-2026</t>
        </is>
      </c>
      <c r="B839" s="1" t="n">
        <v>46106</v>
      </c>
      <c r="C839" s="1" t="n">
        <v>46200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22111-2026</t>
        </is>
      </c>
      <c r="B840" s="1" t="n">
        <v>46153</v>
      </c>
      <c r="C840" s="1" t="n">
        <v>46200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22054-2026</t>
        </is>
      </c>
      <c r="B841" s="1" t="n">
        <v>46153</v>
      </c>
      <c r="C841" s="1" t="n">
        <v>46200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28140-2026</t>
        </is>
      </c>
      <c r="B842" s="1" t="n">
        <v>46195</v>
      </c>
      <c r="C842" s="1" t="n">
        <v>46200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15167-2026</t>
        </is>
      </c>
      <c r="B843" s="1" t="n">
        <v>46105</v>
      </c>
      <c r="C843" s="1" t="n">
        <v>46200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22053-2026</t>
        </is>
      </c>
      <c r="B844" s="1" t="n">
        <v>46153</v>
      </c>
      <c r="C844" s="1" t="n">
        <v>46200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22121-2026</t>
        </is>
      </c>
      <c r="B845" s="1" t="n">
        <v>46153</v>
      </c>
      <c r="C845" s="1" t="n">
        <v>46200</v>
      </c>
      <c r="D845" t="inlineStr">
        <is>
          <t>GÄVLEBORGS LÄN</t>
        </is>
      </c>
      <c r="E845" t="inlineStr">
        <is>
          <t>GÄVLE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22075-2026</t>
        </is>
      </c>
      <c r="B846" s="1" t="n">
        <v>46153</v>
      </c>
      <c r="C846" s="1" t="n">
        <v>46200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22517-2026</t>
        </is>
      </c>
      <c r="B847" s="1" t="n">
        <v>46155</v>
      </c>
      <c r="C847" s="1" t="n">
        <v>46200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22584-2026</t>
        </is>
      </c>
      <c r="B848" s="1" t="n">
        <v>46155</v>
      </c>
      <c r="C848" s="1" t="n">
        <v>46200</v>
      </c>
      <c r="D848" t="inlineStr">
        <is>
          <t>GÄVLEBORGS LÄN</t>
        </is>
      </c>
      <c r="E848" t="inlineStr">
        <is>
          <t>GÄVLE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24456-2026</t>
        </is>
      </c>
      <c r="B849" s="1" t="n">
        <v>46170</v>
      </c>
      <c r="C849" s="1" t="n">
        <v>46200</v>
      </c>
      <c r="D849" t="inlineStr">
        <is>
          <t>GÄVLEBORGS LÄN</t>
        </is>
      </c>
      <c r="E849" t="inlineStr">
        <is>
          <t>GÄVLE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17300-2026</t>
        </is>
      </c>
      <c r="B850" s="1" t="n">
        <v>46119</v>
      </c>
      <c r="C850" s="1" t="n">
        <v>46200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22508-2026</t>
        </is>
      </c>
      <c r="B851" s="1" t="n">
        <v>46155</v>
      </c>
      <c r="C851" s="1" t="n">
        <v>46200</v>
      </c>
      <c r="D851" t="inlineStr">
        <is>
          <t>GÄVLEBORGS LÄN</t>
        </is>
      </c>
      <c r="E851" t="inlineStr">
        <is>
          <t>GÄVLE</t>
        </is>
      </c>
      <c r="F851" t="inlineStr">
        <is>
          <t>Kyrkan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15158-2026</t>
        </is>
      </c>
      <c r="B852" s="1" t="n">
        <v>46105</v>
      </c>
      <c r="C852" s="1" t="n">
        <v>46200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22545-2026</t>
        </is>
      </c>
      <c r="B853" s="1" t="n">
        <v>46155</v>
      </c>
      <c r="C853" s="1" t="n">
        <v>46200</v>
      </c>
      <c r="D853" t="inlineStr">
        <is>
          <t>GÄVLEBORGS LÄN</t>
        </is>
      </c>
      <c r="E853" t="inlineStr">
        <is>
          <t>GÄVLE</t>
        </is>
      </c>
      <c r="F853" t="inlineStr">
        <is>
          <t>Kyrkan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28485-2026</t>
        </is>
      </c>
      <c r="B854" s="1" t="n">
        <v>46197</v>
      </c>
      <c r="C854" s="1" t="n">
        <v>46200</v>
      </c>
      <c r="D854" t="inlineStr">
        <is>
          <t>GÄVLEBORGS LÄN</t>
        </is>
      </c>
      <c r="E854" t="inlineStr">
        <is>
          <t>GÄVLE</t>
        </is>
      </c>
      <c r="F854" t="inlineStr">
        <is>
          <t>BillerudKorsnäs AB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22570-2026</t>
        </is>
      </c>
      <c r="B855" s="1" t="n">
        <v>46155</v>
      </c>
      <c r="C855" s="1" t="n">
        <v>46200</v>
      </c>
      <c r="D855" t="inlineStr">
        <is>
          <t>GÄVLEBORGS LÄN</t>
        </is>
      </c>
      <c r="E855" t="inlineStr">
        <is>
          <t>GÄVLE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28379-2026</t>
        </is>
      </c>
      <c r="B856" s="1" t="n">
        <v>46196</v>
      </c>
      <c r="C856" s="1" t="n">
        <v>46200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28331-2026</t>
        </is>
      </c>
      <c r="B857" s="1" t="n">
        <v>46196</v>
      </c>
      <c r="C857" s="1" t="n">
        <v>46200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28334-2026</t>
        </is>
      </c>
      <c r="B858" s="1" t="n">
        <v>46196</v>
      </c>
      <c r="C858" s="1" t="n">
        <v>46200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22354-2026</t>
        </is>
      </c>
      <c r="B859" s="1" t="n">
        <v>46154</v>
      </c>
      <c r="C859" s="1" t="n">
        <v>46200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22358-2026</t>
        </is>
      </c>
      <c r="B860" s="1" t="n">
        <v>46154</v>
      </c>
      <c r="C860" s="1" t="n">
        <v>46200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22361-2026</t>
        </is>
      </c>
      <c r="B861" s="1" t="n">
        <v>46154</v>
      </c>
      <c r="C861" s="1" t="n">
        <v>46200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22356-2026</t>
        </is>
      </c>
      <c r="B862" s="1" t="n">
        <v>46154</v>
      </c>
      <c r="C862" s="1" t="n">
        <v>46200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15152-2026</t>
        </is>
      </c>
      <c r="B863" s="1" t="n">
        <v>46105</v>
      </c>
      <c r="C863" s="1" t="n">
        <v>46200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28332-2026</t>
        </is>
      </c>
      <c r="B864" s="1" t="n">
        <v>46196</v>
      </c>
      <c r="C864" s="1" t="n">
        <v>46200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14666-2026</t>
        </is>
      </c>
      <c r="B865" s="1" t="n">
        <v>46101</v>
      </c>
      <c r="C865" s="1" t="n">
        <v>46200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22342-2026</t>
        </is>
      </c>
      <c r="B866" s="1" t="n">
        <v>46154</v>
      </c>
      <c r="C866" s="1" t="n">
        <v>46200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22363-2026</t>
        </is>
      </c>
      <c r="B867" s="1" t="n">
        <v>46154</v>
      </c>
      <c r="C867" s="1" t="n">
        <v>46200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väst AB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15790-2026</t>
        </is>
      </c>
      <c r="B868" s="1" t="n">
        <v>46107</v>
      </c>
      <c r="C868" s="1" t="n">
        <v>46200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22848-2026</t>
        </is>
      </c>
      <c r="B869" s="1" t="n">
        <v>46160</v>
      </c>
      <c r="C869" s="1" t="n">
        <v>46200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22844-2026</t>
        </is>
      </c>
      <c r="B870" s="1" t="n">
        <v>46160</v>
      </c>
      <c r="C870" s="1" t="n">
        <v>46200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28654-2026</t>
        </is>
      </c>
      <c r="B871" s="1" t="n">
        <v>46198</v>
      </c>
      <c r="C871" s="1" t="n">
        <v>46200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28656-2026</t>
        </is>
      </c>
      <c r="B872" s="1" t="n">
        <v>46198</v>
      </c>
      <c r="C872" s="1" t="n">
        <v>46200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28659-2026</t>
        </is>
      </c>
      <c r="B873" s="1" t="n">
        <v>46198</v>
      </c>
      <c r="C873" s="1" t="n">
        <v>46200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28655-2026</t>
        </is>
      </c>
      <c r="B874" s="1" t="n">
        <v>46198</v>
      </c>
      <c r="C874" s="1" t="n">
        <v>46200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28657-2026</t>
        </is>
      </c>
      <c r="B875" s="1" t="n">
        <v>46198</v>
      </c>
      <c r="C875" s="1" t="n">
        <v>46200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28658-2026</t>
        </is>
      </c>
      <c r="B876" s="1" t="n">
        <v>46198</v>
      </c>
      <c r="C876" s="1" t="n">
        <v>46200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2026-06-27T00:52:27Z</dcterms:created>
  <dcterms:modified xmlns:dcterms="http://purl.org/dc/terms/" xmlns:xsi="http://www.w3.org/2001/XMLSchema-instance" xsi:type="dcterms:W3CDTF">2026-06-27T00:52:28Z</dcterms:modified>
</cp:coreProperties>
</file>