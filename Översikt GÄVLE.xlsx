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45835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45835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45835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45835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45835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45835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45835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45835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45835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45835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45835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45835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45835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45835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45835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45835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45835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45835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45835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45835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45835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45835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45835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45835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45835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45835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45835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45835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45835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45835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45835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45835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45835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45835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45835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29025-2024</t>
        </is>
      </c>
      <c r="B79" s="1" t="n">
        <v>45481</v>
      </c>
      <c r="C79" s="1" t="n">
        <v>45835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HYPERLINK("https://klasma.github.io/Logging_2180/artfynd/A 29025-2024 artfynd.xlsx", "A 29025-2024")</f>
        <v/>
      </c>
      <c r="T79">
        <f>HYPERLINK("https://klasma.github.io/Logging_2180/kartor/A 29025-2024 karta.png", "A 29025-2024")</f>
        <v/>
      </c>
      <c r="V79">
        <f>HYPERLINK("https://klasma.github.io/Logging_2180/klagomål/A 29025-2024 FSC-klagomål.docx", "A 29025-2024")</f>
        <v/>
      </c>
      <c r="W79">
        <f>HYPERLINK("https://klasma.github.io/Logging_2180/klagomålsmail/A 29025-2024 FSC-klagomål mail.docx", "A 29025-2024")</f>
        <v/>
      </c>
      <c r="X79">
        <f>HYPERLINK("https://klasma.github.io/Logging_2180/tillsyn/A 29025-2024 tillsynsbegäran.docx", "A 29025-2024")</f>
        <v/>
      </c>
      <c r="Y79">
        <f>HYPERLINK("https://klasma.github.io/Logging_2180/tillsynsmail/A 29025-2024 tillsynsbegäran mail.docx", "A 29025-2024")</f>
        <v/>
      </c>
    </row>
    <row r="80" ht="15" customHeight="1">
      <c r="A80" t="inlineStr">
        <is>
          <t>A 32328-2024</t>
        </is>
      </c>
      <c r="B80" s="1" t="n">
        <v>45512</v>
      </c>
      <c r="C80" s="1" t="n">
        <v>45835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32328-2024 artfynd.xlsx", "A 32328-2024")</f>
        <v/>
      </c>
      <c r="T80">
        <f>HYPERLINK("https://klasma.github.io/Logging_2180/kartor/A 32328-2024 karta.png", "A 32328-2024")</f>
        <v/>
      </c>
      <c r="V80">
        <f>HYPERLINK("https://klasma.github.io/Logging_2180/klagomål/A 32328-2024 FSC-klagomål.docx", "A 32328-2024")</f>
        <v/>
      </c>
      <c r="W80">
        <f>HYPERLINK("https://klasma.github.io/Logging_2180/klagomålsmail/A 32328-2024 FSC-klagomål mail.docx", "A 32328-2024")</f>
        <v/>
      </c>
      <c r="X80">
        <f>HYPERLINK("https://klasma.github.io/Logging_2180/tillsyn/A 32328-2024 tillsynsbegäran.docx", "A 32328-2024")</f>
        <v/>
      </c>
      <c r="Y80">
        <f>HYPERLINK("https://klasma.github.io/Logging_2180/tillsynsmail/A 32328-2024 tillsynsbegäran mail.docx", "A 32328-2024")</f>
        <v/>
      </c>
      <c r="Z80">
        <f>HYPERLINK("https://klasma.github.io/Logging_2180/fåglar/A 32328-2024 prioriterade fågelarter.docx", "A 32328-2024")</f>
        <v/>
      </c>
    </row>
    <row r="81" ht="15" customHeight="1">
      <c r="A81" t="inlineStr">
        <is>
          <t>A 39460-2024</t>
        </is>
      </c>
      <c r="B81" s="1" t="n">
        <v>45551</v>
      </c>
      <c r="C81" s="1" t="n">
        <v>45835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39460-2024 artfynd.xlsx", "A 39460-2024")</f>
        <v/>
      </c>
      <c r="T81">
        <f>HYPERLINK("https://klasma.github.io/Logging_2180/kartor/A 39460-2024 karta.png", "A 39460-2024")</f>
        <v/>
      </c>
      <c r="V81">
        <f>HYPERLINK("https://klasma.github.io/Logging_2180/klagomål/A 39460-2024 FSC-klagomål.docx", "A 39460-2024")</f>
        <v/>
      </c>
      <c r="W81">
        <f>HYPERLINK("https://klasma.github.io/Logging_2180/klagomålsmail/A 39460-2024 FSC-klagomål mail.docx", "A 39460-2024")</f>
        <v/>
      </c>
      <c r="X81">
        <f>HYPERLINK("https://klasma.github.io/Logging_2180/tillsyn/A 39460-2024 tillsynsbegäran.docx", "A 39460-2024")</f>
        <v/>
      </c>
      <c r="Y81">
        <f>HYPERLINK("https://klasma.github.io/Logging_2180/tillsynsmail/A 39460-2024 tillsynsbegäran mail.docx", "A 39460-2024")</f>
        <v/>
      </c>
      <c r="Z81">
        <f>HYPERLINK("https://klasma.github.io/Logging_2180/fåglar/A 39460-2024 prioriterade fågelarter.docx", "A 39460-2024")</f>
        <v/>
      </c>
    </row>
    <row r="82" ht="15" customHeight="1">
      <c r="A82" t="inlineStr">
        <is>
          <t>A 43230-2024</t>
        </is>
      </c>
      <c r="B82" s="1" t="n">
        <v>45567</v>
      </c>
      <c r="C82" s="1" t="n">
        <v>45835</v>
      </c>
      <c r="D82" t="inlineStr">
        <is>
          <t>GÄVLEBORGS LÄN</t>
        </is>
      </c>
      <c r="E82" t="inlineStr">
        <is>
          <t>GÄVLE</t>
        </is>
      </c>
      <c r="G82" t="n">
        <v>9.5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HYPERLINK("https://klasma.github.io/Logging_2180/artfynd/A 43230-2024 artfynd.xlsx", "A 43230-2024")</f>
        <v/>
      </c>
      <c r="T82">
        <f>HYPERLINK("https://klasma.github.io/Logging_2180/kartor/A 43230-2024 karta.png", "A 43230-2024")</f>
        <v/>
      </c>
      <c r="V82">
        <f>HYPERLINK("https://klasma.github.io/Logging_2180/klagomål/A 43230-2024 FSC-klagomål.docx", "A 43230-2024")</f>
        <v/>
      </c>
      <c r="W82">
        <f>HYPERLINK("https://klasma.github.io/Logging_2180/klagomålsmail/A 43230-2024 FSC-klagomål mail.docx", "A 43230-2024")</f>
        <v/>
      </c>
      <c r="X82">
        <f>HYPERLINK("https://klasma.github.io/Logging_2180/tillsyn/A 43230-2024 tillsynsbegäran.docx", "A 43230-2024")</f>
        <v/>
      </c>
      <c r="Y82">
        <f>HYPERLINK("https://klasma.github.io/Logging_2180/tillsynsmail/A 43230-2024 tillsynsbegäran mail.docx", "A 43230-2024")</f>
        <v/>
      </c>
    </row>
    <row r="83" ht="15" customHeight="1">
      <c r="A83" t="inlineStr">
        <is>
          <t>A 44434-2024</t>
        </is>
      </c>
      <c r="B83" s="1" t="n">
        <v>45574</v>
      </c>
      <c r="C83" s="1" t="n">
        <v>45835</v>
      </c>
      <c r="D83" t="inlineStr">
        <is>
          <t>GÄVLEBORGS LÄN</t>
        </is>
      </c>
      <c r="E83" t="inlineStr">
        <is>
          <t>GÄVLE</t>
        </is>
      </c>
      <c r="G83" t="n">
        <v>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44434-2024 artfynd.xlsx", "A 44434-2024")</f>
        <v/>
      </c>
      <c r="T83">
        <f>HYPERLINK("https://klasma.github.io/Logging_2180/kartor/A 44434-2024 karta.png", "A 44434-2024")</f>
        <v/>
      </c>
      <c r="V83">
        <f>HYPERLINK("https://klasma.github.io/Logging_2180/klagomål/A 44434-2024 FSC-klagomål.docx", "A 44434-2024")</f>
        <v/>
      </c>
      <c r="W83">
        <f>HYPERLINK("https://klasma.github.io/Logging_2180/klagomålsmail/A 44434-2024 FSC-klagomål mail.docx", "A 44434-2024")</f>
        <v/>
      </c>
      <c r="X83">
        <f>HYPERLINK("https://klasma.github.io/Logging_2180/tillsyn/A 44434-2024 tillsynsbegäran.docx", "A 44434-2024")</f>
        <v/>
      </c>
      <c r="Y83">
        <f>HYPERLINK("https://klasma.github.io/Logging_2180/tillsynsmail/A 44434-2024 tillsynsbegäran mail.docx", "A 44434-2024")</f>
        <v/>
      </c>
    </row>
    <row r="84" ht="15" customHeight="1">
      <c r="A84" t="inlineStr">
        <is>
          <t>A 51508-2024</t>
        </is>
      </c>
      <c r="B84" s="1" t="n">
        <v>45604</v>
      </c>
      <c r="C84" s="1" t="n">
        <v>45835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HYPERLINK("https://klasma.github.io/Logging_2180/artfynd/A 51508-2024 artfynd.xlsx", "A 51508-2024")</f>
        <v/>
      </c>
      <c r="T84">
        <f>HYPERLINK("https://klasma.github.io/Logging_2180/kartor/A 51508-2024 karta.png", "A 51508-2024")</f>
        <v/>
      </c>
      <c r="V84">
        <f>HYPERLINK("https://klasma.github.io/Logging_2180/klagomål/A 51508-2024 FSC-klagomål.docx", "A 51508-2024")</f>
        <v/>
      </c>
      <c r="W84">
        <f>HYPERLINK("https://klasma.github.io/Logging_2180/klagomålsmail/A 51508-2024 FSC-klagomål mail.docx", "A 51508-2024")</f>
        <v/>
      </c>
      <c r="X84">
        <f>HYPERLINK("https://klasma.github.io/Logging_2180/tillsyn/A 51508-2024 tillsynsbegäran.docx", "A 51508-2024")</f>
        <v/>
      </c>
      <c r="Y84">
        <f>HYPERLINK("https://klasma.github.io/Logging_2180/tillsynsmail/A 51508-2024 tillsynsbegäran mail.docx", "A 51508-2024")</f>
        <v/>
      </c>
    </row>
    <row r="85" ht="15" customHeight="1">
      <c r="A85" t="inlineStr">
        <is>
          <t>A 53571-2024</t>
        </is>
      </c>
      <c r="B85" s="1" t="n">
        <v>45614</v>
      </c>
      <c r="C85" s="1" t="n">
        <v>45835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HYPERLINK("https://klasma.github.io/Logging_2180/artfynd/A 53571-2024 artfynd.xlsx", "A 53571-2024")</f>
        <v/>
      </c>
      <c r="T85">
        <f>HYPERLINK("https://klasma.github.io/Logging_2180/kartor/A 53571-2024 karta.png", "A 53571-2024")</f>
        <v/>
      </c>
      <c r="V85">
        <f>HYPERLINK("https://klasma.github.io/Logging_2180/klagomål/A 53571-2024 FSC-klagomål.docx", "A 53571-2024")</f>
        <v/>
      </c>
      <c r="W85">
        <f>HYPERLINK("https://klasma.github.io/Logging_2180/klagomålsmail/A 53571-2024 FSC-klagomål mail.docx", "A 53571-2024")</f>
        <v/>
      </c>
      <c r="X85">
        <f>HYPERLINK("https://klasma.github.io/Logging_2180/tillsyn/A 53571-2024 tillsynsbegäran.docx", "A 53571-2024")</f>
        <v/>
      </c>
      <c r="Y85">
        <f>HYPERLINK("https://klasma.github.io/Logging_2180/tillsynsmail/A 53571-2024 tillsynsbegäran mail.docx", "A 53571-2024")</f>
        <v/>
      </c>
    </row>
    <row r="86" ht="15" customHeight="1">
      <c r="A86" t="inlineStr">
        <is>
          <t>A 57932-2024</t>
        </is>
      </c>
      <c r="B86" s="1" t="n">
        <v>45631</v>
      </c>
      <c r="C86" s="1" t="n">
        <v>45835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48.7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57932-2024 artfynd.xlsx", "A 57932-2024")</f>
        <v/>
      </c>
      <c r="T86">
        <f>HYPERLINK("https://klasma.github.io/Logging_2180/kartor/A 57932-2024 karta.png", "A 57932-2024")</f>
        <v/>
      </c>
      <c r="V86">
        <f>HYPERLINK("https://klasma.github.io/Logging_2180/klagomål/A 57932-2024 FSC-klagomål.docx", "A 57932-2024")</f>
        <v/>
      </c>
      <c r="W86">
        <f>HYPERLINK("https://klasma.github.io/Logging_2180/klagomålsmail/A 57932-2024 FSC-klagomål mail.docx", "A 57932-2024")</f>
        <v/>
      </c>
      <c r="X86">
        <f>HYPERLINK("https://klasma.github.io/Logging_2180/tillsyn/A 57932-2024 tillsynsbegäran.docx", "A 57932-2024")</f>
        <v/>
      </c>
      <c r="Y86">
        <f>HYPERLINK("https://klasma.github.io/Logging_2180/tillsynsmail/A 57932-2024 tillsynsbegäran mail.docx", "A 57932-2024")</f>
        <v/>
      </c>
      <c r="Z86">
        <f>HYPERLINK("https://klasma.github.io/Logging_2180/fåglar/A 57932-2024 prioriterade fågelarter.docx", "A 57932-2024")</f>
        <v/>
      </c>
    </row>
    <row r="87" ht="15" customHeight="1">
      <c r="A87" t="inlineStr">
        <is>
          <t>A 59385-2024</t>
        </is>
      </c>
      <c r="B87" s="1" t="n">
        <v>45638</v>
      </c>
      <c r="C87" s="1" t="n">
        <v>45835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16.3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HYPERLINK("https://klasma.github.io/Logging_2180/artfynd/A 59385-2024 artfynd.xlsx", "A 59385-2024")</f>
        <v/>
      </c>
      <c r="T87">
        <f>HYPERLINK("https://klasma.github.io/Logging_2180/kartor/A 59385-2024 karta.png", "A 59385-2024")</f>
        <v/>
      </c>
      <c r="V87">
        <f>HYPERLINK("https://klasma.github.io/Logging_2180/klagomål/A 59385-2024 FSC-klagomål.docx", "A 59385-2024")</f>
        <v/>
      </c>
      <c r="W87">
        <f>HYPERLINK("https://klasma.github.io/Logging_2180/klagomålsmail/A 59385-2024 FSC-klagomål mail.docx", "A 59385-2024")</f>
        <v/>
      </c>
      <c r="X87">
        <f>HYPERLINK("https://klasma.github.io/Logging_2180/tillsyn/A 59385-2024 tillsynsbegäran.docx", "A 59385-2024")</f>
        <v/>
      </c>
      <c r="Y87">
        <f>HYPERLINK("https://klasma.github.io/Logging_2180/tillsynsmail/A 59385-2024 tillsynsbegäran mail.docx", "A 59385-2024")</f>
        <v/>
      </c>
    </row>
    <row r="88" ht="15" customHeight="1">
      <c r="A88" t="inlineStr">
        <is>
          <t>A 452-2025</t>
        </is>
      </c>
      <c r="B88" s="1" t="n">
        <v>45664</v>
      </c>
      <c r="C88" s="1" t="n">
        <v>45835</v>
      </c>
      <c r="D88" t="inlineStr">
        <is>
          <t>GÄVLEBORGS LÄN</t>
        </is>
      </c>
      <c r="E88" t="inlineStr">
        <is>
          <t>GÄVLE</t>
        </is>
      </c>
      <c r="G88" t="n">
        <v>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HYPERLINK("https://klasma.github.io/Logging_2180/artfynd/A 452-2025 artfynd.xlsx", "A 452-2025")</f>
        <v/>
      </c>
      <c r="T88">
        <f>HYPERLINK("https://klasma.github.io/Logging_2180/kartor/A 452-2025 karta.png", "A 452-2025")</f>
        <v/>
      </c>
      <c r="V88">
        <f>HYPERLINK("https://klasma.github.io/Logging_2180/klagomål/A 452-2025 FSC-klagomål.docx", "A 452-2025")</f>
        <v/>
      </c>
      <c r="W88">
        <f>HYPERLINK("https://klasma.github.io/Logging_2180/klagomålsmail/A 452-2025 FSC-klagomål mail.docx", "A 452-2025")</f>
        <v/>
      </c>
      <c r="X88">
        <f>HYPERLINK("https://klasma.github.io/Logging_2180/tillsyn/A 452-2025 tillsynsbegäran.docx", "A 452-2025")</f>
        <v/>
      </c>
      <c r="Y88">
        <f>HYPERLINK("https://klasma.github.io/Logging_2180/tillsynsmail/A 452-2025 tillsynsbegäran mail.docx", "A 452-2025")</f>
        <v/>
      </c>
    </row>
    <row r="89" ht="15" customHeight="1">
      <c r="A89" t="inlineStr">
        <is>
          <t>A 5576-2025</t>
        </is>
      </c>
      <c r="B89" s="1" t="n">
        <v>45693</v>
      </c>
      <c r="C89" s="1" t="n">
        <v>45835</v>
      </c>
      <c r="D89" t="inlineStr">
        <is>
          <t>GÄVLEBORGS LÄN</t>
        </is>
      </c>
      <c r="E89" t="inlineStr">
        <is>
          <t>GÄVLE</t>
        </is>
      </c>
      <c r="G89" t="n">
        <v>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5576-2025 artfynd.xlsx", "A 5576-2025")</f>
        <v/>
      </c>
      <c r="T89">
        <f>HYPERLINK("https://klasma.github.io/Logging_2180/kartor/A 5576-2025 karta.png", "A 5576-2025")</f>
        <v/>
      </c>
      <c r="V89">
        <f>HYPERLINK("https://klasma.github.io/Logging_2180/klagomål/A 5576-2025 FSC-klagomål.docx", "A 5576-2025")</f>
        <v/>
      </c>
      <c r="W89">
        <f>HYPERLINK("https://klasma.github.io/Logging_2180/klagomålsmail/A 5576-2025 FSC-klagomål mail.docx", "A 5576-2025")</f>
        <v/>
      </c>
      <c r="X89">
        <f>HYPERLINK("https://klasma.github.io/Logging_2180/tillsyn/A 5576-2025 tillsynsbegäran.docx", "A 5576-2025")</f>
        <v/>
      </c>
      <c r="Y89">
        <f>HYPERLINK("https://klasma.github.io/Logging_2180/tillsynsmail/A 5576-2025 tillsynsbegäran mail.docx", "A 5576-2025")</f>
        <v/>
      </c>
      <c r="Z89">
        <f>HYPERLINK("https://klasma.github.io/Logging_2180/fåglar/A 5576-2025 prioriterade fågelarter.docx", "A 5576-2025")</f>
        <v/>
      </c>
    </row>
    <row r="90" ht="15" customHeight="1">
      <c r="A90" t="inlineStr">
        <is>
          <t>A 9436-2025</t>
        </is>
      </c>
      <c r="B90" s="1" t="n">
        <v>45715</v>
      </c>
      <c r="C90" s="1" t="n">
        <v>45835</v>
      </c>
      <c r="D90" t="inlineStr">
        <is>
          <t>GÄVLEBORGS LÄN</t>
        </is>
      </c>
      <c r="E90" t="inlineStr">
        <is>
          <t>GÄVLE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HYPERLINK("https://klasma.github.io/Logging_212180/artfynd/A 9436-2025 artfynd.xlsx", "A 9436-2025")</f>
        <v/>
      </c>
      <c r="T90">
        <f>HYPERLINK("https://klasma.github.io/Logging_212180/kartor/A 9436-2025 karta.png", "A 9436-2025")</f>
        <v/>
      </c>
      <c r="V90">
        <f>HYPERLINK("https://klasma.github.io/Logging_212180/klagomål/A 9436-2025 FSC-klagomål.docx", "A 9436-2025")</f>
        <v/>
      </c>
      <c r="W90">
        <f>HYPERLINK("https://klasma.github.io/Logging_212180/klagomålsmail/A 9436-2025 FSC-klagomål mail.docx", "A 9436-2025")</f>
        <v/>
      </c>
      <c r="X90">
        <f>HYPERLINK("https://klasma.github.io/Logging_212180/tillsyn/A 9436-2025 tillsynsbegäran.docx", "A 9436-2025")</f>
        <v/>
      </c>
      <c r="Y90">
        <f>HYPERLINK("https://klasma.github.io/Logging_212180/tillsynsmail/A 9436-2025 tillsynsbegäran mail.docx", "A 9436-2025")</f>
        <v/>
      </c>
    </row>
    <row r="91" ht="15" customHeight="1">
      <c r="A91" t="inlineStr">
        <is>
          <t>A 11411-2025</t>
        </is>
      </c>
      <c r="B91" s="1" t="n">
        <v>45726</v>
      </c>
      <c r="C91" s="1" t="n">
        <v>45835</v>
      </c>
      <c r="D91" t="inlineStr">
        <is>
          <t>GÄVLEBORGS LÄN</t>
        </is>
      </c>
      <c r="E91" t="inlineStr">
        <is>
          <t>GÄVLE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HYPERLINK("https://klasma.github.io/Logging_212180/artfynd/A 11411-2025 artfynd.xlsx", "A 11411-2025")</f>
        <v/>
      </c>
      <c r="T91">
        <f>HYPERLINK("https://klasma.github.io/Logging_212180/kartor/A 11411-2025 karta.png", "A 11411-2025")</f>
        <v/>
      </c>
      <c r="V91">
        <f>HYPERLINK("https://klasma.github.io/Logging_212180/klagomål/A 11411-2025 FSC-klagomål.docx", "A 11411-2025")</f>
        <v/>
      </c>
      <c r="W91">
        <f>HYPERLINK("https://klasma.github.io/Logging_212180/klagomålsmail/A 11411-2025 FSC-klagomål mail.docx", "A 11411-2025")</f>
        <v/>
      </c>
      <c r="X91">
        <f>HYPERLINK("https://klasma.github.io/Logging_212180/tillsyn/A 11411-2025 tillsynsbegäran.docx", "A 11411-2025")</f>
        <v/>
      </c>
      <c r="Y91">
        <f>HYPERLINK("https://klasma.github.io/Logging_212180/tillsynsmail/A 11411-2025 tillsynsbegäran mail.docx", "A 11411-2025")</f>
        <v/>
      </c>
    </row>
    <row r="92" ht="15" customHeight="1">
      <c r="A92" t="inlineStr">
        <is>
          <t>A 12338-2025</t>
        </is>
      </c>
      <c r="B92" s="1" t="n">
        <v>45730</v>
      </c>
      <c r="C92" s="1" t="n">
        <v>45835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HYPERLINK("https://klasma.github.io/Logging_212180/artfynd/A 12338-2025 artfynd.xlsx", "A 12338-2025")</f>
        <v/>
      </c>
      <c r="T92">
        <f>HYPERLINK("https://klasma.github.io/Logging_212180/kartor/A 12338-2025 karta.png", "A 12338-2025")</f>
        <v/>
      </c>
      <c r="V92">
        <f>HYPERLINK("https://klasma.github.io/Logging_212180/klagomål/A 12338-2025 FSC-klagomål.docx", "A 12338-2025")</f>
        <v/>
      </c>
      <c r="W92">
        <f>HYPERLINK("https://klasma.github.io/Logging_212180/klagomålsmail/A 12338-2025 FSC-klagomål mail.docx", "A 12338-2025")</f>
        <v/>
      </c>
      <c r="X92">
        <f>HYPERLINK("https://klasma.github.io/Logging_212180/tillsyn/A 12338-2025 tillsynsbegäran.docx", "A 12338-2025")</f>
        <v/>
      </c>
      <c r="Y92">
        <f>HYPERLINK("https://klasma.github.io/Logging_212180/tillsynsmail/A 12338-2025 tillsynsbegäran mail.docx", "A 12338-2025")</f>
        <v/>
      </c>
    </row>
    <row r="93" ht="15" customHeight="1">
      <c r="A93" t="inlineStr">
        <is>
          <t>A 28374-2025</t>
        </is>
      </c>
      <c r="B93" s="1" t="n">
        <v>45818</v>
      </c>
      <c r="C93" s="1" t="n">
        <v>45835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30.1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HYPERLINK("https://klasma.github.io/Logging_212180/artfynd/A 28374-2025 artfynd.xlsx", "A 28374-2025")</f>
        <v/>
      </c>
      <c r="T93">
        <f>HYPERLINK("https://klasma.github.io/Logging_212180/kartor/A 28374-2025 karta.png", "A 28374-2025")</f>
        <v/>
      </c>
      <c r="V93">
        <f>HYPERLINK("https://klasma.github.io/Logging_212180/klagomål/A 28374-2025 FSC-klagomål.docx", "A 28374-2025")</f>
        <v/>
      </c>
      <c r="W93">
        <f>HYPERLINK("https://klasma.github.io/Logging_212180/klagomålsmail/A 28374-2025 FSC-klagomål mail.docx", "A 28374-2025")</f>
        <v/>
      </c>
      <c r="X93">
        <f>HYPERLINK("https://klasma.github.io/Logging_212180/tillsyn/A 28374-2025 tillsynsbegäran.docx", "A 28374-2025")</f>
        <v/>
      </c>
      <c r="Y93">
        <f>HYPERLINK("https://klasma.github.io/Logging_212180/tillsynsmail/A 28374-2025 tillsynsbegäran mail.docx", "A 28374-2025")</f>
        <v/>
      </c>
    </row>
    <row r="94" ht="15" customHeight="1">
      <c r="A94" t="inlineStr">
        <is>
          <t>A 28875-2025</t>
        </is>
      </c>
      <c r="B94" s="1" t="n">
        <v>45820</v>
      </c>
      <c r="C94" s="1" t="n">
        <v>45835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HYPERLINK("https://klasma.github.io/Logging_212180/artfynd/A 28875-2025 artfynd.xlsx", "A 28875-2025")</f>
        <v/>
      </c>
      <c r="T94">
        <f>HYPERLINK("https://klasma.github.io/Logging_212180/kartor/A 28875-2025 karta.png", "A 28875-2025")</f>
        <v/>
      </c>
      <c r="V94">
        <f>HYPERLINK("https://klasma.github.io/Logging_212180/klagomål/A 28875-2025 FSC-klagomål.docx", "A 28875-2025")</f>
        <v/>
      </c>
      <c r="W94">
        <f>HYPERLINK("https://klasma.github.io/Logging_212180/klagomålsmail/A 28875-2025 FSC-klagomål mail.docx", "A 28875-2025")</f>
        <v/>
      </c>
      <c r="X94">
        <f>HYPERLINK("https://klasma.github.io/Logging_212180/tillsyn/A 28875-2025 tillsynsbegäran.docx", "A 28875-2025")</f>
        <v/>
      </c>
      <c r="Y94">
        <f>HYPERLINK("https://klasma.github.io/Logging_212180/tillsynsmail/A 28875-2025 tillsynsbegäran mail.docx", "A 28875-2025")</f>
        <v/>
      </c>
    </row>
    <row r="95" ht="15" customHeight="1">
      <c r="A95" t="inlineStr">
        <is>
          <t>A 30323-2025</t>
        </is>
      </c>
      <c r="B95" s="1" t="n">
        <v>45827</v>
      </c>
      <c r="C95" s="1" t="n">
        <v>45835</v>
      </c>
      <c r="D95" t="inlineStr">
        <is>
          <t>GÄVLEBORGS LÄN</t>
        </is>
      </c>
      <c r="E95" t="inlineStr">
        <is>
          <t>GÄVLE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30323-2025 artfynd.xlsx", "A 30323-2025")</f>
        <v/>
      </c>
      <c r="T95">
        <f>HYPERLINK("https://klasma.github.io/Logging_212180/kartor/A 30323-2025 karta.png", "A 30323-2025")</f>
        <v/>
      </c>
      <c r="V95">
        <f>HYPERLINK("https://klasma.github.io/Logging_212180/klagomål/A 30323-2025 FSC-klagomål.docx", "A 30323-2025")</f>
        <v/>
      </c>
      <c r="W95">
        <f>HYPERLINK("https://klasma.github.io/Logging_212180/klagomålsmail/A 30323-2025 FSC-klagomål mail.docx", "A 30323-2025")</f>
        <v/>
      </c>
      <c r="X95">
        <f>HYPERLINK("https://klasma.github.io/Logging_212180/tillsyn/A 30323-2025 tillsynsbegäran.docx", "A 30323-2025")</f>
        <v/>
      </c>
      <c r="Y95">
        <f>HYPERLINK("https://klasma.github.io/Logging_212180/tillsynsmail/A 30323-2025 tillsynsbegäran mail.docx", "A 30323-2025")</f>
        <v/>
      </c>
    </row>
    <row r="96" ht="15" customHeight="1">
      <c r="A96" t="inlineStr">
        <is>
          <t>A 31596-2025</t>
        </is>
      </c>
      <c r="B96" s="1" t="n">
        <v>45833</v>
      </c>
      <c r="C96" s="1" t="n">
        <v>45835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31596-2025 artfynd.xlsx", "A 31596-2025")</f>
        <v/>
      </c>
      <c r="T96">
        <f>HYPERLINK("https://klasma.github.io/Logging_212180/kartor/A 31596-2025 karta.png", "A 31596-2025")</f>
        <v/>
      </c>
      <c r="V96">
        <f>HYPERLINK("https://klasma.github.io/Logging_212180/klagomål/A 31596-2025 FSC-klagomål.docx", "A 31596-2025")</f>
        <v/>
      </c>
      <c r="W96">
        <f>HYPERLINK("https://klasma.github.io/Logging_212180/klagomålsmail/A 31596-2025 FSC-klagomål mail.docx", "A 31596-2025")</f>
        <v/>
      </c>
      <c r="X96">
        <f>HYPERLINK("https://klasma.github.io/Logging_212180/tillsyn/A 31596-2025 tillsynsbegäran.docx", "A 31596-2025")</f>
        <v/>
      </c>
      <c r="Y96">
        <f>HYPERLINK("https://klasma.github.io/Logging_212180/tillsynsmail/A 31596-2025 tillsynsbegäran mail.docx", "A 31596-2025")</f>
        <v/>
      </c>
    </row>
    <row r="97" ht="15" customHeight="1">
      <c r="A97" t="inlineStr">
        <is>
          <t>A 18398-2019</t>
        </is>
      </c>
      <c r="B97" s="1" t="n">
        <v>43559</v>
      </c>
      <c r="C97" s="1" t="n">
        <v>45835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18473-2019</t>
        </is>
      </c>
      <c r="B98" s="1" t="n">
        <v>43559</v>
      </c>
      <c r="C98" s="1" t="n">
        <v>45835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19418-2019</t>
        </is>
      </c>
      <c r="B99" s="1" t="n">
        <v>43565</v>
      </c>
      <c r="C99" s="1" t="n">
        <v>45835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19856-2019</t>
        </is>
      </c>
      <c r="B100" s="1" t="n">
        <v>43567</v>
      </c>
      <c r="C100" s="1" t="n">
        <v>45835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20858-2019</t>
        </is>
      </c>
      <c r="B101" s="1" t="n">
        <v>43578</v>
      </c>
      <c r="C101" s="1" t="n">
        <v>45835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20872-2019</t>
        </is>
      </c>
      <c r="B102" s="1" t="n">
        <v>43578</v>
      </c>
      <c r="C102" s="1" t="n">
        <v>45835</v>
      </c>
      <c r="D102" t="inlineStr">
        <is>
          <t>GÄVLEBORGS LÄN</t>
        </is>
      </c>
      <c r="E102" t="inlineStr">
        <is>
          <t>GÄVLE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21347-2019</t>
        </is>
      </c>
      <c r="B103" s="1" t="n">
        <v>43579</v>
      </c>
      <c r="C103" s="1" t="n">
        <v>45835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22617-2019</t>
        </is>
      </c>
      <c r="B104" s="1" t="n">
        <v>43588</v>
      </c>
      <c r="C104" s="1" t="n">
        <v>45835</v>
      </c>
      <c r="D104" t="inlineStr">
        <is>
          <t>GÄVLEBORGS LÄN</t>
        </is>
      </c>
      <c r="E104" t="inlineStr">
        <is>
          <t>GÄVLE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22611-2019</t>
        </is>
      </c>
      <c r="B105" s="1" t="n">
        <v>43588</v>
      </c>
      <c r="C105" s="1" t="n">
        <v>45835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22609-2019</t>
        </is>
      </c>
      <c r="B106" s="1" t="n">
        <v>43588</v>
      </c>
      <c r="C106" s="1" t="n">
        <v>45835</v>
      </c>
      <c r="D106" t="inlineStr">
        <is>
          <t>GÄVLEBORGS LÄN</t>
        </is>
      </c>
      <c r="E106" t="inlineStr">
        <is>
          <t>GÄVLE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24677-2019</t>
        </is>
      </c>
      <c r="B107" s="1" t="n">
        <v>43601</v>
      </c>
      <c r="C107" s="1" t="n">
        <v>45835</v>
      </c>
      <c r="D107" t="inlineStr">
        <is>
          <t>GÄVLEBORGS LÄN</t>
        </is>
      </c>
      <c r="E107" t="inlineStr">
        <is>
          <t>GÄVLE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25306-2019</t>
        </is>
      </c>
      <c r="B108" s="1" t="n">
        <v>43605</v>
      </c>
      <c r="C108" s="1" t="n">
        <v>45835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26464-2019</t>
        </is>
      </c>
      <c r="B109" s="1" t="n">
        <v>43612</v>
      </c>
      <c r="C109" s="1" t="n">
        <v>45835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27118-2019</t>
        </is>
      </c>
      <c r="B110" s="1" t="n">
        <v>43614</v>
      </c>
      <c r="C110" s="1" t="n">
        <v>45835</v>
      </c>
      <c r="D110" t="inlineStr">
        <is>
          <t>GÄVLEBORGS LÄN</t>
        </is>
      </c>
      <c r="E110" t="inlineStr">
        <is>
          <t>GÄVLE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28316-2019</t>
        </is>
      </c>
      <c r="B111" s="1" t="n">
        <v>43623</v>
      </c>
      <c r="C111" s="1" t="n">
        <v>45835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28559-2019</t>
        </is>
      </c>
      <c r="B112" s="1" t="n">
        <v>43626</v>
      </c>
      <c r="C112" s="1" t="n">
        <v>45835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30581-2019</t>
        </is>
      </c>
      <c r="B113" s="1" t="n">
        <v>43635</v>
      </c>
      <c r="C113" s="1" t="n">
        <v>45835</v>
      </c>
      <c r="D113" t="inlineStr">
        <is>
          <t>GÄVLEBORGS LÄN</t>
        </is>
      </c>
      <c r="E113" t="inlineStr">
        <is>
          <t>GÄVLE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30567-2019</t>
        </is>
      </c>
      <c r="B114" s="1" t="n">
        <v>43635</v>
      </c>
      <c r="C114" s="1" t="n">
        <v>45835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30821-2019</t>
        </is>
      </c>
      <c r="B115" s="1" t="n">
        <v>43636</v>
      </c>
      <c r="C115" s="1" t="n">
        <v>45835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33228-2019</t>
        </is>
      </c>
      <c r="B116" s="1" t="n">
        <v>43650</v>
      </c>
      <c r="C116" s="1" t="n">
        <v>45835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33580-2019</t>
        </is>
      </c>
      <c r="B117" s="1" t="n">
        <v>43651</v>
      </c>
      <c r="C117" s="1" t="n">
        <v>45835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35208-2019</t>
        </is>
      </c>
      <c r="B118" s="1" t="n">
        <v>43662</v>
      </c>
      <c r="C118" s="1" t="n">
        <v>45835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41483-2019</t>
        </is>
      </c>
      <c r="B119" s="1" t="n">
        <v>43696</v>
      </c>
      <c r="C119" s="1" t="n">
        <v>45835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40440-2019</t>
        </is>
      </c>
      <c r="B120" s="1" t="n">
        <v>43696</v>
      </c>
      <c r="C120" s="1" t="n">
        <v>45835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41223-2019</t>
        </is>
      </c>
      <c r="B121" s="1" t="n">
        <v>43698</v>
      </c>
      <c r="C121" s="1" t="n">
        <v>45835</v>
      </c>
      <c r="D121" t="inlineStr">
        <is>
          <t>GÄVLEBORGS LÄN</t>
        </is>
      </c>
      <c r="E121" t="inlineStr">
        <is>
          <t>GÄVLE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41977-2019</t>
        </is>
      </c>
      <c r="B122" s="1" t="n">
        <v>43700</v>
      </c>
      <c r="C122" s="1" t="n">
        <v>45835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43287-2019</t>
        </is>
      </c>
      <c r="B123" s="1" t="n">
        <v>43706</v>
      </c>
      <c r="C123" s="1" t="n">
        <v>45835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43610-2019</t>
        </is>
      </c>
      <c r="B124" s="1" t="n">
        <v>43707</v>
      </c>
      <c r="C124" s="1" t="n">
        <v>45835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45358-2019</t>
        </is>
      </c>
      <c r="B125" s="1" t="n">
        <v>43714</v>
      </c>
      <c r="C125" s="1" t="n">
        <v>45835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46014-2019</t>
        </is>
      </c>
      <c r="B126" s="1" t="n">
        <v>43718</v>
      </c>
      <c r="C126" s="1" t="n">
        <v>45835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46444-2019</t>
        </is>
      </c>
      <c r="B127" s="1" t="n">
        <v>43719</v>
      </c>
      <c r="C127" s="1" t="n">
        <v>45835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46442-2019</t>
        </is>
      </c>
      <c r="B128" s="1" t="n">
        <v>43719</v>
      </c>
      <c r="C128" s="1" t="n">
        <v>45835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47378-2019</t>
        </is>
      </c>
      <c r="B129" s="1" t="n">
        <v>43721</v>
      </c>
      <c r="C129" s="1" t="n">
        <v>45835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48641-2019</t>
        </is>
      </c>
      <c r="B130" s="1" t="n">
        <v>43728</v>
      </c>
      <c r="C130" s="1" t="n">
        <v>45835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48642-2019</t>
        </is>
      </c>
      <c r="B131" s="1" t="n">
        <v>43728</v>
      </c>
      <c r="C131" s="1" t="n">
        <v>45835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48647-2019</t>
        </is>
      </c>
      <c r="B132" s="1" t="n">
        <v>43728</v>
      </c>
      <c r="C132" s="1" t="n">
        <v>45835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49573-2019</t>
        </is>
      </c>
      <c r="B133" s="1" t="n">
        <v>43732</v>
      </c>
      <c r="C133" s="1" t="n">
        <v>45835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50333-2019</t>
        </is>
      </c>
      <c r="B134" s="1" t="n">
        <v>43735</v>
      </c>
      <c r="C134" s="1" t="n">
        <v>45835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52743-2019</t>
        </is>
      </c>
      <c r="B135" s="1" t="n">
        <v>43746</v>
      </c>
      <c r="C135" s="1" t="n">
        <v>45835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54773-2019</t>
        </is>
      </c>
      <c r="B136" s="1" t="n">
        <v>43755</v>
      </c>
      <c r="C136" s="1" t="n">
        <v>45835</v>
      </c>
      <c r="D136" t="inlineStr">
        <is>
          <t>GÄVLEBORGS LÄN</t>
        </is>
      </c>
      <c r="E136" t="inlineStr">
        <is>
          <t>GÄVLE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55857-2019</t>
        </is>
      </c>
      <c r="B137" s="1" t="n">
        <v>43759</v>
      </c>
      <c r="C137" s="1" t="n">
        <v>45835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55742-2019</t>
        </is>
      </c>
      <c r="B138" s="1" t="n">
        <v>43761</v>
      </c>
      <c r="C138" s="1" t="n">
        <v>45835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56670-2019</t>
        </is>
      </c>
      <c r="B139" s="1" t="n">
        <v>43763</v>
      </c>
      <c r="C139" s="1" t="n">
        <v>45835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57453-2019</t>
        </is>
      </c>
      <c r="B140" s="1" t="n">
        <v>43767</v>
      </c>
      <c r="C140" s="1" t="n">
        <v>45835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58287-2019</t>
        </is>
      </c>
      <c r="B141" s="1" t="n">
        <v>43770</v>
      </c>
      <c r="C141" s="1" t="n">
        <v>45835</v>
      </c>
      <c r="D141" t="inlineStr">
        <is>
          <t>GÄVLEBORGS LÄN</t>
        </is>
      </c>
      <c r="E141" t="inlineStr">
        <is>
          <t>GÄVLE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58296-2019</t>
        </is>
      </c>
      <c r="B142" s="1" t="n">
        <v>43770</v>
      </c>
      <c r="C142" s="1" t="n">
        <v>45835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59734-2019</t>
        </is>
      </c>
      <c r="B143" s="1" t="n">
        <v>43776</v>
      </c>
      <c r="C143" s="1" t="n">
        <v>45835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59926-2019</t>
        </is>
      </c>
      <c r="B144" s="1" t="n">
        <v>43777</v>
      </c>
      <c r="C144" s="1" t="n">
        <v>45835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59907-2019</t>
        </is>
      </c>
      <c r="B145" s="1" t="n">
        <v>43777</v>
      </c>
      <c r="C145" s="1" t="n">
        <v>45835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61392-2019</t>
        </is>
      </c>
      <c r="B146" s="1" t="n">
        <v>43783</v>
      </c>
      <c r="C146" s="1" t="n">
        <v>45835</v>
      </c>
      <c r="D146" t="inlineStr">
        <is>
          <t>GÄVLEBORGS LÄN</t>
        </is>
      </c>
      <c r="E146" t="inlineStr">
        <is>
          <t>GÄVLE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62250-2019</t>
        </is>
      </c>
      <c r="B147" s="1" t="n">
        <v>43788</v>
      </c>
      <c r="C147" s="1" t="n">
        <v>45835</v>
      </c>
      <c r="D147" t="inlineStr">
        <is>
          <t>GÄVLEBORGS LÄN</t>
        </is>
      </c>
      <c r="E147" t="inlineStr">
        <is>
          <t>GÄVLE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62841-2019</t>
        </is>
      </c>
      <c r="B148" s="1" t="n">
        <v>43790</v>
      </c>
      <c r="C148" s="1" t="n">
        <v>45835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63469-2019</t>
        </is>
      </c>
      <c r="B149" s="1" t="n">
        <v>43794</v>
      </c>
      <c r="C149" s="1" t="n">
        <v>45835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66206-2019</t>
        </is>
      </c>
      <c r="B150" s="1" t="n">
        <v>43808</v>
      </c>
      <c r="C150" s="1" t="n">
        <v>45835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66410-2019</t>
        </is>
      </c>
      <c r="B151" s="1" t="n">
        <v>43809</v>
      </c>
      <c r="C151" s="1" t="n">
        <v>45835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67138-2019</t>
        </is>
      </c>
      <c r="B152" s="1" t="n">
        <v>43811</v>
      </c>
      <c r="C152" s="1" t="n">
        <v>45835</v>
      </c>
      <c r="D152" t="inlineStr">
        <is>
          <t>GÄVLEBORGS LÄN</t>
        </is>
      </c>
      <c r="E152" t="inlineStr">
        <is>
          <t>GÄVLE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67417-2019</t>
        </is>
      </c>
      <c r="B153" s="1" t="n">
        <v>43812</v>
      </c>
      <c r="C153" s="1" t="n">
        <v>45835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68436-2019</t>
        </is>
      </c>
      <c r="B154" s="1" t="n">
        <v>43818</v>
      </c>
      <c r="C154" s="1" t="n">
        <v>45835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68555-2019</t>
        </is>
      </c>
      <c r="B155" s="1" t="n">
        <v>43818</v>
      </c>
      <c r="C155" s="1" t="n">
        <v>45835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743-2020</t>
        </is>
      </c>
      <c r="B156" s="1" t="n">
        <v>43838</v>
      </c>
      <c r="C156" s="1" t="n">
        <v>45835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2786-2020</t>
        </is>
      </c>
      <c r="B157" s="1" t="n">
        <v>43850</v>
      </c>
      <c r="C157" s="1" t="n">
        <v>45835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3383-2020</t>
        </is>
      </c>
      <c r="B158" s="1" t="n">
        <v>43852</v>
      </c>
      <c r="C158" s="1" t="n">
        <v>45835</v>
      </c>
      <c r="D158" t="inlineStr">
        <is>
          <t>GÄVLEBORGS LÄN</t>
        </is>
      </c>
      <c r="E158" t="inlineStr">
        <is>
          <t>GÄVLE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3854-2020</t>
        </is>
      </c>
      <c r="B159" s="1" t="n">
        <v>43854</v>
      </c>
      <c r="C159" s="1" t="n">
        <v>45835</v>
      </c>
      <c r="D159" t="inlineStr">
        <is>
          <t>GÄVLEBORGS LÄN</t>
        </is>
      </c>
      <c r="E159" t="inlineStr">
        <is>
          <t>GÄVLE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3975-2020</t>
        </is>
      </c>
      <c r="B160" s="1" t="n">
        <v>43854</v>
      </c>
      <c r="C160" s="1" t="n">
        <v>45835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3974-2020</t>
        </is>
      </c>
      <c r="B161" s="1" t="n">
        <v>43854</v>
      </c>
      <c r="C161" s="1" t="n">
        <v>45835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3976-2020</t>
        </is>
      </c>
      <c r="B162" s="1" t="n">
        <v>43855</v>
      </c>
      <c r="C162" s="1" t="n">
        <v>45835</v>
      </c>
      <c r="D162" t="inlineStr">
        <is>
          <t>GÄVLEBORGS LÄN</t>
        </is>
      </c>
      <c r="E162" t="inlineStr">
        <is>
          <t>GÄVLE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6046-2020</t>
        </is>
      </c>
      <c r="B163" s="1" t="n">
        <v>43865</v>
      </c>
      <c r="C163" s="1" t="n">
        <v>45835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7240-2020</t>
        </is>
      </c>
      <c r="B164" s="1" t="n">
        <v>43871</v>
      </c>
      <c r="C164" s="1" t="n">
        <v>45835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7725-2020</t>
        </is>
      </c>
      <c r="B165" s="1" t="n">
        <v>43872</v>
      </c>
      <c r="C165" s="1" t="n">
        <v>45835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7982-2020</t>
        </is>
      </c>
      <c r="B166" s="1" t="n">
        <v>43873</v>
      </c>
      <c r="C166" s="1" t="n">
        <v>45835</v>
      </c>
      <c r="D166" t="inlineStr">
        <is>
          <t>GÄVLEBORGS LÄN</t>
        </is>
      </c>
      <c r="E166" t="inlineStr">
        <is>
          <t>GÄVLE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7989-2020</t>
        </is>
      </c>
      <c r="B167" s="1" t="n">
        <v>43873</v>
      </c>
      <c r="C167" s="1" t="n">
        <v>45835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7841-2020</t>
        </is>
      </c>
      <c r="B168" s="1" t="n">
        <v>43873</v>
      </c>
      <c r="C168" s="1" t="n">
        <v>45835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9218-2020</t>
        </is>
      </c>
      <c r="B169" s="1" t="n">
        <v>43879</v>
      </c>
      <c r="C169" s="1" t="n">
        <v>45835</v>
      </c>
      <c r="D169" t="inlineStr">
        <is>
          <t>GÄVLEBORGS LÄN</t>
        </is>
      </c>
      <c r="E169" t="inlineStr">
        <is>
          <t>GÄVLE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9138-2020</t>
        </is>
      </c>
      <c r="B170" s="1" t="n">
        <v>43879</v>
      </c>
      <c r="C170" s="1" t="n">
        <v>45835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10833-2020</t>
        </is>
      </c>
      <c r="B171" s="1" t="n">
        <v>43888</v>
      </c>
      <c r="C171" s="1" t="n">
        <v>45835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11121-2020</t>
        </is>
      </c>
      <c r="B172" s="1" t="n">
        <v>43889</v>
      </c>
      <c r="C172" s="1" t="n">
        <v>45835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12268-2020</t>
        </is>
      </c>
      <c r="B173" s="1" t="n">
        <v>43895</v>
      </c>
      <c r="C173" s="1" t="n">
        <v>45835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12513-2020</t>
        </is>
      </c>
      <c r="B174" s="1" t="n">
        <v>43896</v>
      </c>
      <c r="C174" s="1" t="n">
        <v>45835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14242-2020</t>
        </is>
      </c>
      <c r="B175" s="1" t="n">
        <v>43901</v>
      </c>
      <c r="C175" s="1" t="n">
        <v>45835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13978-2020</t>
        </is>
      </c>
      <c r="B176" s="1" t="n">
        <v>43906</v>
      </c>
      <c r="C176" s="1" t="n">
        <v>45835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18035-2020</t>
        </is>
      </c>
      <c r="B177" s="1" t="n">
        <v>43927</v>
      </c>
      <c r="C177" s="1" t="n">
        <v>45835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19054-2020</t>
        </is>
      </c>
      <c r="B178" s="1" t="n">
        <v>43936</v>
      </c>
      <c r="C178" s="1" t="n">
        <v>45835</v>
      </c>
      <c r="D178" t="inlineStr">
        <is>
          <t>GÄVLEBORGS LÄN</t>
        </is>
      </c>
      <c r="E178" t="inlineStr">
        <is>
          <t>GÄVLE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19873-2020</t>
        </is>
      </c>
      <c r="B179" s="1" t="n">
        <v>43942</v>
      </c>
      <c r="C179" s="1" t="n">
        <v>45835</v>
      </c>
      <c r="D179" t="inlineStr">
        <is>
          <t>GÄVLEBORGS LÄN</t>
        </is>
      </c>
      <c r="E179" t="inlineStr">
        <is>
          <t>GÄVLE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21080-2020</t>
        </is>
      </c>
      <c r="B180" s="1" t="n">
        <v>43951</v>
      </c>
      <c r="C180" s="1" t="n">
        <v>45835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21379-2020</t>
        </is>
      </c>
      <c r="B181" s="1" t="n">
        <v>43955</v>
      </c>
      <c r="C181" s="1" t="n">
        <v>45835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21981-2020</t>
        </is>
      </c>
      <c r="B182" s="1" t="n">
        <v>43959</v>
      </c>
      <c r="C182" s="1" t="n">
        <v>45835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22385-2020</t>
        </is>
      </c>
      <c r="B183" s="1" t="n">
        <v>43962</v>
      </c>
      <c r="C183" s="1" t="n">
        <v>45835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24780-2020</t>
        </is>
      </c>
      <c r="B184" s="1" t="n">
        <v>43978</v>
      </c>
      <c r="C184" s="1" t="n">
        <v>45835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25009-2020</t>
        </is>
      </c>
      <c r="B185" s="1" t="n">
        <v>43979</v>
      </c>
      <c r="C185" s="1" t="n">
        <v>45835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25220-2020</t>
        </is>
      </c>
      <c r="B186" s="1" t="n">
        <v>43980</v>
      </c>
      <c r="C186" s="1" t="n">
        <v>45835</v>
      </c>
      <c r="D186" t="inlineStr">
        <is>
          <t>GÄVLEBORGS LÄN</t>
        </is>
      </c>
      <c r="E186" t="inlineStr">
        <is>
          <t>GÄVLE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25532-2020</t>
        </is>
      </c>
      <c r="B187" s="1" t="n">
        <v>43983</v>
      </c>
      <c r="C187" s="1" t="n">
        <v>45835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26763-2020</t>
        </is>
      </c>
      <c r="B188" s="1" t="n">
        <v>43990</v>
      </c>
      <c r="C188" s="1" t="n">
        <v>45835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26790-2020</t>
        </is>
      </c>
      <c r="B189" s="1" t="n">
        <v>43990</v>
      </c>
      <c r="C189" s="1" t="n">
        <v>45835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26781-2020</t>
        </is>
      </c>
      <c r="B190" s="1" t="n">
        <v>43990</v>
      </c>
      <c r="C190" s="1" t="n">
        <v>45835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28173-2020</t>
        </is>
      </c>
      <c r="B191" s="1" t="n">
        <v>43997</v>
      </c>
      <c r="C191" s="1" t="n">
        <v>45835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28806-2020</t>
        </is>
      </c>
      <c r="B192" s="1" t="n">
        <v>44000</v>
      </c>
      <c r="C192" s="1" t="n">
        <v>45835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28825-2020</t>
        </is>
      </c>
      <c r="B193" s="1" t="n">
        <v>44000</v>
      </c>
      <c r="C193" s="1" t="n">
        <v>45835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29564-2020</t>
        </is>
      </c>
      <c r="B194" s="1" t="n">
        <v>44005</v>
      </c>
      <c r="C194" s="1" t="n">
        <v>45835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29940-2020</t>
        </is>
      </c>
      <c r="B195" s="1" t="n">
        <v>44006</v>
      </c>
      <c r="C195" s="1" t="n">
        <v>45835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30658-2020</t>
        </is>
      </c>
      <c r="B196" s="1" t="n">
        <v>44008</v>
      </c>
      <c r="C196" s="1" t="n">
        <v>45835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30851-2020</t>
        </is>
      </c>
      <c r="B197" s="1" t="n">
        <v>44011</v>
      </c>
      <c r="C197" s="1" t="n">
        <v>45835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31747-2020</t>
        </is>
      </c>
      <c r="B198" s="1" t="n">
        <v>44014</v>
      </c>
      <c r="C198" s="1" t="n">
        <v>45835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32223-2020</t>
        </is>
      </c>
      <c r="B199" s="1" t="n">
        <v>44015</v>
      </c>
      <c r="C199" s="1" t="n">
        <v>45835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32231-2020</t>
        </is>
      </c>
      <c r="B200" s="1" t="n">
        <v>44015</v>
      </c>
      <c r="C200" s="1" t="n">
        <v>45835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33351-2020</t>
        </is>
      </c>
      <c r="B201" s="1" t="n">
        <v>44022</v>
      </c>
      <c r="C201" s="1" t="n">
        <v>45835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33893-2020</t>
        </is>
      </c>
      <c r="B202" s="1" t="n">
        <v>44025</v>
      </c>
      <c r="C202" s="1" t="n">
        <v>45835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33755-2020</t>
        </is>
      </c>
      <c r="B203" s="1" t="n">
        <v>44026</v>
      </c>
      <c r="C203" s="1" t="n">
        <v>45835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35533-2020</t>
        </is>
      </c>
      <c r="B204" s="1" t="n">
        <v>44043</v>
      </c>
      <c r="C204" s="1" t="n">
        <v>45835</v>
      </c>
      <c r="D204" t="inlineStr">
        <is>
          <t>GÄVLEBORGS LÄN</t>
        </is>
      </c>
      <c r="E204" t="inlineStr">
        <is>
          <t>GÄVLE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37604-2020</t>
        </is>
      </c>
      <c r="B205" s="1" t="n">
        <v>44056</v>
      </c>
      <c r="C205" s="1" t="n">
        <v>45835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37721-2020</t>
        </is>
      </c>
      <c r="B206" s="1" t="n">
        <v>44056</v>
      </c>
      <c r="C206" s="1" t="n">
        <v>45835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37717-2020</t>
        </is>
      </c>
      <c r="B207" s="1" t="n">
        <v>44056</v>
      </c>
      <c r="C207" s="1" t="n">
        <v>45835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38300-2020</t>
        </is>
      </c>
      <c r="B208" s="1" t="n">
        <v>44060</v>
      </c>
      <c r="C208" s="1" t="n">
        <v>45835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38305-2020</t>
        </is>
      </c>
      <c r="B209" s="1" t="n">
        <v>44060</v>
      </c>
      <c r="C209" s="1" t="n">
        <v>45835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38926-2020</t>
        </is>
      </c>
      <c r="B210" s="1" t="n">
        <v>44062</v>
      </c>
      <c r="C210" s="1" t="n">
        <v>45835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39798-2020</t>
        </is>
      </c>
      <c r="B211" s="1" t="n">
        <v>44067</v>
      </c>
      <c r="C211" s="1" t="n">
        <v>45835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40087-2020</t>
        </is>
      </c>
      <c r="B212" s="1" t="n">
        <v>44068</v>
      </c>
      <c r="C212" s="1" t="n">
        <v>45835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40340-2020</t>
        </is>
      </c>
      <c r="B213" s="1" t="n">
        <v>44068</v>
      </c>
      <c r="C213" s="1" t="n">
        <v>45835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40626-2020</t>
        </is>
      </c>
      <c r="B214" s="1" t="n">
        <v>44069</v>
      </c>
      <c r="C214" s="1" t="n">
        <v>45835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42357-2020</t>
        </is>
      </c>
      <c r="B215" s="1" t="n">
        <v>44076</v>
      </c>
      <c r="C215" s="1" t="n">
        <v>45835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42351-2020</t>
        </is>
      </c>
      <c r="B216" s="1" t="n">
        <v>44076</v>
      </c>
      <c r="C216" s="1" t="n">
        <v>45835</v>
      </c>
      <c r="D216" t="inlineStr">
        <is>
          <t>GÄVLEBORGS LÄN</t>
        </is>
      </c>
      <c r="E216" t="inlineStr">
        <is>
          <t>GÄVLE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42356-2020</t>
        </is>
      </c>
      <c r="B217" s="1" t="n">
        <v>44076</v>
      </c>
      <c r="C217" s="1" t="n">
        <v>45835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42868-2020</t>
        </is>
      </c>
      <c r="B218" s="1" t="n">
        <v>44078</v>
      </c>
      <c r="C218" s="1" t="n">
        <v>45835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43385-2020</t>
        </is>
      </c>
      <c r="B219" s="1" t="n">
        <v>44081</v>
      </c>
      <c r="C219" s="1" t="n">
        <v>45835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43185-2020</t>
        </is>
      </c>
      <c r="B220" s="1" t="n">
        <v>44081</v>
      </c>
      <c r="C220" s="1" t="n">
        <v>45835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44350-2020</t>
        </is>
      </c>
      <c r="B221" s="1" t="n">
        <v>44084</v>
      </c>
      <c r="C221" s="1" t="n">
        <v>45835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46455-2020</t>
        </is>
      </c>
      <c r="B222" s="1" t="n">
        <v>44095</v>
      </c>
      <c r="C222" s="1" t="n">
        <v>45835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46694-2020</t>
        </is>
      </c>
      <c r="B223" s="1" t="n">
        <v>44095</v>
      </c>
      <c r="C223" s="1" t="n">
        <v>45835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46708-2020</t>
        </is>
      </c>
      <c r="B224" s="1" t="n">
        <v>44095</v>
      </c>
      <c r="C224" s="1" t="n">
        <v>45835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46444-2020</t>
        </is>
      </c>
      <c r="B225" s="1" t="n">
        <v>44095</v>
      </c>
      <c r="C225" s="1" t="n">
        <v>45835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46898-2020</t>
        </is>
      </c>
      <c r="B226" s="1" t="n">
        <v>44096</v>
      </c>
      <c r="C226" s="1" t="n">
        <v>45835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46925-2020</t>
        </is>
      </c>
      <c r="B227" s="1" t="n">
        <v>44096</v>
      </c>
      <c r="C227" s="1" t="n">
        <v>45835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47543-2020</t>
        </is>
      </c>
      <c r="B228" s="1" t="n">
        <v>44098</v>
      </c>
      <c r="C228" s="1" t="n">
        <v>45835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50216-2020</t>
        </is>
      </c>
      <c r="B229" s="1" t="n">
        <v>44109</v>
      </c>
      <c r="C229" s="1" t="n">
        <v>45835</v>
      </c>
      <c r="D229" t="inlineStr">
        <is>
          <t>GÄVLEBORGS LÄN</t>
        </is>
      </c>
      <c r="E229" t="inlineStr">
        <is>
          <t>GÄVLE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51121-2020</t>
        </is>
      </c>
      <c r="B230" s="1" t="n">
        <v>44112</v>
      </c>
      <c r="C230" s="1" t="n">
        <v>45835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51126-2020</t>
        </is>
      </c>
      <c r="B231" s="1" t="n">
        <v>44112</v>
      </c>
      <c r="C231" s="1" t="n">
        <v>45835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52790-2020</t>
        </is>
      </c>
      <c r="B232" s="1" t="n">
        <v>44118</v>
      </c>
      <c r="C232" s="1" t="n">
        <v>45835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53470-2020</t>
        </is>
      </c>
      <c r="B233" s="1" t="n">
        <v>44123</v>
      </c>
      <c r="C233" s="1" t="n">
        <v>45835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53517-2020</t>
        </is>
      </c>
      <c r="B234" s="1" t="n">
        <v>44124</v>
      </c>
      <c r="C234" s="1" t="n">
        <v>45835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54031-2020</t>
        </is>
      </c>
      <c r="B235" s="1" t="n">
        <v>44125</v>
      </c>
      <c r="C235" s="1" t="n">
        <v>45835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54053-2020</t>
        </is>
      </c>
      <c r="B236" s="1" t="n">
        <v>44125</v>
      </c>
      <c r="C236" s="1" t="n">
        <v>45835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54065-2020</t>
        </is>
      </c>
      <c r="B237" s="1" t="n">
        <v>44125</v>
      </c>
      <c r="C237" s="1" t="n">
        <v>45835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54249-2020</t>
        </is>
      </c>
      <c r="B238" s="1" t="n">
        <v>44126</v>
      </c>
      <c r="C238" s="1" t="n">
        <v>45835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54294-2020</t>
        </is>
      </c>
      <c r="B239" s="1" t="n">
        <v>44126</v>
      </c>
      <c r="C239" s="1" t="n">
        <v>45835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54616-2020</t>
        </is>
      </c>
      <c r="B240" s="1" t="n">
        <v>44127</v>
      </c>
      <c r="C240" s="1" t="n">
        <v>45835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54624-2020</t>
        </is>
      </c>
      <c r="B241" s="1" t="n">
        <v>44127</v>
      </c>
      <c r="C241" s="1" t="n">
        <v>45835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54620-2020</t>
        </is>
      </c>
      <c r="B242" s="1" t="n">
        <v>44127</v>
      </c>
      <c r="C242" s="1" t="n">
        <v>45835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54638-2020</t>
        </is>
      </c>
      <c r="B243" s="1" t="n">
        <v>44127</v>
      </c>
      <c r="C243" s="1" t="n">
        <v>45835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56221-2020</t>
        </is>
      </c>
      <c r="B244" s="1" t="n">
        <v>44134</v>
      </c>
      <c r="C244" s="1" t="n">
        <v>45835</v>
      </c>
      <c r="D244" t="inlineStr">
        <is>
          <t>GÄVLEBORGS LÄN</t>
        </is>
      </c>
      <c r="E244" t="inlineStr">
        <is>
          <t>GÄVLE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57535-2020</t>
        </is>
      </c>
      <c r="B245" s="1" t="n">
        <v>44140</v>
      </c>
      <c r="C245" s="1" t="n">
        <v>45835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57702-2020</t>
        </is>
      </c>
      <c r="B246" s="1" t="n">
        <v>44140</v>
      </c>
      <c r="C246" s="1" t="n">
        <v>45835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57706-2020</t>
        </is>
      </c>
      <c r="B247" s="1" t="n">
        <v>44140</v>
      </c>
      <c r="C247" s="1" t="n">
        <v>45835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58189-2020</t>
        </is>
      </c>
      <c r="B248" s="1" t="n">
        <v>44144</v>
      </c>
      <c r="C248" s="1" t="n">
        <v>45835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58690-2020</t>
        </is>
      </c>
      <c r="B249" s="1" t="n">
        <v>44146</v>
      </c>
      <c r="C249" s="1" t="n">
        <v>45835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59072-2020</t>
        </is>
      </c>
      <c r="B250" s="1" t="n">
        <v>44147</v>
      </c>
      <c r="C250" s="1" t="n">
        <v>45835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60249-2020</t>
        </is>
      </c>
      <c r="B251" s="1" t="n">
        <v>44152</v>
      </c>
      <c r="C251" s="1" t="n">
        <v>45835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60951-2020</t>
        </is>
      </c>
      <c r="B252" s="1" t="n">
        <v>44154</v>
      </c>
      <c r="C252" s="1" t="n">
        <v>45835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60953-2020</t>
        </is>
      </c>
      <c r="B253" s="1" t="n">
        <v>44154</v>
      </c>
      <c r="C253" s="1" t="n">
        <v>45835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61694-2020</t>
        </is>
      </c>
      <c r="B254" s="1" t="n">
        <v>44158</v>
      </c>
      <c r="C254" s="1" t="n">
        <v>45835</v>
      </c>
      <c r="D254" t="inlineStr">
        <is>
          <t>GÄVLEBORGS LÄN</t>
        </is>
      </c>
      <c r="E254" t="inlineStr">
        <is>
          <t>GÄVLE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61704-2020</t>
        </is>
      </c>
      <c r="B255" s="1" t="n">
        <v>44158</v>
      </c>
      <c r="C255" s="1" t="n">
        <v>45835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62495-2020</t>
        </is>
      </c>
      <c r="B256" s="1" t="n">
        <v>44160</v>
      </c>
      <c r="C256" s="1" t="n">
        <v>45835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62654-2020</t>
        </is>
      </c>
      <c r="B257" s="1" t="n">
        <v>44161</v>
      </c>
      <c r="C257" s="1" t="n">
        <v>45835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62986-2020</t>
        </is>
      </c>
      <c r="B258" s="1" t="n">
        <v>44162</v>
      </c>
      <c r="C258" s="1" t="n">
        <v>45835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66006-2020</t>
        </is>
      </c>
      <c r="B259" s="1" t="n">
        <v>44175</v>
      </c>
      <c r="C259" s="1" t="n">
        <v>45835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66346-2020</t>
        </is>
      </c>
      <c r="B260" s="1" t="n">
        <v>44176</v>
      </c>
      <c r="C260" s="1" t="n">
        <v>45835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66343-2020</t>
        </is>
      </c>
      <c r="B261" s="1" t="n">
        <v>44176</v>
      </c>
      <c r="C261" s="1" t="n">
        <v>45835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69210-2020</t>
        </is>
      </c>
      <c r="B262" s="1" t="n">
        <v>44191</v>
      </c>
      <c r="C262" s="1" t="n">
        <v>45835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45835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69216-2020</t>
        </is>
      </c>
      <c r="B264" s="1" t="n">
        <v>44192</v>
      </c>
      <c r="C264" s="1" t="n">
        <v>45835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69254-2020</t>
        </is>
      </c>
      <c r="B265" s="1" t="n">
        <v>44192</v>
      </c>
      <c r="C265" s="1" t="n">
        <v>45835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69252-2020</t>
        </is>
      </c>
      <c r="B266" s="1" t="n">
        <v>44192</v>
      </c>
      <c r="C266" s="1" t="n">
        <v>45835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69215-2020</t>
        </is>
      </c>
      <c r="B267" s="1" t="n">
        <v>44192</v>
      </c>
      <c r="C267" s="1" t="n">
        <v>45835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69253-2020</t>
        </is>
      </c>
      <c r="B268" s="1" t="n">
        <v>44192</v>
      </c>
      <c r="C268" s="1" t="n">
        <v>45835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69219-2020</t>
        </is>
      </c>
      <c r="B269" s="1" t="n">
        <v>44192</v>
      </c>
      <c r="C269" s="1" t="n">
        <v>45835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69251-2020</t>
        </is>
      </c>
      <c r="B270" s="1" t="n">
        <v>44192</v>
      </c>
      <c r="C270" s="1" t="n">
        <v>45835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69675-2020</t>
        </is>
      </c>
      <c r="B271" s="1" t="n">
        <v>44196</v>
      </c>
      <c r="C271" s="1" t="n">
        <v>45835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242-2021</t>
        </is>
      </c>
      <c r="B272" s="1" t="n">
        <v>44200</v>
      </c>
      <c r="C272" s="1" t="n">
        <v>45835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247-2021</t>
        </is>
      </c>
      <c r="B273" s="1" t="n">
        <v>44200</v>
      </c>
      <c r="C273" s="1" t="n">
        <v>45835</v>
      </c>
      <c r="D273" t="inlineStr">
        <is>
          <t>GÄVLEBORGS LÄN</t>
        </is>
      </c>
      <c r="E273" t="inlineStr">
        <is>
          <t>GÄVLE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795-2021</t>
        </is>
      </c>
      <c r="B274" s="1" t="n">
        <v>44204</v>
      </c>
      <c r="C274" s="1" t="n">
        <v>45835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2901-2021</t>
        </is>
      </c>
      <c r="B275" s="1" t="n">
        <v>44216</v>
      </c>
      <c r="C275" s="1" t="n">
        <v>45835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4277-2021</t>
        </is>
      </c>
      <c r="B276" s="1" t="n">
        <v>44223</v>
      </c>
      <c r="C276" s="1" t="n">
        <v>45835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5207-2021</t>
        </is>
      </c>
      <c r="B277" s="1" t="n">
        <v>44228</v>
      </c>
      <c r="C277" s="1" t="n">
        <v>45835</v>
      </c>
      <c r="D277" t="inlineStr">
        <is>
          <t>GÄVLEBORGS LÄN</t>
        </is>
      </c>
      <c r="E277" t="inlineStr">
        <is>
          <t>GÄVLE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5972-2021</t>
        </is>
      </c>
      <c r="B278" s="1" t="n">
        <v>44231</v>
      </c>
      <c r="C278" s="1" t="n">
        <v>45835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6468-2021</t>
        </is>
      </c>
      <c r="B279" s="1" t="n">
        <v>44235</v>
      </c>
      <c r="C279" s="1" t="n">
        <v>45835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6467-2021</t>
        </is>
      </c>
      <c r="B280" s="1" t="n">
        <v>44235</v>
      </c>
      <c r="C280" s="1" t="n">
        <v>45835</v>
      </c>
      <c r="D280" t="inlineStr">
        <is>
          <t>GÄVLEBORGS LÄN</t>
        </is>
      </c>
      <c r="E280" t="inlineStr">
        <is>
          <t>GÄVLE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9738-2021</t>
        </is>
      </c>
      <c r="B281" s="1" t="n">
        <v>44252</v>
      </c>
      <c r="C281" s="1" t="n">
        <v>45835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9733-2021</t>
        </is>
      </c>
      <c r="B282" s="1" t="n">
        <v>44252</v>
      </c>
      <c r="C282" s="1" t="n">
        <v>45835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10704-2021</t>
        </is>
      </c>
      <c r="B283" s="1" t="n">
        <v>44258</v>
      </c>
      <c r="C283" s="1" t="n">
        <v>45835</v>
      </c>
      <c r="D283" t="inlineStr">
        <is>
          <t>GÄVLEBORGS LÄN</t>
        </is>
      </c>
      <c r="E283" t="inlineStr">
        <is>
          <t>GÄVLE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10709-2021</t>
        </is>
      </c>
      <c r="B284" s="1" t="n">
        <v>44258</v>
      </c>
      <c r="C284" s="1" t="n">
        <v>45835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11020-2021</t>
        </is>
      </c>
      <c r="B285" s="1" t="n">
        <v>44260</v>
      </c>
      <c r="C285" s="1" t="n">
        <v>45835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11188-2021</t>
        </is>
      </c>
      <c r="B286" s="1" t="n">
        <v>44263</v>
      </c>
      <c r="C286" s="1" t="n">
        <v>45835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11190-2021</t>
        </is>
      </c>
      <c r="B287" s="1" t="n">
        <v>44263</v>
      </c>
      <c r="C287" s="1" t="n">
        <v>45835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12775-2021</t>
        </is>
      </c>
      <c r="B288" s="1" t="n">
        <v>44270</v>
      </c>
      <c r="C288" s="1" t="n">
        <v>45835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12841-2021</t>
        </is>
      </c>
      <c r="B289" s="1" t="n">
        <v>44271</v>
      </c>
      <c r="C289" s="1" t="n">
        <v>45835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13030-2021</t>
        </is>
      </c>
      <c r="B290" s="1" t="n">
        <v>44271</v>
      </c>
      <c r="C290" s="1" t="n">
        <v>45835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13297-2021</t>
        </is>
      </c>
      <c r="B291" s="1" t="n">
        <v>44272</v>
      </c>
      <c r="C291" s="1" t="n">
        <v>45835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13259-2021</t>
        </is>
      </c>
      <c r="B292" s="1" t="n">
        <v>44272</v>
      </c>
      <c r="C292" s="1" t="n">
        <v>45835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13594-2021</t>
        </is>
      </c>
      <c r="B293" s="1" t="n">
        <v>44274</v>
      </c>
      <c r="C293" s="1" t="n">
        <v>45835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13600-2021</t>
        </is>
      </c>
      <c r="B294" s="1" t="n">
        <v>44274</v>
      </c>
      <c r="C294" s="1" t="n">
        <v>45835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14032-2021</t>
        </is>
      </c>
      <c r="B295" s="1" t="n">
        <v>44277</v>
      </c>
      <c r="C295" s="1" t="n">
        <v>45835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14212-2021</t>
        </is>
      </c>
      <c r="B296" s="1" t="n">
        <v>44278</v>
      </c>
      <c r="C296" s="1" t="n">
        <v>45835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14449-2021</t>
        </is>
      </c>
      <c r="B297" s="1" t="n">
        <v>44279</v>
      </c>
      <c r="C297" s="1" t="n">
        <v>45835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14594-2021</t>
        </is>
      </c>
      <c r="B298" s="1" t="n">
        <v>44279</v>
      </c>
      <c r="C298" s="1" t="n">
        <v>45835</v>
      </c>
      <c r="D298" t="inlineStr">
        <is>
          <t>GÄVLEBORGS LÄN</t>
        </is>
      </c>
      <c r="E298" t="inlineStr">
        <is>
          <t>GÄVLE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15047-2021</t>
        </is>
      </c>
      <c r="B299" s="1" t="n">
        <v>44281</v>
      </c>
      <c r="C299" s="1" t="n">
        <v>45835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15280-2021</t>
        </is>
      </c>
      <c r="B300" s="1" t="n">
        <v>44284</v>
      </c>
      <c r="C300" s="1" t="n">
        <v>45835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15372-2021</t>
        </is>
      </c>
      <c r="B301" s="1" t="n">
        <v>44284</v>
      </c>
      <c r="C301" s="1" t="n">
        <v>45835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15763-2021</t>
        </is>
      </c>
      <c r="B302" s="1" t="n">
        <v>44286</v>
      </c>
      <c r="C302" s="1" t="n">
        <v>45835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15824-2021</t>
        </is>
      </c>
      <c r="B303" s="1" t="n">
        <v>44286</v>
      </c>
      <c r="C303" s="1" t="n">
        <v>45835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15738-2021</t>
        </is>
      </c>
      <c r="B304" s="1" t="n">
        <v>44286</v>
      </c>
      <c r="C304" s="1" t="n">
        <v>45835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15904-2021</t>
        </is>
      </c>
      <c r="B305" s="1" t="n">
        <v>44286</v>
      </c>
      <c r="C305" s="1" t="n">
        <v>45835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16574-2021</t>
        </is>
      </c>
      <c r="B306" s="1" t="n">
        <v>44294</v>
      </c>
      <c r="C306" s="1" t="n">
        <v>45835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16581-2021</t>
        </is>
      </c>
      <c r="B307" s="1" t="n">
        <v>44294</v>
      </c>
      <c r="C307" s="1" t="n">
        <v>45835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16713-2021</t>
        </is>
      </c>
      <c r="B308" s="1" t="n">
        <v>44294</v>
      </c>
      <c r="C308" s="1" t="n">
        <v>45835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16931-2021</t>
        </is>
      </c>
      <c r="B309" s="1" t="n">
        <v>44295</v>
      </c>
      <c r="C309" s="1" t="n">
        <v>45835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17593-2021</t>
        </is>
      </c>
      <c r="B310" s="1" t="n">
        <v>44300</v>
      </c>
      <c r="C310" s="1" t="n">
        <v>45835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17656-2021</t>
        </is>
      </c>
      <c r="B311" s="1" t="n">
        <v>44300</v>
      </c>
      <c r="C311" s="1" t="n">
        <v>45835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17834-2021</t>
        </is>
      </c>
      <c r="B312" s="1" t="n">
        <v>44300</v>
      </c>
      <c r="C312" s="1" t="n">
        <v>45835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18431-2021</t>
        </is>
      </c>
      <c r="B313" s="1" t="n">
        <v>44305</v>
      </c>
      <c r="C313" s="1" t="n">
        <v>45835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18827-2021</t>
        </is>
      </c>
      <c r="B314" s="1" t="n">
        <v>44307</v>
      </c>
      <c r="C314" s="1" t="n">
        <v>45835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19180-2021</t>
        </is>
      </c>
      <c r="B315" s="1" t="n">
        <v>44308</v>
      </c>
      <c r="C315" s="1" t="n">
        <v>45835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19178-2021</t>
        </is>
      </c>
      <c r="B316" s="1" t="n">
        <v>44308</v>
      </c>
      <c r="C316" s="1" t="n">
        <v>45835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20632-2021</t>
        </is>
      </c>
      <c r="B317" s="1" t="n">
        <v>44316</v>
      </c>
      <c r="C317" s="1" t="n">
        <v>45835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45835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21004-2021</t>
        </is>
      </c>
      <c r="B319" s="1" t="n">
        <v>44319</v>
      </c>
      <c r="C319" s="1" t="n">
        <v>45835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21552-2021</t>
        </is>
      </c>
      <c r="B320" s="1" t="n">
        <v>44321</v>
      </c>
      <c r="C320" s="1" t="n">
        <v>45835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21557-2021</t>
        </is>
      </c>
      <c r="B321" s="1" t="n">
        <v>44321</v>
      </c>
      <c r="C321" s="1" t="n">
        <v>45835</v>
      </c>
      <c r="D321" t="inlineStr">
        <is>
          <t>GÄVLEBORGS LÄN</t>
        </is>
      </c>
      <c r="E321" t="inlineStr">
        <is>
          <t>GÄVLE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22422-2021</t>
        </is>
      </c>
      <c r="B322" s="1" t="n">
        <v>44326</v>
      </c>
      <c r="C322" s="1" t="n">
        <v>45835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23246-2021</t>
        </is>
      </c>
      <c r="B323" s="1" t="n">
        <v>44333</v>
      </c>
      <c r="C323" s="1" t="n">
        <v>45835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23649-2021</t>
        </is>
      </c>
      <c r="B324" s="1" t="n">
        <v>44334</v>
      </c>
      <c r="C324" s="1" t="n">
        <v>45835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24173-2021</t>
        </is>
      </c>
      <c r="B325" s="1" t="n">
        <v>44336</v>
      </c>
      <c r="C325" s="1" t="n">
        <v>45835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25312-2021</t>
        </is>
      </c>
      <c r="B326" s="1" t="n">
        <v>44342</v>
      </c>
      <c r="C326" s="1" t="n">
        <v>45835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25335-2021</t>
        </is>
      </c>
      <c r="B327" s="1" t="n">
        <v>44342</v>
      </c>
      <c r="C327" s="1" t="n">
        <v>45835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25446-2021</t>
        </is>
      </c>
      <c r="B328" s="1" t="n">
        <v>44342</v>
      </c>
      <c r="C328" s="1" t="n">
        <v>45835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25547-2021</t>
        </is>
      </c>
      <c r="B329" s="1" t="n">
        <v>44343</v>
      </c>
      <c r="C329" s="1" t="n">
        <v>45835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26323-2021</t>
        </is>
      </c>
      <c r="B330" s="1" t="n">
        <v>44347</v>
      </c>
      <c r="C330" s="1" t="n">
        <v>45835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26779-2021</t>
        </is>
      </c>
      <c r="B331" s="1" t="n">
        <v>44349</v>
      </c>
      <c r="C331" s="1" t="n">
        <v>45835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26776-2021</t>
        </is>
      </c>
      <c r="B332" s="1" t="n">
        <v>44349</v>
      </c>
      <c r="C332" s="1" t="n">
        <v>45835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27179-2021</t>
        </is>
      </c>
      <c r="B333" s="1" t="n">
        <v>44350</v>
      </c>
      <c r="C333" s="1" t="n">
        <v>45835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27480-2021</t>
        </is>
      </c>
      <c r="B334" s="1" t="n">
        <v>44351</v>
      </c>
      <c r="C334" s="1" t="n">
        <v>45835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27476-2021</t>
        </is>
      </c>
      <c r="B335" s="1" t="n">
        <v>44351</v>
      </c>
      <c r="C335" s="1" t="n">
        <v>45835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27864-2021</t>
        </is>
      </c>
      <c r="B336" s="1" t="n">
        <v>44354</v>
      </c>
      <c r="C336" s="1" t="n">
        <v>45835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28403-2021</t>
        </is>
      </c>
      <c r="B337" s="1" t="n">
        <v>44356</v>
      </c>
      <c r="C337" s="1" t="n">
        <v>45835</v>
      </c>
      <c r="D337" t="inlineStr">
        <is>
          <t>GÄVLEBORGS LÄN</t>
        </is>
      </c>
      <c r="E337" t="inlineStr">
        <is>
          <t>GÄVLE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29313-2021</t>
        </is>
      </c>
      <c r="B338" s="1" t="n">
        <v>44361</v>
      </c>
      <c r="C338" s="1" t="n">
        <v>45835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30330-2021</t>
        </is>
      </c>
      <c r="B339" s="1" t="n">
        <v>44364</v>
      </c>
      <c r="C339" s="1" t="n">
        <v>45835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30525-2021</t>
        </is>
      </c>
      <c r="B340" s="1" t="n">
        <v>44364</v>
      </c>
      <c r="C340" s="1" t="n">
        <v>45835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31423-2021</t>
        </is>
      </c>
      <c r="B341" s="1" t="n">
        <v>44369</v>
      </c>
      <c r="C341" s="1" t="n">
        <v>45835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31619-2021</t>
        </is>
      </c>
      <c r="B342" s="1" t="n">
        <v>44369</v>
      </c>
      <c r="C342" s="1" t="n">
        <v>45835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32018-2021</t>
        </is>
      </c>
      <c r="B343" s="1" t="n">
        <v>44370</v>
      </c>
      <c r="C343" s="1" t="n">
        <v>45835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32008-2021</t>
        </is>
      </c>
      <c r="B344" s="1" t="n">
        <v>44370</v>
      </c>
      <c r="C344" s="1" t="n">
        <v>45835</v>
      </c>
      <c r="D344" t="inlineStr">
        <is>
          <t>GÄVLEBORGS LÄN</t>
        </is>
      </c>
      <c r="E344" t="inlineStr">
        <is>
          <t>GÄVLE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45835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33224-2021</t>
        </is>
      </c>
      <c r="B346" s="1" t="n">
        <v>44377</v>
      </c>
      <c r="C346" s="1" t="n">
        <v>45835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36205-2021</t>
        </is>
      </c>
      <c r="B347" s="1" t="n">
        <v>44389</v>
      </c>
      <c r="C347" s="1" t="n">
        <v>45835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36483-2021</t>
        </is>
      </c>
      <c r="B348" s="1" t="n">
        <v>44390</v>
      </c>
      <c r="C348" s="1" t="n">
        <v>45835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39374-2021</t>
        </is>
      </c>
      <c r="B349" s="1" t="n">
        <v>44414</v>
      </c>
      <c r="C349" s="1" t="n">
        <v>45835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40315-2021</t>
        </is>
      </c>
      <c r="B350" s="1" t="n">
        <v>44419</v>
      </c>
      <c r="C350" s="1" t="n">
        <v>45835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42416-2021</t>
        </is>
      </c>
      <c r="B351" s="1" t="n">
        <v>44427</v>
      </c>
      <c r="C351" s="1" t="n">
        <v>45835</v>
      </c>
      <c r="D351" t="inlineStr">
        <is>
          <t>GÄVLEBORGS LÄN</t>
        </is>
      </c>
      <c r="E351" t="inlineStr">
        <is>
          <t>GÄVLE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44654-2021</t>
        </is>
      </c>
      <c r="B352" s="1" t="n">
        <v>44437</v>
      </c>
      <c r="C352" s="1" t="n">
        <v>45835</v>
      </c>
      <c r="D352" t="inlineStr">
        <is>
          <t>GÄVLEBORGS LÄN</t>
        </is>
      </c>
      <c r="E352" t="inlineStr">
        <is>
          <t>GÄVLE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44738-2021</t>
        </is>
      </c>
      <c r="B353" s="1" t="n">
        <v>44438</v>
      </c>
      <c r="C353" s="1" t="n">
        <v>45835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45134-2021</t>
        </is>
      </c>
      <c r="B354" s="1" t="n">
        <v>44439</v>
      </c>
      <c r="C354" s="1" t="n">
        <v>45835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46549-2021</t>
        </is>
      </c>
      <c r="B355" s="1" t="n">
        <v>44445</v>
      </c>
      <c r="C355" s="1" t="n">
        <v>45835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46800-2021</t>
        </is>
      </c>
      <c r="B356" s="1" t="n">
        <v>44446</v>
      </c>
      <c r="C356" s="1" t="n">
        <v>45835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47739-2021</t>
        </is>
      </c>
      <c r="B357" s="1" t="n">
        <v>44448</v>
      </c>
      <c r="C357" s="1" t="n">
        <v>45835</v>
      </c>
      <c r="D357" t="inlineStr">
        <is>
          <t>GÄVLEBORGS LÄN</t>
        </is>
      </c>
      <c r="E357" t="inlineStr">
        <is>
          <t>GÄVLE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48881-2021</t>
        </is>
      </c>
      <c r="B358" s="1" t="n">
        <v>44452</v>
      </c>
      <c r="C358" s="1" t="n">
        <v>45835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49811-2021</t>
        </is>
      </c>
      <c r="B359" s="1" t="n">
        <v>44455</v>
      </c>
      <c r="C359" s="1" t="n">
        <v>45835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49827-2021</t>
        </is>
      </c>
      <c r="B360" s="1" t="n">
        <v>44455</v>
      </c>
      <c r="C360" s="1" t="n">
        <v>45835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50389-2021</t>
        </is>
      </c>
      <c r="B361" s="1" t="n">
        <v>44459</v>
      </c>
      <c r="C361" s="1" t="n">
        <v>45835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51249-2021</t>
        </is>
      </c>
      <c r="B362" s="1" t="n">
        <v>44461</v>
      </c>
      <c r="C362" s="1" t="n">
        <v>45835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51809-2021</t>
        </is>
      </c>
      <c r="B363" s="1" t="n">
        <v>44462</v>
      </c>
      <c r="C363" s="1" t="n">
        <v>45835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52664-2021</t>
        </is>
      </c>
      <c r="B364" s="1" t="n">
        <v>44466</v>
      </c>
      <c r="C364" s="1" t="n">
        <v>45835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52495-2021</t>
        </is>
      </c>
      <c r="B365" s="1" t="n">
        <v>44466</v>
      </c>
      <c r="C365" s="1" t="n">
        <v>45835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</v>
      </c>
      <c r="C366" s="1" t="n">
        <v>45835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54834-2021</t>
        </is>
      </c>
      <c r="B367" s="1" t="n">
        <v>44473</v>
      </c>
      <c r="C367" s="1" t="n">
        <v>45835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58449-2021</t>
        </is>
      </c>
      <c r="B368" s="1" t="n">
        <v>44488</v>
      </c>
      <c r="C368" s="1" t="n">
        <v>45835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58445-2021</t>
        </is>
      </c>
      <c r="B369" s="1" t="n">
        <v>44488</v>
      </c>
      <c r="C369" s="1" t="n">
        <v>45835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59061-2021</t>
        </is>
      </c>
      <c r="B370" s="1" t="n">
        <v>44490</v>
      </c>
      <c r="C370" s="1" t="n">
        <v>45835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59515-2021</t>
        </is>
      </c>
      <c r="B371" s="1" t="n">
        <v>44491</v>
      </c>
      <c r="C371" s="1" t="n">
        <v>45835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59582-2021</t>
        </is>
      </c>
      <c r="B372" s="1" t="n">
        <v>44491</v>
      </c>
      <c r="C372" s="1" t="n">
        <v>45835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59810-2021</t>
        </is>
      </c>
      <c r="B373" s="1" t="n">
        <v>44494</v>
      </c>
      <c r="C373" s="1" t="n">
        <v>45835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60476-2021</t>
        </is>
      </c>
      <c r="B374" s="1" t="n">
        <v>44496</v>
      </c>
      <c r="C374" s="1" t="n">
        <v>45835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61062-2021</t>
        </is>
      </c>
      <c r="B375" s="1" t="n">
        <v>44497</v>
      </c>
      <c r="C375" s="1" t="n">
        <v>45835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61222-2021</t>
        </is>
      </c>
      <c r="B376" s="1" t="n">
        <v>44498</v>
      </c>
      <c r="C376" s="1" t="n">
        <v>45835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61351-2021</t>
        </is>
      </c>
      <c r="B377" s="1" t="n">
        <v>44498</v>
      </c>
      <c r="C377" s="1" t="n">
        <v>45835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61352-2021</t>
        </is>
      </c>
      <c r="B378" s="1" t="n">
        <v>44498</v>
      </c>
      <c r="C378" s="1" t="n">
        <v>45835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62192-2021</t>
        </is>
      </c>
      <c r="B379" s="1" t="n">
        <v>44502</v>
      </c>
      <c r="C379" s="1" t="n">
        <v>45835</v>
      </c>
      <c r="D379" t="inlineStr">
        <is>
          <t>GÄVLEBORGS LÄN</t>
        </is>
      </c>
      <c r="E379" t="inlineStr">
        <is>
          <t>GÄVLE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65592-2021</t>
        </is>
      </c>
      <c r="B380" s="1" t="n">
        <v>44516</v>
      </c>
      <c r="C380" s="1" t="n">
        <v>45835</v>
      </c>
      <c r="D380" t="inlineStr">
        <is>
          <t>GÄVLEBORGS LÄN</t>
        </is>
      </c>
      <c r="E380" t="inlineStr">
        <is>
          <t>GÄVLE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65879-2021</t>
        </is>
      </c>
      <c r="B381" s="1" t="n">
        <v>44517</v>
      </c>
      <c r="C381" s="1" t="n">
        <v>45835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66351-2021</t>
        </is>
      </c>
      <c r="B382" s="1" t="n">
        <v>44518</v>
      </c>
      <c r="C382" s="1" t="n">
        <v>45835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66494-2021</t>
        </is>
      </c>
      <c r="B383" s="1" t="n">
        <v>44519</v>
      </c>
      <c r="C383" s="1" t="n">
        <v>45835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66493-2021</t>
        </is>
      </c>
      <c r="B384" s="1" t="n">
        <v>44519</v>
      </c>
      <c r="C384" s="1" t="n">
        <v>45835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66491-2021</t>
        </is>
      </c>
      <c r="B385" s="1" t="n">
        <v>44519</v>
      </c>
      <c r="C385" s="1" t="n">
        <v>45835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67334-2021</t>
        </is>
      </c>
      <c r="B386" s="1" t="n">
        <v>44523</v>
      </c>
      <c r="C386" s="1" t="n">
        <v>45835</v>
      </c>
      <c r="D386" t="inlineStr">
        <is>
          <t>GÄVLEBORGS LÄN</t>
        </is>
      </c>
      <c r="E386" t="inlineStr">
        <is>
          <t>GÄVLE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68119-2021</t>
        </is>
      </c>
      <c r="B387" s="1" t="n">
        <v>44526</v>
      </c>
      <c r="C387" s="1" t="n">
        <v>45835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70043-2021</t>
        </is>
      </c>
      <c r="B388" s="1" t="n">
        <v>44533</v>
      </c>
      <c r="C388" s="1" t="n">
        <v>45835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71057-2021</t>
        </is>
      </c>
      <c r="B389" s="1" t="n">
        <v>44538</v>
      </c>
      <c r="C389" s="1" t="n">
        <v>45835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71249-2021</t>
        </is>
      </c>
      <c r="B390" s="1" t="n">
        <v>44539</v>
      </c>
      <c r="C390" s="1" t="n">
        <v>45835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71215-2021</t>
        </is>
      </c>
      <c r="B391" s="1" t="n">
        <v>44539</v>
      </c>
      <c r="C391" s="1" t="n">
        <v>45835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71710-2021</t>
        </is>
      </c>
      <c r="B392" s="1" t="n">
        <v>44543</v>
      </c>
      <c r="C392" s="1" t="n">
        <v>45835</v>
      </c>
      <c r="D392" t="inlineStr">
        <is>
          <t>GÄVLEBORGS LÄN</t>
        </is>
      </c>
      <c r="E392" t="inlineStr">
        <is>
          <t>GÄVLE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72391-2021</t>
        </is>
      </c>
      <c r="B393" s="1" t="n">
        <v>44545</v>
      </c>
      <c r="C393" s="1" t="n">
        <v>45835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72541-2021</t>
        </is>
      </c>
      <c r="B394" s="1" t="n">
        <v>44546</v>
      </c>
      <c r="C394" s="1" t="n">
        <v>45835</v>
      </c>
      <c r="D394" t="inlineStr">
        <is>
          <t>GÄVLEBORGS LÄN</t>
        </is>
      </c>
      <c r="E394" t="inlineStr">
        <is>
          <t>GÄVLE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72504-2021</t>
        </is>
      </c>
      <c r="B395" s="1" t="n">
        <v>44546</v>
      </c>
      <c r="C395" s="1" t="n">
        <v>45835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72730-2021</t>
        </is>
      </c>
      <c r="B396" s="1" t="n">
        <v>44546</v>
      </c>
      <c r="C396" s="1" t="n">
        <v>45835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72734-2021</t>
        </is>
      </c>
      <c r="B397" s="1" t="n">
        <v>44546</v>
      </c>
      <c r="C397" s="1" t="n">
        <v>45835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74101-2021</t>
        </is>
      </c>
      <c r="B398" s="1" t="n">
        <v>44557</v>
      </c>
      <c r="C398" s="1" t="n">
        <v>45835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74469-2021</t>
        </is>
      </c>
      <c r="B399" s="1" t="n">
        <v>44560</v>
      </c>
      <c r="C399" s="1" t="n">
        <v>45835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1031-2022</t>
        </is>
      </c>
      <c r="B400" s="1" t="n">
        <v>44571</v>
      </c>
      <c r="C400" s="1" t="n">
        <v>45835</v>
      </c>
      <c r="D400" t="inlineStr">
        <is>
          <t>GÄVLEBORGS LÄN</t>
        </is>
      </c>
      <c r="E400" t="inlineStr">
        <is>
          <t>GÄVLE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1634-2022</t>
        </is>
      </c>
      <c r="B401" s="1" t="n">
        <v>44573</v>
      </c>
      <c r="C401" s="1" t="n">
        <v>45835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2546-2022</t>
        </is>
      </c>
      <c r="B402" s="1" t="n">
        <v>44579</v>
      </c>
      <c r="C402" s="1" t="n">
        <v>45835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2547-2022</t>
        </is>
      </c>
      <c r="B403" s="1" t="n">
        <v>44580</v>
      </c>
      <c r="C403" s="1" t="n">
        <v>45835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3334-2022</t>
        </is>
      </c>
      <c r="B404" s="1" t="n">
        <v>44585</v>
      </c>
      <c r="C404" s="1" t="n">
        <v>45835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3472-2022</t>
        </is>
      </c>
      <c r="B405" s="1" t="n">
        <v>44585</v>
      </c>
      <c r="C405" s="1" t="n">
        <v>45835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3569-2022</t>
        </is>
      </c>
      <c r="B406" s="1" t="n">
        <v>44586</v>
      </c>
      <c r="C406" s="1" t="n">
        <v>45835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3639-2022</t>
        </is>
      </c>
      <c r="B407" s="1" t="n">
        <v>44586</v>
      </c>
      <c r="C407" s="1" t="n">
        <v>45835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3662-2022</t>
        </is>
      </c>
      <c r="B408" s="1" t="n">
        <v>44586</v>
      </c>
      <c r="C408" s="1" t="n">
        <v>45835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4152-2022</t>
        </is>
      </c>
      <c r="B409" s="1" t="n">
        <v>44588</v>
      </c>
      <c r="C409" s="1" t="n">
        <v>45835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4482-2022</t>
        </is>
      </c>
      <c r="B410" s="1" t="n">
        <v>44589</v>
      </c>
      <c r="C410" s="1" t="n">
        <v>45835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4349-2022</t>
        </is>
      </c>
      <c r="B411" s="1" t="n">
        <v>44589</v>
      </c>
      <c r="C411" s="1" t="n">
        <v>45835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4935-2022</t>
        </is>
      </c>
      <c r="B412" s="1" t="n">
        <v>44593</v>
      </c>
      <c r="C412" s="1" t="n">
        <v>45835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5149-2022</t>
        </is>
      </c>
      <c r="B413" s="1" t="n">
        <v>44594</v>
      </c>
      <c r="C413" s="1" t="n">
        <v>45835</v>
      </c>
      <c r="D413" t="inlineStr">
        <is>
          <t>GÄVLEBORGS LÄN</t>
        </is>
      </c>
      <c r="E413" t="inlineStr">
        <is>
          <t>GÄVLE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5975-2022</t>
        </is>
      </c>
      <c r="B414" s="1" t="n">
        <v>44599</v>
      </c>
      <c r="C414" s="1" t="n">
        <v>45835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6001-2022</t>
        </is>
      </c>
      <c r="B415" s="1" t="n">
        <v>44599</v>
      </c>
      <c r="C415" s="1" t="n">
        <v>45835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6025-2022</t>
        </is>
      </c>
      <c r="B416" s="1" t="n">
        <v>44599</v>
      </c>
      <c r="C416" s="1" t="n">
        <v>45835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6331-2022</t>
        </is>
      </c>
      <c r="B417" s="1" t="n">
        <v>44600</v>
      </c>
      <c r="C417" s="1" t="n">
        <v>45835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7060-2022</t>
        </is>
      </c>
      <c r="B418" s="1" t="n">
        <v>44603</v>
      </c>
      <c r="C418" s="1" t="n">
        <v>45835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7020-2022</t>
        </is>
      </c>
      <c r="B419" s="1" t="n">
        <v>44603</v>
      </c>
      <c r="C419" s="1" t="n">
        <v>45835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7277-2022</t>
        </is>
      </c>
      <c r="B420" s="1" t="n">
        <v>44606</v>
      </c>
      <c r="C420" s="1" t="n">
        <v>45835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7305-2022</t>
        </is>
      </c>
      <c r="B421" s="1" t="n">
        <v>44606</v>
      </c>
      <c r="C421" s="1" t="n">
        <v>45835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9235-2022</t>
        </is>
      </c>
      <c r="B422" s="1" t="n">
        <v>44616</v>
      </c>
      <c r="C422" s="1" t="n">
        <v>45835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9307-2022</t>
        </is>
      </c>
      <c r="B423" s="1" t="n">
        <v>44616</v>
      </c>
      <c r="C423" s="1" t="n">
        <v>45835</v>
      </c>
      <c r="D423" t="inlineStr">
        <is>
          <t>GÄVLEBORGS LÄN</t>
        </is>
      </c>
      <c r="E423" t="inlineStr">
        <is>
          <t>GÄVLE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10952-2022</t>
        </is>
      </c>
      <c r="B424" s="1" t="n">
        <v>44628</v>
      </c>
      <c r="C424" s="1" t="n">
        <v>45835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11189-2022</t>
        </is>
      </c>
      <c r="B425" s="1" t="n">
        <v>44629</v>
      </c>
      <c r="C425" s="1" t="n">
        <v>45835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11182-2022</t>
        </is>
      </c>
      <c r="B426" s="1" t="n">
        <v>44629</v>
      </c>
      <c r="C426" s="1" t="n">
        <v>45835</v>
      </c>
      <c r="D426" t="inlineStr">
        <is>
          <t>GÄVLEBORGS LÄN</t>
        </is>
      </c>
      <c r="E426" t="inlineStr">
        <is>
          <t>GÄVLE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11185-2022</t>
        </is>
      </c>
      <c r="B427" s="1" t="n">
        <v>44629</v>
      </c>
      <c r="C427" s="1" t="n">
        <v>45835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11235-2022</t>
        </is>
      </c>
      <c r="B428" s="1" t="n">
        <v>44629</v>
      </c>
      <c r="C428" s="1" t="n">
        <v>45835</v>
      </c>
      <c r="D428" t="inlineStr">
        <is>
          <t>GÄVLEBORGS LÄN</t>
        </is>
      </c>
      <c r="E428" t="inlineStr">
        <is>
          <t>GÄVLE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11188-2022</t>
        </is>
      </c>
      <c r="B429" s="1" t="n">
        <v>44629</v>
      </c>
      <c r="C429" s="1" t="n">
        <v>45835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11237-2022</t>
        </is>
      </c>
      <c r="B430" s="1" t="n">
        <v>44629</v>
      </c>
      <c r="C430" s="1" t="n">
        <v>45835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11613-2022</t>
        </is>
      </c>
      <c r="B431" s="1" t="n">
        <v>44631</v>
      </c>
      <c r="C431" s="1" t="n">
        <v>45835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11817-2022</t>
        </is>
      </c>
      <c r="B432" s="1" t="n">
        <v>44634</v>
      </c>
      <c r="C432" s="1" t="n">
        <v>45835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11994-2022</t>
        </is>
      </c>
      <c r="B433" s="1" t="n">
        <v>44635</v>
      </c>
      <c r="C433" s="1" t="n">
        <v>45835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12095-2022</t>
        </is>
      </c>
      <c r="B434" s="1" t="n">
        <v>44636</v>
      </c>
      <c r="C434" s="1" t="n">
        <v>45835</v>
      </c>
      <c r="D434" t="inlineStr">
        <is>
          <t>GÄVLEBORGS LÄN</t>
        </is>
      </c>
      <c r="E434" t="inlineStr">
        <is>
          <t>GÄVLE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12127-2022</t>
        </is>
      </c>
      <c r="B435" s="1" t="n">
        <v>44636</v>
      </c>
      <c r="C435" s="1" t="n">
        <v>45835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12228-2022</t>
        </is>
      </c>
      <c r="B436" s="1" t="n">
        <v>44637</v>
      </c>
      <c r="C436" s="1" t="n">
        <v>45835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12737-2022</t>
        </is>
      </c>
      <c r="B437" s="1" t="n">
        <v>44641</v>
      </c>
      <c r="C437" s="1" t="n">
        <v>45835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14173-2022</t>
        </is>
      </c>
      <c r="B438" s="1" t="n">
        <v>44651</v>
      </c>
      <c r="C438" s="1" t="n">
        <v>45835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14174-2022</t>
        </is>
      </c>
      <c r="B439" s="1" t="n">
        <v>44651</v>
      </c>
      <c r="C439" s="1" t="n">
        <v>45835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14577-2022</t>
        </is>
      </c>
      <c r="B440" s="1" t="n">
        <v>44655</v>
      </c>
      <c r="C440" s="1" t="n">
        <v>45835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14750-2022</t>
        </is>
      </c>
      <c r="B441" s="1" t="n">
        <v>44656</v>
      </c>
      <c r="C441" s="1" t="n">
        <v>45835</v>
      </c>
      <c r="D441" t="inlineStr">
        <is>
          <t>GÄVLEBORGS LÄN</t>
        </is>
      </c>
      <c r="E441" t="inlineStr">
        <is>
          <t>GÄVLE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15101-2022</t>
        </is>
      </c>
      <c r="B442" s="1" t="n">
        <v>44658</v>
      </c>
      <c r="C442" s="1" t="n">
        <v>45835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15704-2022</t>
        </is>
      </c>
      <c r="B443" s="1" t="n">
        <v>44663</v>
      </c>
      <c r="C443" s="1" t="n">
        <v>45835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15686-2022</t>
        </is>
      </c>
      <c r="B444" s="1" t="n">
        <v>44663</v>
      </c>
      <c r="C444" s="1" t="n">
        <v>45835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15700-2022</t>
        </is>
      </c>
      <c r="B445" s="1" t="n">
        <v>44663</v>
      </c>
      <c r="C445" s="1" t="n">
        <v>45835</v>
      </c>
      <c r="D445" t="inlineStr">
        <is>
          <t>GÄVLEBORGS LÄN</t>
        </is>
      </c>
      <c r="E445" t="inlineStr">
        <is>
          <t>GÄVLE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16459-2022</t>
        </is>
      </c>
      <c r="B446" s="1" t="n">
        <v>44671</v>
      </c>
      <c r="C446" s="1" t="n">
        <v>45835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16469-2022</t>
        </is>
      </c>
      <c r="B447" s="1" t="n">
        <v>44671</v>
      </c>
      <c r="C447" s="1" t="n">
        <v>45835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16475-2022</t>
        </is>
      </c>
      <c r="B448" s="1" t="n">
        <v>44671</v>
      </c>
      <c r="C448" s="1" t="n">
        <v>45835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18168-2022</t>
        </is>
      </c>
      <c r="B449" s="1" t="n">
        <v>44684</v>
      </c>
      <c r="C449" s="1" t="n">
        <v>45835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18148-2022</t>
        </is>
      </c>
      <c r="B450" s="1" t="n">
        <v>44684</v>
      </c>
      <c r="C450" s="1" t="n">
        <v>45835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18162-2022</t>
        </is>
      </c>
      <c r="B451" s="1" t="n">
        <v>44684</v>
      </c>
      <c r="C451" s="1" t="n">
        <v>45835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18181-2022</t>
        </is>
      </c>
      <c r="B452" s="1" t="n">
        <v>44684</v>
      </c>
      <c r="C452" s="1" t="n">
        <v>45835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19095-2022</t>
        </is>
      </c>
      <c r="B453" s="1" t="n">
        <v>44691</v>
      </c>
      <c r="C453" s="1" t="n">
        <v>45835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19424-2022</t>
        </is>
      </c>
      <c r="B454" s="1" t="n">
        <v>44693</v>
      </c>
      <c r="C454" s="1" t="n">
        <v>45835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19555-2022</t>
        </is>
      </c>
      <c r="B455" s="1" t="n">
        <v>44693</v>
      </c>
      <c r="C455" s="1" t="n">
        <v>45835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19730-2022</t>
        </is>
      </c>
      <c r="B456" s="1" t="n">
        <v>44694</v>
      </c>
      <c r="C456" s="1" t="n">
        <v>45835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19712-2022</t>
        </is>
      </c>
      <c r="B457" s="1" t="n">
        <v>44694</v>
      </c>
      <c r="C457" s="1" t="n">
        <v>45835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20999-2022</t>
        </is>
      </c>
      <c r="B458" s="1" t="n">
        <v>44701</v>
      </c>
      <c r="C458" s="1" t="n">
        <v>45835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21437-2022</t>
        </is>
      </c>
      <c r="B459" s="1" t="n">
        <v>44706</v>
      </c>
      <c r="C459" s="1" t="n">
        <v>45835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21468-2022</t>
        </is>
      </c>
      <c r="B460" s="1" t="n">
        <v>44706</v>
      </c>
      <c r="C460" s="1" t="n">
        <v>45835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21795-2022</t>
        </is>
      </c>
      <c r="B461" s="1" t="n">
        <v>44708</v>
      </c>
      <c r="C461" s="1" t="n">
        <v>45835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22577-2022</t>
        </is>
      </c>
      <c r="B462" s="1" t="n">
        <v>44713</v>
      </c>
      <c r="C462" s="1" t="n">
        <v>45835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23400-2022</t>
        </is>
      </c>
      <c r="B463" s="1" t="n">
        <v>44720</v>
      </c>
      <c r="C463" s="1" t="n">
        <v>45835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25722-2022</t>
        </is>
      </c>
      <c r="B464" s="1" t="n">
        <v>44733</v>
      </c>
      <c r="C464" s="1" t="n">
        <v>45835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25768-2022</t>
        </is>
      </c>
      <c r="B465" s="1" t="n">
        <v>44733</v>
      </c>
      <c r="C465" s="1" t="n">
        <v>45835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25774-2022</t>
        </is>
      </c>
      <c r="B466" s="1" t="n">
        <v>44733</v>
      </c>
      <c r="C466" s="1" t="n">
        <v>45835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25938-2022</t>
        </is>
      </c>
      <c r="B467" s="1" t="n">
        <v>44734</v>
      </c>
      <c r="C467" s="1" t="n">
        <v>45835</v>
      </c>
      <c r="D467" t="inlineStr">
        <is>
          <t>GÄVLEBORGS LÄN</t>
        </is>
      </c>
      <c r="E467" t="inlineStr">
        <is>
          <t>GÄVLE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26249-2022</t>
        </is>
      </c>
      <c r="B468" s="1" t="n">
        <v>44735</v>
      </c>
      <c r="C468" s="1" t="n">
        <v>45835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26157-2022</t>
        </is>
      </c>
      <c r="B469" s="1" t="n">
        <v>44735</v>
      </c>
      <c r="C469" s="1" t="n">
        <v>45835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26336-2022</t>
        </is>
      </c>
      <c r="B470" s="1" t="n">
        <v>44735</v>
      </c>
      <c r="C470" s="1" t="n">
        <v>45835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</v>
      </c>
      <c r="C471" s="1" t="n">
        <v>45835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26349-2022</t>
        </is>
      </c>
      <c r="B472" s="1" t="n">
        <v>44735</v>
      </c>
      <c r="C472" s="1" t="n">
        <v>45835</v>
      </c>
      <c r="D472" t="inlineStr">
        <is>
          <t>GÄVLEBORGS LÄN</t>
        </is>
      </c>
      <c r="E472" t="inlineStr">
        <is>
          <t>GÄVLE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</v>
      </c>
      <c r="C473" s="1" t="n">
        <v>45835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27182-2022</t>
        </is>
      </c>
      <c r="B474" s="1" t="n">
        <v>44741</v>
      </c>
      <c r="C474" s="1" t="n">
        <v>45835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27355-2022</t>
        </is>
      </c>
      <c r="B475" s="1" t="n">
        <v>44742</v>
      </c>
      <c r="C475" s="1" t="n">
        <v>45835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28757-2022</t>
        </is>
      </c>
      <c r="B476" s="1" t="n">
        <v>44749</v>
      </c>
      <c r="C476" s="1" t="n">
        <v>45835</v>
      </c>
      <c r="D476" t="inlineStr">
        <is>
          <t>GÄVLEBORGS LÄN</t>
        </is>
      </c>
      <c r="E476" t="inlineStr">
        <is>
          <t>GÄVLE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45835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45835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45835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45835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45835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45835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45835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45835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45835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45835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45835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45835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45835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45835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45835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45835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45835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45835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45835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45835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45835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45835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45835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45835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45835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45835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45835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45835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45835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45835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45835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45835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45835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45835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45835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45835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45835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45835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45835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45835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45835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45835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45835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45835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45835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45835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45835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45835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45835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45835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45835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45835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45835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45835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45835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45835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45835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45835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45835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45835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45835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45835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45835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45835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45835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45835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45835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45835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45835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45835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45835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45835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45835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45835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45835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45835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45835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45835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45835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45835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45835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45835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45835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45835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45835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45835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45835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45835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45835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45835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45835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45835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45835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45835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45835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45835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45835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45835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45835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45835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45835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45835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45835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45835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45835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45835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45835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45835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45835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45835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45835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45835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45835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45835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45835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45835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45835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45835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45835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45835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45835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45835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45835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45835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45835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45835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45835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45835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45835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45835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45835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45835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45835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45835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45835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45835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45835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45835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45835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45835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45835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45835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45835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45835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45835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45835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45835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45835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45835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45835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45835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45835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45835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45835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45835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45835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45835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45835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45835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45835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45835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45835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45835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45835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45835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45835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45835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45835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45835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45835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45835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45835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45835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45835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45835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45835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45835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45835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45835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45835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45835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45835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45835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45835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45835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45835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45835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45835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45835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45835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45835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45835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45835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45835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45835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45835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45835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45835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45835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45835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45835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45835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45835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45835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45835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45835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45835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45835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45835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45835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45835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45835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45835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45835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45835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45835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45835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45835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45835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45835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45835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45835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45835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45835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45835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45835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45835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45835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45835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45835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45835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45835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45835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45835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45835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45835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45835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45835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45835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45835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HYPERLINK("https://klasma.github.io/Logging_2180/knärot/A 34786-2023 karta knärot.png", "A 34786-2023")</f>
        <v/>
      </c>
      <c r="V716">
        <f>HYPERLINK("https://klasma.github.io/Logging_2180/klagomål/A 34786-2023 FSC-klagomål.docx", "A 34786-2023")</f>
        <v/>
      </c>
      <c r="W716">
        <f>HYPERLINK("https://klasma.github.io/Logging_2180/klagomålsmail/A 34786-2023 FSC-klagomål mail.docx", "A 34786-2023")</f>
        <v/>
      </c>
      <c r="X716">
        <f>HYPERLINK("https://klasma.github.io/Logging_2180/tillsyn/A 34786-2023 tillsynsbegäran.docx", "A 34786-2023")</f>
        <v/>
      </c>
      <c r="Y716">
        <f>HYPERLINK("https://klasma.github.io/Logging_2180/tillsynsmail/A 34786-2023 tillsynsbegäran mail.docx", "A 34786-2023")</f>
        <v/>
      </c>
    </row>
    <row r="717" ht="15" customHeight="1">
      <c r="A717" t="inlineStr">
        <is>
          <t>A 35440-2023</t>
        </is>
      </c>
      <c r="B717" s="1" t="n">
        <v>45146</v>
      </c>
      <c r="C717" s="1" t="n">
        <v>45835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45835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45835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37341-2023</t>
        </is>
      </c>
      <c r="B720" s="1" t="n">
        <v>45156</v>
      </c>
      <c r="C720" s="1" t="n">
        <v>45835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37362-2023</t>
        </is>
      </c>
      <c r="B721" s="1" t="n">
        <v>45156</v>
      </c>
      <c r="C721" s="1" t="n">
        <v>45835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37534-2023</t>
        </is>
      </c>
      <c r="B722" s="1" t="n">
        <v>45159</v>
      </c>
      <c r="C722" s="1" t="n">
        <v>45835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37538-2023</t>
        </is>
      </c>
      <c r="B723" s="1" t="n">
        <v>45159</v>
      </c>
      <c r="C723" s="1" t="n">
        <v>45835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37592-2023</t>
        </is>
      </c>
      <c r="B724" s="1" t="n">
        <v>45159</v>
      </c>
      <c r="C724" s="1" t="n">
        <v>45835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37728-2023</t>
        </is>
      </c>
      <c r="B725" s="1" t="n">
        <v>45159</v>
      </c>
      <c r="C725" s="1" t="n">
        <v>45835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38235-2023</t>
        </is>
      </c>
      <c r="B726" s="1" t="n">
        <v>45161</v>
      </c>
      <c r="C726" s="1" t="n">
        <v>45835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38255-2023</t>
        </is>
      </c>
      <c r="B727" s="1" t="n">
        <v>45161</v>
      </c>
      <c r="C727" s="1" t="n">
        <v>45835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38495-2023</t>
        </is>
      </c>
      <c r="B728" s="1" t="n">
        <v>45162</v>
      </c>
      <c r="C728" s="1" t="n">
        <v>45835</v>
      </c>
      <c r="D728" t="inlineStr">
        <is>
          <t>GÄVLEBORGS LÄN</t>
        </is>
      </c>
      <c r="E728" t="inlineStr">
        <is>
          <t>GÄVLE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38558-2023</t>
        </is>
      </c>
      <c r="B729" s="1" t="n">
        <v>45162</v>
      </c>
      <c r="C729" s="1" t="n">
        <v>45835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39931-2023</t>
        </is>
      </c>
      <c r="B730" s="1" t="n">
        <v>45168</v>
      </c>
      <c r="C730" s="1" t="n">
        <v>45835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40091-2023</t>
        </is>
      </c>
      <c r="B731" s="1" t="n">
        <v>45169</v>
      </c>
      <c r="C731" s="1" t="n">
        <v>45835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40116-2023</t>
        </is>
      </c>
      <c r="B732" s="1" t="n">
        <v>45169</v>
      </c>
      <c r="C732" s="1" t="n">
        <v>45835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40092-2023</t>
        </is>
      </c>
      <c r="B733" s="1" t="n">
        <v>45169</v>
      </c>
      <c r="C733" s="1" t="n">
        <v>45835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40268-2023</t>
        </is>
      </c>
      <c r="B734" s="1" t="n">
        <v>45169</v>
      </c>
      <c r="C734" s="1" t="n">
        <v>45835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41712-2023</t>
        </is>
      </c>
      <c r="B735" s="1" t="n">
        <v>45176</v>
      </c>
      <c r="C735" s="1" t="n">
        <v>45835</v>
      </c>
      <c r="D735" t="inlineStr">
        <is>
          <t>GÄVLEBORGS LÄN</t>
        </is>
      </c>
      <c r="E735" t="inlineStr">
        <is>
          <t>GÄVLE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41842-2023</t>
        </is>
      </c>
      <c r="B736" s="1" t="n">
        <v>45176</v>
      </c>
      <c r="C736" s="1" t="n">
        <v>45835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41708-2023</t>
        </is>
      </c>
      <c r="B737" s="1" t="n">
        <v>45176</v>
      </c>
      <c r="C737" s="1" t="n">
        <v>45835</v>
      </c>
      <c r="D737" t="inlineStr">
        <is>
          <t>GÄVLEBORGS LÄN</t>
        </is>
      </c>
      <c r="E737" t="inlineStr">
        <is>
          <t>GÄVLE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41844-2023</t>
        </is>
      </c>
      <c r="B738" s="1" t="n">
        <v>45176</v>
      </c>
      <c r="C738" s="1" t="n">
        <v>45835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42934-2023</t>
        </is>
      </c>
      <c r="B739" s="1" t="n">
        <v>45182</v>
      </c>
      <c r="C739" s="1" t="n">
        <v>45835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45835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43553-2023</t>
        </is>
      </c>
      <c r="B741" s="1" t="n">
        <v>45184</v>
      </c>
      <c r="C741" s="1" t="n">
        <v>45835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43556-2023</t>
        </is>
      </c>
      <c r="B742" s="1" t="n">
        <v>45184</v>
      </c>
      <c r="C742" s="1" t="n">
        <v>45835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44063-2023</t>
        </is>
      </c>
      <c r="B743" s="1" t="n">
        <v>45188</v>
      </c>
      <c r="C743" s="1" t="n">
        <v>45835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45356-2023</t>
        </is>
      </c>
      <c r="B744" s="1" t="n">
        <v>45192</v>
      </c>
      <c r="C744" s="1" t="n">
        <v>45835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45360-2023</t>
        </is>
      </c>
      <c r="B745" s="1" t="n">
        <v>45192</v>
      </c>
      <c r="C745" s="1" t="n">
        <v>45835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45569-2023</t>
        </is>
      </c>
      <c r="B746" s="1" t="n">
        <v>45194</v>
      </c>
      <c r="C746" s="1" t="n">
        <v>45835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45559-2023</t>
        </is>
      </c>
      <c r="B747" s="1" t="n">
        <v>45194</v>
      </c>
      <c r="C747" s="1" t="n">
        <v>45835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45770-2023</t>
        </is>
      </c>
      <c r="B748" s="1" t="n">
        <v>45195</v>
      </c>
      <c r="C748" s="1" t="n">
        <v>45835</v>
      </c>
      <c r="D748" t="inlineStr">
        <is>
          <t>GÄVLEBORGS LÄN</t>
        </is>
      </c>
      <c r="E748" t="inlineStr">
        <is>
          <t>GÄVLE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45745-2023</t>
        </is>
      </c>
      <c r="B749" s="1" t="n">
        <v>45195</v>
      </c>
      <c r="C749" s="1" t="n">
        <v>45835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45750-2023</t>
        </is>
      </c>
      <c r="B750" s="1" t="n">
        <v>45195</v>
      </c>
      <c r="C750" s="1" t="n">
        <v>45835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46031-2023</t>
        </is>
      </c>
      <c r="B751" s="1" t="n">
        <v>45196</v>
      </c>
      <c r="C751" s="1" t="n">
        <v>45835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46532-2023</t>
        </is>
      </c>
      <c r="B752" s="1" t="n">
        <v>45197</v>
      </c>
      <c r="C752" s="1" t="n">
        <v>45835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46627-2023</t>
        </is>
      </c>
      <c r="B753" s="1" t="n">
        <v>45198</v>
      </c>
      <c r="C753" s="1" t="n">
        <v>45835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47742-2023</t>
        </is>
      </c>
      <c r="B754" s="1" t="n">
        <v>45203</v>
      </c>
      <c r="C754" s="1" t="n">
        <v>45835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47746-2023</t>
        </is>
      </c>
      <c r="B755" s="1" t="n">
        <v>45203</v>
      </c>
      <c r="C755" s="1" t="n">
        <v>45835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47743-2023</t>
        </is>
      </c>
      <c r="B756" s="1" t="n">
        <v>45203</v>
      </c>
      <c r="C756" s="1" t="n">
        <v>45835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47747-2023</t>
        </is>
      </c>
      <c r="B757" s="1" t="n">
        <v>45203</v>
      </c>
      <c r="C757" s="1" t="n">
        <v>45835</v>
      </c>
      <c r="D757" t="inlineStr">
        <is>
          <t>GÄVLEBORGS LÄN</t>
        </is>
      </c>
      <c r="E757" t="inlineStr">
        <is>
          <t>GÄVLE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47739-2023</t>
        </is>
      </c>
      <c r="B758" s="1" t="n">
        <v>45203</v>
      </c>
      <c r="C758" s="1" t="n">
        <v>45835</v>
      </c>
      <c r="D758" t="inlineStr">
        <is>
          <t>GÄVLEBORGS LÄN</t>
        </is>
      </c>
      <c r="E758" t="inlineStr">
        <is>
          <t>GÄVLE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47970-2023</t>
        </is>
      </c>
      <c r="B759" s="1" t="n">
        <v>45204</v>
      </c>
      <c r="C759" s="1" t="n">
        <v>45835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48012-2023</t>
        </is>
      </c>
      <c r="B760" s="1" t="n">
        <v>45204</v>
      </c>
      <c r="C760" s="1" t="n">
        <v>45835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48280-2023</t>
        </is>
      </c>
      <c r="B761" s="1" t="n">
        <v>45205</v>
      </c>
      <c r="C761" s="1" t="n">
        <v>45835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48519-2023</t>
        </is>
      </c>
      <c r="B762" s="1" t="n">
        <v>45208</v>
      </c>
      <c r="C762" s="1" t="n">
        <v>45835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48818-2023</t>
        </is>
      </c>
      <c r="B763" s="1" t="n">
        <v>45209</v>
      </c>
      <c r="C763" s="1" t="n">
        <v>45835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48861-2023</t>
        </is>
      </c>
      <c r="B764" s="1" t="n">
        <v>45209</v>
      </c>
      <c r="C764" s="1" t="n">
        <v>45835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48871-2023</t>
        </is>
      </c>
      <c r="B765" s="1" t="n">
        <v>45209</v>
      </c>
      <c r="C765" s="1" t="n">
        <v>45835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49414-2023</t>
        </is>
      </c>
      <c r="B766" s="1" t="n">
        <v>45211</v>
      </c>
      <c r="C766" s="1" t="n">
        <v>45835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49836-2023</t>
        </is>
      </c>
      <c r="B767" s="1" t="n">
        <v>45212</v>
      </c>
      <c r="C767" s="1" t="n">
        <v>45835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49824-2023</t>
        </is>
      </c>
      <c r="B768" s="1" t="n">
        <v>45212</v>
      </c>
      <c r="C768" s="1" t="n">
        <v>45835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49832-2023</t>
        </is>
      </c>
      <c r="B769" s="1" t="n">
        <v>45212</v>
      </c>
      <c r="C769" s="1" t="n">
        <v>45835</v>
      </c>
      <c r="D769" t="inlineStr">
        <is>
          <t>GÄVLEBORGS LÄN</t>
        </is>
      </c>
      <c r="E769" t="inlineStr">
        <is>
          <t>GÄVLE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50575-2023</t>
        </is>
      </c>
      <c r="B770" s="1" t="n">
        <v>45217</v>
      </c>
      <c r="C770" s="1" t="n">
        <v>45835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50582-2023</t>
        </is>
      </c>
      <c r="B771" s="1" t="n">
        <v>45217</v>
      </c>
      <c r="C771" s="1" t="n">
        <v>45835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50569-2023</t>
        </is>
      </c>
      <c r="B772" s="1" t="n">
        <v>45217</v>
      </c>
      <c r="C772" s="1" t="n">
        <v>45835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50907-2023</t>
        </is>
      </c>
      <c r="B773" s="1" t="n">
        <v>45218</v>
      </c>
      <c r="C773" s="1" t="n">
        <v>45835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51071-2023</t>
        </is>
      </c>
      <c r="B774" s="1" t="n">
        <v>45218</v>
      </c>
      <c r="C774" s="1" t="n">
        <v>45835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50980-2023</t>
        </is>
      </c>
      <c r="B775" s="1" t="n">
        <v>45218</v>
      </c>
      <c r="C775" s="1" t="n">
        <v>45835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51265-2023</t>
        </is>
      </c>
      <c r="B776" s="1" t="n">
        <v>45219</v>
      </c>
      <c r="C776" s="1" t="n">
        <v>45835</v>
      </c>
      <c r="D776" t="inlineStr">
        <is>
          <t>GÄVLEBORGS LÄN</t>
        </is>
      </c>
      <c r="E776" t="inlineStr">
        <is>
          <t>GÄVLE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51249-2023</t>
        </is>
      </c>
      <c r="B777" s="1" t="n">
        <v>45219</v>
      </c>
      <c r="C777" s="1" t="n">
        <v>45835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51454-2023</t>
        </is>
      </c>
      <c r="B778" s="1" t="n">
        <v>45220</v>
      </c>
      <c r="C778" s="1" t="n">
        <v>45835</v>
      </c>
      <c r="D778" t="inlineStr">
        <is>
          <t>GÄVLEBORGS LÄN</t>
        </is>
      </c>
      <c r="E778" t="inlineStr">
        <is>
          <t>GÄVLE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51838-2023</t>
        </is>
      </c>
      <c r="B779" s="1" t="n">
        <v>45223</v>
      </c>
      <c r="C779" s="1" t="n">
        <v>45835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51876-2023</t>
        </is>
      </c>
      <c r="B780" s="1" t="n">
        <v>45223</v>
      </c>
      <c r="C780" s="1" t="n">
        <v>45835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52170-2023</t>
        </is>
      </c>
      <c r="B781" s="1" t="n">
        <v>45224</v>
      </c>
      <c r="C781" s="1" t="n">
        <v>45835</v>
      </c>
      <c r="D781" t="inlineStr">
        <is>
          <t>GÄVLEBORGS LÄN</t>
        </is>
      </c>
      <c r="E781" t="inlineStr">
        <is>
          <t>GÄVLE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53270-2023</t>
        </is>
      </c>
      <c r="B782" s="1" t="n">
        <v>45229</v>
      </c>
      <c r="C782" s="1" t="n">
        <v>45835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53198-2023</t>
        </is>
      </c>
      <c r="B783" s="1" t="n">
        <v>45229</v>
      </c>
      <c r="C783" s="1" t="n">
        <v>45835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55473-2023</t>
        </is>
      </c>
      <c r="B784" s="1" t="n">
        <v>45231</v>
      </c>
      <c r="C784" s="1" t="n">
        <v>45835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54119-2023</t>
        </is>
      </c>
      <c r="B785" s="1" t="n">
        <v>45232</v>
      </c>
      <c r="C785" s="1" t="n">
        <v>45835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54147-2023</t>
        </is>
      </c>
      <c r="B786" s="1" t="n">
        <v>45232</v>
      </c>
      <c r="C786" s="1" t="n">
        <v>45835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54202-2023</t>
        </is>
      </c>
      <c r="B787" s="1" t="n">
        <v>45232</v>
      </c>
      <c r="C787" s="1" t="n">
        <v>45835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54207-2023</t>
        </is>
      </c>
      <c r="B788" s="1" t="n">
        <v>45232</v>
      </c>
      <c r="C788" s="1" t="n">
        <v>45835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54126-2023</t>
        </is>
      </c>
      <c r="B789" s="1" t="n">
        <v>45232</v>
      </c>
      <c r="C789" s="1" t="n">
        <v>45835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54157-2023</t>
        </is>
      </c>
      <c r="B790" s="1" t="n">
        <v>45232</v>
      </c>
      <c r="C790" s="1" t="n">
        <v>45835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54183-2023</t>
        </is>
      </c>
      <c r="B791" s="1" t="n">
        <v>45232</v>
      </c>
      <c r="C791" s="1" t="n">
        <v>45835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54268-2023</t>
        </is>
      </c>
      <c r="B792" s="1" t="n">
        <v>45232</v>
      </c>
      <c r="C792" s="1" t="n">
        <v>45835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55571-2023</t>
        </is>
      </c>
      <c r="B793" s="1" t="n">
        <v>45238</v>
      </c>
      <c r="C793" s="1" t="n">
        <v>45835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55854-2023</t>
        </is>
      </c>
      <c r="B794" s="1" t="n">
        <v>45239</v>
      </c>
      <c r="C794" s="1" t="n">
        <v>45835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56138-2023</t>
        </is>
      </c>
      <c r="B795" s="1" t="n">
        <v>45240</v>
      </c>
      <c r="C795" s="1" t="n">
        <v>45835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56446-2023</t>
        </is>
      </c>
      <c r="B796" s="1" t="n">
        <v>45243</v>
      </c>
      <c r="C796" s="1" t="n">
        <v>45835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56457-2023</t>
        </is>
      </c>
      <c r="B797" s="1" t="n">
        <v>45243</v>
      </c>
      <c r="C797" s="1" t="n">
        <v>45835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56487-2023</t>
        </is>
      </c>
      <c r="B798" s="1" t="n">
        <v>45243</v>
      </c>
      <c r="C798" s="1" t="n">
        <v>45835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56456-2023</t>
        </is>
      </c>
      <c r="B799" s="1" t="n">
        <v>45243</v>
      </c>
      <c r="C799" s="1" t="n">
        <v>45835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56462-2023</t>
        </is>
      </c>
      <c r="B800" s="1" t="n">
        <v>45243</v>
      </c>
      <c r="C800" s="1" t="n">
        <v>45835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56447-2023</t>
        </is>
      </c>
      <c r="B801" s="1" t="n">
        <v>45243</v>
      </c>
      <c r="C801" s="1" t="n">
        <v>45835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57156-2023</t>
        </is>
      </c>
      <c r="B802" s="1" t="n">
        <v>45245</v>
      </c>
      <c r="C802" s="1" t="n">
        <v>45835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57161-2023</t>
        </is>
      </c>
      <c r="B803" s="1" t="n">
        <v>45245</v>
      </c>
      <c r="C803" s="1" t="n">
        <v>45835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57171-2023</t>
        </is>
      </c>
      <c r="B804" s="1" t="n">
        <v>45245</v>
      </c>
      <c r="C804" s="1" t="n">
        <v>45835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57341-2023</t>
        </is>
      </c>
      <c r="B805" s="1" t="n">
        <v>45245</v>
      </c>
      <c r="C805" s="1" t="n">
        <v>45835</v>
      </c>
      <c r="D805" t="inlineStr">
        <is>
          <t>GÄVLEBORGS LÄN</t>
        </is>
      </c>
      <c r="E805" t="inlineStr">
        <is>
          <t>GÄVLE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57177-2023</t>
        </is>
      </c>
      <c r="B806" s="1" t="n">
        <v>45245</v>
      </c>
      <c r="C806" s="1" t="n">
        <v>45835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57184-2023</t>
        </is>
      </c>
      <c r="B807" s="1" t="n">
        <v>45245</v>
      </c>
      <c r="C807" s="1" t="n">
        <v>45835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57122-2023</t>
        </is>
      </c>
      <c r="B808" s="1" t="n">
        <v>45245</v>
      </c>
      <c r="C808" s="1" t="n">
        <v>45835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57166-2023</t>
        </is>
      </c>
      <c r="B809" s="1" t="n">
        <v>45245</v>
      </c>
      <c r="C809" s="1" t="n">
        <v>45835</v>
      </c>
      <c r="D809" t="inlineStr">
        <is>
          <t>GÄVLEBORGS LÄN</t>
        </is>
      </c>
      <c r="E809" t="inlineStr">
        <is>
          <t>GÄVLE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</v>
      </c>
      <c r="C810" s="1" t="n">
        <v>45835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57857-2023</t>
        </is>
      </c>
      <c r="B811" s="1" t="n">
        <v>45247</v>
      </c>
      <c r="C811" s="1" t="n">
        <v>45835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58153-2023</t>
        </is>
      </c>
      <c r="B812" s="1" t="n">
        <v>45250</v>
      </c>
      <c r="C812" s="1" t="n">
        <v>45835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58867-2023</t>
        </is>
      </c>
      <c r="B813" s="1" t="n">
        <v>45252</v>
      </c>
      <c r="C813" s="1" t="n">
        <v>45835</v>
      </c>
      <c r="D813" t="inlineStr">
        <is>
          <t>GÄVLEBORGS LÄN</t>
        </is>
      </c>
      <c r="E813" t="inlineStr">
        <is>
          <t>GÄVLE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59044-2023</t>
        </is>
      </c>
      <c r="B814" s="1" t="n">
        <v>45252</v>
      </c>
      <c r="C814" s="1" t="n">
        <v>45835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59196-2023</t>
        </is>
      </c>
      <c r="B815" s="1" t="n">
        <v>45253</v>
      </c>
      <c r="C815" s="1" t="n">
        <v>45835</v>
      </c>
      <c r="D815" t="inlineStr">
        <is>
          <t>GÄVLEBORGS LÄN</t>
        </is>
      </c>
      <c r="E815" t="inlineStr">
        <is>
          <t>GÄVLE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59359-2023</t>
        </is>
      </c>
      <c r="B816" s="1" t="n">
        <v>45253</v>
      </c>
      <c r="C816" s="1" t="n">
        <v>45835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59363-2023</t>
        </is>
      </c>
      <c r="B817" s="1" t="n">
        <v>45253</v>
      </c>
      <c r="C817" s="1" t="n">
        <v>45835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59672-2023</t>
        </is>
      </c>
      <c r="B818" s="1" t="n">
        <v>45255</v>
      </c>
      <c r="C818" s="1" t="n">
        <v>45835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59817-2023</t>
        </is>
      </c>
      <c r="B819" s="1" t="n">
        <v>45257</v>
      </c>
      <c r="C819" s="1" t="n">
        <v>45835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45835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45835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45835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45835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60502-2023</t>
        </is>
      </c>
      <c r="B824" s="1" t="n">
        <v>45259</v>
      </c>
      <c r="C824" s="1" t="n">
        <v>45835</v>
      </c>
      <c r="D824" t="inlineStr">
        <is>
          <t>GÄVLEBORGS LÄN</t>
        </is>
      </c>
      <c r="E824" t="inlineStr">
        <is>
          <t>GÄVLE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60885-2023</t>
        </is>
      </c>
      <c r="B825" s="1" t="n">
        <v>45261</v>
      </c>
      <c r="C825" s="1" t="n">
        <v>45835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60879-2023</t>
        </is>
      </c>
      <c r="B826" s="1" t="n">
        <v>45261</v>
      </c>
      <c r="C826" s="1" t="n">
        <v>45835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61231-2023</t>
        </is>
      </c>
      <c r="B827" s="1" t="n">
        <v>45264</v>
      </c>
      <c r="C827" s="1" t="n">
        <v>45835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45835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45835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61672-2023</t>
        </is>
      </c>
      <c r="B830" s="1" t="n">
        <v>45265</v>
      </c>
      <c r="C830" s="1" t="n">
        <v>45835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61819-2023</t>
        </is>
      </c>
      <c r="B831" s="1" t="n">
        <v>45266</v>
      </c>
      <c r="C831" s="1" t="n">
        <v>45835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61823-2023</t>
        </is>
      </c>
      <c r="B832" s="1" t="n">
        <v>45266</v>
      </c>
      <c r="C832" s="1" t="n">
        <v>45835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61918-2023</t>
        </is>
      </c>
      <c r="B833" s="1" t="n">
        <v>45266</v>
      </c>
      <c r="C833" s="1" t="n">
        <v>45835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61843-2023</t>
        </is>
      </c>
      <c r="B834" s="1" t="n">
        <v>45266</v>
      </c>
      <c r="C834" s="1" t="n">
        <v>45835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61813-2023</t>
        </is>
      </c>
      <c r="B835" s="1" t="n">
        <v>45266</v>
      </c>
      <c r="C835" s="1" t="n">
        <v>45835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45835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62063-2023</t>
        </is>
      </c>
      <c r="B837" s="1" t="n">
        <v>45266</v>
      </c>
      <c r="C837" s="1" t="n">
        <v>45835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45835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45835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45835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63036-2023</t>
        </is>
      </c>
      <c r="B841" s="1" t="n">
        <v>45272</v>
      </c>
      <c r="C841" s="1" t="n">
        <v>45835</v>
      </c>
      <c r="D841" t="inlineStr">
        <is>
          <t>GÄVLEBORGS LÄN</t>
        </is>
      </c>
      <c r="E841" t="inlineStr">
        <is>
          <t>GÄVLE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63845-2023</t>
        </is>
      </c>
      <c r="B842" s="1" t="n">
        <v>45278</v>
      </c>
      <c r="C842" s="1" t="n">
        <v>45835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63870-2023</t>
        </is>
      </c>
      <c r="B843" s="1" t="n">
        <v>45278</v>
      </c>
      <c r="C843" s="1" t="n">
        <v>45835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64095-2023</t>
        </is>
      </c>
      <c r="B844" s="1" t="n">
        <v>45279</v>
      </c>
      <c r="C844" s="1" t="n">
        <v>45835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64868-2023</t>
        </is>
      </c>
      <c r="B845" s="1" t="n">
        <v>45282</v>
      </c>
      <c r="C845" s="1" t="n">
        <v>45835</v>
      </c>
      <c r="D845" t="inlineStr">
        <is>
          <t>GÄVLEBORGS LÄN</t>
        </is>
      </c>
      <c r="E845" t="inlineStr">
        <is>
          <t>GÄVLE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64878-2023</t>
        </is>
      </c>
      <c r="B846" s="1" t="n">
        <v>45282</v>
      </c>
      <c r="C846" s="1" t="n">
        <v>45835</v>
      </c>
      <c r="D846" t="inlineStr">
        <is>
          <t>GÄVLEBORGS LÄN</t>
        </is>
      </c>
      <c r="E846" t="inlineStr">
        <is>
          <t>GÄVLE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64871-2023</t>
        </is>
      </c>
      <c r="B847" s="1" t="n">
        <v>45282</v>
      </c>
      <c r="C847" s="1" t="n">
        <v>45835</v>
      </c>
      <c r="D847" t="inlineStr">
        <is>
          <t>GÄVLEBORGS LÄN</t>
        </is>
      </c>
      <c r="E847" t="inlineStr">
        <is>
          <t>GÄVLE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45835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64873-2023</t>
        </is>
      </c>
      <c r="B849" s="1" t="n">
        <v>45282</v>
      </c>
      <c r="C849" s="1" t="n">
        <v>45835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45835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21-2024</t>
        </is>
      </c>
      <c r="B851" s="1" t="n">
        <v>45293</v>
      </c>
      <c r="C851" s="1" t="n">
        <v>45835</v>
      </c>
      <c r="D851" t="inlineStr">
        <is>
          <t>GÄVLEBORGS LÄN</t>
        </is>
      </c>
      <c r="E851" t="inlineStr">
        <is>
          <t>GÄVLE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25-2024</t>
        </is>
      </c>
      <c r="B852" s="1" t="n">
        <v>45293</v>
      </c>
      <c r="C852" s="1" t="n">
        <v>45835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45835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45835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45835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308-2024</t>
        </is>
      </c>
      <c r="B856" s="1" t="n">
        <v>45295</v>
      </c>
      <c r="C856" s="1" t="n">
        <v>45835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768-2024</t>
        </is>
      </c>
      <c r="B857" s="1" t="n">
        <v>45300</v>
      </c>
      <c r="C857" s="1" t="n">
        <v>45835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1059-2024</t>
        </is>
      </c>
      <c r="B858" s="1" t="n">
        <v>45301</v>
      </c>
      <c r="C858" s="1" t="n">
        <v>45835</v>
      </c>
      <c r="D858" t="inlineStr">
        <is>
          <t>GÄVLEBORGS LÄN</t>
        </is>
      </c>
      <c r="E858" t="inlineStr">
        <is>
          <t>GÄVLE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1121-2024</t>
        </is>
      </c>
      <c r="B859" s="1" t="n">
        <v>45302</v>
      </c>
      <c r="C859" s="1" t="n">
        <v>45835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45835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1296-2024</t>
        </is>
      </c>
      <c r="B861" s="1" t="n">
        <v>45303</v>
      </c>
      <c r="C861" s="1" t="n">
        <v>45835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</v>
      </c>
      <c r="C862" s="1" t="n">
        <v>45835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1882-2024</t>
        </is>
      </c>
      <c r="B863" s="1" t="n">
        <v>45308</v>
      </c>
      <c r="C863" s="1" t="n">
        <v>45835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2458-2024</t>
        </is>
      </c>
      <c r="B864" s="1" t="n">
        <v>45312</v>
      </c>
      <c r="C864" s="1" t="n">
        <v>45835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2457-2024</t>
        </is>
      </c>
      <c r="B865" s="1" t="n">
        <v>45312</v>
      </c>
      <c r="C865" s="1" t="n">
        <v>45835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2461-2024</t>
        </is>
      </c>
      <c r="B866" s="1" t="n">
        <v>45312</v>
      </c>
      <c r="C866" s="1" t="n">
        <v>45835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3334-2024</t>
        </is>
      </c>
      <c r="B867" s="1" t="n">
        <v>45317</v>
      </c>
      <c r="C867" s="1" t="n">
        <v>45835</v>
      </c>
      <c r="D867" t="inlineStr">
        <is>
          <t>GÄVLEBORGS LÄN</t>
        </is>
      </c>
      <c r="E867" t="inlineStr">
        <is>
          <t>GÄVLE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3337-2024</t>
        </is>
      </c>
      <c r="B868" s="1" t="n">
        <v>45317</v>
      </c>
      <c r="C868" s="1" t="n">
        <v>45835</v>
      </c>
      <c r="D868" t="inlineStr">
        <is>
          <t>GÄVLEBORGS LÄN</t>
        </is>
      </c>
      <c r="E868" t="inlineStr">
        <is>
          <t>GÄVLE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3426-2024</t>
        </is>
      </c>
      <c r="B869" s="1" t="n">
        <v>45319</v>
      </c>
      <c r="C869" s="1" t="n">
        <v>45835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3615-2024</t>
        </is>
      </c>
      <c r="B870" s="1" t="n">
        <v>45320</v>
      </c>
      <c r="C870" s="1" t="n">
        <v>45835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3862-2024</t>
        </is>
      </c>
      <c r="B871" s="1" t="n">
        <v>45322</v>
      </c>
      <c r="C871" s="1" t="n">
        <v>45835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4290-2024</t>
        </is>
      </c>
      <c r="B872" s="1" t="n">
        <v>45324</v>
      </c>
      <c r="C872" s="1" t="n">
        <v>45835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4294-2024</t>
        </is>
      </c>
      <c r="B873" s="1" t="n">
        <v>45324</v>
      </c>
      <c r="C873" s="1" t="n">
        <v>45835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45835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4814-2024</t>
        </is>
      </c>
      <c r="B875" s="1" t="n">
        <v>45328</v>
      </c>
      <c r="C875" s="1" t="n">
        <v>45835</v>
      </c>
      <c r="D875" t="inlineStr">
        <is>
          <t>GÄVLEBORGS LÄN</t>
        </is>
      </c>
      <c r="E875" t="inlineStr">
        <is>
          <t>GÄVLE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5000-2024</t>
        </is>
      </c>
      <c r="B876" s="1" t="n">
        <v>45329</v>
      </c>
      <c r="C876" s="1" t="n">
        <v>45835</v>
      </c>
      <c r="D876" t="inlineStr">
        <is>
          <t>GÄVLEBORGS LÄN</t>
        </is>
      </c>
      <c r="E876" t="inlineStr">
        <is>
          <t>GÄVLE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5243-2024</t>
        </is>
      </c>
      <c r="B877" s="1" t="n">
        <v>45330</v>
      </c>
      <c r="C877" s="1" t="n">
        <v>45835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5241-2024</t>
        </is>
      </c>
      <c r="B878" s="1" t="n">
        <v>45330</v>
      </c>
      <c r="C878" s="1" t="n">
        <v>45835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5605-2024</t>
        </is>
      </c>
      <c r="B879" s="1" t="n">
        <v>45334</v>
      </c>
      <c r="C879" s="1" t="n">
        <v>45835</v>
      </c>
      <c r="D879" t="inlineStr">
        <is>
          <t>GÄVLEBORGS LÄN</t>
        </is>
      </c>
      <c r="E879" t="inlineStr">
        <is>
          <t>GÄVLE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5633-2024</t>
        </is>
      </c>
      <c r="B880" s="1" t="n">
        <v>45334</v>
      </c>
      <c r="C880" s="1" t="n">
        <v>45835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5893-2024</t>
        </is>
      </c>
      <c r="B881" s="1" t="n">
        <v>45335</v>
      </c>
      <c r="C881" s="1" t="n">
        <v>45835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6474-2024</t>
        </is>
      </c>
      <c r="B882" s="1" t="n">
        <v>45338</v>
      </c>
      <c r="C882" s="1" t="n">
        <v>45835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7298-2024</t>
        </is>
      </c>
      <c r="B883" s="1" t="n">
        <v>45344</v>
      </c>
      <c r="C883" s="1" t="n">
        <v>45835</v>
      </c>
      <c r="D883" t="inlineStr">
        <is>
          <t>GÄVLEBORGS LÄN</t>
        </is>
      </c>
      <c r="E883" t="inlineStr">
        <is>
          <t>GÄVLE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7297-2024</t>
        </is>
      </c>
      <c r="B884" s="1" t="n">
        <v>45344</v>
      </c>
      <c r="C884" s="1" t="n">
        <v>45835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7915-2024</t>
        </is>
      </c>
      <c r="B885" s="1" t="n">
        <v>45350</v>
      </c>
      <c r="C885" s="1" t="n">
        <v>45835</v>
      </c>
      <c r="D885" t="inlineStr">
        <is>
          <t>GÄVLEBORGS LÄN</t>
        </is>
      </c>
      <c r="E885" t="inlineStr">
        <is>
          <t>GÄVLE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7923-2024</t>
        </is>
      </c>
      <c r="B886" s="1" t="n">
        <v>45350</v>
      </c>
      <c r="C886" s="1" t="n">
        <v>45835</v>
      </c>
      <c r="D886" t="inlineStr">
        <is>
          <t>GÄVLEBORGS LÄN</t>
        </is>
      </c>
      <c r="E886" t="inlineStr">
        <is>
          <t>GÄVLE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7899-2024</t>
        </is>
      </c>
      <c r="B887" s="1" t="n">
        <v>45350</v>
      </c>
      <c r="C887" s="1" t="n">
        <v>45835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7920-2024</t>
        </is>
      </c>
      <c r="B888" s="1" t="n">
        <v>45350</v>
      </c>
      <c r="C888" s="1" t="n">
        <v>45835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7926-2024</t>
        </is>
      </c>
      <c r="B889" s="1" t="n">
        <v>45350</v>
      </c>
      <c r="C889" s="1" t="n">
        <v>45835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8031-2024</t>
        </is>
      </c>
      <c r="B890" s="1" t="n">
        <v>45350</v>
      </c>
      <c r="C890" s="1" t="n">
        <v>45835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8691-2024</t>
        </is>
      </c>
      <c r="B891" s="1" t="n">
        <v>45356</v>
      </c>
      <c r="C891" s="1" t="n">
        <v>45835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8693-2024</t>
        </is>
      </c>
      <c r="B892" s="1" t="n">
        <v>45356</v>
      </c>
      <c r="C892" s="1" t="n">
        <v>45835</v>
      </c>
      <c r="D892" t="inlineStr">
        <is>
          <t>GÄVLEBORGS LÄN</t>
        </is>
      </c>
      <c r="E892" t="inlineStr">
        <is>
          <t>GÄVLE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11413-2024</t>
        </is>
      </c>
      <c r="B893" s="1" t="n">
        <v>45372</v>
      </c>
      <c r="C893" s="1" t="n">
        <v>45835</v>
      </c>
      <c r="D893" t="inlineStr">
        <is>
          <t>GÄVLEBORGS LÄN</t>
        </is>
      </c>
      <c r="E893" t="inlineStr">
        <is>
          <t>GÄVLE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11407-2024</t>
        </is>
      </c>
      <c r="B894" s="1" t="n">
        <v>45372</v>
      </c>
      <c r="C894" s="1" t="n">
        <v>45835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11402-2024</t>
        </is>
      </c>
      <c r="B895" s="1" t="n">
        <v>45372</v>
      </c>
      <c r="C895" s="1" t="n">
        <v>45835</v>
      </c>
      <c r="D895" t="inlineStr">
        <is>
          <t>GÄVLEBORGS LÄN</t>
        </is>
      </c>
      <c r="E895" t="inlineStr">
        <is>
          <t>GÄVLE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11691-2024</t>
        </is>
      </c>
      <c r="B896" s="1" t="n">
        <v>45373</v>
      </c>
      <c r="C896" s="1" t="n">
        <v>45835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12068-2024</t>
        </is>
      </c>
      <c r="B897" s="1" t="n">
        <v>45377</v>
      </c>
      <c r="C897" s="1" t="n">
        <v>45835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12413-2024</t>
        </is>
      </c>
      <c r="B898" s="1" t="n">
        <v>45379</v>
      </c>
      <c r="C898" s="1" t="n">
        <v>45835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12437-2024</t>
        </is>
      </c>
      <c r="B899" s="1" t="n">
        <v>45379</v>
      </c>
      <c r="C899" s="1" t="n">
        <v>45835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12415-2024</t>
        </is>
      </c>
      <c r="B900" s="1" t="n">
        <v>45379</v>
      </c>
      <c r="C900" s="1" t="n">
        <v>45835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12430-2024</t>
        </is>
      </c>
      <c r="B901" s="1" t="n">
        <v>45379</v>
      </c>
      <c r="C901" s="1" t="n">
        <v>45835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13229-2024</t>
        </is>
      </c>
      <c r="B902" s="1" t="n">
        <v>45386</v>
      </c>
      <c r="C902" s="1" t="n">
        <v>45835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45835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13362-2024</t>
        </is>
      </c>
      <c r="B904" s="1" t="n">
        <v>45387</v>
      </c>
      <c r="C904" s="1" t="n">
        <v>45835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13369-2024</t>
        </is>
      </c>
      <c r="B905" s="1" t="n">
        <v>45387</v>
      </c>
      <c r="C905" s="1" t="n">
        <v>45835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13603-2024</t>
        </is>
      </c>
      <c r="B906" s="1" t="n">
        <v>45390</v>
      </c>
      <c r="C906" s="1" t="n">
        <v>45835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13680-2024</t>
        </is>
      </c>
      <c r="B907" s="1" t="n">
        <v>45390</v>
      </c>
      <c r="C907" s="1" t="n">
        <v>45835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13961-2024</t>
        </is>
      </c>
      <c r="B908" s="1" t="n">
        <v>45392</v>
      </c>
      <c r="C908" s="1" t="n">
        <v>45835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14686-2024</t>
        </is>
      </c>
      <c r="B909" s="1" t="n">
        <v>45397</v>
      </c>
      <c r="C909" s="1" t="n">
        <v>45835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14721-2024</t>
        </is>
      </c>
      <c r="B910" s="1" t="n">
        <v>45397</v>
      </c>
      <c r="C910" s="1" t="n">
        <v>45835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14735-2024</t>
        </is>
      </c>
      <c r="B911" s="1" t="n">
        <v>45397</v>
      </c>
      <c r="C911" s="1" t="n">
        <v>45835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14712-2024</t>
        </is>
      </c>
      <c r="B912" s="1" t="n">
        <v>45397</v>
      </c>
      <c r="C912" s="1" t="n">
        <v>45835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14691-2024</t>
        </is>
      </c>
      <c r="B913" s="1" t="n">
        <v>45397</v>
      </c>
      <c r="C913" s="1" t="n">
        <v>45835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14719-2024</t>
        </is>
      </c>
      <c r="B914" s="1" t="n">
        <v>45397</v>
      </c>
      <c r="C914" s="1" t="n">
        <v>45835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14832-2024</t>
        </is>
      </c>
      <c r="B915" s="1" t="n">
        <v>45398</v>
      </c>
      <c r="C915" s="1" t="n">
        <v>45835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14862-2024</t>
        </is>
      </c>
      <c r="B916" s="1" t="n">
        <v>45398</v>
      </c>
      <c r="C916" s="1" t="n">
        <v>45835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14881-2024</t>
        </is>
      </c>
      <c r="B917" s="1" t="n">
        <v>45398</v>
      </c>
      <c r="C917" s="1" t="n">
        <v>45835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14916-2024</t>
        </is>
      </c>
      <c r="B918" s="1" t="n">
        <v>45398</v>
      </c>
      <c r="C918" s="1" t="n">
        <v>45835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14924-2024</t>
        </is>
      </c>
      <c r="B919" s="1" t="n">
        <v>45398</v>
      </c>
      <c r="C919" s="1" t="n">
        <v>45835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14886-2024</t>
        </is>
      </c>
      <c r="B920" s="1" t="n">
        <v>45398</v>
      </c>
      <c r="C920" s="1" t="n">
        <v>45835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14864-2024</t>
        </is>
      </c>
      <c r="B921" s="1" t="n">
        <v>45398</v>
      </c>
      <c r="C921" s="1" t="n">
        <v>45835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45835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14899-2024</t>
        </is>
      </c>
      <c r="B923" s="1" t="n">
        <v>45398</v>
      </c>
      <c r="C923" s="1" t="n">
        <v>45835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15026-2024</t>
        </is>
      </c>
      <c r="B924" s="1" t="n">
        <v>45399</v>
      </c>
      <c r="C924" s="1" t="n">
        <v>45835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15068-2024</t>
        </is>
      </c>
      <c r="B925" s="1" t="n">
        <v>45399</v>
      </c>
      <c r="C925" s="1" t="n">
        <v>45835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15027-2024</t>
        </is>
      </c>
      <c r="B926" s="1" t="n">
        <v>45399</v>
      </c>
      <c r="C926" s="1" t="n">
        <v>45835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15032-2024</t>
        </is>
      </c>
      <c r="B927" s="1" t="n">
        <v>45399</v>
      </c>
      <c r="C927" s="1" t="n">
        <v>45835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30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15305-2024</t>
        </is>
      </c>
      <c r="B928" s="1" t="n">
        <v>45400</v>
      </c>
      <c r="C928" s="1" t="n">
        <v>45835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15207-2024</t>
        </is>
      </c>
      <c r="B929" s="1" t="n">
        <v>45400</v>
      </c>
      <c r="C929" s="1" t="n">
        <v>45835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15240-2024</t>
        </is>
      </c>
      <c r="B930" s="1" t="n">
        <v>45400</v>
      </c>
      <c r="C930" s="1" t="n">
        <v>45835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15444-2024</t>
        </is>
      </c>
      <c r="B931" s="1" t="n">
        <v>45401</v>
      </c>
      <c r="C931" s="1" t="n">
        <v>45835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15742-2024</t>
        </is>
      </c>
      <c r="B932" s="1" t="n">
        <v>45404</v>
      </c>
      <c r="C932" s="1" t="n">
        <v>45835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15707-2024</t>
        </is>
      </c>
      <c r="B933" s="1" t="n">
        <v>45404</v>
      </c>
      <c r="C933" s="1" t="n">
        <v>45835</v>
      </c>
      <c r="D933" t="inlineStr">
        <is>
          <t>GÄVLEBORGS LÄN</t>
        </is>
      </c>
      <c r="E933" t="inlineStr">
        <is>
          <t>GÄVLE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15853-2024</t>
        </is>
      </c>
      <c r="B934" s="1" t="n">
        <v>45404</v>
      </c>
      <c r="C934" s="1" t="n">
        <v>45835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15976-2024</t>
        </is>
      </c>
      <c r="B935" s="1" t="n">
        <v>45405</v>
      </c>
      <c r="C935" s="1" t="n">
        <v>45835</v>
      </c>
      <c r="D935" t="inlineStr">
        <is>
          <t>GÄVLEBORGS LÄN</t>
        </is>
      </c>
      <c r="E935" t="inlineStr">
        <is>
          <t>GÄVLE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16546-2024</t>
        </is>
      </c>
      <c r="B936" s="1" t="n">
        <v>45408</v>
      </c>
      <c r="C936" s="1" t="n">
        <v>45835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17113-2024</t>
        </is>
      </c>
      <c r="B937" s="1" t="n">
        <v>45412</v>
      </c>
      <c r="C937" s="1" t="n">
        <v>45835</v>
      </c>
      <c r="D937" t="inlineStr">
        <is>
          <t>GÄVLEBORGS LÄN</t>
        </is>
      </c>
      <c r="E937" t="inlineStr">
        <is>
          <t>GÄVLE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17241-2024</t>
        </is>
      </c>
      <c r="B938" s="1" t="n">
        <v>45414</v>
      </c>
      <c r="C938" s="1" t="n">
        <v>45835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45835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17247-2024</t>
        </is>
      </c>
      <c r="B940" s="1" t="n">
        <v>45414</v>
      </c>
      <c r="C940" s="1" t="n">
        <v>45835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17237-2024</t>
        </is>
      </c>
      <c r="B941" s="1" t="n">
        <v>45414</v>
      </c>
      <c r="C941" s="1" t="n">
        <v>45835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17254-2024</t>
        </is>
      </c>
      <c r="B942" s="1" t="n">
        <v>45414</v>
      </c>
      <c r="C942" s="1" t="n">
        <v>45835</v>
      </c>
      <c r="D942" t="inlineStr">
        <is>
          <t>GÄVLEBORGS LÄN</t>
        </is>
      </c>
      <c r="E942" t="inlineStr">
        <is>
          <t>GÄVLE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18218-2024</t>
        </is>
      </c>
      <c r="B943" s="1" t="n">
        <v>45420</v>
      </c>
      <c r="C943" s="1" t="n">
        <v>45835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18217-2024</t>
        </is>
      </c>
      <c r="B944" s="1" t="n">
        <v>45420</v>
      </c>
      <c r="C944" s="1" t="n">
        <v>45835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18216-2024</t>
        </is>
      </c>
      <c r="B945" s="1" t="n">
        <v>45420</v>
      </c>
      <c r="C945" s="1" t="n">
        <v>45835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18377-2024</t>
        </is>
      </c>
      <c r="B946" s="1" t="n">
        <v>45423</v>
      </c>
      <c r="C946" s="1" t="n">
        <v>45835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18455-2024</t>
        </is>
      </c>
      <c r="B947" s="1" t="n">
        <v>45425</v>
      </c>
      <c r="C947" s="1" t="n">
        <v>45835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18457-2024</t>
        </is>
      </c>
      <c r="B948" s="1" t="n">
        <v>45425</v>
      </c>
      <c r="C948" s="1" t="n">
        <v>45835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18452-2024</t>
        </is>
      </c>
      <c r="B949" s="1" t="n">
        <v>45425</v>
      </c>
      <c r="C949" s="1" t="n">
        <v>45835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18454-2024</t>
        </is>
      </c>
      <c r="B950" s="1" t="n">
        <v>45425</v>
      </c>
      <c r="C950" s="1" t="n">
        <v>45835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19186-2024</t>
        </is>
      </c>
      <c r="B951" s="1" t="n">
        <v>45428</v>
      </c>
      <c r="C951" s="1" t="n">
        <v>45835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19497-2024</t>
        </is>
      </c>
      <c r="B952" s="1" t="n">
        <v>45429</v>
      </c>
      <c r="C952" s="1" t="n">
        <v>45835</v>
      </c>
      <c r="D952" t="inlineStr">
        <is>
          <t>GÄVLEBORGS LÄN</t>
        </is>
      </c>
      <c r="E952" t="inlineStr">
        <is>
          <t>GÄVLE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19517-2024</t>
        </is>
      </c>
      <c r="B953" s="1" t="n">
        <v>45429</v>
      </c>
      <c r="C953" s="1" t="n">
        <v>45835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19861-2024</t>
        </is>
      </c>
      <c r="B954" s="1" t="n">
        <v>45433</v>
      </c>
      <c r="C954" s="1" t="n">
        <v>45835</v>
      </c>
      <c r="D954" t="inlineStr">
        <is>
          <t>GÄVLEBORGS LÄN</t>
        </is>
      </c>
      <c r="E954" t="inlineStr">
        <is>
          <t>GÄVLE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19948-2024</t>
        </is>
      </c>
      <c r="B955" s="1" t="n">
        <v>45433</v>
      </c>
      <c r="C955" s="1" t="n">
        <v>45835</v>
      </c>
      <c r="D955" t="inlineStr">
        <is>
          <t>GÄVLEBORGS LÄN</t>
        </is>
      </c>
      <c r="E955" t="inlineStr">
        <is>
          <t>GÄVLE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20142-2024</t>
        </is>
      </c>
      <c r="B956" s="1" t="n">
        <v>45434</v>
      </c>
      <c r="C956" s="1" t="n">
        <v>45835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20229-2024</t>
        </is>
      </c>
      <c r="B957" s="1" t="n">
        <v>45434</v>
      </c>
      <c r="C957" s="1" t="n">
        <v>45835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20233-2024</t>
        </is>
      </c>
      <c r="B958" s="1" t="n">
        <v>45434</v>
      </c>
      <c r="C958" s="1" t="n">
        <v>45835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20143-2024</t>
        </is>
      </c>
      <c r="B959" s="1" t="n">
        <v>45434</v>
      </c>
      <c r="C959" s="1" t="n">
        <v>45835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20232-2024</t>
        </is>
      </c>
      <c r="B960" s="1" t="n">
        <v>45434</v>
      </c>
      <c r="C960" s="1" t="n">
        <v>45835</v>
      </c>
      <c r="D960" t="inlineStr">
        <is>
          <t>GÄVLEBORGS LÄN</t>
        </is>
      </c>
      <c r="E960" t="inlineStr">
        <is>
          <t>GÄVLE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20338-2024</t>
        </is>
      </c>
      <c r="B961" s="1" t="n">
        <v>45435</v>
      </c>
      <c r="C961" s="1" t="n">
        <v>45835</v>
      </c>
      <c r="D961" t="inlineStr">
        <is>
          <t>GÄVLEBORGS LÄN</t>
        </is>
      </c>
      <c r="E961" t="inlineStr">
        <is>
          <t>GÄVLE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20689-2024</t>
        </is>
      </c>
      <c r="B962" s="1" t="n">
        <v>45436</v>
      </c>
      <c r="C962" s="1" t="n">
        <v>45835</v>
      </c>
      <c r="D962" t="inlineStr">
        <is>
          <t>GÄVLEBORGS LÄN</t>
        </is>
      </c>
      <c r="E962" t="inlineStr">
        <is>
          <t>GÄVLE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20893-2024</t>
        </is>
      </c>
      <c r="B963" s="1" t="n">
        <v>45439</v>
      </c>
      <c r="C963" s="1" t="n">
        <v>45835</v>
      </c>
      <c r="D963" t="inlineStr">
        <is>
          <t>GÄVLEBORGS LÄN</t>
        </is>
      </c>
      <c r="E963" t="inlineStr">
        <is>
          <t>GÄVLE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20908-2024</t>
        </is>
      </c>
      <c r="B964" s="1" t="n">
        <v>45439</v>
      </c>
      <c r="C964" s="1" t="n">
        <v>45835</v>
      </c>
      <c r="D964" t="inlineStr">
        <is>
          <t>GÄVLEBORGS LÄN</t>
        </is>
      </c>
      <c r="E964" t="inlineStr">
        <is>
          <t>GÄVLE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21246-2024</t>
        </is>
      </c>
      <c r="B965" s="1" t="n">
        <v>45440</v>
      </c>
      <c r="C965" s="1" t="n">
        <v>45835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21239-2024</t>
        </is>
      </c>
      <c r="B966" s="1" t="n">
        <v>45440</v>
      </c>
      <c r="C966" s="1" t="n">
        <v>45835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21300-2024</t>
        </is>
      </c>
      <c r="B967" s="1" t="n">
        <v>45440</v>
      </c>
      <c r="C967" s="1" t="n">
        <v>45835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21273-2024</t>
        </is>
      </c>
      <c r="B968" s="1" t="n">
        <v>45440</v>
      </c>
      <c r="C968" s="1" t="n">
        <v>45835</v>
      </c>
      <c r="D968" t="inlineStr">
        <is>
          <t>GÄVLEBORGS LÄN</t>
        </is>
      </c>
      <c r="E968" t="inlineStr">
        <is>
          <t>GÄVLE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22088-2024</t>
        </is>
      </c>
      <c r="B969" s="1" t="n">
        <v>45443</v>
      </c>
      <c r="C969" s="1" t="n">
        <v>45835</v>
      </c>
      <c r="D969" t="inlineStr">
        <is>
          <t>GÄVLEBORGS LÄN</t>
        </is>
      </c>
      <c r="E969" t="inlineStr">
        <is>
          <t>GÄVLE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22090-2024</t>
        </is>
      </c>
      <c r="B970" s="1" t="n">
        <v>45443</v>
      </c>
      <c r="C970" s="1" t="n">
        <v>45835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22087-2024</t>
        </is>
      </c>
      <c r="B971" s="1" t="n">
        <v>45443</v>
      </c>
      <c r="C971" s="1" t="n">
        <v>45835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22571-2024</t>
        </is>
      </c>
      <c r="B972" s="1" t="n">
        <v>45447</v>
      </c>
      <c r="C972" s="1" t="n">
        <v>45835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22572-2024</t>
        </is>
      </c>
      <c r="B973" s="1" t="n">
        <v>45447</v>
      </c>
      <c r="C973" s="1" t="n">
        <v>45835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22858-2024</t>
        </is>
      </c>
      <c r="B974" s="1" t="n">
        <v>45448</v>
      </c>
      <c r="C974" s="1" t="n">
        <v>45835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23324-2024</t>
        </is>
      </c>
      <c r="B975" s="1" t="n">
        <v>45453</v>
      </c>
      <c r="C975" s="1" t="n">
        <v>45835</v>
      </c>
      <c r="D975" t="inlineStr">
        <is>
          <t>GÄVLEBORGS LÄN</t>
        </is>
      </c>
      <c r="E975" t="inlineStr">
        <is>
          <t>GÄVLE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23310-2024</t>
        </is>
      </c>
      <c r="B976" s="1" t="n">
        <v>45453</v>
      </c>
      <c r="C976" s="1" t="n">
        <v>45835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23587-2024</t>
        </is>
      </c>
      <c r="B977" s="1" t="n">
        <v>45454</v>
      </c>
      <c r="C977" s="1" t="n">
        <v>45835</v>
      </c>
      <c r="D977" t="inlineStr">
        <is>
          <t>GÄVLEBORGS LÄN</t>
        </is>
      </c>
      <c r="E977" t="inlineStr">
        <is>
          <t>GÄVLE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23643-2024</t>
        </is>
      </c>
      <c r="B978" s="1" t="n">
        <v>45454</v>
      </c>
      <c r="C978" s="1" t="n">
        <v>45835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23638-2024</t>
        </is>
      </c>
      <c r="B979" s="1" t="n">
        <v>45454</v>
      </c>
      <c r="C979" s="1" t="n">
        <v>45835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23883-2024</t>
        </is>
      </c>
      <c r="B980" s="1" t="n">
        <v>45455</v>
      </c>
      <c r="C980" s="1" t="n">
        <v>45835</v>
      </c>
      <c r="D980" t="inlineStr">
        <is>
          <t>GÄVLEBORGS LÄN</t>
        </is>
      </c>
      <c r="E980" t="inlineStr">
        <is>
          <t>GÄVLE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24141-2024</t>
        </is>
      </c>
      <c r="B981" s="1" t="n">
        <v>45456</v>
      </c>
      <c r="C981" s="1" t="n">
        <v>45835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25266-2024</t>
        </is>
      </c>
      <c r="B982" s="1" t="n">
        <v>45462</v>
      </c>
      <c r="C982" s="1" t="n">
        <v>45835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25276-2024</t>
        </is>
      </c>
      <c r="B983" s="1" t="n">
        <v>45462</v>
      </c>
      <c r="C983" s="1" t="n">
        <v>45835</v>
      </c>
      <c r="D983" t="inlineStr">
        <is>
          <t>GÄVLEBORGS LÄN</t>
        </is>
      </c>
      <c r="E983" t="inlineStr">
        <is>
          <t>GÄVLE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25235-2024</t>
        </is>
      </c>
      <c r="B984" s="1" t="n">
        <v>45462</v>
      </c>
      <c r="C984" s="1" t="n">
        <v>45835</v>
      </c>
      <c r="D984" t="inlineStr">
        <is>
          <t>GÄVLEBORGS LÄN</t>
        </is>
      </c>
      <c r="E984" t="inlineStr">
        <is>
          <t>GÄVLE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25655-2024</t>
        </is>
      </c>
      <c r="B985" s="1" t="n">
        <v>45463</v>
      </c>
      <c r="C985" s="1" t="n">
        <v>45835</v>
      </c>
      <c r="D985" t="inlineStr">
        <is>
          <t>GÄVLEBORGS LÄN</t>
        </is>
      </c>
      <c r="E985" t="inlineStr">
        <is>
          <t>GÄVLE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25593-2024</t>
        </is>
      </c>
      <c r="B986" s="1" t="n">
        <v>45463</v>
      </c>
      <c r="C986" s="1" t="n">
        <v>45835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25829-2024</t>
        </is>
      </c>
      <c r="B987" s="1" t="n">
        <v>45467</v>
      </c>
      <c r="C987" s="1" t="n">
        <v>45835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25857-2024</t>
        </is>
      </c>
      <c r="B988" s="1" t="n">
        <v>45467</v>
      </c>
      <c r="C988" s="1" t="n">
        <v>45835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26289-2024</t>
        </is>
      </c>
      <c r="B989" s="1" t="n">
        <v>45468</v>
      </c>
      <c r="C989" s="1" t="n">
        <v>45835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26136-2024</t>
        </is>
      </c>
      <c r="B990" s="1" t="n">
        <v>45468</v>
      </c>
      <c r="C990" s="1" t="n">
        <v>45835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26131-2024</t>
        </is>
      </c>
      <c r="B991" s="1" t="n">
        <v>45468</v>
      </c>
      <c r="C991" s="1" t="n">
        <v>45835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26111-2024</t>
        </is>
      </c>
      <c r="B992" s="1" t="n">
        <v>45468</v>
      </c>
      <c r="C992" s="1" t="n">
        <v>45835</v>
      </c>
      <c r="D992" t="inlineStr">
        <is>
          <t>GÄVLEBORGS LÄN</t>
        </is>
      </c>
      <c r="E992" t="inlineStr">
        <is>
          <t>GÄVLE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26129-2024</t>
        </is>
      </c>
      <c r="B993" s="1" t="n">
        <v>45468</v>
      </c>
      <c r="C993" s="1" t="n">
        <v>45835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26335-2024</t>
        </is>
      </c>
      <c r="B994" s="1" t="n">
        <v>45469</v>
      </c>
      <c r="C994" s="1" t="n">
        <v>45835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27808-2024</t>
        </is>
      </c>
      <c r="B995" s="1" t="n">
        <v>45475</v>
      </c>
      <c r="C995" s="1" t="n">
        <v>45835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27805-2024</t>
        </is>
      </c>
      <c r="B996" s="1" t="n">
        <v>45475</v>
      </c>
      <c r="C996" s="1" t="n">
        <v>45835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27801-2024</t>
        </is>
      </c>
      <c r="B997" s="1" t="n">
        <v>45475</v>
      </c>
      <c r="C997" s="1" t="n">
        <v>45835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27793-2024</t>
        </is>
      </c>
      <c r="B998" s="1" t="n">
        <v>45475</v>
      </c>
      <c r="C998" s="1" t="n">
        <v>45835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27787-2024</t>
        </is>
      </c>
      <c r="B999" s="1" t="n">
        <v>45475</v>
      </c>
      <c r="C999" s="1" t="n">
        <v>45835</v>
      </c>
      <c r="D999" t="inlineStr">
        <is>
          <t>GÄVLEBORGS LÄN</t>
        </is>
      </c>
      <c r="E999" t="inlineStr">
        <is>
          <t>GÄVLE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28593-2024</t>
        </is>
      </c>
      <c r="B1000" s="1" t="n">
        <v>45478</v>
      </c>
      <c r="C1000" s="1" t="n">
        <v>45835</v>
      </c>
      <c r="D1000" t="inlineStr">
        <is>
          <t>GÄVLEBORGS LÄN</t>
        </is>
      </c>
      <c r="E1000" t="inlineStr">
        <is>
          <t>GÄVLE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28694-2024</t>
        </is>
      </c>
      <c r="B1001" s="1" t="n">
        <v>45478</v>
      </c>
      <c r="C1001" s="1" t="n">
        <v>45835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28933-2024</t>
        </is>
      </c>
      <c r="B1002" s="1" t="n">
        <v>45481</v>
      </c>
      <c r="C1002" s="1" t="n">
        <v>45835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45835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45835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45835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45835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45835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45835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45835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45835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45835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45835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45835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45835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45835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45835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45835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45835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45835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45835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45835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45835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45835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45835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45835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45835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45835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45835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45835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45835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45835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45835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45835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45835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45835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45835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45835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45835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45835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45835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45835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45835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45835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45835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45835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45835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45835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45835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45835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45835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45835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45835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45835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45835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45835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45835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45835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45835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45835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45835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45835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45835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45835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45835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45835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45835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45835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45835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45835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45835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45835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45835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45835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45835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45835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45835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45835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45835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45835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45835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45835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45835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45835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45835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45835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45835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45835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45835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45835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45835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45835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45835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45835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45835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45835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45835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45835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45835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45835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45835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45835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45835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45835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45835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45835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45835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45835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45835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45835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45835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45835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45835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45835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45835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45835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45835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45835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45835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45835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45835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45835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45835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45835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45835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45835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45835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45835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45835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45835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45835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45835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45835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45835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45835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45835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45835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45835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45835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45835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45835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45835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45835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45835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45835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45835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45835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45835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45835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45835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45835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45835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45835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45835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45835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45835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45835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45835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45835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45835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45835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45835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45835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45835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45835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45835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45835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45835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45835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45835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45835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45835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45835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45835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45835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45835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45835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45835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45835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45835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45835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45835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45835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45835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45835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45835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45835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45835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45835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45835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45835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45835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45835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45835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45835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45835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45835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45835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45835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45835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45835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45835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45835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45835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45835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45835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45835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45835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45835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45835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45835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45835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45835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45835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45835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45835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45835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45835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45835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45835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45835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45835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45835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45835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45835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45835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45835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45835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45835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45835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45835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45835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45835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45835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45835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45835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45835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45835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45835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45835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45835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45835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45835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45835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45835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45835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45835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45835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45835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45835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45835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45835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45835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45835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45835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45835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45835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45835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45835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45835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45835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45835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45835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45835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45835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45835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45835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45835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45835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45835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45835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45835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45835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45835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45835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45835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45835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45835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45835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45835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45835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45835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45835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45835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45835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45835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45835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45835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45835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45835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45835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45835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45835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45835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45835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45835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45835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45835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45835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45835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45835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45835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45835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45835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45835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45835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45835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45835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45835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45835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45835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45835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45835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45835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45835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45835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45835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45835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45835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45835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45835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45835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45835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45835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45835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45835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45835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45835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45835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45835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45835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45835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45835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45835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45835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45835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45835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45835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45835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45835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45835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45835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45835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45835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45835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45835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45835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45835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45835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45835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45835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45835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45835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45835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45835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45835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45835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45835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45835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45835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45835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45835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45835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45835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45835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45835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45835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45835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45835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45835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45835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45835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45835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45835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45835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45835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45835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45835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45835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45835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45835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45835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45835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45835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45835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45835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45835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45835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45835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45835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45835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45835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45835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45835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45835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45835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45835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45835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45835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45835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45835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45835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45835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45835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45835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45835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45835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45835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45835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45835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45835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45835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45835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45835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45835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45835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45835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45835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45835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45835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45835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45835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45835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45835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45835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45835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45835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45835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45835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45835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45835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45835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45835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45835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45835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45835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45835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45835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45835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45835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45835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45835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45835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45835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45835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45835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45835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45835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45835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45835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45835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45835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45835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45835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45835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45835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45835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45835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45835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45835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45835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45835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45835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45835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45835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45835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45835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45835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45835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45835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45835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45835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45835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45835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45835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45835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45835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45835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45835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45835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45835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45835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45835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45835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45835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45835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45835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45835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45835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45835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45835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45835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45835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45835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45835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45835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45835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27611-2025</t>
        </is>
      </c>
      <c r="B1497" s="1" t="n">
        <v>45813</v>
      </c>
      <c r="C1497" s="1" t="n">
        <v>45835</v>
      </c>
      <c r="D1497" t="inlineStr">
        <is>
          <t>GÄVLEBORGS LÄN</t>
        </is>
      </c>
      <c r="E1497" t="inlineStr">
        <is>
          <t>GÄVLE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45835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27633-2025</t>
        </is>
      </c>
      <c r="B1499" s="1" t="n">
        <v>45813</v>
      </c>
      <c r="C1499" s="1" t="n">
        <v>45835</v>
      </c>
      <c r="D1499" t="inlineStr">
        <is>
          <t>GÄVLEBORGS LÄN</t>
        </is>
      </c>
      <c r="E1499" t="inlineStr">
        <is>
          <t>GÄVLE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28009-2025</t>
        </is>
      </c>
      <c r="B1500" s="1" t="n">
        <v>45817</v>
      </c>
      <c r="C1500" s="1" t="n">
        <v>45835</v>
      </c>
      <c r="D1500" t="inlineStr">
        <is>
          <t>GÄVLEBORGS LÄN</t>
        </is>
      </c>
      <c r="E1500" t="inlineStr">
        <is>
          <t>GÄVLE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45835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27858-2025</t>
        </is>
      </c>
      <c r="B1502" s="1" t="n">
        <v>45817</v>
      </c>
      <c r="C1502" s="1" t="n">
        <v>45835</v>
      </c>
      <c r="D1502" t="inlineStr">
        <is>
          <t>GÄVLEBORGS LÄN</t>
        </is>
      </c>
      <c r="E1502" t="inlineStr">
        <is>
          <t>GÄVLE</t>
        </is>
      </c>
      <c r="F1502" t="inlineStr">
        <is>
          <t>Bergvik skog väst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45835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45835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28481-2025</t>
        </is>
      </c>
      <c r="B1505" s="1" t="n">
        <v>45819</v>
      </c>
      <c r="C1505" s="1" t="n">
        <v>45835</v>
      </c>
      <c r="D1505" t="inlineStr">
        <is>
          <t>GÄVLEBORGS LÄN</t>
        </is>
      </c>
      <c r="E1505" t="inlineStr">
        <is>
          <t>GÄVLE</t>
        </is>
      </c>
      <c r="G1505" t="n">
        <v>13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28450-2025</t>
        </is>
      </c>
      <c r="B1506" s="1" t="n">
        <v>45819</v>
      </c>
      <c r="C1506" s="1" t="n">
        <v>45835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28596-2025</t>
        </is>
      </c>
      <c r="B1507" s="1" t="n">
        <v>45819</v>
      </c>
      <c r="C1507" s="1" t="n">
        <v>45835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45835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28624-2025</t>
        </is>
      </c>
      <c r="B1509" s="1" t="n">
        <v>45819</v>
      </c>
      <c r="C1509" s="1" t="n">
        <v>45835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45835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45835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45835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30300-2025</t>
        </is>
      </c>
      <c r="B1513" s="1" t="n">
        <v>45827</v>
      </c>
      <c r="C1513" s="1" t="n">
        <v>45835</v>
      </c>
      <c r="D1513" t="inlineStr">
        <is>
          <t>GÄVLEBORGS LÄN</t>
        </is>
      </c>
      <c r="E1513" t="inlineStr">
        <is>
          <t>GÄVLE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30304-2025</t>
        </is>
      </c>
      <c r="B1514" s="1" t="n">
        <v>45827</v>
      </c>
      <c r="C1514" s="1" t="n">
        <v>45835</v>
      </c>
      <c r="D1514" t="inlineStr">
        <is>
          <t>GÄVLEBORGS LÄN</t>
        </is>
      </c>
      <c r="E1514" t="inlineStr">
        <is>
          <t>GÄVLE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30277-2025</t>
        </is>
      </c>
      <c r="B1515" s="1" t="n">
        <v>45827</v>
      </c>
      <c r="C1515" s="1" t="n">
        <v>45835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30201-2025</t>
        </is>
      </c>
      <c r="B1516" s="1" t="n">
        <v>45827</v>
      </c>
      <c r="C1516" s="1" t="n">
        <v>45835</v>
      </c>
      <c r="D1516" t="inlineStr">
        <is>
          <t>GÄVLEBORGS LÄN</t>
        </is>
      </c>
      <c r="E1516" t="inlineStr">
        <is>
          <t>GÄVLE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45835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45835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45835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45835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31467-2025</t>
        </is>
      </c>
      <c r="B1521" s="1" t="n">
        <v>45833</v>
      </c>
      <c r="C1521" s="1" t="n">
        <v>45835</v>
      </c>
      <c r="D1521" t="inlineStr">
        <is>
          <t>GÄVLEBORGS LÄN</t>
        </is>
      </c>
      <c r="E1521" t="inlineStr">
        <is>
          <t>GÄVLE</t>
        </is>
      </c>
      <c r="F1521" t="inlineStr">
        <is>
          <t>Bergvik skog väst AB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31517-2025</t>
        </is>
      </c>
      <c r="B1522" s="1" t="n">
        <v>45833</v>
      </c>
      <c r="C1522" s="1" t="n">
        <v>45835</v>
      </c>
      <c r="D1522" t="inlineStr">
        <is>
          <t>GÄVLEBORGS LÄN</t>
        </is>
      </c>
      <c r="E1522" t="inlineStr">
        <is>
          <t>GÄVLE</t>
        </is>
      </c>
      <c r="F1522" t="inlineStr">
        <is>
          <t>Bergvik skog väst AB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31595-2025</t>
        </is>
      </c>
      <c r="B1523" s="1" t="n">
        <v>45833</v>
      </c>
      <c r="C1523" s="1" t="n">
        <v>45835</v>
      </c>
      <c r="D1523" t="inlineStr">
        <is>
          <t>GÄVLEBORGS LÄN</t>
        </is>
      </c>
      <c r="E1523" t="inlineStr">
        <is>
          <t>GÄVLE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31598-2025</t>
        </is>
      </c>
      <c r="B1524" s="1" t="n">
        <v>45833</v>
      </c>
      <c r="C1524" s="1" t="n">
        <v>45835</v>
      </c>
      <c r="D1524" t="inlineStr">
        <is>
          <t>GÄVLEBORGS LÄN</t>
        </is>
      </c>
      <c r="E1524" t="inlineStr">
        <is>
          <t>GÄVLE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31590-2025</t>
        </is>
      </c>
      <c r="B1525" s="1" t="n">
        <v>45833</v>
      </c>
      <c r="C1525" s="1" t="n">
        <v>45835</v>
      </c>
      <c r="D1525" t="inlineStr">
        <is>
          <t>GÄVLEBORGS LÄN</t>
        </is>
      </c>
      <c r="E1525" t="inlineStr">
        <is>
          <t>GÄVLE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31920-2025</t>
        </is>
      </c>
      <c r="B1526" s="1" t="n">
        <v>45834</v>
      </c>
      <c r="C1526" s="1" t="n">
        <v>45835</v>
      </c>
      <c r="D1526" t="inlineStr">
        <is>
          <t>GÄVLEBORGS LÄN</t>
        </is>
      </c>
      <c r="E1526" t="inlineStr">
        <is>
          <t>GÄVLE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31919-2025</t>
        </is>
      </c>
      <c r="B1527" s="1" t="n">
        <v>45834</v>
      </c>
      <c r="C1527" s="1" t="n">
        <v>45835</v>
      </c>
      <c r="D1527" t="inlineStr">
        <is>
          <t>GÄVLEBORGS LÄN</t>
        </is>
      </c>
      <c r="E1527" t="inlineStr">
        <is>
          <t>GÄVLE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31685-2025</t>
        </is>
      </c>
      <c r="B1528" s="1" t="n">
        <v>45834</v>
      </c>
      <c r="C1528" s="1" t="n">
        <v>45835</v>
      </c>
      <c r="D1528" t="inlineStr">
        <is>
          <t>GÄVLEBORGS LÄN</t>
        </is>
      </c>
      <c r="E1528" t="inlineStr">
        <is>
          <t>GÄVLE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2025-06-27T19:25:54Z</dcterms:created>
  <dcterms:modified xmlns:dcterms="http://purl.org/dc/terms/" xmlns:xsi="http://www.w3.org/2001/XMLSchema-instance" xsi:type="dcterms:W3CDTF">2025-06-27T19:25:55Z</dcterms:modified>
</cp:coreProperties>
</file>